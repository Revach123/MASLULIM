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9.2025\"/>
    </mc:Choice>
  </mc:AlternateContent>
  <xr:revisionPtr revIDLastSave="0" documentId="13_ncr:1_{F8359A38-BBA2-443D-9483-A603D2118A12}" xr6:coauthVersionLast="47" xr6:coauthVersionMax="47" xr10:uidLastSave="{00000000-0000-0000-0000-000000000000}"/>
  <bookViews>
    <workbookView xWindow="-120" yWindow="-120" windowWidth="29040" windowHeight="15225" tabRatio="840" activeTab="2" xr2:uid="{00000000-000D-0000-FFFF-FFFF00000000}"/>
  </bookViews>
  <sheets>
    <sheet name="מקרא" sheetId="60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definedNames>
    <definedName name="_xlnm._FilterDatabase" localSheetId="32" hidden="1">'אפשרויות בחירה'!$A$1:$D$1040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מזומנים'!$A$2:$N$2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91029" forceFullCalc="1"/>
  <customWorkbookViews>
    <customWorkbookView name="נירית שימרון - Personal View" guid="{AE318230-F718-49FC-82EB-7CAC3DCD05F1}" mergeInterval="0" personalView="1" maximized="1" yWindow="-8" windowWidth="1696" windowHeight="1026" tabRatio="894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4" i="2"/>
  <c r="D31" i="2"/>
  <c r="C31" i="2"/>
  <c r="E31" i="2" l="1"/>
</calcChain>
</file>

<file path=xl/sharedStrings.xml><?xml version="1.0" encoding="utf-8"?>
<sst xmlns="http://schemas.openxmlformats.org/spreadsheetml/2006/main" count="36316" uniqueCount="3517">
  <si>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</si>
  <si>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</si>
  <si>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</si>
  <si>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</si>
  <si>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</si>
  <si>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</si>
  <si>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</si>
  <si>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</si>
  <si>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</si>
  <si>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</si>
  <si>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</si>
  <si>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</si>
  <si>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</si>
  <si>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</si>
  <si>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</si>
  <si>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</si>
  <si>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</si>
  <si>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</si>
  <si>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</si>
  <si>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</si>
  <si>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</si>
  <si>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</si>
  <si>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</si>
  <si>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</si>
  <si>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</si>
  <si>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</si>
  <si>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</si>
  <si>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</si>
  <si>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</si>
  <si>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</si>
  <si>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</si>
  <si>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</si>
  <si>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</si>
  <si>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</si>
  <si>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</si>
  <si>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</si>
  <si>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</si>
  <si>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</si>
  <si>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</si>
  <si>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</si>
  <si>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</si>
  <si>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</si>
  <si>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</si>
  <si>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</si>
  <si>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</si>
  <si>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</si>
  <si>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</si>
  <si>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</si>
  <si>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</si>
  <si>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</si>
  <si>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</si>
  <si>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</si>
  <si>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</si>
  <si>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</si>
  <si>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</si>
  <si>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</si>
  <si>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</si>
  <si>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</si>
  <si>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</si>
  <si>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</si>
  <si>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</si>
  <si>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</si>
  <si>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</si>
  <si>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</si>
  <si>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</si>
  <si>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</si>
  <si>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</si>
  <si>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</si>
  <si>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</si>
  <si>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</si>
  <si>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</si>
  <si>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</si>
  <si>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</si>
  <si>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</si>
  <si>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</si>
  <si>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</si>
  <si>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</si>
  <si>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</si>
  <si>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</si>
  <si>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</si>
  <si>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</si>
  <si>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</si>
  <si>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</si>
  <si>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</si>
  <si>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</si>
  <si>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</si>
  <si>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</si>
  <si>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</si>
  <si>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</si>
  <si>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</si>
  <si>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</si>
  <si>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</si>
  <si>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</si>
  <si>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</si>
  <si>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</si>
  <si>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</si>
  <si>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</si>
  <si>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</si>
  <si>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</si>
  <si>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</si>
  <si>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</si>
  <si>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</si>
  <si>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</si>
  <si>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</si>
  <si>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</si>
  <si>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</si>
  <si>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</si>
  <si>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</si>
  <si>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</si>
  <si>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</si>
  <si>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</si>
  <si>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</si>
  <si>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</si>
  <si>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</si>
  <si>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</si>
  <si>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</si>
  <si>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</si>
  <si>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</si>
  <si>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</si>
  <si>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</si>
  <si>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</si>
  <si>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</si>
  <si>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</si>
  <si>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</si>
  <si>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</si>
  <si>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</si>
  <si>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</si>
  <si>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</si>
  <si>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</si>
  <si>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</si>
  <si>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</si>
  <si>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</si>
  <si>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</si>
  <si>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</si>
  <si>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</si>
  <si>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</si>
  <si>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</si>
  <si>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</si>
  <si>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</si>
  <si>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</si>
  <si>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</si>
  <si>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</si>
  <si>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</si>
  <si>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</si>
  <si>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</si>
  <si>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</si>
  <si>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</si>
  <si>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</si>
  <si>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</si>
  <si>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</si>
  <si>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</si>
  <si>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</si>
  <si>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</si>
  <si>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</si>
  <si>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</si>
  <si>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</si>
  <si>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</si>
  <si>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</si>
  <si>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</si>
  <si>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</si>
  <si>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</si>
  <si>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</si>
  <si>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</si>
  <si>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</si>
  <si>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</si>
  <si>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</si>
  <si>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</si>
  <si>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</si>
  <si>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</si>
  <si>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</si>
  <si>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</si>
  <si>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</si>
  <si>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</si>
  <si>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</si>
  <si>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</si>
  <si>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</si>
  <si>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</si>
  <si>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</si>
  <si>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</si>
  <si>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</si>
  <si>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</si>
  <si>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</si>
  <si>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</si>
  <si>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</si>
  <si>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</si>
  <si>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</si>
  <si>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</si>
  <si>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</si>
  <si>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</si>
  <si>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</si>
  <si>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</si>
  <si>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</si>
  <si>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</si>
  <si>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</si>
  <si>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</si>
  <si>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</si>
  <si>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</si>
  <si>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</si>
  <si>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</si>
  <si>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</si>
  <si>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</si>
  <si>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</si>
  <si>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</si>
  <si>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</si>
  <si>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</si>
  <si>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</si>
  <si>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</si>
  <si>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</si>
  <si>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</si>
  <si>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</si>
  <si>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</si>
  <si>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</si>
  <si>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</si>
  <si>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</si>
  <si>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</si>
  <si>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</si>
  <si>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</si>
  <si>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</si>
  <si>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</si>
  <si>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</si>
  <si>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</si>
  <si>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</si>
  <si>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</si>
  <si>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</si>
  <si>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</si>
  <si>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</si>
  <si>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</si>
  <si>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</si>
  <si>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</si>
  <si>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</si>
  <si>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</si>
  <si>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</si>
  <si>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</si>
  <si>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</si>
  <si>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</si>
  <si>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</si>
  <si>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</si>
  <si>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</si>
  <si>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</si>
  <si>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</si>
  <si>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</si>
  <si>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</si>
  <si>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</si>
  <si>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</si>
  <si>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</si>
  <si>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</si>
  <si>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</si>
  <si>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</si>
  <si>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</si>
  <si>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</si>
  <si>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</si>
  <si>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</si>
  <si>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</si>
  <si>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</si>
  <si>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</si>
  <si>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</si>
  <si>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</si>
  <si>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</si>
  <si>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</si>
  <si>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</si>
  <si>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</si>
  <si>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</si>
  <si>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</si>
  <si>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</si>
  <si>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</si>
  <si>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</si>
  <si>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</si>
  <si>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</si>
  <si>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</si>
  <si>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</si>
  <si>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</si>
  <si>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</si>
  <si>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</si>
  <si>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</si>
  <si>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</si>
  <si>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</si>
  <si>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</si>
  <si>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</si>
  <si>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</si>
  <si>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</si>
  <si>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</si>
  <si>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</si>
  <si>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</si>
  <si>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</si>
  <si>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</si>
  <si>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</si>
  <si>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</si>
  <si>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</si>
  <si>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</si>
  <si>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</si>
  <si>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</si>
  <si>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</si>
  <si>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</si>
  <si>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</si>
  <si>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</si>
  <si>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</si>
  <si>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</si>
  <si>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</si>
  <si>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</si>
  <si>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</si>
  <si>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</si>
  <si>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</si>
  <si>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</si>
  <si>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</si>
  <si>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</si>
  <si>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</si>
  <si>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</si>
  <si>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</si>
  <si>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</si>
  <si>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</si>
  <si>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</si>
  <si>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</si>
  <si>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</si>
  <si>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</si>
  <si>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</si>
  <si>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</si>
  <si>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</si>
  <si>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</si>
  <si>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</si>
  <si>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</si>
  <si>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</si>
  <si>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</si>
  <si>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</si>
  <si>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</si>
  <si>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</si>
  <si>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</si>
  <si>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</si>
  <si>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</si>
  <si>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</si>
  <si>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</si>
  <si>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</si>
  <si>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</si>
  <si>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</si>
  <si>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</si>
  <si>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</si>
  <si>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</si>
  <si>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</si>
  <si>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</si>
  <si>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</si>
  <si>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</si>
  <si>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</si>
  <si>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</si>
  <si>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</si>
  <si>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</si>
  <si>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</si>
  <si>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</si>
  <si>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</si>
  <si>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</si>
  <si>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</si>
  <si>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</si>
  <si>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</si>
  <si>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</si>
  <si>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</si>
  <si>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</si>
  <si>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</si>
  <si>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</si>
  <si>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</si>
  <si>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</si>
  <si>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</si>
  <si>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</si>
  <si>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</si>
  <si>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</si>
  <si>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</si>
  <si>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</si>
  <si>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</si>
  <si>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</si>
  <si>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</si>
  <si>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</si>
  <si>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</si>
  <si>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</si>
  <si>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</si>
  <si>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</si>
  <si>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</si>
  <si>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</si>
  <si>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</si>
  <si>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</si>
  <si>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</si>
  <si>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</si>
  <si>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</si>
  <si>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</si>
  <si>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</si>
  <si>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</si>
  <si>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</si>
  <si>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</si>
  <si>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</si>
  <si>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</si>
  <si>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</si>
  <si>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</si>
  <si>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</si>
  <si>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</si>
  <si>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</si>
  <si>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</si>
  <si>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</si>
  <si>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</si>
  <si>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</si>
  <si>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</si>
  <si>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</si>
  <si>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</si>
  <si>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</si>
  <si>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</si>
  <si>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</si>
  <si>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</si>
  <si>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</si>
  <si>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</si>
  <si>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</si>
  <si>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</si>
  <si>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</si>
  <si>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</si>
  <si>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</si>
  <si>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</si>
  <si>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</si>
  <si>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</si>
  <si>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</si>
  <si>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</si>
  <si>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</si>
  <si>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</si>
  <si>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</si>
  <si>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</si>
  <si>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</si>
  <si>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</si>
  <si>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</si>
  <si>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</si>
  <si>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</si>
  <si>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</si>
  <si>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</si>
  <si>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</si>
  <si>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</si>
  <si>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</si>
  <si>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</si>
  <si>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</si>
  <si>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</si>
  <si>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</si>
  <si>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</si>
  <si>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</si>
  <si>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</si>
  <si>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</si>
  <si>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</si>
  <si>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</si>
  <si>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</si>
  <si>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</si>
  <si>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</si>
  <si>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</si>
  <si>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</si>
  <si>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</si>
  <si>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</si>
  <si>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</si>
  <si>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</si>
  <si>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</si>
  <si>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</si>
  <si>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</si>
  <si>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</si>
  <si>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</si>
  <si>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</si>
  <si>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</si>
  <si>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</si>
  <si>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</si>
  <si>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</si>
  <si>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</si>
  <si>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</si>
  <si>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</si>
  <si>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</si>
  <si>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</si>
  <si>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</si>
  <si>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</si>
  <si>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</si>
  <si>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</si>
  <si>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</si>
  <si>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</si>
  <si>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</si>
  <si>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</si>
  <si>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</si>
  <si>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</si>
  <si>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</si>
  <si>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</si>
  <si>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</si>
  <si>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</si>
  <si>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</si>
  <si>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</si>
  <si>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</si>
  <si>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</si>
  <si>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</si>
  <si>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</si>
  <si>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</si>
  <si>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</si>
  <si>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</si>
  <si>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</si>
  <si>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</si>
  <si>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</si>
  <si>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</si>
  <si>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</si>
  <si>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</si>
  <si>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</si>
  <si>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</si>
  <si>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</si>
  <si>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</si>
  <si>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</si>
  <si>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</si>
  <si>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</si>
  <si>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</si>
  <si>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</si>
  <si>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</si>
  <si>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</si>
  <si>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</si>
  <si>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</si>
  <si>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</si>
  <si>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</si>
  <si>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</si>
  <si>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</si>
  <si>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</si>
  <si>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</si>
  <si>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</si>
  <si>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</si>
  <si>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</si>
  <si>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</si>
  <si>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</si>
  <si>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</si>
  <si>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</si>
  <si>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</si>
  <si>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</si>
  <si>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</si>
  <si>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</si>
  <si>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</si>
  <si>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</si>
  <si>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</si>
  <si>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</si>
  <si>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</si>
  <si>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</si>
  <si>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</si>
  <si>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</si>
  <si>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</si>
  <si>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</si>
  <si>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</si>
  <si>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</si>
  <si>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</si>
  <si>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</si>
  <si>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</si>
  <si>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</si>
  <si>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</si>
  <si>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</si>
  <si>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</si>
  <si>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</si>
  <si>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</si>
  <si>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</si>
  <si>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</si>
  <si>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</si>
  <si>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</si>
  <si>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</si>
  <si>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</si>
  <si>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</si>
  <si>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</si>
  <si>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</si>
  <si>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</si>
  <si>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</si>
  <si>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</si>
  <si>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</si>
  <si>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</si>
  <si>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</si>
  <si>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</si>
  <si>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</si>
  <si>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</si>
  <si>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</si>
  <si>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</si>
  <si>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</si>
  <si>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</si>
  <si>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</si>
  <si>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</si>
  <si>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</si>
  <si>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</si>
  <si>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</si>
  <si>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</si>
  <si>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</si>
  <si>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</si>
  <si>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</si>
  <si>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</si>
  <si>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</si>
  <si>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</si>
  <si>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</si>
  <si>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</si>
  <si>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</si>
  <si>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</si>
  <si>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</si>
  <si>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</si>
  <si>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</si>
  <si>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</si>
  <si>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</si>
  <si>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</si>
  <si>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</si>
  <si>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</si>
  <si>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</si>
  <si>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</si>
  <si>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</si>
  <si>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</si>
  <si>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</si>
  <si>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</si>
  <si>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</si>
  <si>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</si>
  <si>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</si>
  <si>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</si>
  <si>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</si>
  <si>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</si>
  <si>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</si>
  <si>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</si>
  <si>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</si>
  <si>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</si>
  <si>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</si>
  <si>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</si>
  <si>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</si>
  <si>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</si>
  <si>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</si>
  <si>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</si>
  <si>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</si>
  <si>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</si>
  <si>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</si>
  <si>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</si>
  <si>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</si>
  <si>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</si>
  <si>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</si>
  <si>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</si>
  <si>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</si>
  <si>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</si>
  <si>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</si>
  <si>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</si>
  <si>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</si>
  <si>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</si>
  <si>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</si>
  <si>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</si>
  <si>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</si>
  <si>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</si>
  <si>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</si>
  <si>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</si>
  <si>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</si>
  <si>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</si>
  <si>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</si>
  <si>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</si>
  <si>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</si>
  <si>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</si>
  <si>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</si>
  <si>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</si>
  <si>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</si>
  <si>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</si>
  <si>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</si>
  <si>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</si>
  <si>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</si>
  <si>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</si>
  <si>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</si>
  <si>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</si>
  <si>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</si>
  <si>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</si>
  <si>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</si>
  <si>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</si>
  <si>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</si>
  <si>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</si>
  <si>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</si>
  <si>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</si>
  <si>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</si>
  <si>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</si>
  <si>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</si>
  <si>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</si>
  <si>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</si>
  <si>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</si>
  <si>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</si>
  <si>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</si>
  <si>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</si>
  <si>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</si>
  <si>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</si>
  <si>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</si>
  <si>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</si>
  <si>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</si>
  <si>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</si>
  <si>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</si>
  <si>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</si>
  <si>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</si>
  <si>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</si>
  <si>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</si>
  <si>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</si>
  <si>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</si>
  <si>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</si>
  <si>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</si>
  <si>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</si>
  <si>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</si>
  <si>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</si>
  <si>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</si>
  <si>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</si>
  <si>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</si>
  <si>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</si>
  <si>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</si>
  <si>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</si>
  <si>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</si>
  <si>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</si>
  <si>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</si>
  <si>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</si>
  <si>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</si>
  <si>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</si>
  <si>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</si>
  <si>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</si>
  <si>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</si>
  <si>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</si>
  <si>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</si>
  <si>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</si>
  <si>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</si>
  <si>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</si>
  <si>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</si>
  <si>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</si>
  <si>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</si>
  <si>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</si>
  <si>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</si>
  <si>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</si>
  <si>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</si>
  <si>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</si>
  <si>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</si>
  <si>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</si>
  <si>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</si>
  <si>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</si>
  <si>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</si>
  <si>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</si>
  <si>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</si>
  <si>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</si>
  <si>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</si>
  <si>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</si>
  <si>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</si>
  <si>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</si>
  <si>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</si>
  <si>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</si>
  <si>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</si>
  <si>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</si>
  <si>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</si>
  <si>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</si>
  <si>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</si>
  <si>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</si>
  <si>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</si>
  <si>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</si>
  <si>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</si>
  <si>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</si>
  <si>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</si>
  <si>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</si>
  <si>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</si>
  <si>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</si>
  <si>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</si>
  <si>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</si>
  <si>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</si>
  <si>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</si>
  <si>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</si>
  <si>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</si>
  <si>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</si>
  <si>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</si>
  <si>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</si>
  <si>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</si>
  <si>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</si>
  <si>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</si>
  <si>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</si>
  <si>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</si>
  <si>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</si>
  <si>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</si>
  <si>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</si>
  <si>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</si>
  <si>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</si>
  <si>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</si>
  <si>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</si>
  <si>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</si>
  <si>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</si>
  <si>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</si>
  <si>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</si>
  <si>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</si>
  <si>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</si>
  <si>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</si>
  <si>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</si>
  <si>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</si>
  <si>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</si>
  <si>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</si>
  <si>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</si>
  <si>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</si>
  <si>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</si>
  <si>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</si>
  <si>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</si>
  <si>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</si>
  <si>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</si>
  <si>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</si>
  <si>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</si>
  <si>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</si>
  <si>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</si>
  <si>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</si>
  <si>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</si>
  <si>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</si>
  <si>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</si>
  <si>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</si>
  <si>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</si>
  <si>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</si>
  <si>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</si>
  <si>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</si>
  <si>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</si>
  <si>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</si>
  <si>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</si>
  <si>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</si>
  <si>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</si>
  <si>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</si>
  <si>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</si>
  <si>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</si>
  <si>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</si>
  <si>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</si>
  <si>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</si>
  <si>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</si>
  <si>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</si>
  <si>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</si>
  <si>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</si>
  <si>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</si>
  <si>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</si>
  <si>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</si>
  <si>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</si>
  <si>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</si>
  <si>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</si>
  <si>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</si>
  <si>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</si>
  <si>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</si>
  <si>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</si>
  <si>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</si>
  <si>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</si>
  <si>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</si>
  <si>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</si>
  <si>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</si>
  <si>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</si>
  <si>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</si>
  <si>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</si>
  <si>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</si>
  <si>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</si>
  <si>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</si>
  <si>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</si>
  <si>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</si>
  <si>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</si>
  <si>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</si>
  <si>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</si>
  <si>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</si>
  <si>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</si>
  <si>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</si>
  <si>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</si>
  <si>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</si>
  <si>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</si>
  <si>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</si>
  <si>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</si>
  <si>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</si>
  <si>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</si>
  <si>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</si>
  <si>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</si>
  <si>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</si>
  <si>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</si>
  <si>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</si>
  <si>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</si>
  <si>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</si>
  <si>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</si>
  <si>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</si>
  <si>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</si>
  <si>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</si>
  <si>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</si>
  <si>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</si>
  <si>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</si>
  <si>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</si>
  <si>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</si>
  <si>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</si>
  <si>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</si>
  <si>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</si>
  <si>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</si>
  <si>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</si>
  <si>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</si>
  <si>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</si>
  <si>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</si>
  <si>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</si>
  <si>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</si>
  <si>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</si>
  <si>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</si>
  <si>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</si>
  <si>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</si>
  <si>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</si>
  <si>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</si>
  <si>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</si>
  <si>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</si>
  <si>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</si>
  <si>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</si>
  <si>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</si>
  <si>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</si>
  <si>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</si>
  <si>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</si>
  <si>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</si>
  <si>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</si>
  <si>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</si>
  <si>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</si>
  <si>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</si>
  <si>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</si>
  <si>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</si>
  <si>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</si>
  <si>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</si>
  <si>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</si>
  <si>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</si>
  <si>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</si>
  <si>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</si>
  <si>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</si>
  <si>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</si>
  <si>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</si>
  <si>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</si>
  <si>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</si>
  <si>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</si>
  <si>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</si>
  <si>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</si>
  <si>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</si>
  <si>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</si>
  <si>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</si>
  <si>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</si>
  <si>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</si>
  <si>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</si>
  <si>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</si>
  <si>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</si>
  <si>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</si>
  <si>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</si>
  <si>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</si>
  <si>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</si>
  <si>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</si>
  <si>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</si>
  <si>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</si>
  <si>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</si>
  <si>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</si>
  <si>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</si>
  <si>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</si>
  <si>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</si>
  <si>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</si>
  <si>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</si>
  <si>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</si>
  <si>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</si>
  <si>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</si>
  <si>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</si>
  <si>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</si>
  <si>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</si>
  <si>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</si>
  <si>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</si>
  <si>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</si>
  <si>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</si>
  <si>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</si>
  <si>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</si>
  <si>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</si>
  <si>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</si>
  <si>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</si>
  <si>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</si>
  <si>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</si>
  <si>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</si>
  <si>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</si>
  <si>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</si>
  <si>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</si>
  <si>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</si>
  <si>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</si>
  <si>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</si>
  <si>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</si>
  <si>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</si>
  <si>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</si>
  <si>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</si>
  <si>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</si>
  <si>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</si>
  <si>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</si>
  <si>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</si>
  <si>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</si>
  <si>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</si>
  <si>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</si>
  <si>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</si>
  <si>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</si>
  <si>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</si>
  <si>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</si>
  <si>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</si>
  <si>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</si>
  <si>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</si>
  <si>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</si>
  <si>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</si>
  <si>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</si>
  <si>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</si>
  <si>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</si>
  <si>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</si>
  <si>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</si>
  <si>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</si>
  <si>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</si>
  <si>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</si>
  <si>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</si>
  <si>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</si>
  <si>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</si>
  <si>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</si>
  <si>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</si>
  <si>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</si>
  <si>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</si>
  <si>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</si>
  <si>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</si>
  <si>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</si>
  <si>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</si>
  <si>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</si>
  <si>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</si>
  <si>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</si>
  <si>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</si>
  <si>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</si>
  <si>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</si>
  <si>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</si>
  <si>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</si>
  <si>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</si>
  <si>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</si>
  <si>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</si>
  <si>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</si>
  <si>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</si>
  <si>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</si>
  <si>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</si>
  <si>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</si>
  <si>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</si>
  <si>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</si>
  <si>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</si>
  <si>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</si>
  <si>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</si>
  <si>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</si>
  <si>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</si>
  <si>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</si>
  <si>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</si>
  <si>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</si>
  <si>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</si>
  <si>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</si>
  <si>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</si>
  <si>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</si>
  <si>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</si>
  <si>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</si>
  <si>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</si>
  <si>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</si>
  <si>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</si>
  <si>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</si>
  <si>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</si>
  <si>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</si>
  <si>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</si>
  <si>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</si>
  <si>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</si>
  <si>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</si>
  <si>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</si>
  <si>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</si>
  <si>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</si>
  <si>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</si>
  <si>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</si>
  <si>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</si>
  <si>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</si>
  <si>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</si>
  <si>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</si>
  <si>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</si>
  <si>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</si>
  <si>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</si>
  <si>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</si>
  <si>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</si>
  <si>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</si>
  <si>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</si>
  <si>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</si>
  <si>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</si>
  <si>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</si>
  <si>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</si>
  <si>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</si>
  <si>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</si>
  <si>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</si>
  <si>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</si>
  <si>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</si>
  <si>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</si>
  <si>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</si>
  <si>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</si>
  <si>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</si>
  <si>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</si>
  <si>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</si>
  <si>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</si>
  <si>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</si>
  <si>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</si>
  <si>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</si>
  <si>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</si>
  <si>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</si>
  <si>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</si>
  <si>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</si>
  <si>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</si>
  <si>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</si>
  <si>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</si>
  <si>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</si>
  <si>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</si>
  <si>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</si>
  <si>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</si>
  <si>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</si>
  <si>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</si>
  <si>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</si>
  <si>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</si>
  <si>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</si>
  <si>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</si>
  <si>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</si>
  <si>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</si>
  <si>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</si>
  <si>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</si>
  <si>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</si>
  <si>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</si>
  <si>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</si>
  <si>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</si>
  <si>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</si>
  <si>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</si>
  <si>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</si>
  <si>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</si>
  <si>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</si>
  <si>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</si>
  <si>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</si>
  <si>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</si>
  <si>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</si>
  <si>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</si>
  <si>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</si>
  <si>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</si>
  <si>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</si>
  <si>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</si>
  <si>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</si>
  <si>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</si>
  <si>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</si>
  <si>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</si>
  <si>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</si>
  <si>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</si>
  <si>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</si>
  <si>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</si>
  <si>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</si>
  <si>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</si>
  <si>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</si>
  <si>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</si>
  <si>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</si>
  <si>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</si>
  <si>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</si>
  <si>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</si>
  <si>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</si>
  <si>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</si>
  <si>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</si>
  <si>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</si>
  <si>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</si>
  <si>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</si>
  <si>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</si>
  <si>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</si>
  <si>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</si>
  <si>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</si>
  <si>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</si>
  <si>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</si>
  <si>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</si>
  <si>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</si>
  <si>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</si>
  <si>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</si>
  <si>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</si>
  <si>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</si>
  <si>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</si>
  <si>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</si>
  <si>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</si>
  <si>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</si>
  <si>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</si>
  <si>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</si>
  <si>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</si>
  <si>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</si>
  <si>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</si>
  <si>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</si>
  <si>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</si>
  <si>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</si>
  <si>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</si>
  <si>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</si>
  <si>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</si>
  <si>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</si>
  <si>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</si>
  <si>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</si>
  <si>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</si>
  <si>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</si>
  <si>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</si>
  <si>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</si>
  <si>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</si>
  <si>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</si>
  <si>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</si>
  <si>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</si>
  <si>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</si>
  <si>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</si>
  <si>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</si>
  <si>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</si>
  <si>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</si>
  <si>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</si>
  <si>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</si>
  <si>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</si>
  <si>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</si>
  <si>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</si>
  <si>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</si>
  <si>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</si>
  <si>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</si>
  <si>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</si>
  <si>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</si>
  <si>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</si>
  <si>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</si>
  <si>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</si>
  <si>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</si>
  <si>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</si>
  <si>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</si>
  <si>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</si>
  <si>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</si>
  <si>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</si>
  <si>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</si>
  <si>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</si>
  <si>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</si>
  <si>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</si>
  <si>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</si>
  <si>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</si>
  <si>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</si>
  <si>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</si>
  <si>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</si>
  <si>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</si>
  <si>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</si>
  <si>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</si>
  <si>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</si>
  <si>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</si>
  <si>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</si>
  <si>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</si>
  <si>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</si>
  <si>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</si>
  <si>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</si>
  <si>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</si>
  <si>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</si>
  <si>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</si>
  <si>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</si>
  <si>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</si>
  <si>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</si>
  <si>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284</t>
  </si>
  <si>
    <t>2039</t>
  </si>
  <si>
    <t>הבנק הבינלאומי</t>
  </si>
  <si>
    <t>31-46</t>
  </si>
  <si>
    <t>Aaa.il</t>
  </si>
  <si>
    <t>ILS</t>
  </si>
  <si>
    <t>USD</t>
  </si>
  <si>
    <t>EUR</t>
  </si>
  <si>
    <t>HKD</t>
  </si>
  <si>
    <t>2040</t>
  </si>
  <si>
    <t>GBP</t>
  </si>
  <si>
    <t>JPY</t>
  </si>
  <si>
    <t>484</t>
  </si>
  <si>
    <t>2035</t>
  </si>
  <si>
    <t>2036</t>
  </si>
  <si>
    <t>ממשל שקלית שחר</t>
  </si>
  <si>
    <t>ממשל שקלית 0537</t>
  </si>
  <si>
    <t>IL0011661803</t>
  </si>
  <si>
    <t>RF</t>
  </si>
  <si>
    <t>31/05/2037</t>
  </si>
  <si>
    <t>ממשל שקלית 0432</t>
  </si>
  <si>
    <t>IL0011806606</t>
  </si>
  <si>
    <t>30/04/2032</t>
  </si>
  <si>
    <t>ממשל שקלית 0142</t>
  </si>
  <si>
    <t>IL0011254005</t>
  </si>
  <si>
    <t>31/01/2042</t>
  </si>
  <si>
    <t>מדינת ישראל</t>
  </si>
  <si>
    <t>ממשל צמודה 1131</t>
  </si>
  <si>
    <t>IL0011722209</t>
  </si>
  <si>
    <t>30/11/2031</t>
  </si>
  <si>
    <t>בנק ישראל- מק"מ</t>
  </si>
  <si>
    <t>מ.ק.מ. 416</t>
  </si>
  <si>
    <t>IL0082604161</t>
  </si>
  <si>
    <t>01/04/2026</t>
  </si>
  <si>
    <t>0.000%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</si>
  <si>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</si>
  <si>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</si>
  <si>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</si>
  <si>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</si>
  <si>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</si>
  <si>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</si>
  <si>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</si>
  <si>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</si>
  <si>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</si>
  <si>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מ.ק.מ 216</t>
  </si>
  <si>
    <t>IL0082602181</t>
  </si>
  <si>
    <t>04/02/2026</t>
  </si>
  <si>
    <t>מ.ק.מ.      616</t>
  </si>
  <si>
    <t>IL0082606141</t>
  </si>
  <si>
    <t>03/06/2026</t>
  </si>
  <si>
    <t>ממשלתית צמודה 07/2026</t>
  </si>
  <si>
    <t>IL0011695645</t>
  </si>
  <si>
    <t>31/07/2026</t>
  </si>
  <si>
    <t>ממשל שקלית 0330</t>
  </si>
  <si>
    <t>IL0011609851</t>
  </si>
  <si>
    <t>31/03/2030</t>
  </si>
  <si>
    <t>ממשל צמודה 0529</t>
  </si>
  <si>
    <t>IL0011570236</t>
  </si>
  <si>
    <t>31/05/2029</t>
  </si>
  <si>
    <t>ממשל שקלית 0829</t>
  </si>
  <si>
    <t>IL0012128935</t>
  </si>
  <si>
    <t>31/08/2029</t>
  </si>
  <si>
    <t>ממשל צמודה 0527</t>
  </si>
  <si>
    <t>IL0011408478</t>
  </si>
  <si>
    <t>31/05/2027</t>
  </si>
  <si>
    <t>ממשל צמודה 0536</t>
  </si>
  <si>
    <t>IL0010977085</t>
  </si>
  <si>
    <t>30/05/2036</t>
  </si>
  <si>
    <t>ממשל שקלית 0229</t>
  </si>
  <si>
    <t>IL0011948028</t>
  </si>
  <si>
    <t>28/02/2029</t>
  </si>
  <si>
    <t>ממשל שקלית 1152</t>
  </si>
  <si>
    <t>IL0011840761</t>
  </si>
  <si>
    <t>29/11/2052</t>
  </si>
  <si>
    <t>US TREASURY N/B</t>
  </si>
  <si>
    <t>T 4 1/4 11/15/3</t>
  </si>
  <si>
    <t>US91282CLW90</t>
  </si>
  <si>
    <t>Aa1</t>
  </si>
  <si>
    <t>15/11/2034</t>
  </si>
  <si>
    <t>T 3 7/8 08/15/33</t>
  </si>
  <si>
    <t>US91282CHT18</t>
  </si>
  <si>
    <t>15/08/2033</t>
  </si>
  <si>
    <t>T 3 7/8 08/15/34</t>
  </si>
  <si>
    <t>US91282CLF67</t>
  </si>
  <si>
    <t>15/08/2034</t>
  </si>
  <si>
    <t>T 4 02/15/34</t>
  </si>
  <si>
    <t>US91282CJZ59</t>
  </si>
  <si>
    <t>15/02/2034</t>
  </si>
  <si>
    <t>מ.ק.מ.      516</t>
  </si>
  <si>
    <t>IL0082605150</t>
  </si>
  <si>
    <t>06/05/2026</t>
  </si>
  <si>
    <t>מ.ק.מ.     1215</t>
  </si>
  <si>
    <t>IL0082512174</t>
  </si>
  <si>
    <t>03/12/2025</t>
  </si>
  <si>
    <t>מ.ק.מ.      816</t>
  </si>
  <si>
    <t>IL0082608121</t>
  </si>
  <si>
    <t>05/08/2026</t>
  </si>
  <si>
    <t>ממשל שקלית 0928</t>
  </si>
  <si>
    <t>IL0011508798</t>
  </si>
  <si>
    <t>28/09/2028</t>
  </si>
  <si>
    <t>ממשל צמודה 0545</t>
  </si>
  <si>
    <t>IL0011348658</t>
  </si>
  <si>
    <t>31/05/2045</t>
  </si>
  <si>
    <t>ממשל שקלית0327</t>
  </si>
  <si>
    <t>IL0011393449</t>
  </si>
  <si>
    <t>31/03/2027</t>
  </si>
  <si>
    <t>מ.ק.מ.      726</t>
  </si>
  <si>
    <t>IL0082607214</t>
  </si>
  <si>
    <t>08/07/2026</t>
  </si>
  <si>
    <t>הפניקס גיוסי הון (2009)בע"מ</t>
  </si>
  <si>
    <t>514290345</t>
  </si>
  <si>
    <t>פניקס הון אגחטז</t>
  </si>
  <si>
    <t>IL0012203340</t>
  </si>
  <si>
    <t>ilAA</t>
  </si>
  <si>
    <t>01/11/2031</t>
  </si>
  <si>
    <t>בנק הפועלים בע"מ</t>
  </si>
  <si>
    <t>520000118</t>
  </si>
  <si>
    <t>פועלים  אגח 102</t>
  </si>
  <si>
    <t>IL0012234527</t>
  </si>
  <si>
    <t>ilAAA</t>
  </si>
  <si>
    <t>17/06/2035</t>
  </si>
  <si>
    <t>חברת החשמל לישראל בע"מ</t>
  </si>
  <si>
    <t>254900JW7GE35YNJGJ55</t>
  </si>
  <si>
    <t>חשמל אגח 35</t>
  </si>
  <si>
    <t>IL0011967994</t>
  </si>
  <si>
    <t>12/06/2037</t>
  </si>
  <si>
    <t>חשמל אגח 34</t>
  </si>
  <si>
    <t>IL0011967812</t>
  </si>
  <si>
    <t>12/06/2033</t>
  </si>
  <si>
    <t>מזרחי טפחות חברה להנפקות בע"מ</t>
  </si>
  <si>
    <t>520032046</t>
  </si>
  <si>
    <t>מזרחי הנפקות 52</t>
  </si>
  <si>
    <t>IL0023103810</t>
  </si>
  <si>
    <t>01/07/2030</t>
  </si>
  <si>
    <t>מזרחי הנפקות אגח 49</t>
  </si>
  <si>
    <t>IL0023102820</t>
  </si>
  <si>
    <t>23/06/2026</t>
  </si>
  <si>
    <t>בנק לאומי לישראל בע"מ</t>
  </si>
  <si>
    <t>520018078</t>
  </si>
  <si>
    <t>לאומי אגח 183</t>
  </si>
  <si>
    <t>IL0060405474</t>
  </si>
  <si>
    <t>25/11/2029</t>
  </si>
  <si>
    <t>מז טפ הנפק 46</t>
  </si>
  <si>
    <t>IL0023102259</t>
  </si>
  <si>
    <t>28/09/2027</t>
  </si>
  <si>
    <t>לאומי אגח 188</t>
  </si>
  <si>
    <t>IL0012286675</t>
  </si>
  <si>
    <t>01/08/2036</t>
  </si>
  <si>
    <t>לאומי אגח 187</t>
  </si>
  <si>
    <t>IL0012286592</t>
  </si>
  <si>
    <t>01/05/2034</t>
  </si>
  <si>
    <t>מז טפ הנפ אגח61</t>
  </si>
  <si>
    <t>IL0023104644</t>
  </si>
  <si>
    <t>04/12/2026</t>
  </si>
  <si>
    <t>כללביט מימון בע"מ</t>
  </si>
  <si>
    <t>513754069</t>
  </si>
  <si>
    <t>כללביט אגח יא</t>
  </si>
  <si>
    <t>IL0011606477</t>
  </si>
  <si>
    <t>ilAA-</t>
  </si>
  <si>
    <t>כללביט אגח יב</t>
  </si>
  <si>
    <t>IL0011799280</t>
  </si>
  <si>
    <t>31/03/2032</t>
  </si>
  <si>
    <t>מנורה מבטחים גיוס הון בע"מ</t>
  </si>
  <si>
    <t>513937714</t>
  </si>
  <si>
    <t>מנורה הון התח ט</t>
  </si>
  <si>
    <t>IL0012193699</t>
  </si>
  <si>
    <t>Aa3.il</t>
  </si>
  <si>
    <t>30/09/2032</t>
  </si>
  <si>
    <t>פועלים אגח 203</t>
  </si>
  <si>
    <t>IL0011998684</t>
  </si>
  <si>
    <t>02/12/2030</t>
  </si>
  <si>
    <t>לאומי אגח 186</t>
  </si>
  <si>
    <t>IL0012018391</t>
  </si>
  <si>
    <t>30/11/2033</t>
  </si>
  <si>
    <t>חשמל      31</t>
  </si>
  <si>
    <t>IL0060002859</t>
  </si>
  <si>
    <t>20/09/2031</t>
  </si>
  <si>
    <t>חברת גב-ים לקרקעות בע"מ</t>
  </si>
  <si>
    <t>520001736</t>
  </si>
  <si>
    <t>גב ים אגח י</t>
  </si>
  <si>
    <t>IL0075902846</t>
  </si>
  <si>
    <t>30/06/2035</t>
  </si>
  <si>
    <t>הראל ביטוח מימון והנפקות בע"מ</t>
  </si>
  <si>
    <t>513834200</t>
  </si>
  <si>
    <t>הראל הנפ אגח יב</t>
  </si>
  <si>
    <t>IL0011381634</t>
  </si>
  <si>
    <t>31/12/2028</t>
  </si>
  <si>
    <t>ג'י סיטי בע"מ</t>
  </si>
  <si>
    <t>520033234</t>
  </si>
  <si>
    <t>גי סיטי אגח יב</t>
  </si>
  <si>
    <t>IL0012606039</t>
  </si>
  <si>
    <t>A3.il</t>
  </si>
  <si>
    <t>30/06/2027</t>
  </si>
  <si>
    <t>כלל מימו אגח יג</t>
  </si>
  <si>
    <t>IL0011979205</t>
  </si>
  <si>
    <t>31/07/2034</t>
  </si>
  <si>
    <t>ירושלים מימון והנפקות (2005) בע"מ</t>
  </si>
  <si>
    <t>513682146</t>
  </si>
  <si>
    <t>ירושליםהנ אגחיט</t>
  </si>
  <si>
    <t>IL0012014333</t>
  </si>
  <si>
    <t>31/01/2031</t>
  </si>
  <si>
    <t>פועלים אגח 201</t>
  </si>
  <si>
    <t>IL0011913451</t>
  </si>
  <si>
    <t>29/11/2032</t>
  </si>
  <si>
    <t>כלל החזקות עסקי ביטוח בע"מ</t>
  </si>
  <si>
    <t>520036120</t>
  </si>
  <si>
    <t>כלל ביטוח אגח ג</t>
  </si>
  <si>
    <t>IL0012013913</t>
  </si>
  <si>
    <t>מגדל ביטוח גיוס הון בע"מ</t>
  </si>
  <si>
    <t>513230029</t>
  </si>
  <si>
    <t>מגדל הון אגח טו</t>
  </si>
  <si>
    <t>IL0012284100</t>
  </si>
  <si>
    <t>A1.il</t>
  </si>
  <si>
    <t>31/12/2034</t>
  </si>
  <si>
    <t>מגדל הון אגח טז</t>
  </si>
  <si>
    <t>IL0012284282</t>
  </si>
  <si>
    <t>31/12/2035</t>
  </si>
  <si>
    <t>ירושלים הנ אגח טו</t>
  </si>
  <si>
    <t>IL0011617698</t>
  </si>
  <si>
    <t>31/12/2026</t>
  </si>
  <si>
    <t>אפי נכסים בע"מ</t>
  </si>
  <si>
    <t>510560188</t>
  </si>
  <si>
    <t>אפי נכסים אגח ח</t>
  </si>
  <si>
    <t>IL0011422313</t>
  </si>
  <si>
    <t>15/10/2026</t>
  </si>
  <si>
    <t>גי סיטי אגח יד</t>
  </si>
  <si>
    <t>IL0012607367</t>
  </si>
  <si>
    <t>30/09/2031</t>
  </si>
  <si>
    <t>פועלים אגח 200</t>
  </si>
  <si>
    <t>IL0066204962</t>
  </si>
  <si>
    <t>09/12/2031</t>
  </si>
  <si>
    <t>איירפורט סיטי בע"מ</t>
  </si>
  <si>
    <t>511659401</t>
  </si>
  <si>
    <t>איירפורט אגח 5</t>
  </si>
  <si>
    <t>IL0011334872</t>
  </si>
  <si>
    <t>או.פי.סי אנרגיה בע"מ</t>
  </si>
  <si>
    <t>514401702</t>
  </si>
  <si>
    <t>או.פי.סי אגח ג</t>
  </si>
  <si>
    <t>IL0011803553</t>
  </si>
  <si>
    <t>ilA+</t>
  </si>
  <si>
    <t>31/08/2030</t>
  </si>
  <si>
    <t>פניקס הון אגחטו</t>
  </si>
  <si>
    <t>IL0012019530</t>
  </si>
  <si>
    <t>Aa2.il</t>
  </si>
  <si>
    <t>30/06/2030</t>
  </si>
  <si>
    <t>גי סיטי אגח יג</t>
  </si>
  <si>
    <t>IL0012606526</t>
  </si>
  <si>
    <t>30/06/2028</t>
  </si>
  <si>
    <t>מז טפ הנ אגח 68</t>
  </si>
  <si>
    <t>IL0012021429</t>
  </si>
  <si>
    <t>25/12/2033</t>
  </si>
  <si>
    <t>פז חברת הנפט בע"מ</t>
  </si>
  <si>
    <t>510216054</t>
  </si>
  <si>
    <t>פז נפט ו</t>
  </si>
  <si>
    <t>IL0011395428</t>
  </si>
  <si>
    <t>30/11/2028</t>
  </si>
  <si>
    <t>חשמל אגח 29</t>
  </si>
  <si>
    <t>IL0060002362</t>
  </si>
  <si>
    <t>28/02/2026</t>
  </si>
  <si>
    <t>הראל הנפק אגח י</t>
  </si>
  <si>
    <t>IL0011340481</t>
  </si>
  <si>
    <t>בזק החברה הישראלית לתקשורת בע"מ</t>
  </si>
  <si>
    <t>520031931</t>
  </si>
  <si>
    <t>בזק 9</t>
  </si>
  <si>
    <t>IL0023001766</t>
  </si>
  <si>
    <t>01/12/2025</t>
  </si>
  <si>
    <t>שופרסל בע"מ</t>
  </si>
  <si>
    <t>520022732</t>
  </si>
  <si>
    <t>שופרסל אגח ה</t>
  </si>
  <si>
    <t>IL0077702095</t>
  </si>
  <si>
    <t>08/10/2029</t>
  </si>
  <si>
    <t>פניקס הון אגחיא</t>
  </si>
  <si>
    <t>IL0011593592</t>
  </si>
  <si>
    <t>30/04/2029</t>
  </si>
  <si>
    <t>חשמל     אגח 36</t>
  </si>
  <si>
    <t>IL0012215898</t>
  </si>
  <si>
    <t>11/05/2034</t>
  </si>
  <si>
    <t>מגדל הון אגח י</t>
  </si>
  <si>
    <t>IL0011920795</t>
  </si>
  <si>
    <t>30/11/2029</t>
  </si>
  <si>
    <t>הראל הנפק יא ש 4.36</t>
  </si>
  <si>
    <t>IL0011363160</t>
  </si>
  <si>
    <t>31/12/2027</t>
  </si>
  <si>
    <t>מרכנתיל הנפקות בע"מ</t>
  </si>
  <si>
    <t>513686154</t>
  </si>
  <si>
    <t>מרכנתיל הנפק אגח ד</t>
  </si>
  <si>
    <t>IL0011713059</t>
  </si>
  <si>
    <t>30/01/2030</t>
  </si>
  <si>
    <t>אלקטרה בע"מ</t>
  </si>
  <si>
    <t>520028911</t>
  </si>
  <si>
    <t>אלקטרה ד</t>
  </si>
  <si>
    <t>IL0073901493</t>
  </si>
  <si>
    <t>30/06/2026</t>
  </si>
  <si>
    <t>הפניקס אחזקות בע"מ</t>
  </si>
  <si>
    <t>520017450</t>
  </si>
  <si>
    <t>הפניקס אגח 5</t>
  </si>
  <si>
    <t>IL0076702849</t>
  </si>
  <si>
    <t>01/05/2030</t>
  </si>
  <si>
    <t>מגדל הון אגח יא</t>
  </si>
  <si>
    <t>IL0011975658</t>
  </si>
  <si>
    <t>31/12/2030</t>
  </si>
  <si>
    <t>פז נפט אגח ז</t>
  </si>
  <si>
    <t>IL0011425951</t>
  </si>
  <si>
    <t>30/11/2030</t>
  </si>
  <si>
    <t>סלע קפיטל נדל"ן בע"מ</t>
  </si>
  <si>
    <t>513992529</t>
  </si>
  <si>
    <t>סלע קפיטל נדל"ן ג</t>
  </si>
  <si>
    <t>IL0011389736</t>
  </si>
  <si>
    <t>13/04/2029</t>
  </si>
  <si>
    <t>מנורה מבטחים החזקות בע"מ</t>
  </si>
  <si>
    <t>520007469</t>
  </si>
  <si>
    <t>מנורה מבטחים החזקות ג</t>
  </si>
  <si>
    <t>IL0056600633</t>
  </si>
  <si>
    <t>30/09/2026</t>
  </si>
  <si>
    <t>הראל הנפ אגח יג</t>
  </si>
  <si>
    <t>IL0011381717</t>
  </si>
  <si>
    <t>31/12/2029</t>
  </si>
  <si>
    <t>גב ים ח</t>
  </si>
  <si>
    <t>IL0075901517</t>
  </si>
  <si>
    <t>30/06/2034</t>
  </si>
  <si>
    <t>תמר פטרוליום בע"מ</t>
  </si>
  <si>
    <t>515334662</t>
  </si>
  <si>
    <t>תמר פטרו אגח ב</t>
  </si>
  <si>
    <t>IL0011435935</t>
  </si>
  <si>
    <t>30/08/2028</t>
  </si>
  <si>
    <t>פתאל החזקות (1998) בע"מ</t>
  </si>
  <si>
    <t>512607888</t>
  </si>
  <si>
    <t>פתאל החז אגח ג</t>
  </si>
  <si>
    <t>IL0011617854</t>
  </si>
  <si>
    <t>A2.il</t>
  </si>
  <si>
    <t>31/08/2031</t>
  </si>
  <si>
    <t>קבוצת עזריאלי בע"מ</t>
  </si>
  <si>
    <t>510960719</t>
  </si>
  <si>
    <t>עזריאלי אגח ז</t>
  </si>
  <si>
    <t>IL0011786725</t>
  </si>
  <si>
    <t>ilAA+</t>
  </si>
  <si>
    <t>02/07/2036</t>
  </si>
  <si>
    <t>מגדל הון אגח יג</t>
  </si>
  <si>
    <t>IL0012075136</t>
  </si>
  <si>
    <t>31/12/2032</t>
  </si>
  <si>
    <t>אפי נכסים אגחיד</t>
  </si>
  <si>
    <t>IL0011845307</t>
  </si>
  <si>
    <t>30/03/2031</t>
  </si>
  <si>
    <t>עזריאלי אגח ח</t>
  </si>
  <si>
    <t>IL0011786808</t>
  </si>
  <si>
    <t>02/01/2041</t>
  </si>
  <si>
    <t>חברת הכשרת הישוב בישראל בע"מ</t>
  </si>
  <si>
    <t>520020116</t>
  </si>
  <si>
    <t>הכשרת ישוב אג21</t>
  </si>
  <si>
    <t>IL0061202243</t>
  </si>
  <si>
    <t>ilA</t>
  </si>
  <si>
    <t>קבוצת אקרו בע"מ</t>
  </si>
  <si>
    <t>511996803</t>
  </si>
  <si>
    <t>אקרו אגח א</t>
  </si>
  <si>
    <t>IL0011885725</t>
  </si>
  <si>
    <t>דליה חברות אנרגיה בע"מ (חברה לא בורסאית)</t>
  </si>
  <si>
    <t>513708818</t>
  </si>
  <si>
    <t>דליה אגח א</t>
  </si>
  <si>
    <t>IL0011849515</t>
  </si>
  <si>
    <t>אלוני-חץ נכסים והשקעות בע"מ</t>
  </si>
  <si>
    <t>520038506</t>
  </si>
  <si>
    <t>אלוני חץ אגח יג</t>
  </si>
  <si>
    <t>IL0011894065</t>
  </si>
  <si>
    <t>28/02/2037</t>
  </si>
  <si>
    <t>ביג מרכזי קניות בע"מ</t>
  </si>
  <si>
    <t>513623314</t>
  </si>
  <si>
    <t>ביג אגח טו</t>
  </si>
  <si>
    <t>IL0011622219</t>
  </si>
  <si>
    <t>31/01/2030</t>
  </si>
  <si>
    <t>מנורה הון התח ו</t>
  </si>
  <si>
    <t>IL0011602419</t>
  </si>
  <si>
    <t>עזריאלי אגח ה</t>
  </si>
  <si>
    <t>IL0011566036</t>
  </si>
  <si>
    <t>Aa1.il</t>
  </si>
  <si>
    <t>החברה לישראל בע"מ</t>
  </si>
  <si>
    <t>520028010</t>
  </si>
  <si>
    <t>חברהלישראלאגח14</t>
  </si>
  <si>
    <t>IL0057603016</t>
  </si>
  <si>
    <t>לייטסטון אנטרפרייזס לימיטד</t>
  </si>
  <si>
    <t>1838682</t>
  </si>
  <si>
    <t>לייטסטון אגח ב</t>
  </si>
  <si>
    <t>IL0011607467</t>
  </si>
  <si>
    <t>30/11/2025</t>
  </si>
  <si>
    <t>ביג אגח יח</t>
  </si>
  <si>
    <t>IL0011742264</t>
  </si>
  <si>
    <t>מגדלי הים התיכון בע"מ</t>
  </si>
  <si>
    <t>512719485</t>
  </si>
  <si>
    <t>מגדלי תיכון אגח ה</t>
  </si>
  <si>
    <t>IL0011685174</t>
  </si>
  <si>
    <t>30/06/2029</t>
  </si>
  <si>
    <t>מימון ישיר קבוצת ישיר (2006) בע"מ</t>
  </si>
  <si>
    <t>513893123</t>
  </si>
  <si>
    <t>מימון ישיר אגח ג</t>
  </si>
  <si>
    <t>IL0011712143</t>
  </si>
  <si>
    <t>31/12/2025</t>
  </si>
  <si>
    <t>חברת השקעות דיסקונט בע"מ</t>
  </si>
  <si>
    <t>520023896</t>
  </si>
  <si>
    <t>דיסק השק אגח י</t>
  </si>
  <si>
    <t>IL0063903483</t>
  </si>
  <si>
    <t>ilBBB</t>
  </si>
  <si>
    <t>30/12/2026</t>
  </si>
  <si>
    <t>מגה אור החזקות בע"מ</t>
  </si>
  <si>
    <t>513257873</t>
  </si>
  <si>
    <t>מגה אור אגח ז</t>
  </si>
  <si>
    <t>IL0011416968</t>
  </si>
  <si>
    <t>30/08/2027</t>
  </si>
  <si>
    <t>דיסקונט מנפיקים בע"מ</t>
  </si>
  <si>
    <t>520029935</t>
  </si>
  <si>
    <t>דיסק מנ אגח טז</t>
  </si>
  <si>
    <t>IL0012031576</t>
  </si>
  <si>
    <t>20/03/2035</t>
  </si>
  <si>
    <t>דיסק מנ אגח יז</t>
  </si>
  <si>
    <t>IL0012159534</t>
  </si>
  <si>
    <t>בזק אגח 13</t>
  </si>
  <si>
    <t>IL0023003093</t>
  </si>
  <si>
    <t>01/12/2035</t>
  </si>
  <si>
    <t>ביג אגח כ</t>
  </si>
  <si>
    <t>IL0011861882</t>
  </si>
  <si>
    <t>30/04/2033</t>
  </si>
  <si>
    <t>עזריאלי אגח ט</t>
  </si>
  <si>
    <t>IL0012092537</t>
  </si>
  <si>
    <t>02/01/2046</t>
  </si>
  <si>
    <t>מגדלי תיכוןאגחז</t>
  </si>
  <si>
    <t>IL0012176942</t>
  </si>
  <si>
    <t>מליסרון בע"מ</t>
  </si>
  <si>
    <t>520037789</t>
  </si>
  <si>
    <t>מליסרון אגח כא</t>
  </si>
  <si>
    <t>IL0011946386</t>
  </si>
  <si>
    <t>01/01/2037</t>
  </si>
  <si>
    <t>אשטרום נכסים בע"מ</t>
  </si>
  <si>
    <t>520036617</t>
  </si>
  <si>
    <t>אשטרום נכ אגח14</t>
  </si>
  <si>
    <t>IL0012018961</t>
  </si>
  <si>
    <t>31/12/2033</t>
  </si>
  <si>
    <t>איי.סי.אל גרופ בע"מ</t>
  </si>
  <si>
    <t>520027830</t>
  </si>
  <si>
    <t>אייסיאל אגח ז</t>
  </si>
  <si>
    <t>IL0028103724</t>
  </si>
  <si>
    <t>30/12/2034</t>
  </si>
  <si>
    <t>בתי זקוק לנפט בע"מ</t>
  </si>
  <si>
    <t>520036658</t>
  </si>
  <si>
    <t>בזן אגח יג</t>
  </si>
  <si>
    <t>IL0011953465</t>
  </si>
  <si>
    <t>25/09/2032</t>
  </si>
  <si>
    <t>אלוני חץ אגח טו</t>
  </si>
  <si>
    <t>IL0011894149</t>
  </si>
  <si>
    <t>אמות השקעות בע"מ</t>
  </si>
  <si>
    <t>520026683</t>
  </si>
  <si>
    <t>אמות אגח ח</t>
  </si>
  <si>
    <t>IL0011727828</t>
  </si>
  <si>
    <t>05/01/2032</t>
  </si>
  <si>
    <t>ירושלים הנ אגח טז</t>
  </si>
  <si>
    <t>IL0011721706</t>
  </si>
  <si>
    <t>דליה אגח ב</t>
  </si>
  <si>
    <t>IL0011935983</t>
  </si>
  <si>
    <t>30/09/2034</t>
  </si>
  <si>
    <t>מליסרון אגח יז</t>
  </si>
  <si>
    <t>IL0032302734</t>
  </si>
  <si>
    <t>01/01/2032</t>
  </si>
  <si>
    <t>קבוצת אשטרום בע"מ</t>
  </si>
  <si>
    <t>510381601</t>
  </si>
  <si>
    <t>אשטרום קב אגח ה</t>
  </si>
  <si>
    <t>IL0011995797</t>
  </si>
  <si>
    <t>פתאל החז  אגח ה</t>
  </si>
  <si>
    <t>IL0012039421</t>
  </si>
  <si>
    <t>31/08/2032</t>
  </si>
  <si>
    <t>מליסרון אגח יט</t>
  </si>
  <si>
    <t>IL0032303989</t>
  </si>
  <si>
    <t>01/07/2029</t>
  </si>
  <si>
    <t>אמות אגח ז</t>
  </si>
  <si>
    <t>IL0011628661</t>
  </si>
  <si>
    <t>ביג אגח יג</t>
  </si>
  <si>
    <t>IL0011595167</t>
  </si>
  <si>
    <t>25/03/2029</t>
  </si>
  <si>
    <t>בזן אגח טו</t>
  </si>
  <si>
    <t>IL0012119868</t>
  </si>
  <si>
    <t>25/12/2034</t>
  </si>
  <si>
    <t>איי.די.איי הנפקות (2010) בע"מ</t>
  </si>
  <si>
    <t>514486042</t>
  </si>
  <si>
    <t>איידיאייהנ הת ז</t>
  </si>
  <si>
    <t>IL0012293507</t>
  </si>
  <si>
    <t>22/09/2032</t>
  </si>
  <si>
    <t>ארפורט אגח יב</t>
  </si>
  <si>
    <t>IL0012115643</t>
  </si>
  <si>
    <t>30/04/2037</t>
  </si>
  <si>
    <t>וילאר אינטרנשיונל בע"מ</t>
  </si>
  <si>
    <t>520038910</t>
  </si>
  <si>
    <t>וילאר    אגח יא</t>
  </si>
  <si>
    <t>IL0012231556</t>
  </si>
  <si>
    <t>ביג      אגח כד</t>
  </si>
  <si>
    <t>IL0012270323</t>
  </si>
  <si>
    <t>10/08/2034</t>
  </si>
  <si>
    <t>שפיר הנדסה ותעשיה בע"מ</t>
  </si>
  <si>
    <t>514892801</t>
  </si>
  <si>
    <t>שפיר הנדס אגח ד</t>
  </si>
  <si>
    <t>IL0012263310</t>
  </si>
  <si>
    <t>03/10/2040</t>
  </si>
  <si>
    <t>צור שמיר אחזקות בע"מ</t>
  </si>
  <si>
    <t>520025586</t>
  </si>
  <si>
    <t>צור      אגח יג</t>
  </si>
  <si>
    <t>IL0012246661</t>
  </si>
  <si>
    <t>30/06/2037</t>
  </si>
  <si>
    <t>נמקו ריאלטי לטד</t>
  </si>
  <si>
    <t>1905761</t>
  </si>
  <si>
    <t>נמקו אגח ה</t>
  </si>
  <si>
    <t>IL0012132143</t>
  </si>
  <si>
    <t>15/04/2040</t>
  </si>
  <si>
    <t>אפי נכסים אגחטז</t>
  </si>
  <si>
    <t>IL0012109471</t>
  </si>
  <si>
    <t>נמקו      אגח ו</t>
  </si>
  <si>
    <t>IL0012231713</t>
  </si>
  <si>
    <t>הראל הנפק אגח כ</t>
  </si>
  <si>
    <t>IL0012079849</t>
  </si>
  <si>
    <t>מז טפ הנ אגח 66</t>
  </si>
  <si>
    <t>IL0011916678</t>
  </si>
  <si>
    <t>08/12/2031</t>
  </si>
  <si>
    <t>הראל השקעות בביטוח ושרותים פיננסים בע"מ</t>
  </si>
  <si>
    <t>520033986</t>
  </si>
  <si>
    <t>הראל השק אגח א</t>
  </si>
  <si>
    <t>IL0058501102</t>
  </si>
  <si>
    <t>מגה אור אגח יא</t>
  </si>
  <si>
    <t>IL0011783755</t>
  </si>
  <si>
    <t>הכשרת ישוב אג25</t>
  </si>
  <si>
    <t>IL0011915274</t>
  </si>
  <si>
    <t>י.ח.דמרי בניה ופיתוח בע"מ</t>
  </si>
  <si>
    <t>511399388</t>
  </si>
  <si>
    <t>דמרי אגח יא</t>
  </si>
  <si>
    <t>IL0012116062</t>
  </si>
  <si>
    <t>30/06/2032</t>
  </si>
  <si>
    <t>פועלים אגח 202</t>
  </si>
  <si>
    <t>IL0011998502</t>
  </si>
  <si>
    <t>29/04/2028</t>
  </si>
  <si>
    <t>מקורות חברת מים בע"מ</t>
  </si>
  <si>
    <t>520010869</t>
  </si>
  <si>
    <t>מקורות אג"ח 11</t>
  </si>
  <si>
    <t>IL0011584765</t>
  </si>
  <si>
    <t>31/12/2053</t>
  </si>
  <si>
    <t>הכשרת ישוב אג26</t>
  </si>
  <si>
    <t>IL0012056409</t>
  </si>
  <si>
    <t>ilA-</t>
  </si>
  <si>
    <t>30/06/2031</t>
  </si>
  <si>
    <t>ביג אגח כא</t>
  </si>
  <si>
    <t>IL0012022179</t>
  </si>
  <si>
    <t>03/07/2030</t>
  </si>
  <si>
    <t>מגדלי ים תיכון אגח ו</t>
  </si>
  <si>
    <t>IL0011991242</t>
  </si>
  <si>
    <t>פתאל נכסים(אירופה)בע"מ</t>
  </si>
  <si>
    <t>515328250</t>
  </si>
  <si>
    <t>פתאל אירו אגח ו</t>
  </si>
  <si>
    <t>IL0012192865</t>
  </si>
  <si>
    <t>הבינלאומי הראשון הנפקות בע"מ</t>
  </si>
  <si>
    <t>513141879</t>
  </si>
  <si>
    <t>בינל הנפק אגחיב</t>
  </si>
  <si>
    <t>IL0011823858</t>
  </si>
  <si>
    <t>07/12/2027</t>
  </si>
  <si>
    <t>נופר אנרג'י</t>
  </si>
  <si>
    <t>514599943</t>
  </si>
  <si>
    <t>נופר אנרג אג ב</t>
  </si>
  <si>
    <t>IL0011980351</t>
  </si>
  <si>
    <t>מבני תעשיה בע"מ</t>
  </si>
  <si>
    <t>520024126</t>
  </si>
  <si>
    <t>מבנה אגח כה</t>
  </si>
  <si>
    <t>IL0022606367</t>
  </si>
  <si>
    <t>30/09/2033</t>
  </si>
  <si>
    <t>סילברסטין נכסים לימיטד</t>
  </si>
  <si>
    <t>1970336</t>
  </si>
  <si>
    <t>סילברסטין אגח ג</t>
  </si>
  <si>
    <t>IL0012116484</t>
  </si>
  <si>
    <t>מז טפ הנ אגח 63</t>
  </si>
  <si>
    <t>IL0023105484</t>
  </si>
  <si>
    <t>12/04/2031</t>
  </si>
  <si>
    <t>סלקום ישראל בע"מ</t>
  </si>
  <si>
    <t>511930125</t>
  </si>
  <si>
    <t>סלקום אגח יג</t>
  </si>
  <si>
    <t>IL0011891905</t>
  </si>
  <si>
    <t>05/01/2030</t>
  </si>
  <si>
    <t>אלקטרה אגח ו</t>
  </si>
  <si>
    <t>IL0073902632</t>
  </si>
  <si>
    <t>10/12/2035</t>
  </si>
  <si>
    <t>נאוויטס פטרוליום, שותפות מוגבלת</t>
  </si>
  <si>
    <t>550263107</t>
  </si>
  <si>
    <t>נאוויטס פט אגחו</t>
  </si>
  <si>
    <t>IL0012048257</t>
  </si>
  <si>
    <t>30/09/2029</t>
  </si>
  <si>
    <t>חשמל אגח 32</t>
  </si>
  <si>
    <t>IL0060003840</t>
  </si>
  <si>
    <t>22/07/2027</t>
  </si>
  <si>
    <t>קרסו מוטורס בע"מ</t>
  </si>
  <si>
    <t>514065283</t>
  </si>
  <si>
    <t>קרסו מוט' אגח ו</t>
  </si>
  <si>
    <t>IL0012262247</t>
  </si>
  <si>
    <t>28/01/2033</t>
  </si>
  <si>
    <t>אלוני חץ אגח יב</t>
  </si>
  <si>
    <t>IL0039004952</t>
  </si>
  <si>
    <t>28/02/2031</t>
  </si>
  <si>
    <t>דיסק מנ אגח טו</t>
  </si>
  <si>
    <t>IL0074803045</t>
  </si>
  <si>
    <t>15/08/2032</t>
  </si>
  <si>
    <t>כלל ביטוח אגח א</t>
  </si>
  <si>
    <t>IL0011934812</t>
  </si>
  <si>
    <t>28/02/2028</t>
  </si>
  <si>
    <t>ריט 1 בע"מ</t>
  </si>
  <si>
    <t>513821488</t>
  </si>
  <si>
    <t>ריט 1 אגח ז</t>
  </si>
  <si>
    <t>IL0011712713</t>
  </si>
  <si>
    <t>20/09/2034</t>
  </si>
  <si>
    <t>אשטרום נכ אגח 9</t>
  </si>
  <si>
    <t>IL0025101705</t>
  </si>
  <si>
    <t>01/10/2029</t>
  </si>
  <si>
    <t>עזריאלי קבוצה ד</t>
  </si>
  <si>
    <t>IL0011386500</t>
  </si>
  <si>
    <t>05/07/2030</t>
  </si>
  <si>
    <t>אלקטרה אגח ה</t>
  </si>
  <si>
    <t>IL0073902228</t>
  </si>
  <si>
    <t>10/01/2031</t>
  </si>
  <si>
    <t>אשטרום נכס10</t>
  </si>
  <si>
    <t>IL0025102042</t>
  </si>
  <si>
    <t>01/01/2028</t>
  </si>
  <si>
    <t>ישראמקו נגב 2 שותפות מוגבלת</t>
  </si>
  <si>
    <t>550010003</t>
  </si>
  <si>
    <t>ישראמקו אגח ג</t>
  </si>
  <si>
    <t>IL0023202323</t>
  </si>
  <si>
    <t>10/10/2030</t>
  </si>
  <si>
    <t>נאוויטס   אגח ז</t>
  </si>
  <si>
    <t>IL0012160433</t>
  </si>
  <si>
    <t>ilBBB+</t>
  </si>
  <si>
    <t>נופר אנרג אגח ג</t>
  </si>
  <si>
    <t>IL0011980435</t>
  </si>
  <si>
    <t>צור אגח י</t>
  </si>
  <si>
    <t>IL0073001716</t>
  </si>
  <si>
    <t>גב ים אגח ט</t>
  </si>
  <si>
    <t>IL0075902192</t>
  </si>
  <si>
    <t>30/06/2033</t>
  </si>
  <si>
    <t>מניף-שירותים פיננסיים בע"מ</t>
  </si>
  <si>
    <t>512764408</t>
  </si>
  <si>
    <t>מניף אגח א</t>
  </si>
  <si>
    <t>IL0011858839</t>
  </si>
  <si>
    <t>ווסטדייל אמריקה לימיטד</t>
  </si>
  <si>
    <t>1991033</t>
  </si>
  <si>
    <t>ווסטדייל אגח ב</t>
  </si>
  <si>
    <t>IL0011613226</t>
  </si>
  <si>
    <t>31/07/2028</t>
  </si>
  <si>
    <t>אקויטל בע"מ</t>
  </si>
  <si>
    <t>520030859</t>
  </si>
  <si>
    <t>אקויטל אגח 4</t>
  </si>
  <si>
    <t>IL0011976078</t>
  </si>
  <si>
    <t>25/07/2036</t>
  </si>
  <si>
    <t>מבני תעשיה טז</t>
  </si>
  <si>
    <t>IL0022604388</t>
  </si>
  <si>
    <t>רבוע כחול נדל"ן בע"מ</t>
  </si>
  <si>
    <t>513765859</t>
  </si>
  <si>
    <t>רבוע כחול נדל"ן ז</t>
  </si>
  <si>
    <t>IL0011406159</t>
  </si>
  <si>
    <t>30/11/2026</t>
  </si>
  <si>
    <t>הכשרת ישוב22</t>
  </si>
  <si>
    <t>IL0061202409</t>
  </si>
  <si>
    <t>אלקטרה נדל"ן בע"מ</t>
  </si>
  <si>
    <t>510607328</t>
  </si>
  <si>
    <t>אלקטרהנדלן אגח ו</t>
  </si>
  <si>
    <t>IL0011745648</t>
  </si>
  <si>
    <t>30/05/2030</t>
  </si>
  <si>
    <t>שפיר הנדסה ב</t>
  </si>
  <si>
    <t>IL0011419517</t>
  </si>
  <si>
    <t>גב ים אגח ו</t>
  </si>
  <si>
    <t>IL0075901285</t>
  </si>
  <si>
    <t>31/03/2026</t>
  </si>
  <si>
    <t>מבני תעש אגח כג</t>
  </si>
  <si>
    <t>IL0022605450</t>
  </si>
  <si>
    <t>חברת פרטנר תקשורת בע"מ</t>
  </si>
  <si>
    <t>520044314</t>
  </si>
  <si>
    <t>פרטנר אגח ז</t>
  </si>
  <si>
    <t>IL0011563975</t>
  </si>
  <si>
    <t>25/06/2027</t>
  </si>
  <si>
    <t>איי די איי ה שה</t>
  </si>
  <si>
    <t>IL0011558785</t>
  </si>
  <si>
    <t>15/11/2025</t>
  </si>
  <si>
    <t>DEMETER(SWISS RE LTD(</t>
  </si>
  <si>
    <t>724500RPEZI5VVQQWE89</t>
  </si>
  <si>
    <t>SRENVX 5 5/8 08/15/52</t>
  </si>
  <si>
    <t>XS1423777215</t>
  </si>
  <si>
    <t>BBB+</t>
  </si>
  <si>
    <t>15/08/2052</t>
  </si>
  <si>
    <t>נמקו אגח ב</t>
  </si>
  <si>
    <t>IL0011602583</t>
  </si>
  <si>
    <t>15/10/2032</t>
  </si>
  <si>
    <t>חברת נמלי ישראל-פיתוח נכסים בע"מ</t>
  </si>
  <si>
    <t>513569780</t>
  </si>
  <si>
    <t>נמלי ישראל אגחא</t>
  </si>
  <si>
    <t>IL0011455644</t>
  </si>
  <si>
    <t>סאפיינס אינטרנשיונל קורפוריישן N.V</t>
  </si>
  <si>
    <t>53368</t>
  </si>
  <si>
    <t>סאפיינס אג"ח ב</t>
  </si>
  <si>
    <t>IL0011419368</t>
  </si>
  <si>
    <t>01/01/2026</t>
  </si>
  <si>
    <t>לאומי</t>
  </si>
  <si>
    <t>IL0006046119</t>
  </si>
  <si>
    <t>פועלים</t>
  </si>
  <si>
    <t>IL0006625771</t>
  </si>
  <si>
    <t>פניקס 1</t>
  </si>
  <si>
    <t>IL0007670123</t>
  </si>
  <si>
    <t>נאוויטס מ"ר</t>
  </si>
  <si>
    <t>IL0011419699</t>
  </si>
  <si>
    <t>הבנק הבינלאומי הראשון לישראל בע"מ</t>
  </si>
  <si>
    <t>520029083</t>
  </si>
  <si>
    <t>בינלאומי</t>
  </si>
  <si>
    <t>IL0005930388</t>
  </si>
  <si>
    <t>אלביט מערכות בע"מ</t>
  </si>
  <si>
    <t>520043027</t>
  </si>
  <si>
    <t>אלביט מערכות</t>
  </si>
  <si>
    <t>IL0010811243</t>
  </si>
  <si>
    <t>זפירוס ווינג אנרג'יס בע"מ</t>
  </si>
  <si>
    <t>516537560</t>
  </si>
  <si>
    <t>זפירוס</t>
  </si>
  <si>
    <t>IL0011946956</t>
  </si>
  <si>
    <t>טבע תעשיות פרמצבטיות בע"מ</t>
  </si>
  <si>
    <t>520013954</t>
  </si>
  <si>
    <t>טבע</t>
  </si>
  <si>
    <t>IL0006290147</t>
  </si>
  <si>
    <t>נקסט ויז'ן מערכות מיוצבות בע"מ</t>
  </si>
  <si>
    <t>514259019</t>
  </si>
  <si>
    <t>נקסט ויז'ן</t>
  </si>
  <si>
    <t>IL0011765935</t>
  </si>
  <si>
    <t>בנק דיסקונט לישראל בע"מ</t>
  </si>
  <si>
    <t>520007030</t>
  </si>
  <si>
    <t>דיסקונט א</t>
  </si>
  <si>
    <t>IL0006912120</t>
  </si>
  <si>
    <t>מנועי בית שמש אחזקות (1997) בע"מ</t>
  </si>
  <si>
    <t>520043480</t>
  </si>
  <si>
    <t>בית שמש</t>
  </si>
  <si>
    <t>IL0010815616</t>
  </si>
  <si>
    <t>בנק מזרחי טפחות בע"מ</t>
  </si>
  <si>
    <t>520000522</t>
  </si>
  <si>
    <t>מזרחי טפחות</t>
  </si>
  <si>
    <t>IL0006954379</t>
  </si>
  <si>
    <t>אנלייט אנרגיה מתחדשת בע"מ</t>
  </si>
  <si>
    <t>520041146</t>
  </si>
  <si>
    <t>אנלייט אנרגיה</t>
  </si>
  <si>
    <t>IL0007200111</t>
  </si>
  <si>
    <t>כלל עסקי ביטוח</t>
  </si>
  <si>
    <t>IL0002240146</t>
  </si>
  <si>
    <t>נייס בע"מ</t>
  </si>
  <si>
    <t>520036872</t>
  </si>
  <si>
    <t>נייס</t>
  </si>
  <si>
    <t>IL0002730112</t>
  </si>
  <si>
    <t>מליסרון</t>
  </si>
  <si>
    <t>IL0003230146</t>
  </si>
  <si>
    <t>איי.סי.אל</t>
  </si>
  <si>
    <t>IL0002810146</t>
  </si>
  <si>
    <t>אורמת טכנולוגיות, אינק</t>
  </si>
  <si>
    <t>880326081</t>
  </si>
  <si>
    <t>אורמת טכנו</t>
  </si>
  <si>
    <t>US6866881021</t>
  </si>
  <si>
    <t>עזריאלי קבוצה</t>
  </si>
  <si>
    <t>IL0011194789</t>
  </si>
  <si>
    <t>ביג</t>
  </si>
  <si>
    <t>IL0010972607</t>
  </si>
  <si>
    <t>מנורה מב החז</t>
  </si>
  <si>
    <t>IL0005660183</t>
  </si>
  <si>
    <t>הראל השקעות</t>
  </si>
  <si>
    <t>IL0005850180</t>
  </si>
  <si>
    <t>קיסטון ריט בע"מ</t>
  </si>
  <si>
    <t>515983476</t>
  </si>
  <si>
    <t>קיסטון אינפרא</t>
  </si>
  <si>
    <t>IL0011759342</t>
  </si>
  <si>
    <t>סלקום</t>
  </si>
  <si>
    <t>IL0011015349</t>
  </si>
  <si>
    <t>תאת טכנולוגיות בע"מ</t>
  </si>
  <si>
    <t>520035791</t>
  </si>
  <si>
    <t>תאת טכנו</t>
  </si>
  <si>
    <t>IL0010827264</t>
  </si>
  <si>
    <t>קבוצת אקרשטיין בע"מ</t>
  </si>
  <si>
    <t>512714494</t>
  </si>
  <si>
    <t>קבוצת אקרשטיין</t>
  </si>
  <si>
    <t>IL0011762056</t>
  </si>
  <si>
    <t>בזק</t>
  </si>
  <si>
    <t>IL0002300114</t>
  </si>
  <si>
    <t>שפיר הנדסה</t>
  </si>
  <si>
    <t>IL0011338758</t>
  </si>
  <si>
    <t>אלקטרה</t>
  </si>
  <si>
    <t>IL0007390375</t>
  </si>
  <si>
    <t>IL0011708778</t>
  </si>
  <si>
    <t>הכשרת הישוב</t>
  </si>
  <si>
    <t>IL0006120104</t>
  </si>
  <si>
    <t>סלע נדלן</t>
  </si>
  <si>
    <t>IL0011096448</t>
  </si>
  <si>
    <t>אנרג'יאן נפט וגז פי אל סי</t>
  </si>
  <si>
    <t>549300RVMKU0CYUZBB05</t>
  </si>
  <si>
    <t>אנרג'יאן</t>
  </si>
  <si>
    <t>GB00BG12Y042</t>
  </si>
  <si>
    <t>מגה אור</t>
  </si>
  <si>
    <t>IL0011044885</t>
  </si>
  <si>
    <t>פרטנר</t>
  </si>
  <si>
    <t>IL0010834849</t>
  </si>
  <si>
    <t>מקס סטוק בע"מ</t>
  </si>
  <si>
    <t>513618967</t>
  </si>
  <si>
    <t>מקס סטוק</t>
  </si>
  <si>
    <t>IL0011685588</t>
  </si>
  <si>
    <t>או פי סי אנרגיה</t>
  </si>
  <si>
    <t>IL0011415713</t>
  </si>
  <si>
    <t>יוניברסל מוטורס ישראל בע"מ</t>
  </si>
  <si>
    <t>511809071</t>
  </si>
  <si>
    <t>יוניברסל מוטורס</t>
  </si>
  <si>
    <t>IL0011447732</t>
  </si>
  <si>
    <t>ארגו פרופרטיז אן.וי.</t>
  </si>
  <si>
    <t>70252750</t>
  </si>
  <si>
    <t>ארגו פרופרטיז</t>
  </si>
  <si>
    <t>NR0015000D84</t>
  </si>
  <si>
    <t>מגדלי תיכון</t>
  </si>
  <si>
    <t>IL0011315236</t>
  </si>
  <si>
    <t>שטראוס גרופ בע"מ</t>
  </si>
  <si>
    <t>520003781</t>
  </si>
  <si>
    <t>שטראוס</t>
  </si>
  <si>
    <t>IL0007460160</t>
  </si>
  <si>
    <t>תומר תמלוגי אנרגיה (2012) בע"מ</t>
  </si>
  <si>
    <t>514837111</t>
  </si>
  <si>
    <t>תומר אנרגיה</t>
  </si>
  <si>
    <t>IL0011294936</t>
  </si>
  <si>
    <t>פז נפט</t>
  </si>
  <si>
    <t>IL0011000077</t>
  </si>
  <si>
    <t>מ. יוחננוף ובניו (1988) בע"מ</t>
  </si>
  <si>
    <t>511344186</t>
  </si>
  <si>
    <t>יוחננוף</t>
  </si>
  <si>
    <t>IL0011612640</t>
  </si>
  <si>
    <t>מטריקס אי.טי בע"מ</t>
  </si>
  <si>
    <t>520039413</t>
  </si>
  <si>
    <t>מטריקס</t>
  </si>
  <si>
    <t>IL0004450156</t>
  </si>
  <si>
    <t>פורמולה מערכות (1985)בע"מ</t>
  </si>
  <si>
    <t>520036690</t>
  </si>
  <si>
    <t>פורמולה מערכות</t>
  </si>
  <si>
    <t>IL0002560162</t>
  </si>
  <si>
    <t>שופרסל</t>
  </si>
  <si>
    <t>IL0007770378</t>
  </si>
  <si>
    <t>אשטרום קבוצה</t>
  </si>
  <si>
    <t>IL0011323156</t>
  </si>
  <si>
    <t>חברה לישראל</t>
  </si>
  <si>
    <t>IL0005760173</t>
  </si>
  <si>
    <t>אורבניקה (פאלו) ריטייל בע"מ</t>
  </si>
  <si>
    <t>515135408</t>
  </si>
  <si>
    <t>אורבניקה</t>
  </si>
  <si>
    <t>IL0012207556</t>
  </si>
  <si>
    <t>מבני תעשיה</t>
  </si>
  <si>
    <t>IL0002260193</t>
  </si>
  <si>
    <t>הולמס פלייס אינטרנשיונל בע"מ</t>
  </si>
  <si>
    <t>512466723</t>
  </si>
  <si>
    <t>IL0011425878</t>
  </si>
  <si>
    <t>דלתא ישראל מותגים בע"מ</t>
  </si>
  <si>
    <t>516250107</t>
  </si>
  <si>
    <t>דלתא מותגים</t>
  </si>
  <si>
    <t>IL0011736993</t>
  </si>
  <si>
    <t>תורפז תעשיות בע"מ</t>
  </si>
  <si>
    <t>514574524</t>
  </si>
  <si>
    <t>תורפז</t>
  </si>
  <si>
    <t>IL0011756116</t>
  </si>
  <si>
    <t>אאורה השקעות בע"מ</t>
  </si>
  <si>
    <t>520038274</t>
  </si>
  <si>
    <t>אאורה</t>
  </si>
  <si>
    <t>IL0003730194</t>
  </si>
  <si>
    <t>טיב טעם הולדינגס 1 בע"מ</t>
  </si>
  <si>
    <t>520041187</t>
  </si>
  <si>
    <t>טיב טעם</t>
  </si>
  <si>
    <t>IL0001030100</t>
  </si>
  <si>
    <t>איירפורט סיטי</t>
  </si>
  <si>
    <t>IL0010958358</t>
  </si>
  <si>
    <t>חילן בע"מ</t>
  </si>
  <si>
    <t>520039942</t>
  </si>
  <si>
    <t>חילן</t>
  </si>
  <si>
    <t>IL0010846983</t>
  </si>
  <si>
    <t>ג'נריישן קפיטל בע"מ</t>
  </si>
  <si>
    <t>515846558</t>
  </si>
  <si>
    <t>ג'נריישן קפיטל</t>
  </si>
  <si>
    <t>IL0011569261</t>
  </si>
  <si>
    <t>בזן</t>
  </si>
  <si>
    <t>IL0025902482</t>
  </si>
  <si>
    <t>ישראמקו יהש</t>
  </si>
  <si>
    <t>IL0002320179</t>
  </si>
  <si>
    <t>דלתא-גליל תעשיות בע"מ</t>
  </si>
  <si>
    <t>520025602</t>
  </si>
  <si>
    <t>דלתא גליל</t>
  </si>
  <si>
    <t>IL0006270347</t>
  </si>
  <si>
    <t>אספן גרופ בע"מ</t>
  </si>
  <si>
    <t>520037540</t>
  </si>
  <si>
    <t>אספן גרופ</t>
  </si>
  <si>
    <t>IL0003130155</t>
  </si>
  <si>
    <t>ורידיס</t>
  </si>
  <si>
    <t>515935807</t>
  </si>
  <si>
    <t>IL0011763872</t>
  </si>
  <si>
    <t>אלומה קרן תשתיות (2020) בע"מ</t>
  </si>
  <si>
    <t>516214871</t>
  </si>
  <si>
    <t>אלומה תשתיות</t>
  </si>
  <si>
    <t>IL0011816431</t>
  </si>
  <si>
    <t>אזורים-חברה להשקעות בפתוח ובבנין בע"מ</t>
  </si>
  <si>
    <t>520025990</t>
  </si>
  <si>
    <t>אזורים</t>
  </si>
  <si>
    <t>IL0007150118</t>
  </si>
  <si>
    <t>איילון אחזקות בע"מ</t>
  </si>
  <si>
    <t>520030677</t>
  </si>
  <si>
    <t>איילון</t>
  </si>
  <si>
    <t>IL0002090152</t>
  </si>
  <si>
    <t>איי.די.איי. חברה לביטוח בע"מ</t>
  </si>
  <si>
    <t>513910703</t>
  </si>
  <si>
    <t>איידיאיי ביטוח</t>
  </si>
  <si>
    <t>IL0011295016</t>
  </si>
  <si>
    <t>פולירם תעשיות פלסטיק בע"מ</t>
  </si>
  <si>
    <t>515251593</t>
  </si>
  <si>
    <t>פולירם</t>
  </si>
  <si>
    <t>IL0011702169</t>
  </si>
  <si>
    <t>ריט 1</t>
  </si>
  <si>
    <t>IL0010989205</t>
  </si>
  <si>
    <t>פ.י.ב.י. אחזקות בע"מ</t>
  </si>
  <si>
    <t>520029026</t>
  </si>
  <si>
    <t>פיבי</t>
  </si>
  <si>
    <t>IL0007630119</t>
  </si>
  <si>
    <t>אורביט טכנולוג'יס בע"מ</t>
  </si>
  <si>
    <t>520036153</t>
  </si>
  <si>
    <t>אורביט</t>
  </si>
  <si>
    <t>IL0002650179</t>
  </si>
  <si>
    <t>וואן טכנולוגיות תוכנה בע"מ</t>
  </si>
  <si>
    <t>520034695</t>
  </si>
  <si>
    <t>וואן טכנולוגיות</t>
  </si>
  <si>
    <t>IL0001610182</t>
  </si>
  <si>
    <t>אנרג'יקס-אנרגיות מתחדשות בע"מ</t>
  </si>
  <si>
    <t>513901371</t>
  </si>
  <si>
    <t>אנרג'יקס</t>
  </si>
  <si>
    <t>IL0011233553</t>
  </si>
  <si>
    <t>פי.סי.בי. טכנולוגיות בע"מ</t>
  </si>
  <si>
    <t>511888356</t>
  </si>
  <si>
    <t>פיסיבי טכנ</t>
  </si>
  <si>
    <t>IL0010916851</t>
  </si>
  <si>
    <t>סאמיט אחזקות נדל"ן בע"מ</t>
  </si>
  <si>
    <t>520043720</t>
  </si>
  <si>
    <t>סאמיט</t>
  </si>
  <si>
    <t>IL0010816861</t>
  </si>
  <si>
    <t>הכשרת הישוב התחדשות עירונית ישראל בע"מ</t>
  </si>
  <si>
    <t>514423474</t>
  </si>
  <si>
    <t>הכשרה התחדשות</t>
  </si>
  <si>
    <t>IL0011214744</t>
  </si>
  <si>
    <t>אקרו</t>
  </si>
  <si>
    <t>IL0011849028</t>
  </si>
  <si>
    <t>אר פי אופטיקל לאב בע"מ</t>
  </si>
  <si>
    <t>514454701</t>
  </si>
  <si>
    <t>אר פי אופטיקל</t>
  </si>
  <si>
    <t>IL0012224627</t>
  </si>
  <si>
    <t>מניבים קרן הריט החדשה בע"מ</t>
  </si>
  <si>
    <t>515327120</t>
  </si>
  <si>
    <t>מניבים ריט</t>
  </si>
  <si>
    <t>IL0011405730</t>
  </si>
  <si>
    <t>ריט אזורים - ה.פ ליווינג בע"מ</t>
  </si>
  <si>
    <t>516117181</t>
  </si>
  <si>
    <t>ריט אזורים ליוי</t>
  </si>
  <si>
    <t>IL0011627754</t>
  </si>
  <si>
    <t>תדיראן הולדינגס בע"מ</t>
  </si>
  <si>
    <t>520036732</t>
  </si>
  <si>
    <t>תדיראן גרופ</t>
  </si>
  <si>
    <t>IL0002580129</t>
  </si>
  <si>
    <t>אוברסיז קומרס בע"מ</t>
  </si>
  <si>
    <t>510490071</t>
  </si>
  <si>
    <t>אוברסיז</t>
  </si>
  <si>
    <t>IL0011396178</t>
  </si>
  <si>
    <t>מיטרוניקס בע"מ</t>
  </si>
  <si>
    <t>511527202</t>
  </si>
  <si>
    <t>מיטרוניקס</t>
  </si>
  <si>
    <t>IL0010910656</t>
  </si>
  <si>
    <t>קבוצת צילו-בלו בע"מ</t>
  </si>
  <si>
    <t>513605519</t>
  </si>
  <si>
    <t>צילו-בלו</t>
  </si>
  <si>
    <t>IL0011025322</t>
  </si>
  <si>
    <t>אקוואריוס מנועים (א.מ) בע"מ</t>
  </si>
  <si>
    <t>515114429</t>
  </si>
  <si>
    <t>אקוואריוס מנוע</t>
  </si>
  <si>
    <t>IL0011702409</t>
  </si>
  <si>
    <t>ביונד תלת מימד בע"מ</t>
  </si>
  <si>
    <t>514669506</t>
  </si>
  <si>
    <t>ביונ תלת מימד</t>
  </si>
  <si>
    <t>IL0011755613</t>
  </si>
  <si>
    <t>יומן אקסטנשנס בע"מ</t>
  </si>
  <si>
    <t>514707736</t>
  </si>
  <si>
    <t>יומן אקסטנשנס</t>
  </si>
  <si>
    <t>IL0011700007</t>
  </si>
  <si>
    <t>מהדרין בע"מ</t>
  </si>
  <si>
    <t>520018482</t>
  </si>
  <si>
    <t>מהדרין</t>
  </si>
  <si>
    <t>IL0006860147</t>
  </si>
  <si>
    <t>יוטרון בע"מ</t>
  </si>
  <si>
    <t>515883809</t>
  </si>
  <si>
    <t>יוטרון</t>
  </si>
  <si>
    <t>IL0011571143</t>
  </si>
  <si>
    <t>semiconductor</t>
  </si>
  <si>
    <t>549300KB6NK5SBD14S87</t>
  </si>
  <si>
    <t>Taiwan Semiconductor Manufactu</t>
  </si>
  <si>
    <t>US8740391003</t>
  </si>
  <si>
    <t>Microsoft Corp</t>
  </si>
  <si>
    <t>INR2E1N1ERAN0W5ZP974</t>
  </si>
  <si>
    <t>US5949181045</t>
  </si>
  <si>
    <t>Teva Pharmaceutical Industries</t>
  </si>
  <si>
    <t>US8816242098</t>
  </si>
  <si>
    <t>נובה מכשירי מדידה בע"מ</t>
  </si>
  <si>
    <t>511812463</t>
  </si>
  <si>
    <t>Nova Measuring Instrument</t>
  </si>
  <si>
    <t>IL0010845571</t>
  </si>
  <si>
    <t>FACEBOOK</t>
  </si>
  <si>
    <t>BQ4BKCS1HXDV9HN80Z93</t>
  </si>
  <si>
    <t>US30303M1027</t>
  </si>
  <si>
    <t>Amazon.com Inc</t>
  </si>
  <si>
    <t>ZXTILKJKG63JEL0EG630</t>
  </si>
  <si>
    <t>US0231351067</t>
  </si>
  <si>
    <t>טאואר סמיקונדקטור בע"מ</t>
  </si>
  <si>
    <t>520041997</t>
  </si>
  <si>
    <t>טאואר סמי קונדוקטור TSEM</t>
  </si>
  <si>
    <t>IL0010823792</t>
  </si>
  <si>
    <t>NVIDIA CORP</t>
  </si>
  <si>
    <t>549300S4KLFTL07GSQ80</t>
  </si>
  <si>
    <t>US67066G1040</t>
  </si>
  <si>
    <t>Visa</t>
  </si>
  <si>
    <t>549300JZ40KEHW3DPJ59</t>
  </si>
  <si>
    <t>VISA INC</t>
  </si>
  <si>
    <t>US92826C8394</t>
  </si>
  <si>
    <t>Google Inc</t>
  </si>
  <si>
    <t>5493006MHB84DD0ZWV18</t>
  </si>
  <si>
    <t>ALPHABET INC CLAS C</t>
  </si>
  <si>
    <t>US02079K1079</t>
  </si>
  <si>
    <t>PALO ALTO NETWORKS INC</t>
  </si>
  <si>
    <t>549300QXR2YVZV231H43</t>
  </si>
  <si>
    <t>US6974351057</t>
  </si>
  <si>
    <t>סלברייט די.איי בע"מ</t>
  </si>
  <si>
    <t>512766577</t>
  </si>
  <si>
    <t>CELLEBRITE DI LTD</t>
  </si>
  <si>
    <t>IL0011794802</t>
  </si>
  <si>
    <t>COSTCO WHOLESALE CORP</t>
  </si>
  <si>
    <t>29DX7H14B9S603FD6V18</t>
  </si>
  <si>
    <t>US22160K1051</t>
  </si>
  <si>
    <t>MARVELL TECHNOLOGY GROUP LTD</t>
  </si>
  <si>
    <t>28809</t>
  </si>
  <si>
    <t>US5738741041</t>
  </si>
  <si>
    <t>HERMES INTERNATIONAL</t>
  </si>
  <si>
    <t>969500U4YNVPIDMF7051</t>
  </si>
  <si>
    <t>FR0000052292</t>
  </si>
  <si>
    <t>Oracle Corp</t>
  </si>
  <si>
    <t>5099</t>
  </si>
  <si>
    <t>US68389X1054</t>
  </si>
  <si>
    <t>CHKP צ'ק פוינט</t>
  </si>
  <si>
    <t>520042821</t>
  </si>
  <si>
    <t>Check Point Software Technolog</t>
  </si>
  <si>
    <t>IL0010824113</t>
  </si>
  <si>
    <t>EATON CORP PLC</t>
  </si>
  <si>
    <t>549300VDIGTMXUNT7H71</t>
  </si>
  <si>
    <t>IE00B8KQN827</t>
  </si>
  <si>
    <t>MASTERCARD INC</t>
  </si>
  <si>
    <t>AR5L20DV9HN37376R084</t>
  </si>
  <si>
    <t>MASTERCARDINC CLASS</t>
  </si>
  <si>
    <t>US57636Q1040</t>
  </si>
  <si>
    <t>SALESFORCE.COM</t>
  </si>
  <si>
    <t>RCGZFPDMRW58VJ54VR07</t>
  </si>
  <si>
    <t>US79466L3024</t>
  </si>
  <si>
    <t>ELI LILLY CO</t>
  </si>
  <si>
    <t>FRDRIPF3EKND32CQJL29</t>
  </si>
  <si>
    <t>US5324571083</t>
  </si>
  <si>
    <t>CARRIER GLOBAL CORP</t>
  </si>
  <si>
    <t>549300JE3W6CWY2NAN77</t>
  </si>
  <si>
    <t>US14448C1045</t>
  </si>
  <si>
    <t>FERRARI NV</t>
  </si>
  <si>
    <t>549300RIVY5EX8RC0N76</t>
  </si>
  <si>
    <t>NL0011585146</t>
  </si>
  <si>
    <t>NEXTERA ENERGY INC</t>
  </si>
  <si>
    <t>254900RHL9MEUS5NKX63</t>
  </si>
  <si>
    <t>US65339F1012</t>
  </si>
  <si>
    <t>ALPHABET</t>
  </si>
  <si>
    <t>US02079K3059</t>
  </si>
  <si>
    <t>KKR &amp; CO LP</t>
  </si>
  <si>
    <t>54930013V5I303TF9571</t>
  </si>
  <si>
    <t>KKR &amp; CO INC</t>
  </si>
  <si>
    <t>US48251W1045</t>
  </si>
  <si>
    <t>ARCOS DORADOS HOLDINGS INC</t>
  </si>
  <si>
    <t>5299004LW4QWGZUB8Y96</t>
  </si>
  <si>
    <t>BLACKSTONE GROUP INC/THE-A</t>
  </si>
  <si>
    <t>US09260D1072</t>
  </si>
  <si>
    <t>DECKERS OUTDOOR CORP</t>
  </si>
  <si>
    <t>5493008LG4W3I6K8J118</t>
  </si>
  <si>
    <t>US2435371073</t>
  </si>
  <si>
    <t>NIKE Inc</t>
  </si>
  <si>
    <t>787RXPR0UX000XUXPZ81</t>
  </si>
  <si>
    <t>US6541061031</t>
  </si>
  <si>
    <t>WAL-MART STORES</t>
  </si>
  <si>
    <t>Y87794H0US1R65VBXU25</t>
  </si>
  <si>
    <t>Wal-Mart Stores Inc</t>
  </si>
  <si>
    <t>US9311421039</t>
  </si>
  <si>
    <t>ADOBE SYSTEMS INC</t>
  </si>
  <si>
    <t>FU4LY2G4933NH2E1CP29</t>
  </si>
  <si>
    <t>US00724F1012</t>
  </si>
  <si>
    <t>Apple Inc</t>
  </si>
  <si>
    <t>HWUPKR0MP0U8FGXBT394</t>
  </si>
  <si>
    <t>US0378331005</t>
  </si>
  <si>
    <t>Avago Technologies Ltd</t>
  </si>
  <si>
    <t>549300WV6GIDOZJTV909</t>
  </si>
  <si>
    <t>SG9999006241</t>
  </si>
  <si>
    <t>VERTIV HOLDINGS CO-A</t>
  </si>
  <si>
    <t>549300KTTIRA0GXCRV69</t>
  </si>
  <si>
    <t>US92537N1081</t>
  </si>
  <si>
    <t>TRACTOR SUPPLY COMPANY</t>
  </si>
  <si>
    <t>30392</t>
  </si>
  <si>
    <t>APPLOVIN CORP-CLASS A</t>
  </si>
  <si>
    <t>US03831W1080</t>
  </si>
  <si>
    <t>קמטק בע"מ</t>
  </si>
  <si>
    <t>511235434</t>
  </si>
  <si>
    <t>Camtek Ltd/Israel</t>
  </si>
  <si>
    <t>IL0010952641</t>
  </si>
  <si>
    <t>SAP GY</t>
  </si>
  <si>
    <t>529900 D6BF99LW9R2E68</t>
  </si>
  <si>
    <t>SAP AG-SPONSORED</t>
  </si>
  <si>
    <t>DE0007164600</t>
  </si>
  <si>
    <t>MODINE MANUFACTURING CO</t>
  </si>
  <si>
    <t>Z35SZFYJR8GZZRSIUU09</t>
  </si>
  <si>
    <t>US6078281002</t>
  </si>
  <si>
    <t>HARBOURVEST GLOBAL PRIVA</t>
  </si>
  <si>
    <t>5493001MCDH7I6NIXC24</t>
  </si>
  <si>
    <t>GG00BR30MJ80</t>
  </si>
  <si>
    <t>ברקשייר הטוויי אינק-סל ב</t>
  </si>
  <si>
    <t>5493000C01ZX7D35SD85</t>
  </si>
  <si>
    <t>BERKSHIRE HATHAWAY INC-CL B</t>
  </si>
  <si>
    <t>US0846707026</t>
  </si>
  <si>
    <t>APOLLO GLOBAL MANAGEMENT INC</t>
  </si>
  <si>
    <t>254900LMT1CY9IYB476</t>
  </si>
  <si>
    <t>US03769M1062</t>
  </si>
  <si>
    <t>PROLOGIS INC</t>
  </si>
  <si>
    <t>529900DFH19P073LZ636</t>
  </si>
  <si>
    <t>US74340W1036</t>
  </si>
  <si>
    <t>L`OREAL</t>
  </si>
  <si>
    <t>5299003I1GG6F7RKVI53</t>
  </si>
  <si>
    <t>L'OREAL</t>
  </si>
  <si>
    <t>FR0000120321</t>
  </si>
  <si>
    <t>Nice Systems Ltd</t>
  </si>
  <si>
    <t>US6536561086</t>
  </si>
  <si>
    <t>SOLAREGE TECHNOLOGIES INC</t>
  </si>
  <si>
    <t>5493000K6Y58XXPDF853</t>
  </si>
  <si>
    <t>SOLAREDGE TECHNOLOGIES INC</t>
  </si>
  <si>
    <t>US83417M1045</t>
  </si>
  <si>
    <t>JUMBO SA</t>
  </si>
  <si>
    <t>549300TGIVUUMY40MZ05</t>
  </si>
  <si>
    <t>GRS282183003</t>
  </si>
  <si>
    <t>SCOUTCAM LTD</t>
  </si>
  <si>
    <t>549300FBP1ANSJE5TE25</t>
  </si>
  <si>
    <t>ODYSIGHT.AT.INC</t>
  </si>
  <si>
    <t>US8016V2043</t>
  </si>
  <si>
    <t>פריון נטוורק בע"מ</t>
  </si>
  <si>
    <t>512849498</t>
  </si>
  <si>
    <t>PERION NETWORK LTD</t>
  </si>
  <si>
    <t>IL0010958192</t>
  </si>
  <si>
    <t>SENTINELONE INC</t>
  </si>
  <si>
    <t>984500DCD44DBF954221</t>
  </si>
  <si>
    <t>SENTINELONE INC - CLASS A</t>
  </si>
  <si>
    <t>US81730H1095</t>
  </si>
  <si>
    <t>DAIMLER TRUCK HOLDING AG</t>
  </si>
  <si>
    <t>529900PW78JIY0UBSR24</t>
  </si>
  <si>
    <t>DE000DTR0CK8</t>
  </si>
  <si>
    <t>GAMIDA CELL LTD</t>
  </si>
  <si>
    <t>512601204</t>
  </si>
  <si>
    <t>IL0011552663</t>
  </si>
  <si>
    <t>NCINO INC</t>
  </si>
  <si>
    <t>549300WVRR2WR3L6MZ46</t>
  </si>
  <si>
    <t>US63947X1019</t>
  </si>
  <si>
    <t>UDEMY INC</t>
  </si>
  <si>
    <t>2549000T304QU9SAM180</t>
  </si>
  <si>
    <t>US9026851066</t>
  </si>
  <si>
    <t>הראל קרנות נאמנות בע"מ</t>
  </si>
  <si>
    <t>511776783</t>
  </si>
  <si>
    <t>הראל סל כשרה תא 125</t>
  </si>
  <si>
    <t>IL0011553406</t>
  </si>
  <si>
    <t>קסם קרנות נאמנות בע"מ</t>
  </si>
  <si>
    <t>510938608</t>
  </si>
  <si>
    <t>קסם ETF כשרה תא 125</t>
  </si>
  <si>
    <t>IL0011553653</t>
  </si>
  <si>
    <t>מגדל קרנות נאמנות בע"מ</t>
  </si>
  <si>
    <t>511303661</t>
  </si>
  <si>
    <t>MTF סל (00) כשרה תל בונד 60</t>
  </si>
  <si>
    <t>IL0011596983</t>
  </si>
  <si>
    <t>הראל סל כשרה תל בונד 60</t>
  </si>
  <si>
    <t>IL0011550923</t>
  </si>
  <si>
    <t>MTF סל כש תל בונד שקלי</t>
  </si>
  <si>
    <t>IL0011597064</t>
  </si>
  <si>
    <t>פסגות קרנות נאמנות בע"מ</t>
  </si>
  <si>
    <t>513765339</t>
  </si>
  <si>
    <t>פסגות ETF כשרה תא 125</t>
  </si>
  <si>
    <t>IL0011553240</t>
  </si>
  <si>
    <t>קסם ETF כשרה תלבונד שקלי</t>
  </si>
  <si>
    <t>IL0011551590</t>
  </si>
  <si>
    <t>MTF סל (4A) כשרה ת"א-125</t>
  </si>
  <si>
    <t>IL0011597148</t>
  </si>
  <si>
    <t>קסם ETF כשרה תלבונד 60</t>
  </si>
  <si>
    <t>IL0011551269</t>
  </si>
  <si>
    <t>הראל סל כשרה תל בונד שקלי</t>
  </si>
  <si>
    <t>IL0011551913</t>
  </si>
  <si>
    <t>SPDR S&amp;P 500 ETF Trust</t>
  </si>
  <si>
    <t>549300NZAMSJ8FXPQQ63</t>
  </si>
  <si>
    <t>SPDR Trust Series 1</t>
  </si>
  <si>
    <t>US78462F1030</t>
  </si>
  <si>
    <t>Invesco QQQ Trust Series 1</t>
  </si>
  <si>
    <t>549300VY6FE1BCIMET58</t>
  </si>
  <si>
    <t>INVESCO QQQ TRUST SERIES 1</t>
  </si>
  <si>
    <t>US46090E1038</t>
  </si>
  <si>
    <t>VANGUARD S&amp;P 500 ETF</t>
  </si>
  <si>
    <t>5493002789CX3L0CJP65</t>
  </si>
  <si>
    <t>US9229083632</t>
  </si>
  <si>
    <t>Technology Select Sector SPDR</t>
  </si>
  <si>
    <t>549300BR5T0JNM2MW070</t>
  </si>
  <si>
    <t>US81369Y8030</t>
  </si>
  <si>
    <t>Financial Select Sector SPDR F</t>
  </si>
  <si>
    <t>549300Y12KQ6ZG08NY28</t>
  </si>
  <si>
    <t>US81369Y6059</t>
  </si>
  <si>
    <t>ISHARES USD CORP BOND USD A</t>
  </si>
  <si>
    <t>549300QQR5SNTQVNFC45</t>
  </si>
  <si>
    <t>IE00BYXYYJ35</t>
  </si>
  <si>
    <t>Invesco S&amp;P 500 Equal Weight T</t>
  </si>
  <si>
    <t>549300 D93HI7Z9WV4X72</t>
  </si>
  <si>
    <t>INVESCO S&amp;P 500 EQUAL WEIGHT</t>
  </si>
  <si>
    <t>US46137V3574</t>
  </si>
  <si>
    <t>WISDMTREE EMERG MKT EX-ST OW</t>
  </si>
  <si>
    <t>549300T3CSCFW1IFJC98</t>
  </si>
  <si>
    <t>US97717X5784</t>
  </si>
  <si>
    <t>ISHARES MSCI ALL COUNTRY ASIA</t>
  </si>
  <si>
    <t>549300EQSX1KK01KLL54</t>
  </si>
  <si>
    <t>US4642881829</t>
  </si>
  <si>
    <t>XLI - אינדסטריאל סלקט</t>
  </si>
  <si>
    <t>549300HQI51T8KP6U325</t>
  </si>
  <si>
    <t>Industrial Select Sector SPDR</t>
  </si>
  <si>
    <t>US81369Y7040</t>
  </si>
  <si>
    <t>LYXOR CORE EURSTX 600 DR</t>
  </si>
  <si>
    <t>213800RFZBG4205X1D89</t>
  </si>
  <si>
    <t>LU0908500753</t>
  </si>
  <si>
    <t>ISHARES NORTH AMERICAN TE</t>
  </si>
  <si>
    <t>54930072GM1ADLZJ5373</t>
  </si>
  <si>
    <t>iShares Expanded Tech-Software Sector ETF</t>
  </si>
  <si>
    <t>us4642875151</t>
  </si>
  <si>
    <t>iShares MSCI Japan Index Fund</t>
  </si>
  <si>
    <t>5493008I6YRUC6I0S051</t>
  </si>
  <si>
    <t>US46434G8226</t>
  </si>
  <si>
    <t>SPDR Dow Jones Industrial Aver</t>
  </si>
  <si>
    <t>54930039F2SG3UG20Z18</t>
  </si>
  <si>
    <t>SPDR DJIA TRUST</t>
  </si>
  <si>
    <t>US78467x1090</t>
  </si>
  <si>
    <t>SMH סמיקונדקטור הולדרס טרסט</t>
  </si>
  <si>
    <t>549300MJTG2N9QRH7I02</t>
  </si>
  <si>
    <t>Semiconductor HOLDRs Trust</t>
  </si>
  <si>
    <t>US8166362033</t>
  </si>
  <si>
    <t>COMM SERV SELEC</t>
  </si>
  <si>
    <t>549300RPODKQ1E2HDW24</t>
  </si>
  <si>
    <t>US81369Y8527</t>
  </si>
  <si>
    <t>KRANESHARES CSI CHINA INTERN</t>
  </si>
  <si>
    <t>549300URDNVSGEWBN526</t>
  </si>
  <si>
    <t>US5007673065</t>
  </si>
  <si>
    <t>WisdomTree India Earnings Fund</t>
  </si>
  <si>
    <t>54930026N5Y0B6AW2260</t>
  </si>
  <si>
    <t>WISDOM TREE INDIA EARNINGS FUN</t>
  </si>
  <si>
    <t>US97717W4226</t>
  </si>
  <si>
    <t>ISHARES MSCI CHINA INDEX FUND</t>
  </si>
  <si>
    <t>549300Q0IWAYMYXW0R77</t>
  </si>
  <si>
    <t>iSHARES MSCI CHINA</t>
  </si>
  <si>
    <t>US46429B6719</t>
  </si>
  <si>
    <t>ISHARES U.S. BROKER-DEALERS</t>
  </si>
  <si>
    <t>549300LRIF3NWCU26A80</t>
  </si>
  <si>
    <t>US4642887941</t>
  </si>
  <si>
    <t>Consumer Discretionary Select</t>
  </si>
  <si>
    <t>549300CD2I087Y919K79</t>
  </si>
  <si>
    <t>US81369Y4070</t>
  </si>
  <si>
    <t>Health Care Select Sector SPDR</t>
  </si>
  <si>
    <t>549300E1NY3KKJHP0Y44</t>
  </si>
  <si>
    <t>US81369Y2090</t>
  </si>
  <si>
    <t>Powershares</t>
  </si>
  <si>
    <t>5521FA2IT25TVH63740</t>
  </si>
  <si>
    <t>Powershares aero defense</t>
  </si>
  <si>
    <t>US46137V1008</t>
  </si>
  <si>
    <t>ISHARES MSCI INDIA ETF</t>
  </si>
  <si>
    <t>549300282VMCFH7S5848</t>
  </si>
  <si>
    <t>US46429B5984</t>
  </si>
  <si>
    <t>iShares Core DAX UCITS ETF DE</t>
  </si>
  <si>
    <t>549300CQN9T9XKTT1S19</t>
  </si>
  <si>
    <t>ISHARES DAX DE</t>
  </si>
  <si>
    <t>DE0005933931</t>
  </si>
  <si>
    <t>VANGUARD S&amp;P MID-CAP 400 ETF</t>
  </si>
  <si>
    <t>US9219328856</t>
  </si>
  <si>
    <t>iShares MSCI Brazil Index Fund</t>
  </si>
  <si>
    <t>28207</t>
  </si>
  <si>
    <t>US4642864007</t>
  </si>
  <si>
    <t>FIRST TRST NASD CL EDG SGIIF</t>
  </si>
  <si>
    <t>549300IM04B4W5RWYH14</t>
  </si>
  <si>
    <t>US33737A1088</t>
  </si>
  <si>
    <t>ISHARES HANG SENG TECH ETF</t>
  </si>
  <si>
    <t>549300LTD878UJSEFE24</t>
  </si>
  <si>
    <t>HK0000651213</t>
  </si>
  <si>
    <t>iShares Latin America 40 ETF</t>
  </si>
  <si>
    <t>549300MTJJWSCQ09N641</t>
  </si>
  <si>
    <t>iShares MSCI Taiwan Index Fund</t>
  </si>
  <si>
    <t>US4642867315</t>
  </si>
  <si>
    <t>ISHARES GBP HIGH  YIELD CORPORA</t>
  </si>
  <si>
    <t>549300XNS7MREWVF4X34</t>
  </si>
  <si>
    <t>IE00B4PY7Y77</t>
  </si>
  <si>
    <t>real estate select sect spdr</t>
  </si>
  <si>
    <t>549300SPMSTD3BRHL041</t>
  </si>
  <si>
    <t>REAL ESTA (XLRE</t>
  </si>
  <si>
    <t>US81369y8600</t>
  </si>
  <si>
    <t>(IHI) iShares U.S. Medical Devices ETF</t>
  </si>
  <si>
    <t>US4642888105</t>
  </si>
  <si>
    <t>iShares China Large-Cap ETF</t>
  </si>
  <si>
    <t>5493001YVWPO25CNKN94</t>
  </si>
  <si>
    <t>iShares FTSE/Xinhua China 25 I</t>
  </si>
  <si>
    <t>US4642871846</t>
  </si>
  <si>
    <t>MTF תל בונד 60</t>
  </si>
  <si>
    <t>IL0011499964</t>
  </si>
  <si>
    <t>הראל סל תל בונד שקלי</t>
  </si>
  <si>
    <t>IL0011505232</t>
  </si>
  <si>
    <t>קסם.תלבונד ש 50</t>
  </si>
  <si>
    <t>IL0011507626</t>
  </si>
  <si>
    <t>הראל סל תל בונד שקלי 50</t>
  </si>
  <si>
    <t>IL0011507139</t>
  </si>
  <si>
    <t>מור ניהול קרנות נאמנות (2013) בע"מ</t>
  </si>
  <si>
    <t>514884485</t>
  </si>
  <si>
    <t>מור.סל תלבונד 60</t>
  </si>
  <si>
    <t>IL0011953044</t>
  </si>
  <si>
    <t>קסם ETF תל בונד שקלי</t>
  </si>
  <si>
    <t>IL0011464141</t>
  </si>
  <si>
    <t>קסם תל בונד 60</t>
  </si>
  <si>
    <t>IL0011462327</t>
  </si>
  <si>
    <t>הראל סל תל בונד 60</t>
  </si>
  <si>
    <t>IL0011504730</t>
  </si>
  <si>
    <t>MTF סל (00) תל בונד שקלי</t>
  </si>
  <si>
    <t>IL0011500027</t>
  </si>
  <si>
    <t>קסם MSCI India (!)(4D) ETF</t>
  </si>
  <si>
    <t>IL0011457475</t>
  </si>
  <si>
    <t>קסם S&amp;P 500</t>
  </si>
  <si>
    <t>IL0011464711</t>
  </si>
  <si>
    <t>קסם תל בונד 20</t>
  </si>
  <si>
    <t>IL0011459604</t>
  </si>
  <si>
    <t>הראל סל תל בונד 20</t>
  </si>
  <si>
    <t>IL0011504409</t>
  </si>
  <si>
    <t>קסם תא בלוסטאר ישראל גלובל טכנולוגיות (NTR) (4Da)</t>
  </si>
  <si>
    <t>IL0011472714</t>
  </si>
  <si>
    <t>קסם DJ Industrial Average</t>
  </si>
  <si>
    <t>IL0011464489</t>
  </si>
  <si>
    <t>LYXOR ETF S&amp;P 500</t>
  </si>
  <si>
    <t>549300JWBW5ZYYL06033</t>
  </si>
  <si>
    <t>LYXOR S&amp;P 500</t>
  </si>
  <si>
    <t>LU1135865084</t>
  </si>
  <si>
    <t>549300NNE4LGFWCGLC69</t>
  </si>
  <si>
    <t>US46137V3244</t>
  </si>
  <si>
    <t>ISHARES DOW JONES US HOME CONS</t>
  </si>
  <si>
    <t>549300E4UYBNT9205488</t>
  </si>
  <si>
    <t>US4642887529</t>
  </si>
  <si>
    <t>BNP P EURO STOXX 50 UCITS</t>
  </si>
  <si>
    <t>ROMUWSFPU8MPR08KSP83</t>
  </si>
  <si>
    <t>FR0012739431</t>
  </si>
  <si>
    <t>GLOBAL X US INFRASTRUCTURE</t>
  </si>
  <si>
    <t>549300P5QELW9NWLDY61</t>
  </si>
  <si>
    <t>US37954Y6730</t>
  </si>
  <si>
    <t>SPDR S&amp;P CAPITAL MARKETS ETF</t>
  </si>
  <si>
    <t>549300BBJPWNKDPREW36</t>
  </si>
  <si>
    <t>US78464A7717</t>
  </si>
  <si>
    <t>ISHR EUR600 IND GDS&amp;SERV-DE</t>
  </si>
  <si>
    <t>5493005C92LFQZ3U0083</t>
  </si>
  <si>
    <t>DE000A0H08J9</t>
  </si>
  <si>
    <t>FIRET TRUST RBA AMER</t>
  </si>
  <si>
    <t>254900QBKK4WBS03GE51</t>
  </si>
  <si>
    <t>US33738R7044</t>
  </si>
  <si>
    <t>SPDR S&amp;P HOMEBUILDERS ETF</t>
  </si>
  <si>
    <t>549300MSE80LL1UJS132</t>
  </si>
  <si>
    <t>US78464A8889</t>
  </si>
  <si>
    <t>Utilities Select Sector SPDR F</t>
  </si>
  <si>
    <t>549300ERQDM80PRYUH21</t>
  </si>
  <si>
    <t>US81369Y8865</t>
  </si>
  <si>
    <t>MTF סל (Bloomberg US Analyst Recommendations (4D</t>
  </si>
  <si>
    <t>IL0012056573</t>
  </si>
  <si>
    <t>FNDSTRT GRNNY SHOTS US LRG</t>
  </si>
  <si>
    <t>254900SIR1F8HDIXDL70</t>
  </si>
  <si>
    <t>US8863642315</t>
  </si>
  <si>
    <t>הראל סל S&amp;P 500 מנוטרלת מטבע</t>
  </si>
  <si>
    <t>IL0011491375</t>
  </si>
  <si>
    <t>קסם ארהב 4Da) (PR) S&amp;P Technology)</t>
  </si>
  <si>
    <t>IL0011472300</t>
  </si>
  <si>
    <t>הראל סל נאסדק 100</t>
  </si>
  <si>
    <t>IL0011490385</t>
  </si>
  <si>
    <t>הראל סל S&amp;P500</t>
  </si>
  <si>
    <t>IL0011490203</t>
  </si>
  <si>
    <t>קסם גרמניה DAX 30</t>
  </si>
  <si>
    <t>IL0011465130</t>
  </si>
  <si>
    <t>קסם ברזיל IBOV (GTR)</t>
  </si>
  <si>
    <t>IL0011460917</t>
  </si>
  <si>
    <t>MTF סל‏ (00) תל בונד שקלי 50</t>
  </si>
  <si>
    <t>IL0011501686</t>
  </si>
  <si>
    <t>BSP Advisors ltd</t>
  </si>
  <si>
    <t>549300NEMRCSGL23FU27</t>
  </si>
  <si>
    <t>CIFC Senior Secured Corporate Loan Fund</t>
  </si>
  <si>
    <t>KYG2139S1277</t>
  </si>
  <si>
    <t>KOTAK FDS-INDIA MIDCAP(S)USD ACC</t>
  </si>
  <si>
    <t>549300P1V22EKK1UCL34</t>
  </si>
  <si>
    <t>LU2126068639</t>
  </si>
  <si>
    <t>TRIGON-NEW EUROPE-A EUR</t>
  </si>
  <si>
    <t>529900TCN22XT0QUBM95</t>
  </si>
  <si>
    <t>LU1687402393</t>
  </si>
  <si>
    <t>JP SML CAP FUN-CLS A USD HGD</t>
  </si>
  <si>
    <t>213800SJ3IH3EXMXSJ47</t>
  </si>
  <si>
    <t>LU2869556576</t>
  </si>
  <si>
    <t>איביאי (5D) TECH FUND-טכנולוגיה עילית</t>
  </si>
  <si>
    <t>510791031</t>
  </si>
  <si>
    <t>אי בי אי טכ עילית</t>
  </si>
  <si>
    <t>IL0011425381</t>
  </si>
  <si>
    <t>ARTEMIS UK SELECT FUND-INS A</t>
  </si>
  <si>
    <t>2JE75BUE3T1BLCYYGK54</t>
  </si>
  <si>
    <t>GB00B2PLJG05</t>
  </si>
  <si>
    <t>Heptagon Fund plc - Driehaus</t>
  </si>
  <si>
    <t>30476</t>
  </si>
  <si>
    <t>HEPTAGON DRIEH US SMCP-S</t>
  </si>
  <si>
    <t>IE00BH3ZJB48</t>
  </si>
  <si>
    <t>JANNUS HEND HOR GL SMALLER COM</t>
  </si>
  <si>
    <t>2138009WPYMWJN3RVF44</t>
  </si>
  <si>
    <t>JAN HND HOR GLB SML CO-M2USD</t>
  </si>
  <si>
    <t>LU2914768309</t>
  </si>
  <si>
    <t>KBI ENERGY SOLUTIONS-AUSDACC</t>
  </si>
  <si>
    <t>635400UCQYVG094KDT51</t>
  </si>
  <si>
    <t>IE00BNGJJ156</t>
  </si>
  <si>
    <t>INVESCO US SENIOR LOAN-G</t>
  </si>
  <si>
    <t>549300HQ8IBAX0TXDL49</t>
  </si>
  <si>
    <t>LU0564079282</t>
  </si>
  <si>
    <t>ARTEMIS LUX US SM CMP-IA USD</t>
  </si>
  <si>
    <t>5493005ZAZWM54373247</t>
  </si>
  <si>
    <t>LU1805264717</t>
  </si>
  <si>
    <t>SCHRODER INT-GRT CHNA-IZ</t>
  </si>
  <si>
    <t>E6UHSP0BKJBKA5PR6370</t>
  </si>
  <si>
    <t>LU1953148969</t>
  </si>
  <si>
    <t>ביג        אפ 7</t>
  </si>
  <si>
    <t>IL0012143454</t>
  </si>
  <si>
    <t>01/06/2026</t>
  </si>
  <si>
    <t>נאוויטס פט אפ 6</t>
  </si>
  <si>
    <t>IL0012288242</t>
  </si>
  <si>
    <t>0</t>
  </si>
  <si>
    <t>31/08/2026</t>
  </si>
  <si>
    <t>הבורסה לניירות ערך בתל אביב בע"מ</t>
  </si>
  <si>
    <t>520020033</t>
  </si>
  <si>
    <t>P 3000 OCT</t>
  </si>
  <si>
    <t>IL0858510048</t>
  </si>
  <si>
    <t>31/10/2025</t>
  </si>
  <si>
    <t>C 3000 OCT</t>
  </si>
  <si>
    <t>IL0858497501</t>
  </si>
  <si>
    <t>US 10YR ULTRA F התחייבות</t>
  </si>
  <si>
    <t>730976511</t>
  </si>
  <si>
    <t>S&amp;P500 EMINI FU התחייבות</t>
  </si>
  <si>
    <t>730706331</t>
  </si>
  <si>
    <t>NASDAQ 100 E-MI התחייבות</t>
  </si>
  <si>
    <t>730707571</t>
  </si>
  <si>
    <t>NASDAQ 100 E-MINI</t>
  </si>
  <si>
    <t>30240</t>
  </si>
  <si>
    <t>NASDAQ 100 E-MINI Dec25</t>
  </si>
  <si>
    <t>73070757</t>
  </si>
  <si>
    <t>S&amp;P 500 EMINI FUT</t>
  </si>
  <si>
    <t>28933</t>
  </si>
  <si>
    <t>S&amp;P500 EMINI FUT  Dec25</t>
  </si>
  <si>
    <t>73070633</t>
  </si>
  <si>
    <t>US 10YR NOTE FUT</t>
  </si>
  <si>
    <t>29024</t>
  </si>
  <si>
    <t>US 10yr Ultra Fut Dec25</t>
  </si>
  <si>
    <t>73097651</t>
  </si>
  <si>
    <t>אלה פקדונות בע"מ</t>
  </si>
  <si>
    <t>515666881</t>
  </si>
  <si>
    <t>אלה פקדון אגח ה</t>
  </si>
  <si>
    <t>IL0011625774</t>
  </si>
  <si>
    <t>קרדיטו הנפקות בע"מ</t>
  </si>
  <si>
    <t>516804499</t>
  </si>
  <si>
    <t>קרדיטו אגח א</t>
  </si>
  <si>
    <t>IL0012103276</t>
  </si>
  <si>
    <t>אלה פקדון אגח ד</t>
  </si>
  <si>
    <t>IL0011623043</t>
  </si>
  <si>
    <t>אול-יר הולדינגס לימיטד</t>
  </si>
  <si>
    <t>1841580</t>
  </si>
  <si>
    <t>אול יר אג"ח ה' 2024/2018</t>
  </si>
  <si>
    <t>IL0011433047</t>
  </si>
  <si>
    <t>25/04/2023</t>
  </si>
  <si>
    <t>31/07/2024</t>
  </si>
  <si>
    <t>מת"מ - מרכז תעשיות מדע חיפה בע"מ</t>
  </si>
  <si>
    <t>510687403</t>
  </si>
  <si>
    <t>מתם   אגח ב-רמ</t>
  </si>
  <si>
    <t>IL0012235367</t>
  </si>
  <si>
    <t>24/06/2025</t>
  </si>
  <si>
    <t>מקורות אג"ח 8</t>
  </si>
  <si>
    <t>IL0011243461</t>
  </si>
  <si>
    <t>14/07/2011</t>
  </si>
  <si>
    <t>14/07/2048</t>
  </si>
  <si>
    <t>מת"מ אגח א-רמ</t>
  </si>
  <si>
    <t>IL0011389991</t>
  </si>
  <si>
    <t>05/12/2018</t>
  </si>
  <si>
    <t>אלון חברת הדלק לישראל בע"מ</t>
  </si>
  <si>
    <t>520041690</t>
  </si>
  <si>
    <t>אלון דלק אגא-רמ</t>
  </si>
  <si>
    <t>IL0011015679</t>
  </si>
  <si>
    <t>01/05/2016</t>
  </si>
  <si>
    <t>22/01/2023</t>
  </si>
  <si>
    <t>מפעלי פלדה מאוחדים בע"מ</t>
  </si>
  <si>
    <t>520022492</t>
  </si>
  <si>
    <t>מפעלי פלדה אגח סד 1</t>
  </si>
  <si>
    <t>IL0039800185</t>
  </si>
  <si>
    <t>10/11/1997</t>
  </si>
  <si>
    <t>31/01/2001</t>
  </si>
  <si>
    <t>פלדה אג1 מפ 1/00</t>
  </si>
  <si>
    <t>3980042</t>
  </si>
  <si>
    <t>31/05/2000</t>
  </si>
  <si>
    <t>LEHMAN BROTHERS HOLDINGS</t>
  </si>
  <si>
    <t>549300FDK6ZP3YIHRJ47</t>
  </si>
  <si>
    <t>LEH 7 7/8 08/15/10</t>
  </si>
  <si>
    <t>US524908CM04</t>
  </si>
  <si>
    <t>20/01/2011</t>
  </si>
  <si>
    <t>15/08/2010</t>
  </si>
  <si>
    <t>נתיבים אגרות חוב בע"מ</t>
  </si>
  <si>
    <t>513502229</t>
  </si>
  <si>
    <t>נתיבים אגח א-רמ</t>
  </si>
  <si>
    <t>IL0010902810</t>
  </si>
  <si>
    <t>28/09/2005</t>
  </si>
  <si>
    <t>03/07/2027</t>
  </si>
  <si>
    <t>רייכרט תעשיות בע"מ</t>
  </si>
  <si>
    <t>520039652</t>
  </si>
  <si>
    <t>רייכרט</t>
  </si>
  <si>
    <t>IL0004760109</t>
  </si>
  <si>
    <t>דליה אנרגיות</t>
  </si>
  <si>
    <t>דניאל קיסריה אנרגיה מורים</t>
  </si>
  <si>
    <t>400231116</t>
  </si>
  <si>
    <t>23/11/2016</t>
  </si>
  <si>
    <t>קיסטון-אגד (שותפות)</t>
  </si>
  <si>
    <t>540316205</t>
  </si>
  <si>
    <t>400110522</t>
  </si>
  <si>
    <t>11/05/2022</t>
  </si>
  <si>
    <t>אלפא מים השקעות</t>
  </si>
  <si>
    <t>515676765</t>
  </si>
  <si>
    <t>אלפא מים פרטנרס</t>
  </si>
  <si>
    <t>400512171</t>
  </si>
  <si>
    <t>22/04/2021</t>
  </si>
  <si>
    <t>גולדן קפיטל גרמניה</t>
  </si>
  <si>
    <t>30205</t>
  </si>
  <si>
    <t>עסקת נדל"ן גולדן קפיטל גרמניה</t>
  </si>
  <si>
    <t>400190618</t>
  </si>
  <si>
    <t>19/06/2018</t>
  </si>
  <si>
    <t>מנרב ואסנס שותפות</t>
  </si>
  <si>
    <t>30576</t>
  </si>
  <si>
    <t>מנרב אסנס Co invest</t>
  </si>
  <si>
    <t>400050821</t>
  </si>
  <si>
    <t>10/08/2021</t>
  </si>
  <si>
    <t>TIPA CORP LTD</t>
  </si>
  <si>
    <t>514420660</t>
  </si>
  <si>
    <t>TIPA</t>
  </si>
  <si>
    <t>400110122</t>
  </si>
  <si>
    <t>11/01/2022</t>
  </si>
  <si>
    <t>אלפא מים פרטנרס 2</t>
  </si>
  <si>
    <t>402702191</t>
  </si>
  <si>
    <t>27/02/2019</t>
  </si>
  <si>
    <t>Quantum Machines</t>
  </si>
  <si>
    <t>30655</t>
  </si>
  <si>
    <t>Quantum Machines גננות</t>
  </si>
  <si>
    <t>400090822</t>
  </si>
  <si>
    <t>09/08/2022</t>
  </si>
  <si>
    <t>סטורדוט בע"מ</t>
  </si>
  <si>
    <t>514820117</t>
  </si>
  <si>
    <t>סטורדוט השקעה במניות</t>
  </si>
  <si>
    <t>400130917</t>
  </si>
  <si>
    <t>13/09/2017</t>
  </si>
  <si>
    <t>דרך הצפון (ע.ג.), שותפות מוגבלת</t>
  </si>
  <si>
    <t>30027</t>
  </si>
  <si>
    <t>400080317</t>
  </si>
  <si>
    <t>07/03/2017</t>
  </si>
  <si>
    <t>Silk Technologies Inc</t>
  </si>
  <si>
    <t>30544</t>
  </si>
  <si>
    <t>Silk Technologies Inc גננות</t>
  </si>
  <si>
    <t>400250321</t>
  </si>
  <si>
    <t>31/05/2022</t>
  </si>
  <si>
    <t>אינטגרה</t>
  </si>
  <si>
    <t>29265</t>
  </si>
  <si>
    <t>40050513</t>
  </si>
  <si>
    <t>05/05/2013</t>
  </si>
  <si>
    <t>ויולה גנריישן ניהול</t>
  </si>
  <si>
    <t>402308182</t>
  </si>
  <si>
    <t>23/08/2018</t>
  </si>
  <si>
    <t>אלומה פ.פ.ג.י ניהול בע״מ</t>
  </si>
  <si>
    <t>516113701</t>
  </si>
  <si>
    <t>אלומה פ.פ.ג.י ניהול גננות</t>
  </si>
  <si>
    <t>400020825</t>
  </si>
  <si>
    <t>31/07/2025</t>
  </si>
  <si>
    <t>ODYSIGHT אופציה</t>
  </si>
  <si>
    <t>400300421</t>
  </si>
  <si>
    <t>29/04/2021</t>
  </si>
  <si>
    <t>imm - vx limited partnership</t>
  </si>
  <si>
    <t>540303765</t>
  </si>
  <si>
    <t>VELOX- IMM - VX LP</t>
  </si>
  <si>
    <t>400090821</t>
  </si>
  <si>
    <t>MOLECULED מניית בכורה</t>
  </si>
  <si>
    <t>400231219</t>
  </si>
  <si>
    <t>23/12/2019</t>
  </si>
  <si>
    <t>אנרגי ואלי אנרגיה</t>
  </si>
  <si>
    <t>400241218</t>
  </si>
  <si>
    <t>24/12/2018</t>
  </si>
  <si>
    <t>סיטיפס</t>
  </si>
  <si>
    <t>550243026</t>
  </si>
  <si>
    <t>תש"י רכבת קלה ירושלים</t>
  </si>
  <si>
    <t>400150616</t>
  </si>
  <si>
    <t>14/06/2016</t>
  </si>
  <si>
    <t>אדאקום טכנולוגיות בע"מ</t>
  </si>
  <si>
    <t>520036419</t>
  </si>
  <si>
    <t>אדאקום  1 ש"ח</t>
  </si>
  <si>
    <t>239012</t>
  </si>
  <si>
    <t>עיינה</t>
  </si>
  <si>
    <t>29927</t>
  </si>
  <si>
    <t>AYANA Common Shares (from 2017 CLA Conversion)</t>
  </si>
  <si>
    <t>400160719</t>
  </si>
  <si>
    <t>16/07/2019</t>
  </si>
  <si>
    <t>AYANA Preferred A Shares (from 2020/21 CLA Convers</t>
  </si>
  <si>
    <t>400291222</t>
  </si>
  <si>
    <t>29/12/2022</t>
  </si>
  <si>
    <t>אלון דלק מניה</t>
  </si>
  <si>
    <t>400051117</t>
  </si>
  <si>
    <t>05/11/2017</t>
  </si>
  <si>
    <t>AYANA Preferred A Shares (SPA 2019)</t>
  </si>
  <si>
    <t>400210519</t>
  </si>
  <si>
    <t>21/05/2019</t>
  </si>
  <si>
    <t>ת.ש.י דרכים ש.מ</t>
  </si>
  <si>
    <t>550224620</t>
  </si>
  <si>
    <t>ת.ש.י דרכים ש.מ class a</t>
  </si>
  <si>
    <t>400301210</t>
  </si>
  <si>
    <t>07/03/2012</t>
  </si>
  <si>
    <t>תשי דרכים ש.מ. class a1</t>
  </si>
  <si>
    <t>402506130</t>
  </si>
  <si>
    <t>25/06/2013</t>
  </si>
  <si>
    <t>קרן תשתיות ישראל 1</t>
  </si>
  <si>
    <t>513858407</t>
  </si>
  <si>
    <t>תש"י 431 (כביש 431) ש.מ</t>
  </si>
  <si>
    <t>400130611</t>
  </si>
  <si>
    <t>13/06/2011</t>
  </si>
  <si>
    <t>31/12/2001</t>
  </si>
  <si>
    <t>פויכטונגר השקעות 1984 בע"מ</t>
  </si>
  <si>
    <t>511015448</t>
  </si>
  <si>
    <t>פויכטונגר השק 0.01</t>
  </si>
  <si>
    <t>10853231</t>
  </si>
  <si>
    <t>30/09/2014</t>
  </si>
  <si>
    <t>ספרה ניהול קרנות בעמ</t>
  </si>
  <si>
    <t>SPHERA FD D</t>
  </si>
  <si>
    <t>VGG834781343</t>
  </si>
  <si>
    <t>טנא הון צמיחה 4 שותפות מוגבלת</t>
  </si>
  <si>
    <t>טנא הון צמיחה 4</t>
  </si>
  <si>
    <t>400150118</t>
  </si>
  <si>
    <t>נוקד אקוויטי השקעות בעמ</t>
  </si>
  <si>
    <t>קרן נוקד אקווטי</t>
  </si>
  <si>
    <t>400301017</t>
  </si>
  <si>
    <t>חברת שותף כללי  קרן תשתיות ישראל  3 בעמ</t>
  </si>
  <si>
    <t>תשתיות ישראל 3</t>
  </si>
  <si>
    <t>400191016</t>
  </si>
  <si>
    <t>ריאליטי שותף כללי 4 בעמ</t>
  </si>
  <si>
    <t>ריאליטי 4</t>
  </si>
  <si>
    <t>400300519</t>
  </si>
  <si>
    <t>אלפא לונג ביאס ג'י פי בעמ</t>
  </si>
  <si>
    <t>אלפא קרן גידור</t>
  </si>
  <si>
    <t>400300817</t>
  </si>
  <si>
    <t>קרן טוליפ קפיטל ג'י פי בעמ</t>
  </si>
  <si>
    <t>טוליפ קפיטל</t>
  </si>
  <si>
    <t>40230117</t>
  </si>
  <si>
    <t>נוי אי. איי תשתיות ואנרגיה ג'י.פי, ש.מ</t>
  </si>
  <si>
    <t>נוי 4</t>
  </si>
  <si>
    <t>400310321</t>
  </si>
  <si>
    <t>פימי 6 2016 בעמ</t>
  </si>
  <si>
    <t>פימי 6 אופורטוניטי ישראל FIMI</t>
  </si>
  <si>
    <t>402107161</t>
  </si>
  <si>
    <t>יסודות מעטפת פיננסית גי'פי שותפות מוגבלת</t>
  </si>
  <si>
    <t>יסודות ג' נדלן ופיתוח שותפות מוגבלת</t>
  </si>
  <si>
    <t>400031219</t>
  </si>
  <si>
    <t>פימי 7 2020 בעמ</t>
  </si>
  <si>
    <t>פימי 7</t>
  </si>
  <si>
    <t>40310321</t>
  </si>
  <si>
    <t>Peregrine IV General Partner LP Limited Partnership</t>
  </si>
  <si>
    <t>פרגרין ונצ'רם</t>
  </si>
  <si>
    <t>400170719</t>
  </si>
  <si>
    <t>Vintage Secondary V GP, L.P.</t>
  </si>
  <si>
    <t>Vintage Secondary V</t>
  </si>
  <si>
    <t>403012217</t>
  </si>
  <si>
    <t>ס.ה. סקיי 4 ניהול שותפות מוגבלת</t>
  </si>
  <si>
    <t>SKY 4 LIMITED גננות</t>
  </si>
  <si>
    <t>400170322</t>
  </si>
  <si>
    <t>הפניקס חוב נדל"ן גננות</t>
  </si>
  <si>
    <t>403012211</t>
  </si>
  <si>
    <t>אייג'יפי השקעות (ג'י.פי.אל.פי), שותפות מוגבלת.</t>
  </si>
  <si>
    <t>IGP INVESTMENTS II</t>
  </si>
  <si>
    <t>400150818</t>
  </si>
  <si>
    <t>קרן נוי 3 להשקעה בתשתיות אנרגי</t>
  </si>
  <si>
    <t>400260519</t>
  </si>
  <si>
    <t>Bain Special Situation Europe</t>
  </si>
  <si>
    <t>40231018</t>
  </si>
  <si>
    <t>ריאליטי מימון שותף כללי בעמ</t>
  </si>
  <si>
    <t>ריאליטי מימון</t>
  </si>
  <si>
    <t>400310322</t>
  </si>
  <si>
    <t>אלפא ערך</t>
  </si>
  <si>
    <t>400270324</t>
  </si>
  <si>
    <t>יסודות 2</t>
  </si>
  <si>
    <t>400300118</t>
  </si>
  <si>
    <t>LOOL 2 Ventures GP LTD</t>
  </si>
  <si>
    <t>lool Ventures III</t>
  </si>
  <si>
    <t>400130322</t>
  </si>
  <si>
    <t>Hamilton Lane Advisors, LLC</t>
  </si>
  <si>
    <t>HAMILTON LANE SECONDARY FUND VI-B LP גננות</t>
  </si>
  <si>
    <t>400020724</t>
  </si>
  <si>
    <t>ג'יי.טי.אל.וי 3 ש.כ. בעמ</t>
  </si>
  <si>
    <t>JTLV 3 גננות</t>
  </si>
  <si>
    <t>400100622</t>
  </si>
  <si>
    <t>קוגיטו קפיטל פאנד 2 שותף כללי בעמ</t>
  </si>
  <si>
    <t>קרן קוגיטו קפיטל</t>
  </si>
  <si>
    <t>403012214</t>
  </si>
  <si>
    <t>הראל אלטרנטיב קרנות השקעה בעמ</t>
  </si>
  <si>
    <t>Harel Alternative Real Es</t>
  </si>
  <si>
    <t>400110523</t>
  </si>
  <si>
    <t>Klirmark Fund IV (G.P) L.P</t>
  </si>
  <si>
    <t>Klirmark Opportunity Fund</t>
  </si>
  <si>
    <t>400180423</t>
  </si>
  <si>
    <t>Fortissimo Capital Fund VI GP, L.P</t>
  </si>
  <si>
    <t>Fortissimo Fund VI</t>
  </si>
  <si>
    <t>400171023</t>
  </si>
  <si>
    <t>STAGE ONE II SPV SRFT, L.P</t>
  </si>
  <si>
    <t>STAGE ONE II SPV SRFT, LIMITED</t>
  </si>
  <si>
    <t>400110322</t>
  </si>
  <si>
    <t>טנא קרן להשקעות בתעשייה הקיבוצית שותפות מוגבלת</t>
  </si>
  <si>
    <t>קרן טנא</t>
  </si>
  <si>
    <t>400241213</t>
  </si>
  <si>
    <t>Marathon Real Estate Fund</t>
  </si>
  <si>
    <t>400271220</t>
  </si>
  <si>
    <t>Presidio Management Group XIII, L.P.</t>
  </si>
  <si>
    <t>USVP XIII גננות</t>
  </si>
  <si>
    <t>400120123</t>
  </si>
  <si>
    <t>Firstime Ventures III General Partner L.P.</t>
  </si>
  <si>
    <t>Firstime Ventures III L.P</t>
  </si>
  <si>
    <t>400241121</t>
  </si>
  <si>
    <t>Klirmark Fund III (G.P) L.P</t>
  </si>
  <si>
    <t>KLIRMARK III מורים</t>
  </si>
  <si>
    <t>40131119</t>
  </si>
  <si>
    <t>פונטיפקס 6  ג'י.פי ש.מ</t>
  </si>
  <si>
    <t>פונטיפקס 6 גננות</t>
  </si>
  <si>
    <t>400081120</t>
  </si>
  <si>
    <t>פונטיפקס 5  ג'י.פי ש.מ</t>
  </si>
  <si>
    <t>קרן פונטיפקס 5</t>
  </si>
  <si>
    <t>400080418</t>
  </si>
  <si>
    <t>Stage One Capital (GP) III L.P</t>
  </si>
  <si>
    <t>STAGE ONE 3</t>
  </si>
  <si>
    <t>400160118</t>
  </si>
  <si>
    <t>גרות' פרטנרס (ליכטמן ושני) שותפות מוגבלת</t>
  </si>
  <si>
    <t>קרן השקעה IGP</t>
  </si>
  <si>
    <t>400030214</t>
  </si>
  <si>
    <t>IGP Investments III (g.p) 2022 Ltd</t>
  </si>
  <si>
    <t>IGP Investments Fund III גננות</t>
  </si>
  <si>
    <t>400310724</t>
  </si>
  <si>
    <t>Helios General 3 ltd</t>
  </si>
  <si>
    <t>הליוס אנרגיה מתחדשת 4</t>
  </si>
  <si>
    <t>400251018</t>
  </si>
  <si>
    <t>ריאליטי 5</t>
  </si>
  <si>
    <t>400201123</t>
  </si>
  <si>
    <t>פימי חמש 2020 בעמ</t>
  </si>
  <si>
    <t>FIMI OPPORTUNITY V</t>
  </si>
  <si>
    <t>402708122</t>
  </si>
  <si>
    <t>Stage One Capital (GP) IV L.P.</t>
  </si>
  <si>
    <t>Stage One IV גננות</t>
  </si>
  <si>
    <t>403012215</t>
  </si>
  <si>
    <t>קוגיטו קפיטל שותף כללי בעמ</t>
  </si>
  <si>
    <t>40210716</t>
  </si>
  <si>
    <t>נוי 5</t>
  </si>
  <si>
    <t>400111024</t>
  </si>
  <si>
    <t>קוגיטו קפיטל אל.אמ.אי שותף כללי, שותפות מוגבלת</t>
  </si>
  <si>
    <t>קוגיטו בי.אם.אי</t>
  </si>
  <si>
    <t>40040917</t>
  </si>
  <si>
    <t>BENNU PHARMA FUND LTD</t>
  </si>
  <si>
    <t>בנו פארמה פאנד בע"מ גננות</t>
  </si>
  <si>
    <t>400030625</t>
  </si>
  <si>
    <t>שקד השקעות (ג'י.פי) שותפות מוגבלת</t>
  </si>
  <si>
    <t>קרן שקד</t>
  </si>
  <si>
    <t>400180117</t>
  </si>
  <si>
    <t>Vintage Growth IV GP, L.P.</t>
  </si>
  <si>
    <t>Vintage Growth Fund IV, L.P.</t>
  </si>
  <si>
    <t>400220625</t>
  </si>
  <si>
    <t>Vintage Fund of Funds VIII (Israel) GP, L.P.</t>
  </si>
  <si>
    <t>Vintage FOF VIII (Israel) Feeder, L.P</t>
  </si>
  <si>
    <t>400190925</t>
  </si>
  <si>
    <t>Stage One IV Annex</t>
  </si>
  <si>
    <t>403012216</t>
  </si>
  <si>
    <t>IGP SaferWorld</t>
  </si>
  <si>
    <t>400260619</t>
  </si>
  <si>
    <t>AGATE MEDICAL INVESTMENT</t>
  </si>
  <si>
    <t>400011107</t>
  </si>
  <si>
    <t>יסודות א' נדלן ופיתוח שותפות מוגבלת</t>
  </si>
  <si>
    <t>400150115</t>
  </si>
  <si>
    <t>ריאליטי ניהול קרנות בעמ</t>
  </si>
  <si>
    <t>ריאליטי קרן השקעות 2</t>
  </si>
  <si>
    <t>400160412</t>
  </si>
  <si>
    <t>ריאלטי קו אינווסמנט נווה אילן</t>
  </si>
  <si>
    <t>400260214</t>
  </si>
  <si>
    <t>תשתיות ישראל ג'י. פי. שותפות מוגבלת</t>
  </si>
  <si>
    <t>קרן תש"י - קרן 1 (מורים)</t>
  </si>
  <si>
    <t>400191007</t>
  </si>
  <si>
    <t>OEP VIII General Partner, L.P.</t>
  </si>
  <si>
    <t>OEP VIII-A גננות</t>
  </si>
  <si>
    <t>400280422</t>
  </si>
  <si>
    <t>GIP IV</t>
  </si>
  <si>
    <t>400221019</t>
  </si>
  <si>
    <t>ECP Calpine Fund GP, LP</t>
  </si>
  <si>
    <t>ECP Calpine Cont גננות</t>
  </si>
  <si>
    <t>400010722</t>
  </si>
  <si>
    <t>Blackstone Real Estate Associates IX L.P.</t>
  </si>
  <si>
    <t>קרן בלקסטון 9</t>
  </si>
  <si>
    <t>400190919</t>
  </si>
  <si>
    <t>Vintage Investments 11 (Access), L.P.</t>
  </si>
  <si>
    <t>קרן וינטאג' 5 אקסס</t>
  </si>
  <si>
    <t>400280818</t>
  </si>
  <si>
    <t>HarbourVest Partners, LLC</t>
  </si>
  <si>
    <t>Harbourvest Dover 10</t>
  </si>
  <si>
    <t>400130120</t>
  </si>
  <si>
    <t>תשתיות ישראל  ג'י. פי. 4 שותפות מוגבלת</t>
  </si>
  <si>
    <t>תשתיות ישראל 4</t>
  </si>
  <si>
    <t>400121020</t>
  </si>
  <si>
    <t>FRG-X GP,LP</t>
  </si>
  <si>
    <t>Faropoint Logistic II (FR</t>
  </si>
  <si>
    <t>400280621</t>
  </si>
  <si>
    <t>ION Asset Management Ltd.</t>
  </si>
  <si>
    <t>ION ISRAEL FEEDER FUND LTD</t>
  </si>
  <si>
    <t>400300718</t>
  </si>
  <si>
    <t>Brookfield Strategic Real Estate Partners III GP L.P.</t>
  </si>
  <si>
    <t>קרן ברוקפילד</t>
  </si>
  <si>
    <t>400100419</t>
  </si>
  <si>
    <t>Hamilton Lane Equity Oppo</t>
  </si>
  <si>
    <t>400241022</t>
  </si>
  <si>
    <t>Insight Venture Associates X, L.P.</t>
  </si>
  <si>
    <t>INSIGHT X</t>
  </si>
  <si>
    <t>400170418</t>
  </si>
  <si>
    <t>EQT Infrastructure V (General Partner) S.? r.l.</t>
  </si>
  <si>
    <t>EQT Infrastructure V</t>
  </si>
  <si>
    <t>400811201</t>
  </si>
  <si>
    <t>Insight Associates XI, L.P.</t>
  </si>
  <si>
    <t>Insight Partners XI</t>
  </si>
  <si>
    <t>400240320</t>
  </si>
  <si>
    <t>ICG Strategic Equity IV גננות</t>
  </si>
  <si>
    <t>400020722</t>
  </si>
  <si>
    <t>CVC Capital Partners VIII Limited</t>
  </si>
  <si>
    <t>CVC CAPITAL PARTNERS VIII</t>
  </si>
  <si>
    <t>400811203</t>
  </si>
  <si>
    <t>Hamilton Lane CI IV</t>
  </si>
  <si>
    <t>400290519</t>
  </si>
  <si>
    <t>FRG-X-GP,LP</t>
  </si>
  <si>
    <t>400060624</t>
  </si>
  <si>
    <t>PGCO V GP (Lux) S.? r.l</t>
  </si>
  <si>
    <t>Pantheon G-CI Opp V</t>
  </si>
  <si>
    <t>400260421</t>
  </si>
  <si>
    <t>Allianz</t>
  </si>
  <si>
    <t>Allianz APSL גננות</t>
  </si>
  <si>
    <t>400190622</t>
  </si>
  <si>
    <t>Direct Lending Fund III General Partner S.? r.l.</t>
  </si>
  <si>
    <t>BlueBay</t>
  </si>
  <si>
    <t>400300119</t>
  </si>
  <si>
    <t>ARCLIGHT 3C SPV FEEDER, L.P.</t>
  </si>
  <si>
    <t>Arclight 3C -Third Coast גננות</t>
  </si>
  <si>
    <t>400270722</t>
  </si>
  <si>
    <t>LCN European Fund III GP S.? r.l.</t>
  </si>
  <si>
    <t>LCN III</t>
  </si>
  <si>
    <t>400140520</t>
  </si>
  <si>
    <t>HDL - HarbourVest Direct</t>
  </si>
  <si>
    <t>400140921</t>
  </si>
  <si>
    <t>Schroders Capital Private Equity Secondaries Management IV S.? r.l.</t>
  </si>
  <si>
    <t>Schroders Capital גננות</t>
  </si>
  <si>
    <t>400210222</t>
  </si>
  <si>
    <t>Pantheon PGIF IV GP (Lux) S.? r.l</t>
  </si>
  <si>
    <t>Pantheon GIF IV</t>
  </si>
  <si>
    <t>400300322</t>
  </si>
  <si>
    <t>LLCP Partners VI GP, L.P.</t>
  </si>
  <si>
    <t>Levine Leichtman VI</t>
  </si>
  <si>
    <t>400010218</t>
  </si>
  <si>
    <t>HAMILTON LANE SECONDARY V</t>
  </si>
  <si>
    <t>400210221</t>
  </si>
  <si>
    <t>Welsch Carson XIII</t>
  </si>
  <si>
    <t>400270619</t>
  </si>
  <si>
    <t>Primavera Capital GP IV Ltd.</t>
  </si>
  <si>
    <t>Primavera Capital Fund IV</t>
  </si>
  <si>
    <t>400250521</t>
  </si>
  <si>
    <t>Windin` Capital Fund LP מורים</t>
  </si>
  <si>
    <t>400140720</t>
  </si>
  <si>
    <t>Pantheon Access GP S.? r.l</t>
  </si>
  <si>
    <t>פנתיאון אקסס</t>
  </si>
  <si>
    <t>400080518</t>
  </si>
  <si>
    <t>Bridgepoint Europe VII GP LLP,</t>
  </si>
  <si>
    <t>BRIDGEPOINT EUROPE VII</t>
  </si>
  <si>
    <t>400120124</t>
  </si>
  <si>
    <t>ALEMIF III Management LLC</t>
  </si>
  <si>
    <t>אלקטרה נדל"ן 3</t>
  </si>
  <si>
    <t>400140420</t>
  </si>
  <si>
    <t>Coller Investment Management Limited</t>
  </si>
  <si>
    <t>Coller VIII</t>
  </si>
  <si>
    <t>400281220</t>
  </si>
  <si>
    <t>JP Growth Opportunity X, L.P.</t>
  </si>
  <si>
    <t>JVP Growth Opportunity X (C), L.P.גננות</t>
  </si>
  <si>
    <t>400231123</t>
  </si>
  <si>
    <t>MV Subordinated GP S.? r.l.</t>
  </si>
  <si>
    <t>MV Subordinated V</t>
  </si>
  <si>
    <t>400190821</t>
  </si>
  <si>
    <t>PGSF VII GP S.? r.l.</t>
  </si>
  <si>
    <t>Pantheon Global Secondary Fund VI</t>
  </si>
  <si>
    <t>40200520</t>
  </si>
  <si>
    <t>Madison Realty Capital Debt Fund V GP LLC</t>
  </si>
  <si>
    <t>Madison Realty Capital Debt Fund V</t>
  </si>
  <si>
    <t>400200520</t>
  </si>
  <si>
    <t>AP Fund II GP, LLC</t>
  </si>
  <si>
    <t>בלו אטלנטיק 2</t>
  </si>
  <si>
    <t>40220617</t>
  </si>
  <si>
    <t>Frux Capital II GP SARL</t>
  </si>
  <si>
    <t>FRUX II</t>
  </si>
  <si>
    <t>400010422</t>
  </si>
  <si>
    <t>NB Credit Opportunities Associates II LP</t>
  </si>
  <si>
    <t>NB Credit Opportunities II גננות</t>
  </si>
  <si>
    <t>400170723</t>
  </si>
  <si>
    <t>EMIF II Management LLC</t>
  </si>
  <si>
    <t>Electra Multifamily II</t>
  </si>
  <si>
    <t>400190718</t>
  </si>
  <si>
    <t>AP Fund III GP, LLC</t>
  </si>
  <si>
    <t>BLUE ATLANTIC PARTNER III</t>
  </si>
  <si>
    <t>400120819</t>
  </si>
  <si>
    <t>Northwind Debt Fund II GP LLC</t>
  </si>
  <si>
    <t>Northwind Debt Fund II גננות</t>
  </si>
  <si>
    <t>400201023</t>
  </si>
  <si>
    <t>EQT IX (General Partner) S.?.r.l.</t>
  </si>
  <si>
    <t>EQT IX גננות</t>
  </si>
  <si>
    <t>400811202</t>
  </si>
  <si>
    <t>Pantheon Global Secondary Fund VII גננות</t>
  </si>
  <si>
    <t>400020823</t>
  </si>
  <si>
    <t>Fortissimo Capital Fund V (GP), L.P</t>
  </si>
  <si>
    <t>FORTTISSIMO V</t>
  </si>
  <si>
    <t>401304201</t>
  </si>
  <si>
    <t>AP Fund I GP, LLC</t>
  </si>
  <si>
    <t>בלו אטלנטיק פרטנרס</t>
  </si>
  <si>
    <t>40200616</t>
  </si>
  <si>
    <t>ALEMIF IV Management LLC</t>
  </si>
  <si>
    <t>אלקטרה נדל"ן 4</t>
  </si>
  <si>
    <t>400250722</t>
  </si>
  <si>
    <t>Vintage Fund of Funds VII (Access) GP, L.P.</t>
  </si>
  <si>
    <t>Vintage FOF VII (Access)</t>
  </si>
  <si>
    <t>400140722</t>
  </si>
  <si>
    <t>FIC Matterhorn CF GP, LP</t>
  </si>
  <si>
    <t>FIC Matterhorn CF Feeder, LP גננות</t>
  </si>
  <si>
    <t>400310725</t>
  </si>
  <si>
    <t>ASF VIII INFRASTRUCTURE GP Limited</t>
  </si>
  <si>
    <t>ASF VIII Infrastructure</t>
  </si>
  <si>
    <t>400120821</t>
  </si>
  <si>
    <t>Primavera Capital Fund Investment GP M Ltd.</t>
  </si>
  <si>
    <t>Primavera Capital M (Mead</t>
  </si>
  <si>
    <t>400060122</t>
  </si>
  <si>
    <t>Dover Street XI Feeder Fu</t>
  </si>
  <si>
    <t>400200324</t>
  </si>
  <si>
    <t>*Monarch Alternative Capital LP</t>
  </si>
  <si>
    <t>Monarch Capital Partners VI גננות</t>
  </si>
  <si>
    <t>400270323</t>
  </si>
  <si>
    <t>Allianz Private Debt Secondary Fund1 GP Sarl</t>
  </si>
  <si>
    <t>Allianz Private Debt Secondary גננות</t>
  </si>
  <si>
    <t>400140125</t>
  </si>
  <si>
    <t>Corbel DSOF GP, LLC</t>
  </si>
  <si>
    <t>CORBEL DSOP גננות</t>
  </si>
  <si>
    <t>400260722</t>
  </si>
  <si>
    <t>CVC Credit Capital Solutions III General Partner S.a.r.l.</t>
  </si>
  <si>
    <t>CVC Credit Capital Solutions III גננות</t>
  </si>
  <si>
    <t>400111223</t>
  </si>
  <si>
    <t>MV Senior GP S.? r.l</t>
  </si>
  <si>
    <t>MV SENIOR 2 מורים</t>
  </si>
  <si>
    <t>400170720</t>
  </si>
  <si>
    <t>Insight Associates XII, LP.</t>
  </si>
  <si>
    <t>Insight Partners XII</t>
  </si>
  <si>
    <t>400251121</t>
  </si>
  <si>
    <t>Pagaya Auto loans Manager LP.</t>
  </si>
  <si>
    <t>Pagaya AUTO Class A גננות</t>
  </si>
  <si>
    <t>403012212</t>
  </si>
  <si>
    <t>Vintage Fund of Funds VI (Access) GP, L.P.</t>
  </si>
  <si>
    <t>Vintage Fund of Funds VI</t>
  </si>
  <si>
    <t>400041120</t>
  </si>
  <si>
    <t>Stage One Capital (GP) II, L.P</t>
  </si>
  <si>
    <t>STAGE 1</t>
  </si>
  <si>
    <t>40270715</t>
  </si>
  <si>
    <t>Mission Capital Co-investment GP II, L.P.</t>
  </si>
  <si>
    <t>Axiom Asia Co-in II</t>
  </si>
  <si>
    <t>400261121</t>
  </si>
  <si>
    <t>Alto</t>
  </si>
  <si>
    <t>ALTO FUND III</t>
  </si>
  <si>
    <t>40131217</t>
  </si>
  <si>
    <t>Viola Credit ALF III GP, L.P.</t>
  </si>
  <si>
    <t>Viola Credit ALF III (2), L.P.</t>
  </si>
  <si>
    <t>400300724</t>
  </si>
  <si>
    <t>AMI GP LP Inc</t>
  </si>
  <si>
    <t>אייפקס מדיום ישראל מורים</t>
  </si>
  <si>
    <t>402012152</t>
  </si>
  <si>
    <t>Insight Associates XII Buyout Annex, L.P.</t>
  </si>
  <si>
    <t>Insight Partners XII Anne</t>
  </si>
  <si>
    <t>400161121</t>
  </si>
  <si>
    <t>Electra Capital PM, LLC</t>
  </si>
  <si>
    <t>Electra Capital PM</t>
  </si>
  <si>
    <t>400140920</t>
  </si>
  <si>
    <t>Penfund Capital Partners VII Inc.</t>
  </si>
  <si>
    <t>Penfund Capital VII</t>
  </si>
  <si>
    <t>400020422</t>
  </si>
  <si>
    <t>FORMA FUND GENERAL PARTNER LTD</t>
  </si>
  <si>
    <t>Forma Fund</t>
  </si>
  <si>
    <t>400260318</t>
  </si>
  <si>
    <t>ArcLight PEF GP VIII GP, LLC</t>
  </si>
  <si>
    <t>ArcLight Fund VIII גננות</t>
  </si>
  <si>
    <t>400220525</t>
  </si>
  <si>
    <t>One Equity Partners</t>
  </si>
  <si>
    <t>One Equity Partners IX, L.P גננות</t>
  </si>
  <si>
    <t>400091024</t>
  </si>
  <si>
    <t>EQT X גננות</t>
  </si>
  <si>
    <t>400120623</t>
  </si>
  <si>
    <t>Coller Capital - CIP IX גננות</t>
  </si>
  <si>
    <t>400010724</t>
  </si>
  <si>
    <t>harbourvest Direct lending 2 Associats LP</t>
  </si>
  <si>
    <t>harbourvest Direct lending 2 Parallel Fund LP</t>
  </si>
  <si>
    <t>400250724</t>
  </si>
  <si>
    <t>Faering International Growth III</t>
  </si>
  <si>
    <t>400090523</t>
  </si>
  <si>
    <t>ICG Europe Fund VII GP S.? r.l.</t>
  </si>
  <si>
    <t>ICG Europe VII מורים</t>
  </si>
  <si>
    <t>400230818</t>
  </si>
  <si>
    <t>Vintage Fund of Funds VI (Breakout) GP, L.P.</t>
  </si>
  <si>
    <t>400291020</t>
  </si>
  <si>
    <t>Rialto Partners GP V-Debt, LP</t>
  </si>
  <si>
    <t>Rialto Real Estate Fund V Debt, LP</t>
  </si>
  <si>
    <t>400270224</t>
  </si>
  <si>
    <t>ICG NORTH AMEIRCA</t>
  </si>
  <si>
    <t>400250219</t>
  </si>
  <si>
    <t>Coller Credit Secondaries - Opportunities Fund II General Partner, L.P</t>
  </si>
  <si>
    <t>Coller Credit Secondaries Opportunities Fund II גנ</t>
  </si>
  <si>
    <t>400220425</t>
  </si>
  <si>
    <t>Gatewood Capital GP II LLC</t>
  </si>
  <si>
    <t>Gatewood II</t>
  </si>
  <si>
    <t>400290621</t>
  </si>
  <si>
    <t>Naftali Shaked Partners II Feeder LP</t>
  </si>
  <si>
    <t>נפתלי שקד גננות</t>
  </si>
  <si>
    <t>400240425</t>
  </si>
  <si>
    <t>שקד פרטנרס 2 ג'י.פי. בעמ</t>
  </si>
  <si>
    <t>שקד 2 מורים וגננות</t>
  </si>
  <si>
    <t>400120723</t>
  </si>
  <si>
    <t>RRED GP, LLC</t>
  </si>
  <si>
    <t>Related</t>
  </si>
  <si>
    <t>400061221</t>
  </si>
  <si>
    <t>LLCP Partners VII GP, L.P.</t>
  </si>
  <si>
    <t>Levine Leichtman Capital Partners Fund VII גננות</t>
  </si>
  <si>
    <t>400060325</t>
  </si>
  <si>
    <t>AMI II GP LP Inc</t>
  </si>
  <si>
    <t>AMI Opp. II גננות</t>
  </si>
  <si>
    <t>400300622</t>
  </si>
  <si>
    <t>NB Capital Solutions Associates III</t>
  </si>
  <si>
    <t>NB Capital Solutions Fund III Cayman LP</t>
  </si>
  <si>
    <t>400240625</t>
  </si>
  <si>
    <t>Pagaya AUTO Class B גננות</t>
  </si>
  <si>
    <t>403012213</t>
  </si>
  <si>
    <t>Pantheon Credit Secondaries Opportunities III - PCO III</t>
  </si>
  <si>
    <t>Pantheon Credit Secondaries Opportunities III</t>
  </si>
  <si>
    <t>400130825</t>
  </si>
  <si>
    <t>Penfund Capital VII CO-IN</t>
  </si>
  <si>
    <t>400030422</t>
  </si>
  <si>
    <t>Coller IX GP Led and Direct</t>
  </si>
  <si>
    <t>400080824</t>
  </si>
  <si>
    <t>Northwind Bloker גננות</t>
  </si>
  <si>
    <t>400070725</t>
  </si>
  <si>
    <t>ליהמן ברודר</t>
  </si>
  <si>
    <t>22756</t>
  </si>
  <si>
    <t>תשתיות ישראל ג'י. פי.  ניהול II , שותפות מוגבלת</t>
  </si>
  <si>
    <t>קרן תש"י - קרן 2 (מורים)</t>
  </si>
  <si>
    <t>400300811</t>
  </si>
  <si>
    <t>קרן גידור lehman brothers</t>
  </si>
  <si>
    <t>400230207</t>
  </si>
  <si>
    <t>31.12.25  AYANA  Warrants - CLA 2022</t>
  </si>
  <si>
    <t>400221123</t>
  </si>
  <si>
    <t>04/11/2024</t>
  </si>
  <si>
    <t>20/11/2023</t>
  </si>
  <si>
    <t>AYANA  Warrants - CLA 2021 Conversion</t>
  </si>
  <si>
    <t>403005192</t>
  </si>
  <si>
    <t>400310716</t>
  </si>
  <si>
    <t>01/01/2078</t>
  </si>
  <si>
    <t>30/05/2019</t>
  </si>
  <si>
    <t>AYANA   Warrants 2019 (SPA May 19)</t>
  </si>
  <si>
    <t>40110816</t>
  </si>
  <si>
    <t>11/08/2016</t>
  </si>
  <si>
    <t>570003066</t>
  </si>
  <si>
    <t>USDILS</t>
  </si>
  <si>
    <t>21/07/2025</t>
  </si>
  <si>
    <t>21/10/2025</t>
  </si>
  <si>
    <t>570003067</t>
  </si>
  <si>
    <t>EURILS</t>
  </si>
  <si>
    <t>570003090</t>
  </si>
  <si>
    <t>28/07/2025</t>
  </si>
  <si>
    <t>570003073</t>
  </si>
  <si>
    <t>22/07/2025</t>
  </si>
  <si>
    <t>570003052</t>
  </si>
  <si>
    <t>14/07/2025</t>
  </si>
  <si>
    <t>16/10/2025</t>
  </si>
  <si>
    <t>570003053</t>
  </si>
  <si>
    <t>570003148</t>
  </si>
  <si>
    <t>21/08/2025</t>
  </si>
  <si>
    <t>570003088</t>
  </si>
  <si>
    <t>570003179</t>
  </si>
  <si>
    <t>17/09/2025</t>
  </si>
  <si>
    <t>570003065</t>
  </si>
  <si>
    <t>GBPILS</t>
  </si>
  <si>
    <t>570003118</t>
  </si>
  <si>
    <t>07/08/2025</t>
  </si>
  <si>
    <t>570003184</t>
  </si>
  <si>
    <t>18/09/2025</t>
  </si>
  <si>
    <t>570002958</t>
  </si>
  <si>
    <t>22/05/2025</t>
  </si>
  <si>
    <t>26/11/2025</t>
  </si>
  <si>
    <t>570002942</t>
  </si>
  <si>
    <t>15/05/2025</t>
  </si>
  <si>
    <t>17/11/2025</t>
  </si>
  <si>
    <t>570002953</t>
  </si>
  <si>
    <t>21/05/2025</t>
  </si>
  <si>
    <t>03/11/2025</t>
  </si>
  <si>
    <t>570002954</t>
  </si>
  <si>
    <t>06/11/2025</t>
  </si>
  <si>
    <t>570003117</t>
  </si>
  <si>
    <t>05/11/2025</t>
  </si>
  <si>
    <t>570002957</t>
  </si>
  <si>
    <t>20/11/2025</t>
  </si>
  <si>
    <t>570002943</t>
  </si>
  <si>
    <t>570003110</t>
  </si>
  <si>
    <t>05/08/2025</t>
  </si>
  <si>
    <t>570003190</t>
  </si>
  <si>
    <t>29/09/2025</t>
  </si>
  <si>
    <t>06/01/2026</t>
  </si>
  <si>
    <t>570003180</t>
  </si>
  <si>
    <t>91114009</t>
  </si>
  <si>
    <t>21/05/2023</t>
  </si>
  <si>
    <t>AA+</t>
  </si>
  <si>
    <t>90552313</t>
  </si>
  <si>
    <t>10/01/2023</t>
  </si>
  <si>
    <t>Ba2.il</t>
  </si>
  <si>
    <t>91101006</t>
  </si>
  <si>
    <t>31/08/2003</t>
  </si>
  <si>
    <t>90301000</t>
  </si>
  <si>
    <t>25/03/2021</t>
  </si>
  <si>
    <t>30/06/2048</t>
  </si>
  <si>
    <t>91084014</t>
  </si>
  <si>
    <t>נדל"ן מניב - מגורים (כולל דיור מוגן)</t>
  </si>
  <si>
    <t>10/03/2022</t>
  </si>
  <si>
    <t>26/12/2026</t>
  </si>
  <si>
    <t>92060100</t>
  </si>
  <si>
    <t>12/07/2022</t>
  </si>
  <si>
    <t>25/03/2043</t>
  </si>
  <si>
    <t>400051217</t>
  </si>
  <si>
    <t>05/12/2017</t>
  </si>
  <si>
    <t>01/01/1753</t>
  </si>
  <si>
    <t>70001003</t>
  </si>
  <si>
    <t>28/03/2018</t>
  </si>
  <si>
    <t>30/09/2045</t>
  </si>
  <si>
    <t>90838510</t>
  </si>
  <si>
    <t>26/07/2017</t>
  </si>
  <si>
    <t>31/12/2036</t>
  </si>
  <si>
    <t>90145563</t>
  </si>
  <si>
    <t>28/04/2015</t>
  </si>
  <si>
    <t>70001002</t>
  </si>
  <si>
    <t>01/03/2047</t>
  </si>
  <si>
    <t>99110983</t>
  </si>
  <si>
    <t>06/02/2023</t>
  </si>
  <si>
    <t>04/02/2028</t>
  </si>
  <si>
    <t>90145300</t>
  </si>
  <si>
    <t>31/12/2017</t>
  </si>
  <si>
    <t>70001005</t>
  </si>
  <si>
    <t>31/10/2045</t>
  </si>
  <si>
    <t>91410006</t>
  </si>
  <si>
    <t>05/08/2024</t>
  </si>
  <si>
    <t>BBB-</t>
  </si>
  <si>
    <t>04/08/2026</t>
  </si>
  <si>
    <t>31/12/2024</t>
  </si>
  <si>
    <t>91084024</t>
  </si>
  <si>
    <t>27/11/2023</t>
  </si>
  <si>
    <t>90552201</t>
  </si>
  <si>
    <t>24/05/2023</t>
  </si>
  <si>
    <t>24/11/2026</t>
  </si>
  <si>
    <t>9139730</t>
  </si>
  <si>
    <t>29/09/2022</t>
  </si>
  <si>
    <t>70001004</t>
  </si>
  <si>
    <t>70001001</t>
  </si>
  <si>
    <t>90552122</t>
  </si>
  <si>
    <t>01/01/2025</t>
  </si>
  <si>
    <t>07/12/2025</t>
  </si>
  <si>
    <t>94110002</t>
  </si>
  <si>
    <t>09/01/2025</t>
  </si>
  <si>
    <t>09/01/2026</t>
  </si>
  <si>
    <t>92060106</t>
  </si>
  <si>
    <t>19/06/2023</t>
  </si>
  <si>
    <t>90552200</t>
  </si>
  <si>
    <t>90107211</t>
  </si>
  <si>
    <t>02/06/2014</t>
  </si>
  <si>
    <t>92060105</t>
  </si>
  <si>
    <t>16/11/2022</t>
  </si>
  <si>
    <t>90552204</t>
  </si>
  <si>
    <t>14/12/2023</t>
  </si>
  <si>
    <t>90552202</t>
  </si>
  <si>
    <t>02/07/2023</t>
  </si>
  <si>
    <t>90301001</t>
  </si>
  <si>
    <t>90552203</t>
  </si>
  <si>
    <t>01/10/2023</t>
  </si>
  <si>
    <t>92060107</t>
  </si>
  <si>
    <t>24/09/2024</t>
  </si>
  <si>
    <t>90552205</t>
  </si>
  <si>
    <t>01/04/2024</t>
  </si>
  <si>
    <t>400310825</t>
  </si>
  <si>
    <t>31/08/2025</t>
  </si>
  <si>
    <t>90838531</t>
  </si>
  <si>
    <t>28/11/2017</t>
  </si>
  <si>
    <t>90552206</t>
  </si>
  <si>
    <t>01/10/2024</t>
  </si>
  <si>
    <t>90552123</t>
  </si>
  <si>
    <t>90552120</t>
  </si>
  <si>
    <t>23/04/2025</t>
  </si>
  <si>
    <t>90552116</t>
  </si>
  <si>
    <t>08/12/2024</t>
  </si>
  <si>
    <t>90552119</t>
  </si>
  <si>
    <t>24/03/2025</t>
  </si>
  <si>
    <t>90552117</t>
  </si>
  <si>
    <t>05/01/2025</t>
  </si>
  <si>
    <t>90552118</t>
  </si>
  <si>
    <t>11/02/2025</t>
  </si>
  <si>
    <t>90838501</t>
  </si>
  <si>
    <t>01/05/2018</t>
  </si>
  <si>
    <t>90552121</t>
  </si>
  <si>
    <t>01/07/2025</t>
  </si>
  <si>
    <t>90552124</t>
  </si>
  <si>
    <t>90146006</t>
  </si>
  <si>
    <t>30/12/2014</t>
  </si>
  <si>
    <t>28/06/2018</t>
  </si>
  <si>
    <t>90146007</t>
  </si>
  <si>
    <t>30/12/2019</t>
  </si>
  <si>
    <t>400211123</t>
  </si>
  <si>
    <t>21/11/2023</t>
  </si>
  <si>
    <t>90300081</t>
  </si>
  <si>
    <t>25/08/2028</t>
  </si>
  <si>
    <t>90300050</t>
  </si>
  <si>
    <t>31/05/2023</t>
  </si>
  <si>
    <t>90300044</t>
  </si>
  <si>
    <t>90300043</t>
  </si>
  <si>
    <t>25/05/2023</t>
  </si>
  <si>
    <t>91731000</t>
  </si>
  <si>
    <t>11/09/2022</t>
  </si>
  <si>
    <t>91073007</t>
  </si>
  <si>
    <t>90150720</t>
  </si>
  <si>
    <t>28/10/1999</t>
  </si>
  <si>
    <t>90150520</t>
  </si>
  <si>
    <t>28/09/2004</t>
  </si>
  <si>
    <t>90150300</t>
  </si>
  <si>
    <t>28/06/2007</t>
  </si>
  <si>
    <t>קבוצת דלק בע"מ</t>
  </si>
  <si>
    <t>520044322</t>
  </si>
  <si>
    <t>זכויות על תמלוגים במאגר תמר גננות</t>
  </si>
  <si>
    <t>400311219</t>
  </si>
  <si>
    <t>31/12/2019</t>
  </si>
  <si>
    <t>רויאלטיז של אינטגרה</t>
  </si>
  <si>
    <t>400505131</t>
  </si>
  <si>
    <t>08/05/2026</t>
  </si>
  <si>
    <t>אבנון 2021 ח.ש</t>
  </si>
  <si>
    <t>98700001</t>
  </si>
  <si>
    <t xml:space="preserve">שם גליון </t>
  </si>
  <si>
    <t>קישור לגליון</t>
  </si>
  <si>
    <t>עמוד פתיחה</t>
  </si>
  <si>
    <t>30/09/2025</t>
  </si>
  <si>
    <t>סכום נכסים</t>
  </si>
  <si>
    <t>לא סחיר מניות מבכ ויהש</t>
  </si>
  <si>
    <t>מניות מבכ ויהש</t>
  </si>
  <si>
    <t>520027251_gm_p_0325.xlsx</t>
  </si>
  <si>
    <t>דיין תמיר</t>
  </si>
  <si>
    <t>03-5155476</t>
  </si>
  <si>
    <t>dayan.t@fibi.co.il</t>
  </si>
  <si>
    <t>מעבר לגליון</t>
  </si>
  <si>
    <t>סעיף</t>
  </si>
  <si>
    <t>עמודה1</t>
  </si>
  <si>
    <t>עמודה2</t>
  </si>
  <si>
    <t>עמודה3</t>
  </si>
  <si>
    <t>עמודה4</t>
  </si>
  <si>
    <t>שער חליפין2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</si>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</sst>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"/>
    <numFmt numFmtId="166" formatCode="#,##0.000"/>
    <numFmt numFmtId="167" formatCode="#,##0.000%"/>
    <numFmt numFmtId="168" formatCode="0.000%"/>
    <numFmt numFmtId="169" formatCode="0.000;\-0.000"/>
    <numFmt numFmtId="171" formatCode="_ * #,##0.000_ ;_ * \-#,##0.000_ ;_ * &quot;-&quot;???_ ;_ @_ "/>
  </numFmts>
  <fonts count="3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61851863155"/>
      <name val="Open Sans"/>
      <family val="2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5422223578601"/>
      <name val="Wingdings"/>
      <family val="2"/>
      <charset val="2"/>
    </font>
    <font>
      <b/>
      <sz val="12"/>
      <color theme="9" tint="-0.49995422223578601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charset val="177"/>
      <scheme val="minor"/>
    </font>
    <font>
      <sz val="10"/>
      <color theme="2" tint="-0.749992370372631"/>
      <name val="Open Sans"/>
      <family val="2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88402966399123"/>
      </top>
      <bottom/>
      <diagonal/>
    </border>
    <border>
      <left style="thin">
        <color theme="2" tint="-0.24991607409894101"/>
      </left>
      <right style="thin">
        <color theme="2" tint="-0.24991607409894101"/>
      </right>
      <top style="thin">
        <color theme="2" tint="-0.24991607409894101"/>
      </top>
      <bottom style="thin">
        <color theme="2" tint="-0.249916074098941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0" fillId="0" borderId="0"/>
    <xf numFmtId="0" fontId="20" fillId="0" borderId="0"/>
    <xf numFmtId="0" fontId="8" fillId="0" borderId="1" applyNumberFormat="0" applyFill="0" applyAlignment="0" applyProtection="0"/>
    <xf numFmtId="9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16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5" fillId="2" borderId="0" xfId="0" applyFont="1" applyFill="1"/>
    <xf numFmtId="0" fontId="6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2" fillId="2" borderId="0" xfId="0" applyFont="1" applyFill="1"/>
    <xf numFmtId="0" fontId="1" fillId="0" borderId="0" xfId="0" applyFont="1" applyProtection="1">
      <protection locked="0"/>
    </xf>
    <xf numFmtId="0" fontId="1" fillId="4" borderId="2" xfId="0" applyFont="1" applyFill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8" fillId="0" borderId="0" xfId="0" applyFont="1"/>
    <xf numFmtId="0" fontId="8" fillId="0" borderId="0" xfId="0" applyFont="1" applyProtection="1">
      <protection locked="0"/>
    </xf>
    <xf numFmtId="0" fontId="7" fillId="5" borderId="0" xfId="1" applyFont="1" applyFill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0" fontId="10" fillId="0" borderId="0" xfId="0" applyFont="1"/>
    <xf numFmtId="0" fontId="11" fillId="0" borderId="3" xfId="0" applyFont="1" applyBorder="1" applyAlignment="1">
      <alignment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2" fontId="11" fillId="0" borderId="3" xfId="0" applyNumberFormat="1" applyFont="1" applyBorder="1" applyAlignment="1">
      <alignment vertical="center" wrapText="1" readingOrder="2"/>
    </xf>
    <xf numFmtId="165" fontId="11" fillId="0" borderId="3" xfId="0" applyNumberFormat="1" applyFont="1" applyBorder="1" applyAlignment="1">
      <alignment vertical="center" wrapText="1" readingOrder="2"/>
    </xf>
    <xf numFmtId="0" fontId="0" fillId="6" borderId="0" xfId="0" applyFill="1"/>
    <xf numFmtId="0" fontId="12" fillId="0" borderId="3" xfId="0" applyFont="1" applyBorder="1" applyAlignment="1">
      <alignment vertical="center" wrapText="1" readingOrder="2"/>
    </xf>
    <xf numFmtId="0" fontId="4" fillId="0" borderId="4" xfId="0" applyFont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2" xfId="0" applyFill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4" borderId="5" xfId="0" applyFill="1" applyBorder="1" applyAlignment="1">
      <alignment horizontal="right"/>
    </xf>
    <xf numFmtId="0" fontId="0" fillId="4" borderId="6" xfId="0" applyFill="1" applyBorder="1" applyAlignment="1">
      <alignment horizontal="right"/>
    </xf>
    <xf numFmtId="0" fontId="14" fillId="0" borderId="0" xfId="0" applyFont="1"/>
    <xf numFmtId="0" fontId="0" fillId="0" borderId="6" xfId="0" applyBorder="1" applyAlignment="1">
      <alignment horizontal="right"/>
    </xf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6" xfId="0" applyBorder="1" applyAlignment="1">
      <alignment vertical="top"/>
    </xf>
    <xf numFmtId="0" fontId="0" fillId="4" borderId="5" xfId="0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0" fillId="4" borderId="6" xfId="0" applyFill="1" applyBorder="1" applyAlignment="1">
      <alignment vertical="top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5" xfId="0" applyFill="1" applyBorder="1" applyAlignment="1">
      <alignment horizontal="right" vertical="top"/>
    </xf>
    <xf numFmtId="0" fontId="0" fillId="4" borderId="7" xfId="0" applyFill="1" applyBorder="1" applyAlignment="1">
      <alignment horizontal="right" vertical="top"/>
    </xf>
    <xf numFmtId="0" fontId="0" fillId="4" borderId="5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0" borderId="8" xfId="0" applyBorder="1" applyAlignment="1">
      <alignment horizontal="right" vertical="top"/>
    </xf>
    <xf numFmtId="0" fontId="0" fillId="4" borderId="5" xfId="0" applyFill="1" applyBorder="1" applyAlignment="1">
      <alignment horizontal="right" vertical="top" wrapText="1"/>
    </xf>
    <xf numFmtId="0" fontId="0" fillId="4" borderId="7" xfId="0" applyFill="1" applyBorder="1" applyAlignment="1">
      <alignment horizontal="right" vertical="top" wrapText="1"/>
    </xf>
    <xf numFmtId="0" fontId="0" fillId="4" borderId="8" xfId="0" applyFill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4" borderId="5" xfId="0" applyFill="1" applyBorder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7" fillId="5" borderId="9" xfId="1" applyFont="1" applyFill="1" applyBorder="1" applyAlignment="1" applyProtection="1">
      <alignment horizontal="right" vertical="center" wrapText="1"/>
      <protection locked="0"/>
    </xf>
    <xf numFmtId="0" fontId="7" fillId="5" borderId="9" xfId="1" applyFont="1" applyFill="1" applyBorder="1" applyAlignment="1">
      <alignment horizontal="right" vertical="center" wrapText="1"/>
    </xf>
    <xf numFmtId="0" fontId="7" fillId="5" borderId="9" xfId="1" applyFont="1" applyFill="1" applyBorder="1" applyAlignment="1" applyProtection="1">
      <alignment horizontal="left" vertical="center" wrapText="1" indent="1"/>
      <protection locked="0"/>
    </xf>
    <xf numFmtId="0" fontId="7" fillId="5" borderId="9" xfId="1" applyFont="1" applyFill="1" applyBorder="1" applyAlignment="1" applyProtection="1">
      <alignment vertical="center" wrapText="1"/>
      <protection locked="0"/>
    </xf>
    <xf numFmtId="0" fontId="12" fillId="0" borderId="11" xfId="0" applyFont="1" applyBorder="1"/>
    <xf numFmtId="0" fontId="12" fillId="0" borderId="12" xfId="0" applyFont="1" applyBorder="1"/>
    <xf numFmtId="0" fontId="12" fillId="0" borderId="13" xfId="0" applyFont="1" applyBorder="1" applyAlignment="1">
      <alignment horizontal="right"/>
    </xf>
    <xf numFmtId="0" fontId="15" fillId="0" borderId="3" xfId="0" applyFont="1" applyBorder="1" applyAlignment="1">
      <alignment horizontal="center" vertical="center" wrapText="1" readingOrder="2"/>
    </xf>
    <xf numFmtId="0" fontId="16" fillId="0" borderId="3" xfId="0" applyFont="1" applyBorder="1" applyAlignment="1">
      <alignment vertical="center" wrapText="1" readingOrder="2"/>
    </xf>
    <xf numFmtId="0" fontId="1" fillId="0" borderId="14" xfId="0" applyFont="1" applyBorder="1" applyAlignment="1">
      <alignment horizontal="right" vertical="top"/>
    </xf>
    <xf numFmtId="0" fontId="0" fillId="4" borderId="7" xfId="0" applyFill="1" applyBorder="1" applyAlignment="1">
      <alignment horizontal="right"/>
    </xf>
    <xf numFmtId="0" fontId="0" fillId="0" borderId="15" xfId="0" applyBorder="1" applyAlignment="1">
      <alignment horizontal="right" vertical="top"/>
    </xf>
    <xf numFmtId="0" fontId="0" fillId="0" borderId="16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8" fillId="4" borderId="2" xfId="0" applyFont="1" applyFill="1" applyBorder="1" applyAlignment="1">
      <alignment horizontal="right"/>
    </xf>
    <xf numFmtId="0" fontId="18" fillId="4" borderId="2" xfId="0" applyFont="1" applyFill="1" applyBorder="1" applyAlignment="1">
      <alignment horizontal="right"/>
    </xf>
    <xf numFmtId="0" fontId="0" fillId="0" borderId="2" xfId="0" applyBorder="1" applyAlignment="1">
      <alignment horizontal="right" readingOrder="1"/>
    </xf>
    <xf numFmtId="0" fontId="0" fillId="0" borderId="2" xfId="0" applyBorder="1" applyAlignment="1">
      <alignment readingOrder="1"/>
    </xf>
    <xf numFmtId="0" fontId="19" fillId="4" borderId="2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17" xfId="0" applyFont="1" applyBorder="1" applyAlignment="1">
      <alignment horizontal="center" vertical="center" wrapText="1"/>
    </xf>
    <xf numFmtId="0" fontId="8" fillId="0" borderId="1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2" borderId="0" xfId="0" applyFont="1" applyFill="1" applyAlignment="1">
      <alignment horizontal="right" vertical="top"/>
    </xf>
    <xf numFmtId="166" fontId="0" fillId="0" borderId="0" xfId="0" applyNumberFormat="1"/>
    <xf numFmtId="167" fontId="0" fillId="0" borderId="0" xfId="0" applyNumberFormat="1"/>
    <xf numFmtId="0" fontId="22" fillId="7" borderId="18" xfId="0" applyFont="1" applyFill="1" applyBorder="1" applyAlignment="1">
      <alignment horizontal="right"/>
    </xf>
    <xf numFmtId="0" fontId="22" fillId="7" borderId="19" xfId="0" applyFont="1" applyFill="1" applyBorder="1" applyAlignment="1">
      <alignment horizontal="right"/>
    </xf>
    <xf numFmtId="0" fontId="0" fillId="0" borderId="18" xfId="0" applyBorder="1" applyAlignment="1">
      <alignment horizontal="right"/>
    </xf>
    <xf numFmtId="0" fontId="23" fillId="5" borderId="18" xfId="1" applyFont="1" applyFill="1" applyBorder="1" applyAlignment="1">
      <alignment horizontal="right" vertical="center" wrapText="1" indent="1"/>
    </xf>
    <xf numFmtId="0" fontId="0" fillId="0" borderId="18" xfId="0" applyBorder="1" applyAlignment="1">
      <alignment horizontal="right" vertical="top"/>
    </xf>
    <xf numFmtId="0" fontId="0" fillId="0" borderId="21" xfId="0" applyBorder="1" applyAlignment="1">
      <alignment horizontal="right"/>
    </xf>
    <xf numFmtId="168" fontId="8" fillId="0" borderId="1" xfId="3" applyNumberFormat="1" applyAlignment="1">
      <alignment horizontal="center" vertical="center" wrapText="1"/>
    </xf>
    <xf numFmtId="0" fontId="7" fillId="5" borderId="9" xfId="1" quotePrefix="1" applyFont="1" applyFill="1" applyBorder="1" applyAlignment="1" applyProtection="1">
      <alignment horizontal="right" vertical="center" wrapText="1"/>
      <protection locked="0"/>
    </xf>
    <xf numFmtId="0" fontId="24" fillId="0" borderId="19" xfId="6" applyBorder="1" applyAlignment="1">
      <alignment horizontal="right"/>
    </xf>
    <xf numFmtId="0" fontId="24" fillId="0" borderId="22" xfId="6" applyBorder="1" applyAlignment="1">
      <alignment horizontal="right"/>
    </xf>
    <xf numFmtId="0" fontId="4" fillId="0" borderId="10" xfId="0" applyFont="1" applyBorder="1"/>
    <xf numFmtId="0" fontId="3" fillId="3" borderId="10" xfId="0" applyFont="1" applyFill="1" applyBorder="1" applyAlignment="1">
      <alignment horizontal="right" vertical="center" wrapText="1"/>
    </xf>
    <xf numFmtId="0" fontId="4" fillId="0" borderId="25" xfId="0" applyFont="1" applyBorder="1"/>
    <xf numFmtId="0" fontId="25" fillId="5" borderId="20" xfId="0" applyFont="1" applyFill="1" applyBorder="1" applyAlignment="1">
      <alignment vertical="center"/>
    </xf>
    <xf numFmtId="0" fontId="4" fillId="0" borderId="23" xfId="0" applyFont="1" applyBorder="1"/>
    <xf numFmtId="0" fontId="4" fillId="0" borderId="24" xfId="0" applyFont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right" vertical="center"/>
    </xf>
    <xf numFmtId="0" fontId="27" fillId="5" borderId="20" xfId="0" applyFont="1" applyFill="1" applyBorder="1" applyAlignment="1">
      <alignment horizontal="center" vertical="center"/>
    </xf>
    <xf numFmtId="0" fontId="27" fillId="5" borderId="29" xfId="0" applyFont="1" applyFill="1" applyBorder="1" applyAlignment="1">
      <alignment horizontal="center" vertical="center" wrapText="1"/>
    </xf>
    <xf numFmtId="0" fontId="27" fillId="5" borderId="30" xfId="0" applyFont="1" applyFill="1" applyBorder="1" applyAlignment="1">
      <alignment horizontal="center" vertical="center" wrapText="1"/>
    </xf>
    <xf numFmtId="0" fontId="27" fillId="5" borderId="31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0" xfId="0" applyBorder="1"/>
    <xf numFmtId="166" fontId="0" fillId="0" borderId="20" xfId="0" applyNumberFormat="1" applyBorder="1"/>
    <xf numFmtId="0" fontId="17" fillId="0" borderId="20" xfId="0" applyFont="1" applyBorder="1" applyAlignment="1">
      <alignment horizontal="center"/>
    </xf>
    <xf numFmtId="167" fontId="0" fillId="0" borderId="20" xfId="0" applyNumberFormat="1" applyBorder="1"/>
    <xf numFmtId="167" fontId="0" fillId="0" borderId="27" xfId="0" applyNumberFormat="1" applyBorder="1"/>
    <xf numFmtId="0" fontId="0" fillId="0" borderId="32" xfId="0" applyBorder="1"/>
    <xf numFmtId="0" fontId="0" fillId="0" borderId="33" xfId="0" applyBorder="1"/>
    <xf numFmtId="166" fontId="0" fillId="0" borderId="33" xfId="0" applyNumberFormat="1" applyBorder="1"/>
    <xf numFmtId="167" fontId="0" fillId="0" borderId="33" xfId="0" applyNumberFormat="1" applyBorder="1"/>
    <xf numFmtId="167" fontId="0" fillId="0" borderId="26" xfId="0" applyNumberFormat="1" applyBorder="1"/>
    <xf numFmtId="0" fontId="1" fillId="0" borderId="20" xfId="0" applyFont="1" applyBorder="1" applyProtection="1">
      <protection locked="0"/>
    </xf>
    <xf numFmtId="0" fontId="1" fillId="0" borderId="20" xfId="0" applyFont="1" applyBorder="1"/>
    <xf numFmtId="0" fontId="1" fillId="0" borderId="33" xfId="0" applyFont="1" applyBorder="1"/>
    <xf numFmtId="0" fontId="0" fillId="0" borderId="20" xfId="0" applyBorder="1" applyProtection="1">
      <protection locked="0"/>
    </xf>
    <xf numFmtId="0" fontId="1" fillId="0" borderId="27" xfId="0" applyFont="1" applyBorder="1"/>
    <xf numFmtId="0" fontId="1" fillId="0" borderId="33" xfId="0" applyFont="1" applyBorder="1" applyProtection="1">
      <protection locked="0"/>
    </xf>
    <xf numFmtId="0" fontId="0" fillId="0" borderId="33" xfId="0" applyBorder="1" applyProtection="1">
      <protection locked="0"/>
    </xf>
    <xf numFmtId="0" fontId="1" fillId="0" borderId="26" xfId="0" applyFont="1" applyBorder="1"/>
    <xf numFmtId="0" fontId="0" fillId="0" borderId="27" xfId="0" applyBorder="1" applyProtection="1">
      <protection locked="0"/>
    </xf>
    <xf numFmtId="0" fontId="0" fillId="0" borderId="26" xfId="0" applyBorder="1" applyProtection="1">
      <protection locked="0"/>
    </xf>
    <xf numFmtId="17" fontId="0" fillId="0" borderId="20" xfId="0" applyNumberFormat="1" applyBorder="1"/>
    <xf numFmtId="0" fontId="0" fillId="0" borderId="27" xfId="0" applyBorder="1"/>
    <xf numFmtId="0" fontId="0" fillId="0" borderId="26" xfId="0" applyBorder="1"/>
    <xf numFmtId="14" fontId="0" fillId="0" borderId="20" xfId="0" applyNumberFormat="1" applyBorder="1"/>
    <xf numFmtId="14" fontId="0" fillId="0" borderId="20" xfId="0" applyNumberFormat="1" applyBorder="1" applyProtection="1">
      <protection locked="0"/>
    </xf>
    <xf numFmtId="0" fontId="27" fillId="5" borderId="30" xfId="0" applyFont="1" applyFill="1" applyBorder="1" applyAlignment="1">
      <alignment horizontal="center" vertical="center" wrapText="1" readingOrder="2"/>
    </xf>
    <xf numFmtId="169" fontId="0" fillId="0" borderId="20" xfId="0" applyNumberFormat="1" applyBorder="1"/>
    <xf numFmtId="0" fontId="0" fillId="0" borderId="20" xfId="0" applyBorder="1" applyAlignment="1">
      <alignment horizontal="center"/>
    </xf>
    <xf numFmtId="167" fontId="0" fillId="0" borderId="20" xfId="0" applyNumberFormat="1" applyBorder="1" applyProtection="1">
      <protection locked="0"/>
    </xf>
    <xf numFmtId="168" fontId="0" fillId="0" borderId="20" xfId="0" applyNumberFormat="1" applyBorder="1" applyProtection="1">
      <protection locked="0"/>
    </xf>
    <xf numFmtId="168" fontId="0" fillId="0" borderId="20" xfId="0" applyNumberFormat="1" applyBorder="1"/>
    <xf numFmtId="0" fontId="1" fillId="0" borderId="27" xfId="0" applyFont="1" applyBorder="1" applyProtection="1">
      <protection locked="0"/>
    </xf>
    <xf numFmtId="14" fontId="0" fillId="0" borderId="27" xfId="0" applyNumberFormat="1" applyBorder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28" fillId="0" borderId="0" xfId="0" applyFont="1"/>
    <xf numFmtId="0" fontId="17" fillId="0" borderId="0" xfId="0" applyFont="1"/>
    <xf numFmtId="0" fontId="17" fillId="0" borderId="0" xfId="0" applyFont="1" applyAlignment="1">
      <alignment vertical="center" wrapText="1"/>
    </xf>
    <xf numFmtId="0" fontId="29" fillId="0" borderId="0" xfId="0" applyFont="1"/>
    <xf numFmtId="0" fontId="17" fillId="0" borderId="0" xfId="0" applyFont="1" applyProtection="1">
      <protection locked="0"/>
    </xf>
    <xf numFmtId="166" fontId="8" fillId="0" borderId="0" xfId="0" applyNumberFormat="1" applyFont="1"/>
    <xf numFmtId="171" fontId="8" fillId="0" borderId="1" xfId="3" applyNumberFormat="1" applyAlignment="1">
      <alignment horizontal="center" vertical="center" wrapText="1"/>
    </xf>
  </cellXfs>
  <cellStyles count="7">
    <cellStyle name="Comma 2" xfId="5" xr:uid="{00000000-0005-0000-0000-000000000000}"/>
    <cellStyle name="Normal" xfId="0" builtinId="0"/>
    <cellStyle name="Normal 3" xfId="1" xr:uid="{00000000-0005-0000-0000-000002000000}"/>
    <cellStyle name="Normal 9" xfId="2" xr:uid="{00000000-0005-0000-0000-000003000000}"/>
    <cellStyle name="Percent 2" xfId="4" xr:uid="{00000000-0005-0000-0000-000004000000}"/>
    <cellStyle name="היפר-קישור" xfId="6" builtinId="8"/>
    <cellStyle name="סה&quot;כ" xfId="3" builtinId="25"/>
  </cellStyles>
  <dxfs count="916"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left style="hair">
          <color theme="1"/>
        </left>
        <top style="hair">
          <color theme="1"/>
        </top>
        <bottom style="hair">
          <color theme="1"/>
        </bottom>
      </border>
    </dxf>
    <dxf>
      <border outline="0">
        <bottom style="hair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סכום נכסים" displayName="סכום_נכסים" ref="A2:E33" totalsRowShown="0" headerRowBorderDxfId="915" tableBorderDxfId="914">
  <autoFilter ref="A2:E33" xr:uid="{00000000-0009-0000-0100-000001000000}"/>
  <tableColumns count="5">
    <tableColumn id="1" xr3:uid="{00000000-0010-0000-0000-000001000000}" name="עמודה1"/>
    <tableColumn id="2" xr3:uid="{00000000-0010-0000-0000-000002000000}" name="עמודה2"/>
    <tableColumn id="3" xr3:uid="{00000000-0010-0000-0000-000003000000}" name="ידווח בקבצי נכסי הנוסטרו בלבד"/>
    <tableColumn id="4" xr3:uid="{00000000-0010-0000-0000-000004000000}" name="עמודה3"/>
    <tableColumn id="5" xr3:uid="{00000000-0010-0000-0000-000005000000}" name="עמודה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מזומנים ושווי מזומנים" displayName="מזומנים_ושווי_מזומנים" ref="A2:Q25" totalsRowShown="0" headerRowDxfId="913" dataDxfId="911" headerRowBorderDxfId="912" tableBorderDxfId="910" totalsRowBorderDxfId="909">
  <autoFilter ref="A2:Q25" xr:uid="{00000000-0009-0000-0100-000002000000}"/>
  <tableColumns count="17">
    <tableColumn id="1" xr3:uid="{00000000-0010-0000-0100-000001000000}" name="מספר קופה/קרן/ח.פ. עבור חברת ביטוח" dataDxfId="908"/>
    <tableColumn id="2" xr3:uid="{00000000-0010-0000-0100-000002000000}" name="מספר מסלול" dataDxfId="907"/>
    <tableColumn id="3" xr3:uid="{00000000-0010-0000-0100-000003000000}" name="שם הבנק" dataDxfId="906"/>
    <tableColumn id="4" xr3:uid="{00000000-0010-0000-0100-000004000000}" name="מספר מזהה בנק" dataDxfId="905"/>
    <tableColumn id="5" xr3:uid="{00000000-0010-0000-0100-000005000000}" name="סוג מספר מזהה בנק" dataDxfId="904"/>
    <tableColumn id="6" xr3:uid="{00000000-0010-0000-0100-000006000000}" name="מאפיין עיקרי" dataDxfId="903"/>
    <tableColumn id="7" xr3:uid="{00000000-0010-0000-0100-000007000000}" name="ישראל/חו&quot;ל" dataDxfId="902"/>
    <tableColumn id="8" xr3:uid="{00000000-0010-0000-0100-000008000000}" name="בעל עניין/צד קשור" dataDxfId="901"/>
    <tableColumn id="9" xr3:uid="{00000000-0010-0000-0100-000009000000}" name="דירוג הבנק" dataDxfId="900"/>
    <tableColumn id="10" xr3:uid="{00000000-0010-0000-0100-00000A000000}" name="שם מדרג" dataDxfId="899"/>
    <tableColumn id="11" xr3:uid="{00000000-0010-0000-0100-00000B000000}" name="מטבע פעילות" dataDxfId="898"/>
    <tableColumn id="12" xr3:uid="{00000000-0010-0000-0100-00000C000000}" name="שווי מטבעי" dataDxfId="897"/>
    <tableColumn id="13" xr3:uid="{00000000-0010-0000-0100-00000D000000}" name="שער חליפין" dataDxfId="896"/>
    <tableColumn id="14" xr3:uid="{00000000-0010-0000-0100-00000E000000}" name="שיעור ריבית" dataDxfId="895"/>
    <tableColumn id="15" xr3:uid="{00000000-0010-0000-0100-00000F000000}" name="שווי הוגן (באלפי ש&quot;ח)" dataDxfId="894"/>
    <tableColumn id="16" xr3:uid="{00000000-0010-0000-0100-000010000000}" name="שיעור מנכסי אפיק ההשקעה" dataDxfId="893"/>
    <tableColumn id="17" xr3:uid="{00000000-0010-0000-0100-000011000000}" name="שיעור מסך נכסי ההשקעה" dataDxfId="89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איגרות חוב ממשלתיות" displayName="איגרות_חוב_ממשלתיות" ref="A2:Z129" totalsRowShown="0" headerRowDxfId="891" dataDxfId="889" headerRowBorderDxfId="890" tableBorderDxfId="888" totalsRowBorderDxfId="887">
  <autoFilter ref="A2:Z129" xr:uid="{00000000-0009-0000-0100-000003000000}"/>
  <tableColumns count="26">
    <tableColumn id="1" xr3:uid="{00000000-0010-0000-0200-000001000000}" name="מספר קופה/קרן/ח.פ. עבור חברת ביטוח" dataDxfId="886"/>
    <tableColumn id="2" xr3:uid="{00000000-0010-0000-0200-000002000000}" name="מספר מסלול" dataDxfId="885"/>
    <tableColumn id="3" xr3:uid="{00000000-0010-0000-0200-000003000000}" name="שם מנפיק" dataDxfId="884"/>
    <tableColumn id="4" xr3:uid="{00000000-0010-0000-0200-000004000000}" name="שם נייר ערך" dataDxfId="883"/>
    <tableColumn id="5" xr3:uid="{00000000-0010-0000-0200-000005000000}" name="מספר נייר ערך" dataDxfId="882"/>
    <tableColumn id="6" xr3:uid="{00000000-0010-0000-0200-000006000000}" name="מאפיין עיקרי" dataDxfId="881"/>
    <tableColumn id="7" xr3:uid="{00000000-0010-0000-0200-000007000000}" name="ישראל/חו&quot;ל" dataDxfId="880"/>
    <tableColumn id="8" xr3:uid="{00000000-0010-0000-0200-000008000000}" name="מדינה לפי חשיפה כלכלית" dataDxfId="879"/>
    <tableColumn id="9" xr3:uid="{00000000-0010-0000-0200-000009000000}" name="זירת מסחר" dataDxfId="878"/>
    <tableColumn id="10" xr3:uid="{00000000-0010-0000-0200-00000A000000}" name="דירוג" dataDxfId="877"/>
    <tableColumn id="11" xr3:uid="{00000000-0010-0000-0200-00000B000000}" name="שם מדרג" dataDxfId="876"/>
    <tableColumn id="12" xr3:uid="{00000000-0010-0000-0200-00000C000000}" name="מטבע פעילות" dataDxfId="875"/>
    <tableColumn id="13" xr3:uid="{00000000-0010-0000-0200-00000D000000}" name="מח&quot;מ" dataDxfId="874"/>
    <tableColumn id="14" xr3:uid="{00000000-0010-0000-0200-00000E000000}" name="מועד פדיון" dataDxfId="873"/>
    <tableColumn id="15" xr3:uid="{00000000-0010-0000-0200-00000F000000}" name="שיעור ריבית" dataDxfId="872"/>
    <tableColumn id="16" xr3:uid="{00000000-0010-0000-0200-000010000000}" name="תשואה לפדיון" dataDxfId="871"/>
    <tableColumn id="17" xr3:uid="{00000000-0010-0000-0200-000011000000}" name="סכום לקבל (במטבע הפעילות)" dataDxfId="870"/>
    <tableColumn id="18" xr3:uid="{00000000-0010-0000-0200-000012000000}" name="ערך נקוב (יחידות)" dataDxfId="869"/>
    <tableColumn id="19" xr3:uid="{00000000-0010-0000-0200-000013000000}" name="שער חליפין" dataDxfId="868"/>
    <tableColumn id="20" xr3:uid="{00000000-0010-0000-0200-000014000000}" name="שער נייר הערך" dataDxfId="867"/>
    <tableColumn id="21" xr3:uid="{00000000-0010-0000-0200-000015000000}" name="שווי הוגן (באלפי ש&quot;ח)" dataDxfId="866"/>
    <tableColumn id="22" xr3:uid="{00000000-0010-0000-0200-000016000000}" name="עלות מופחתת (באלפי ש&quot;ח)" dataDxfId="865"/>
    <tableColumn id="23" xr3:uid="{00000000-0010-0000-0200-000017000000}" name="השיטה שיושמה בדוח הכספי" dataDxfId="864"/>
    <tableColumn id="24" xr3:uid="{00000000-0010-0000-0200-000018000000}" name="שיעור מערך נקוב מונפק" dataDxfId="863"/>
    <tableColumn id="25" xr3:uid="{00000000-0010-0000-0200-000019000000}" name="שיעור מנכסי אפיק ההשקעה" dataDxfId="862"/>
    <tableColumn id="26" xr3:uid="{00000000-0010-0000-0200-00001A000000}" name="שיעור מסך נכסי ההשקעה" dataDxfId="86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ניירות ערך מסחריים" displayName="ניירות_ערך_מסחריים" ref="A2:AJ8" totalsRowShown="0" headerRowDxfId="860" dataDxfId="858" headerRowBorderDxfId="859" tableBorderDxfId="857" totalsRowBorderDxfId="856">
  <autoFilter ref="A2:AJ8" xr:uid="{00000000-0009-0000-0100-000004000000}"/>
  <tableColumns count="36">
    <tableColumn id="1" xr3:uid="{00000000-0010-0000-0300-000001000000}" name="מספר קופה/קרן/ח.פ. עבור חברת ביטוח" dataDxfId="855"/>
    <tableColumn id="2" xr3:uid="{00000000-0010-0000-0300-000002000000}" name="מספר מסלול" dataDxfId="854"/>
    <tableColumn id="3" xr3:uid="{00000000-0010-0000-0300-000003000000}" name="שם מנפיק" dataDxfId="853"/>
    <tableColumn id="4" xr3:uid="{00000000-0010-0000-0300-000004000000}" name="מספר מנפיק" dataDxfId="852"/>
    <tableColumn id="5" xr3:uid="{00000000-0010-0000-0300-000005000000}" name="סוג מספר מזהה מנפיק" dataDxfId="851"/>
    <tableColumn id="6" xr3:uid="{00000000-0010-0000-0300-000006000000}" name="שם נייר ערך" dataDxfId="850"/>
    <tableColumn id="7" xr3:uid="{00000000-0010-0000-0300-000007000000}" name="מספר נייר ערך" dataDxfId="849"/>
    <tableColumn id="8" xr3:uid="{00000000-0010-0000-0300-000008000000}" name="סוג מספר נייר ערך" dataDxfId="848"/>
    <tableColumn id="9" xr3:uid="{00000000-0010-0000-0300-000009000000}" name="מאפיין עיקרי" dataDxfId="847"/>
    <tableColumn id="10" xr3:uid="{00000000-0010-0000-0300-00000A000000}" name="ישראל/חו&quot;ל" dataDxfId="846"/>
    <tableColumn id="11" xr3:uid="{00000000-0010-0000-0300-00000B000000}" name="מדינה לפי חשיפה כלכלית" dataDxfId="845"/>
    <tableColumn id="12" xr3:uid="{00000000-0010-0000-0300-00000C000000}" name="זירת מסחר" dataDxfId="844"/>
    <tableColumn id="13" xr3:uid="{00000000-0010-0000-0300-00000D000000}" name="ענף מסחר" dataDxfId="843"/>
    <tableColumn id="14" xr3:uid="{00000000-0010-0000-0300-00000E000000}" name="בעל עניין/צד קשור" dataDxfId="842"/>
    <tableColumn id="15" xr3:uid="{00000000-0010-0000-0300-00000F000000}" name="דירוג" dataDxfId="841"/>
    <tableColumn id="16" xr3:uid="{00000000-0010-0000-0300-000010000000}" name="שם מדרג" dataDxfId="840"/>
    <tableColumn id="17" xr3:uid="{00000000-0010-0000-0300-000011000000}" name="דירוג נייר הערך/המנפיק" dataDxfId="839"/>
    <tableColumn id="18" xr3:uid="{00000000-0010-0000-0300-000012000000}" name="מטבע פעילות" dataDxfId="838"/>
    <tableColumn id="19" xr3:uid="{00000000-0010-0000-0300-000013000000}" name="מח&quot;מ" dataDxfId="837"/>
    <tableColumn id="20" xr3:uid="{00000000-0010-0000-0300-000014000000}" name="ריבית עוגן" dataDxfId="836"/>
    <tableColumn id="21" xr3:uid="{00000000-0010-0000-0300-000015000000}" name="מועד פדיון" dataDxfId="835"/>
    <tableColumn id="22" xr3:uid="{00000000-0010-0000-0300-000016000000}" name="שיעור ריבית" dataDxfId="834"/>
    <tableColumn id="23" xr3:uid="{00000000-0010-0000-0300-000017000000}" name="תשואה לפדיון" dataDxfId="833"/>
    <tableColumn id="24" xr3:uid="{00000000-0010-0000-0300-000018000000}" name="נחיתות חוזית" dataDxfId="832"/>
    <tableColumn id="25" xr3:uid="{00000000-0010-0000-0300-000019000000}" name="האם סווג כחוב בעייתי" dataDxfId="831"/>
    <tableColumn id="26" xr3:uid="{00000000-0010-0000-0300-00001A000000}" name="ערך נקוב (יחידות)" dataDxfId="830"/>
    <tableColumn id="27" xr3:uid="{00000000-0010-0000-0300-00001B000000}" name="שער חליפין" dataDxfId="829"/>
    <tableColumn id="28" xr3:uid="{00000000-0010-0000-0300-00001C000000}" name="שער נייר הערך" dataDxfId="828"/>
    <tableColumn id="29" xr3:uid="{00000000-0010-0000-0300-00001D000000}" name="סכום לקבל (במטבע הפעילות)" dataDxfId="827"/>
    <tableColumn id="30" xr3:uid="{00000000-0010-0000-0300-00001E000000}" name="שווי הוגן (באלפי ש&quot;ח)" dataDxfId="826"/>
    <tableColumn id="31" xr3:uid="{00000000-0010-0000-0300-00001F000000}" name="עלות מופחתת (באלפי ש&quot;ח)" dataDxfId="825"/>
    <tableColumn id="32" xr3:uid="{00000000-0010-0000-0300-000020000000}" name="עלות מופחתת (במטבע הפעילות)" dataDxfId="824"/>
    <tableColumn id="33" xr3:uid="{00000000-0010-0000-0300-000021000000}" name="השיטה שיושמה בדוח הכספי" dataDxfId="823"/>
    <tableColumn id="34" xr3:uid="{00000000-0010-0000-0300-000022000000}" name="שיעור מערך נקוב מונפק" dataDxfId="822"/>
    <tableColumn id="35" xr3:uid="{00000000-0010-0000-0300-000023000000}" name="שיעור מנכסי אפיק ההשקעה" dataDxfId="821"/>
    <tableColumn id="36" xr3:uid="{00000000-0010-0000-0300-000024000000}" name="שיעור מסך נכסי ההשקעה" dataDxfId="82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איגרות חוב" displayName="איגרות_חוב" ref="A2:AJ514" totalsRowShown="0" headerRowDxfId="819" dataDxfId="817" headerRowBorderDxfId="818" tableBorderDxfId="816" totalsRowBorderDxfId="815">
  <autoFilter ref="A2:AJ514" xr:uid="{00000000-0009-0000-0100-000005000000}"/>
  <tableColumns count="36">
    <tableColumn id="1" xr3:uid="{00000000-0010-0000-0400-000001000000}" name="מספר קופה/קרן/ח.פ. עבור חברת ביטוח" dataDxfId="814"/>
    <tableColumn id="2" xr3:uid="{00000000-0010-0000-0400-000002000000}" name="מספר מסלול" dataDxfId="813"/>
    <tableColumn id="3" xr3:uid="{00000000-0010-0000-0400-000003000000}" name="שם מנפיק" dataDxfId="812"/>
    <tableColumn id="4" xr3:uid="{00000000-0010-0000-0400-000004000000}" name="מספר מנפיק" dataDxfId="811"/>
    <tableColumn id="5" xr3:uid="{00000000-0010-0000-0400-000005000000}" name="סוג מספר מזהה מנפיק" dataDxfId="810"/>
    <tableColumn id="6" xr3:uid="{00000000-0010-0000-0400-000006000000}" name="שם נייר ערך" dataDxfId="809"/>
    <tableColumn id="7" xr3:uid="{00000000-0010-0000-0400-000007000000}" name="מספר נייר ערך" dataDxfId="808"/>
    <tableColumn id="8" xr3:uid="{00000000-0010-0000-0400-000008000000}" name="סוג מספר נייר ערך" dataDxfId="807"/>
    <tableColumn id="9" xr3:uid="{00000000-0010-0000-0400-000009000000}" name="מאפיין עיקרי" dataDxfId="806"/>
    <tableColumn id="10" xr3:uid="{00000000-0010-0000-0400-00000A000000}" name="ישראל/חו&quot;ל" dataDxfId="805"/>
    <tableColumn id="11" xr3:uid="{00000000-0010-0000-0400-00000B000000}" name="מדינה לפי חשיפה כלכלית" dataDxfId="804"/>
    <tableColumn id="12" xr3:uid="{00000000-0010-0000-0400-00000C000000}" name="סטאטוס סחירות" dataDxfId="803"/>
    <tableColumn id="13" xr3:uid="{00000000-0010-0000-0400-00000D000000}" name="זירת מסחר" dataDxfId="802"/>
    <tableColumn id="14" xr3:uid="{00000000-0010-0000-0400-00000E000000}" name="ענף מסחר" dataDxfId="801"/>
    <tableColumn id="15" xr3:uid="{00000000-0010-0000-0400-00000F000000}" name="בעל עניין/צד קשור" dataDxfId="800"/>
    <tableColumn id="16" xr3:uid="{00000000-0010-0000-0400-000010000000}" name="דירוג" dataDxfId="799"/>
    <tableColumn id="17" xr3:uid="{00000000-0010-0000-0400-000011000000}" name="שם מדרג" dataDxfId="798"/>
    <tableColumn id="18" xr3:uid="{00000000-0010-0000-0400-000012000000}" name="דירוג נייר הערך/המנפיק" dataDxfId="797"/>
    <tableColumn id="19" xr3:uid="{00000000-0010-0000-0400-000013000000}" name="מטבע פעילות" dataDxfId="796"/>
    <tableColumn id="20" xr3:uid="{00000000-0010-0000-0400-000014000000}" name="מח&quot;מ" dataDxfId="795"/>
    <tableColumn id="21" xr3:uid="{00000000-0010-0000-0400-000015000000}" name="מועד פדיון" dataDxfId="794"/>
    <tableColumn id="22" xr3:uid="{00000000-0010-0000-0400-000016000000}" name="שיעור ריבית" dataDxfId="793"/>
    <tableColumn id="23" xr3:uid="{00000000-0010-0000-0400-000017000000}" name="תשואה לפדיון" dataDxfId="792"/>
    <tableColumn id="24" xr3:uid="{00000000-0010-0000-0400-000018000000}" name="נחיתות חוזית" dataDxfId="791"/>
    <tableColumn id="25" xr3:uid="{00000000-0010-0000-0400-000019000000}" name="האם סווג כחוב בעייתי" dataDxfId="790"/>
    <tableColumn id="26" xr3:uid="{00000000-0010-0000-0400-00001A000000}" name="ערך נקוב (יחידות)" dataDxfId="789"/>
    <tableColumn id="27" xr3:uid="{00000000-0010-0000-0400-00001B000000}" name="שער חליפין" dataDxfId="788"/>
    <tableColumn id="28" xr3:uid="{00000000-0010-0000-0400-00001C000000}" name="שער נייר הערך" dataDxfId="787"/>
    <tableColumn id="29" xr3:uid="{00000000-0010-0000-0400-00001D000000}" name="סכום לקבל (במטבע הפעילות)" dataDxfId="786"/>
    <tableColumn id="30" xr3:uid="{00000000-0010-0000-0400-00001E000000}" name="שווי הוגן (באלפי ש&quot;ח)" dataDxfId="785"/>
    <tableColumn id="31" xr3:uid="{00000000-0010-0000-0400-00001F000000}" name="עלות מופחתת (באלפי ש&quot;ח)" dataDxfId="784"/>
    <tableColumn id="32" xr3:uid="{00000000-0010-0000-0400-000020000000}" name="עלות מופחתת (במטבע הפעילות)" dataDxfId="783"/>
    <tableColumn id="33" xr3:uid="{00000000-0010-0000-0400-000021000000}" name="השיטה שיושמה בדוח הכספי" dataDxfId="782"/>
    <tableColumn id="34" xr3:uid="{00000000-0010-0000-0400-000022000000}" name="שיעור מערך נקוב מונפק" dataDxfId="781"/>
    <tableColumn id="35" xr3:uid="{00000000-0010-0000-0400-000023000000}" name="שיעור מנכסי אפיק ההשקעה" dataDxfId="780"/>
    <tableColumn id="36" xr3:uid="{00000000-0010-0000-0400-000024000000}" name="שיעור מסך נכסי ההשקעה" dataDxfId="779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מניות מבכ ויהש" displayName="מניות_מבכ_ויהש" ref="A2:X289" totalsRowShown="0" headerRowDxfId="778" dataDxfId="776" headerRowBorderDxfId="777" tableBorderDxfId="775" totalsRowBorderDxfId="774">
  <autoFilter ref="A2:X289" xr:uid="{00000000-0009-0000-0100-000006000000}"/>
  <tableColumns count="24">
    <tableColumn id="1" xr3:uid="{00000000-0010-0000-0500-000001000000}" name="מספר קופה/קרן/ח.פ. עבור חברת ביטוח" dataDxfId="773"/>
    <tableColumn id="2" xr3:uid="{00000000-0010-0000-0500-000002000000}" name="מספר מסלול" dataDxfId="772"/>
    <tableColumn id="3" xr3:uid="{00000000-0010-0000-0500-000003000000}" name="שם מנפיק" dataDxfId="771"/>
    <tableColumn id="4" xr3:uid="{00000000-0010-0000-0500-000004000000}" name="מספר מנפיק" dataDxfId="770"/>
    <tableColumn id="5" xr3:uid="{00000000-0010-0000-0500-000005000000}" name="סוג מספר מזהה מנפיק" dataDxfId="769"/>
    <tableColumn id="6" xr3:uid="{00000000-0010-0000-0500-000006000000}" name="שם נייר ערך" dataDxfId="768"/>
    <tableColumn id="7" xr3:uid="{00000000-0010-0000-0500-000007000000}" name="מספר נייר ערך" dataDxfId="767"/>
    <tableColumn id="8" xr3:uid="{00000000-0010-0000-0500-000008000000}" name="סוג מספר נייר ערך" dataDxfId="766"/>
    <tableColumn id="9" xr3:uid="{00000000-0010-0000-0500-000009000000}" name="מאפיין עיקרי" dataDxfId="765"/>
    <tableColumn id="10" xr3:uid="{00000000-0010-0000-0500-00000A000000}" name="ישראל/חו&quot;ל" dataDxfId="764"/>
    <tableColumn id="11" xr3:uid="{00000000-0010-0000-0500-00000B000000}" name="מדינה לפי חשיפה כלכלית" dataDxfId="763"/>
    <tableColumn id="12" xr3:uid="{00000000-0010-0000-0500-00000C000000}" name="סטאטוס סחירות" dataDxfId="762"/>
    <tableColumn id="13" xr3:uid="{00000000-0010-0000-0500-00000D000000}" name="זירת מסחר" dataDxfId="761"/>
    <tableColumn id="14" xr3:uid="{00000000-0010-0000-0500-00000E000000}" name="ענף מסחר" dataDxfId="760"/>
    <tableColumn id="15" xr3:uid="{00000000-0010-0000-0500-00000F000000}" name="בעל עניין/צד קשור" dataDxfId="759"/>
    <tableColumn id="16" xr3:uid="{00000000-0010-0000-0500-000010000000}" name="מטבע פעילות" dataDxfId="758"/>
    <tableColumn id="17" xr3:uid="{00000000-0010-0000-0500-000011000000}" name="ערך נקוב (יחידות)" dataDxfId="757"/>
    <tableColumn id="18" xr3:uid="{00000000-0010-0000-0500-000012000000}" name="שער חליפין" dataDxfId="756"/>
    <tableColumn id="19" xr3:uid="{00000000-0010-0000-0500-000013000000}" name="שער נייר הערך" dataDxfId="755"/>
    <tableColumn id="20" xr3:uid="{00000000-0010-0000-0500-000014000000}" name="סכום לקבל (במטבע הפעילות)" dataDxfId="754"/>
    <tableColumn id="21" xr3:uid="{00000000-0010-0000-0500-000015000000}" name="שווי הוגן (באלפי ש&quot;ח)" dataDxfId="753"/>
    <tableColumn id="22" xr3:uid="{00000000-0010-0000-0500-000016000000}" name="שיעור מערך נקוב מונפק" dataDxfId="752"/>
    <tableColumn id="23" xr3:uid="{00000000-0010-0000-0500-000017000000}" name="שיעור מנכסי אפיק ההשקעה" dataDxfId="751"/>
    <tableColumn id="24" xr3:uid="{00000000-0010-0000-0500-000018000000}" name="שיעור מסך נכסי ההשקעה" dataDxfId="75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קרנות סל" displayName="קרנות_סל" ref="A2:W209" totalsRowShown="0" headerRowDxfId="749" dataDxfId="747" headerRowBorderDxfId="748" tableBorderDxfId="746" totalsRowBorderDxfId="745">
  <autoFilter ref="A2:W209" xr:uid="{00000000-0009-0000-0100-000007000000}"/>
  <tableColumns count="23">
    <tableColumn id="1" xr3:uid="{00000000-0010-0000-0600-000001000000}" name="מספר קופה/קרן/ח.פ. עבור חברת ביטוח" dataDxfId="744"/>
    <tableColumn id="2" xr3:uid="{00000000-0010-0000-0600-000002000000}" name="מספר מסלול" dataDxfId="743"/>
    <tableColumn id="3" xr3:uid="{00000000-0010-0000-0600-000003000000}" name="שם מנפיק" dataDxfId="742"/>
    <tableColumn id="4" xr3:uid="{00000000-0010-0000-0600-000004000000}" name="מספר מנפיק" dataDxfId="741"/>
    <tableColumn id="5" xr3:uid="{00000000-0010-0000-0600-000005000000}" name="סוג מספר מזהה מנפיק" dataDxfId="740"/>
    <tableColumn id="6" xr3:uid="{00000000-0010-0000-0600-000006000000}" name="שם נייר ערך" dataDxfId="739"/>
    <tableColumn id="7" xr3:uid="{00000000-0010-0000-0600-000007000000}" name="מספר נייר ערך" dataDxfId="738"/>
    <tableColumn id="8" xr3:uid="{00000000-0010-0000-0600-000008000000}" name="סוג מספר נייר ערך" dataDxfId="737"/>
    <tableColumn id="9" xr3:uid="{00000000-0010-0000-0600-000009000000}" name="מאפיין עיקרי" dataDxfId="736"/>
    <tableColumn id="10" xr3:uid="{00000000-0010-0000-0600-00000A000000}" name="ישראל/חו&quot;ל" dataDxfId="735"/>
    <tableColumn id="11" xr3:uid="{00000000-0010-0000-0600-00000B000000}" name="מדינה לפי חשיפה כלכלית" dataDxfId="734"/>
    <tableColumn id="12" xr3:uid="{00000000-0010-0000-0600-00000C000000}" name="זירת מסחר" dataDxfId="733"/>
    <tableColumn id="13" xr3:uid="{00000000-0010-0000-0600-00000D000000}" name="סיווג הקרן" dataDxfId="732"/>
    <tableColumn id="14" xr3:uid="{00000000-0010-0000-0600-00000E000000}" name="בעל עניין/צד קשור" dataDxfId="731"/>
    <tableColumn id="15" xr3:uid="{00000000-0010-0000-0600-00000F000000}" name="מטבע פעילות" dataDxfId="730"/>
    <tableColumn id="16" xr3:uid="{00000000-0010-0000-0600-000010000000}" name="ערך נקוב (יחידות)" dataDxfId="729"/>
    <tableColumn id="17" xr3:uid="{00000000-0010-0000-0600-000011000000}" name="שער חליפין" dataDxfId="728"/>
    <tableColumn id="18" xr3:uid="{00000000-0010-0000-0600-000012000000}" name="שער נייר הערך" dataDxfId="727"/>
    <tableColumn id="19" xr3:uid="{00000000-0010-0000-0600-000013000000}" name="סכום לקבל (במטבע הפעילות)" dataDxfId="726"/>
    <tableColumn id="20" xr3:uid="{00000000-0010-0000-0600-000014000000}" name="שווי הוגן (באלפי ש&quot;ח)" dataDxfId="725"/>
    <tableColumn id="21" xr3:uid="{00000000-0010-0000-0600-000015000000}" name="שיעור מערך נקוב מונפק" dataDxfId="724"/>
    <tableColumn id="22" xr3:uid="{00000000-0010-0000-0600-000016000000}" name="שיעור מנכסי אפיק ההשקעה" dataDxfId="723"/>
    <tableColumn id="23" xr3:uid="{00000000-0010-0000-0600-000017000000}" name="שיעור מסך נכסי ההשקעה" dataDxfId="722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קרנות נאמנות" displayName="קרנות_נאמנות" ref="A2:W36" totalsRowShown="0" headerRowDxfId="721" dataDxfId="719" headerRowBorderDxfId="720" tableBorderDxfId="718" totalsRowBorderDxfId="717">
  <autoFilter ref="A2:W36" xr:uid="{00000000-0009-0000-0100-000008000000}"/>
  <tableColumns count="23">
    <tableColumn id="1" xr3:uid="{00000000-0010-0000-0700-000001000000}" name="מספר קופה/קרן/ח.פ. עבור חברת ביטוח" dataDxfId="716"/>
    <tableColumn id="2" xr3:uid="{00000000-0010-0000-0700-000002000000}" name="מספר מסלול" dataDxfId="715"/>
    <tableColumn id="3" xr3:uid="{00000000-0010-0000-0700-000003000000}" name="שם מנפיק" dataDxfId="714"/>
    <tableColumn id="4" xr3:uid="{00000000-0010-0000-0700-000004000000}" name="מספר מנפיק" dataDxfId="713"/>
    <tableColumn id="5" xr3:uid="{00000000-0010-0000-0700-000005000000}" name="סוג מספר מזהה מנפיק" dataDxfId="712"/>
    <tableColumn id="6" xr3:uid="{00000000-0010-0000-0700-000006000000}" name="שם נייר ערך " dataDxfId="711"/>
    <tableColumn id="7" xr3:uid="{00000000-0010-0000-0700-000007000000}" name="מספר נייר ערך" dataDxfId="710"/>
    <tableColumn id="8" xr3:uid="{00000000-0010-0000-0700-000008000000}" name="סוג מספר נייר ערך" dataDxfId="709"/>
    <tableColumn id="9" xr3:uid="{00000000-0010-0000-0700-000009000000}" name="מאפיין עיקרי" dataDxfId="708"/>
    <tableColumn id="10" xr3:uid="{00000000-0010-0000-0700-00000A000000}" name="ישראל/חו&quot;ל" dataDxfId="707"/>
    <tableColumn id="11" xr3:uid="{00000000-0010-0000-0700-00000B000000}" name="מדינה לפי חשיפה כלכלית" dataDxfId="706"/>
    <tableColumn id="12" xr3:uid="{00000000-0010-0000-0700-00000C000000}" name="סטאטוס סחירות" dataDxfId="705"/>
    <tableColumn id="13" xr3:uid="{00000000-0010-0000-0700-00000D000000}" name="זירת מסחר" dataDxfId="704"/>
    <tableColumn id="14" xr3:uid="{00000000-0010-0000-0700-00000E000000}" name="סיווג הקרן" dataDxfId="703"/>
    <tableColumn id="15" xr3:uid="{00000000-0010-0000-0700-00000F000000}" name="בעל עניין/צד קשור" dataDxfId="702"/>
    <tableColumn id="16" xr3:uid="{00000000-0010-0000-0700-000010000000}" name="מטבע פעילות" dataDxfId="701"/>
    <tableColumn id="17" xr3:uid="{00000000-0010-0000-0700-000011000000}" name="ערך נקוב (יחידות)" dataDxfId="700"/>
    <tableColumn id="18" xr3:uid="{00000000-0010-0000-0700-000012000000}" name="שער חליפין" dataDxfId="699"/>
    <tableColumn id="19" xr3:uid="{00000000-0010-0000-0700-000013000000}" name="שער נייר הערך" dataDxfId="698"/>
    <tableColumn id="20" xr3:uid="{00000000-0010-0000-0700-000014000000}" name="שווי הוגן (באלפי ש&quot;ח)" dataDxfId="697"/>
    <tableColumn id="21" xr3:uid="{00000000-0010-0000-0700-000015000000}" name="שיעור מערך נקוב מונפק" dataDxfId="696"/>
    <tableColumn id="22" xr3:uid="{00000000-0010-0000-0700-000016000000}" name="שיעור מנכסי אפיק ההשקעה" dataDxfId="695"/>
    <tableColumn id="23" xr3:uid="{00000000-0010-0000-0700-000017000000}" name="שיעור מסך נכסי ההשקעה" dataDxfId="694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כתבי אופציה" displayName="כתבי_אופציה" ref="A2:Y10" totalsRowShown="0" headerRowDxfId="693" dataDxfId="691" headerRowBorderDxfId="692" tableBorderDxfId="690" totalsRowBorderDxfId="689">
  <autoFilter ref="A2:Y10" xr:uid="{00000000-0009-0000-0100-000009000000}"/>
  <tableColumns count="25">
    <tableColumn id="1" xr3:uid="{00000000-0010-0000-0800-000001000000}" name="מספר קופה/קרן/ח.פ. עבור חברת ביטוח" dataDxfId="688"/>
    <tableColumn id="2" xr3:uid="{00000000-0010-0000-0800-000002000000}" name="מספר מסלול" dataDxfId="687"/>
    <tableColumn id="3" xr3:uid="{00000000-0010-0000-0800-000003000000}" name="שם מנפיק" dataDxfId="686"/>
    <tableColumn id="4" xr3:uid="{00000000-0010-0000-0800-000004000000}" name="מספר מנפיק" dataDxfId="685"/>
    <tableColumn id="5" xr3:uid="{00000000-0010-0000-0800-000005000000}" name="סוג מספר מזהה מנפיק" dataDxfId="684"/>
    <tableColumn id="6" xr3:uid="{00000000-0010-0000-0800-000006000000}" name="שם נייר ערך" dataDxfId="683"/>
    <tableColumn id="7" xr3:uid="{00000000-0010-0000-0800-000007000000}" name="מספר נייר ערך" dataDxfId="682"/>
    <tableColumn id="8" xr3:uid="{00000000-0010-0000-0800-000008000000}" name="סוג מספר נייר ערך" dataDxfId="681"/>
    <tableColumn id="9" xr3:uid="{00000000-0010-0000-0800-000009000000}" name="ישראל/חו&quot;ל" dataDxfId="680"/>
    <tableColumn id="10" xr3:uid="{00000000-0010-0000-0800-00000A000000}" name="מדינה לפי חשיפה כלכלית" dataDxfId="679"/>
    <tableColumn id="11" xr3:uid="{00000000-0010-0000-0800-00000B000000}" name="סטאטוס סחירות" dataDxfId="678"/>
    <tableColumn id="12" xr3:uid="{00000000-0010-0000-0800-00000C000000}" name="זירת מסחר" dataDxfId="677"/>
    <tableColumn id="13" xr3:uid="{00000000-0010-0000-0800-00000D000000}" name="נכס בסיס (כתב אופציה)" dataDxfId="676"/>
    <tableColumn id="14" xr3:uid="{00000000-0010-0000-0800-00000E000000}" name="ענף מסחר" dataDxfId="675"/>
    <tableColumn id="15" xr3:uid="{00000000-0010-0000-0800-00000F000000}" name="תאריך פקיעה" dataDxfId="674"/>
    <tableColumn id="16" xr3:uid="{00000000-0010-0000-0800-000010000000}" name="בעל עניין/צד קשור" dataDxfId="673"/>
    <tableColumn id="17" xr3:uid="{00000000-0010-0000-0800-000011000000}" name="מטבע פעילות" dataDxfId="672"/>
    <tableColumn id="18" xr3:uid="{00000000-0010-0000-0800-000012000000}" name="שער מימוש" dataDxfId="671"/>
    <tableColumn id="19" xr3:uid="{00000000-0010-0000-0800-000013000000}" name="יחס המרה" dataDxfId="670"/>
    <tableColumn id="20" xr3:uid="{00000000-0010-0000-0800-000014000000}" name="ערך נקוב (יחידות)" dataDxfId="669"/>
    <tableColumn id="21" xr3:uid="{00000000-0010-0000-0800-000015000000}" name="שער חליפין" dataDxfId="668"/>
    <tableColumn id="22" xr3:uid="{00000000-0010-0000-0800-000016000000}" name="שער נייר הערך" dataDxfId="667"/>
    <tableColumn id="23" xr3:uid="{00000000-0010-0000-0800-000017000000}" name="שווי הוגן (באלפי ש&quot;ח)" dataDxfId="666"/>
    <tableColumn id="24" xr3:uid="{00000000-0010-0000-0800-000018000000}" name="שיעור מנכסי אפיק ההשקעה" dataDxfId="665"/>
    <tableColumn id="25" xr3:uid="{00000000-0010-0000-0800-000019000000}" name="שיעור מסך נכסי ההשקעה" dataDxfId="664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אופציות" displayName="אופציות" ref="A2:X10" totalsRowShown="0" headerRowDxfId="663" dataDxfId="661" headerRowBorderDxfId="662" tableBorderDxfId="660" totalsRowBorderDxfId="659">
  <autoFilter ref="A2:X10" xr:uid="{00000000-0009-0000-0100-00000A000000}"/>
  <tableColumns count="24">
    <tableColumn id="1" xr3:uid="{00000000-0010-0000-0900-000001000000}" name="מספר קופה/קרן/ח.פ. עבור חברת ביטוח" dataDxfId="658"/>
    <tableColumn id="2" xr3:uid="{00000000-0010-0000-0900-000002000000}" name="מספר מסלול" dataDxfId="657"/>
    <tableColumn id="3" xr3:uid="{00000000-0010-0000-0900-000003000000}" name="שם מנפיק" dataDxfId="656"/>
    <tableColumn id="4" xr3:uid="{00000000-0010-0000-0900-000004000000}" name="מספר מנפיק" dataDxfId="655"/>
    <tableColumn id="5" xr3:uid="{00000000-0010-0000-0900-000005000000}" name="סוג מספר מזהה מנפיק" dataDxfId="654"/>
    <tableColumn id="6" xr3:uid="{00000000-0010-0000-0900-000006000000}" name="שם נייר ערך" dataDxfId="653"/>
    <tableColumn id="7" xr3:uid="{00000000-0010-0000-0900-000007000000}" name="מספר נייר ערך" dataDxfId="652"/>
    <tableColumn id="8" xr3:uid="{00000000-0010-0000-0900-000008000000}" name="סוג מספר נייר ערך" dataDxfId="651"/>
    <tableColumn id="9" xr3:uid="{00000000-0010-0000-0900-000009000000}" name="מאפיין עיקרי" dataDxfId="650"/>
    <tableColumn id="10" xr3:uid="{00000000-0010-0000-0900-00000A000000}" name="ישראל/חו&quot;ל" dataDxfId="649"/>
    <tableColumn id="11" xr3:uid="{00000000-0010-0000-0900-00000B000000}" name="מדינה לפי חשיפה כלכלית" dataDxfId="648"/>
    <tableColumn id="12" xr3:uid="{00000000-0010-0000-0900-00000C000000}" name="זירת מסחר" dataDxfId="647"/>
    <tableColumn id="13" xr3:uid="{00000000-0010-0000-0900-00000D000000}" name="ענף מסחר" dataDxfId="646"/>
    <tableColumn id="14" xr3:uid="{00000000-0010-0000-0900-00000E000000}" name="נכס בסיס" dataDxfId="645"/>
    <tableColumn id="15" xr3:uid="{00000000-0010-0000-0900-00000F000000}" name="תאריך פקיעה" dataDxfId="644"/>
    <tableColumn id="16" xr3:uid="{00000000-0010-0000-0900-000010000000}" name="בעל עניין/צד קשור" dataDxfId="643"/>
    <tableColumn id="17" xr3:uid="{00000000-0010-0000-0900-000011000000}" name="מטבע פעילות" dataDxfId="642"/>
    <tableColumn id="18" xr3:uid="{00000000-0010-0000-0900-000012000000}" name="שער מימוש" dataDxfId="641"/>
    <tableColumn id="19" xr3:uid="{00000000-0010-0000-0900-000013000000}" name="ערך נקוב (יחידות)" dataDxfId="640"/>
    <tableColumn id="20" xr3:uid="{00000000-0010-0000-0900-000014000000}" name="שער חליפין" dataDxfId="639"/>
    <tableColumn id="21" xr3:uid="{00000000-0010-0000-0900-000015000000}" name="שער נייר הערך" dataDxfId="638"/>
    <tableColumn id="22" xr3:uid="{00000000-0010-0000-0900-000016000000}" name="שווי הוגן (באלפי ש&quot;ח)" dataDxfId="637"/>
    <tableColumn id="23" xr3:uid="{00000000-0010-0000-0900-000017000000}" name="שיעור מנכסי אפיק ההשקעה" dataDxfId="636"/>
    <tableColumn id="24" xr3:uid="{00000000-0010-0000-0900-000018000000}" name="שיעור מסך נכסי ההשקעה" dataDxfId="635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חוזים עתידיים" displayName="חוזים_עתידיים" ref="A2:T18" totalsRowShown="0" headerRowDxfId="634" dataDxfId="632" headerRowBorderDxfId="633" tableBorderDxfId="631" totalsRowBorderDxfId="630">
  <autoFilter ref="A2:T18" xr:uid="{00000000-0009-0000-0100-00000B000000}"/>
  <tableColumns count="20">
    <tableColumn id="1" xr3:uid="{00000000-0010-0000-0A00-000001000000}" name="מספר קופה/קרן/ח.פ. עבור חברת ביטוח" dataDxfId="629"/>
    <tableColumn id="2" xr3:uid="{00000000-0010-0000-0A00-000002000000}" name="מספר מסלול" dataDxfId="628"/>
    <tableColumn id="3" xr3:uid="{00000000-0010-0000-0A00-000003000000}" name="שם מנפיק" dataDxfId="627"/>
    <tableColumn id="4" xr3:uid="{00000000-0010-0000-0A00-000004000000}" name="מספר מנפיק" dataDxfId="626"/>
    <tableColumn id="5" xr3:uid="{00000000-0010-0000-0A00-000005000000}" name="סוג מספר מזהה מנפיק" dataDxfId="625"/>
    <tableColumn id="6" xr3:uid="{00000000-0010-0000-0A00-000006000000}" name="שם נייר ערך" dataDxfId="624"/>
    <tableColumn id="7" xr3:uid="{00000000-0010-0000-0A00-000007000000}" name="מספר נייר ערך" dataDxfId="623"/>
    <tableColumn id="8" xr3:uid="{00000000-0010-0000-0A00-000008000000}" name="סוג מספר נייר ערך" dataDxfId="622"/>
    <tableColumn id="9" xr3:uid="{00000000-0010-0000-0A00-000009000000}" name="ישראל/חו&quot;ל" dataDxfId="621"/>
    <tableColumn id="10" xr3:uid="{00000000-0010-0000-0A00-00000A000000}" name="מדינה לפי חשיפה כלכלית" dataDxfId="620"/>
    <tableColumn id="11" xr3:uid="{00000000-0010-0000-0A00-00000B000000}" name="זירת מסחר" dataDxfId="619"/>
    <tableColumn id="12" xr3:uid="{00000000-0010-0000-0A00-00000C000000}" name="נכס בסיס" dataDxfId="618"/>
    <tableColumn id="13" xr3:uid="{00000000-0010-0000-0A00-00000D000000}" name="בעל עניין/צד קשור" dataDxfId="617"/>
    <tableColumn id="14" xr3:uid="{00000000-0010-0000-0A00-00000E000000}" name="מטבע פעילות" dataDxfId="616"/>
    <tableColumn id="15" xr3:uid="{00000000-0010-0000-0A00-00000F000000}" name="ערך נקוב (יחידות)" dataDxfId="615"/>
    <tableColumn id="16" xr3:uid="{00000000-0010-0000-0A00-000010000000}" name="שער חליפין" dataDxfId="614"/>
    <tableColumn id="17" xr3:uid="{00000000-0010-0000-0A00-000011000000}" name="שער נייר הערך" dataDxfId="613"/>
    <tableColumn id="18" xr3:uid="{00000000-0010-0000-0A00-000012000000}" name="שווי הוגן (באלפי ש&quot;ח)" dataDxfId="612"/>
    <tableColumn id="19" xr3:uid="{00000000-0010-0000-0A00-000013000000}" name="שיעור מנכסי אפיק ההשקעה" dataDxfId="611"/>
    <tableColumn id="20" xr3:uid="{00000000-0010-0000-0A00-000014000000}" name="שיעור מסך נכסי ההשקעה" dataDxfId="610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מוצרים מובנים" displayName="מוצרים_מובנים" ref="A2:AB12" totalsRowShown="0" headerRowDxfId="609" dataDxfId="607" headerRowBorderDxfId="608" tableBorderDxfId="606" totalsRowBorderDxfId="605">
  <autoFilter ref="A2:AB12" xr:uid="{00000000-0009-0000-0100-00000C000000}"/>
  <tableColumns count="28">
    <tableColumn id="1" xr3:uid="{00000000-0010-0000-0B00-000001000000}" name="מספר קופה/קרן/ח.פ. עבור חברת ביטוח" dataDxfId="604"/>
    <tableColumn id="2" xr3:uid="{00000000-0010-0000-0B00-000002000000}" name="מספר מסלול" dataDxfId="603"/>
    <tableColumn id="3" xr3:uid="{00000000-0010-0000-0B00-000003000000}" name="שם מנפיק" dataDxfId="602"/>
    <tableColumn id="4" xr3:uid="{00000000-0010-0000-0B00-000004000000}" name="מספר מנפיק" dataDxfId="601"/>
    <tableColumn id="5" xr3:uid="{00000000-0010-0000-0B00-000005000000}" name="סוג מספר מזהה מנפיק" dataDxfId="600"/>
    <tableColumn id="6" xr3:uid="{00000000-0010-0000-0B00-000006000000}" name="שם נייר ערך" dataDxfId="599"/>
    <tableColumn id="7" xr3:uid="{00000000-0010-0000-0B00-000007000000}" name="מספר נייר ערך" dataDxfId="598"/>
    <tableColumn id="8" xr3:uid="{00000000-0010-0000-0B00-000008000000}" name="סוג מספר נייר ערך" dataDxfId="597"/>
    <tableColumn id="9" xr3:uid="{00000000-0010-0000-0B00-000009000000}" name="מאפיין עיקרי" dataDxfId="596"/>
    <tableColumn id="10" xr3:uid="{00000000-0010-0000-0B00-00000A000000}" name="ישראל/חו&quot;ל" dataDxfId="595"/>
    <tableColumn id="11" xr3:uid="{00000000-0010-0000-0B00-00000B000000}" name="מדינה לפי חשיפה כלכלית" dataDxfId="594"/>
    <tableColumn id="12" xr3:uid="{00000000-0010-0000-0B00-00000C000000}" name="סטאטוס סחירות" dataDxfId="593"/>
    <tableColumn id="13" xr3:uid="{00000000-0010-0000-0B00-00000D000000}" name="זירת מסחר" dataDxfId="592"/>
    <tableColumn id="14" xr3:uid="{00000000-0010-0000-0B00-00000E000000}" name="נכס בסיס" dataDxfId="591"/>
    <tableColumn id="15" xr3:uid="{00000000-0010-0000-0B00-00000F000000}" name="בעל עניין/צד קשור" dataDxfId="590"/>
    <tableColumn id="16" xr3:uid="{00000000-0010-0000-0B00-000010000000}" name="מח&quot;מ" dataDxfId="589"/>
    <tableColumn id="17" xr3:uid="{00000000-0010-0000-0B00-000011000000}" name="שיעור ריבית" dataDxfId="588"/>
    <tableColumn id="18" xr3:uid="{00000000-0010-0000-0B00-000012000000}" name="תשואה לפדיון" dataDxfId="587"/>
    <tableColumn id="19" xr3:uid="{00000000-0010-0000-0B00-000013000000}" name="דירוג" dataDxfId="586"/>
    <tableColumn id="20" xr3:uid="{00000000-0010-0000-0B00-000014000000}" name="שם מדרג" dataDxfId="585"/>
    <tableColumn id="21" xr3:uid="{00000000-0010-0000-0B00-000015000000}" name="דירוג נייר הערך/המנפיק" dataDxfId="584"/>
    <tableColumn id="22" xr3:uid="{00000000-0010-0000-0B00-000016000000}" name="מטבע פעילות" dataDxfId="583"/>
    <tableColumn id="23" xr3:uid="{00000000-0010-0000-0B00-000017000000}" name="ערך נקוב (יחידות)" dataDxfId="582"/>
    <tableColumn id="24" xr3:uid="{00000000-0010-0000-0B00-000018000000}" name="שער חליפין" dataDxfId="581"/>
    <tableColumn id="25" xr3:uid="{00000000-0010-0000-0B00-000019000000}" name="שער נייר הערך" dataDxfId="580"/>
    <tableColumn id="26" xr3:uid="{00000000-0010-0000-0B00-00001A000000}" name="שווי הוגן (באלפי ש&quot;ח)" dataDxfId="579"/>
    <tableColumn id="27" xr3:uid="{00000000-0010-0000-0B00-00001B000000}" name="שיעור מנכסי אפיק ההשקעה" dataDxfId="578"/>
    <tableColumn id="28" xr3:uid="{00000000-0010-0000-0B00-00001C000000}" name="שיעור מסך נכסי ההשקעה" dataDxfId="577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לא סחיר איגרות חוב ממשלתיות" displayName="לא_סחיר_איגרות_חוב_ממשלתיות" ref="A2:Y8" totalsRowShown="0" headerRowDxfId="576" dataDxfId="574" headerRowBorderDxfId="575" tableBorderDxfId="573" totalsRowBorderDxfId="572">
  <autoFilter ref="A2:Y8" xr:uid="{00000000-0009-0000-0100-00000D000000}"/>
  <tableColumns count="25">
    <tableColumn id="1" xr3:uid="{00000000-0010-0000-0C00-000001000000}" name="מספר קופה/קרן/ח.פ. עבור חברת ביטוח" dataDxfId="571"/>
    <tableColumn id="2" xr3:uid="{00000000-0010-0000-0C00-000002000000}" name="מספר מסלול" dataDxfId="570"/>
    <tableColumn id="3" xr3:uid="{00000000-0010-0000-0C00-000003000000}" name="שם מנפיק" dataDxfId="569"/>
    <tableColumn id="4" xr3:uid="{00000000-0010-0000-0C00-000004000000}" name="שם נייר ערך" dataDxfId="568"/>
    <tableColumn id="5" xr3:uid="{00000000-0010-0000-0C00-000005000000}" name="מספר נייר ערך" dataDxfId="567"/>
    <tableColumn id="6" xr3:uid="{00000000-0010-0000-0C00-000006000000}" name="סוג מספר נייר ערך" dataDxfId="566"/>
    <tableColumn id="7" xr3:uid="{00000000-0010-0000-0C00-000007000000}" name="מאפיין עיקרי" dataDxfId="565"/>
    <tableColumn id="8" xr3:uid="{00000000-0010-0000-0C00-000008000000}" name="ישראל/חו&quot;ל" dataDxfId="564"/>
    <tableColumn id="9" xr3:uid="{00000000-0010-0000-0C00-000009000000}" name="מדינה לפי חשיפה כלכלית" dataDxfId="563"/>
    <tableColumn id="10" xr3:uid="{00000000-0010-0000-0C00-00000A000000}" name="תאריך רכישה" dataDxfId="562"/>
    <tableColumn id="11" xr3:uid="{00000000-0010-0000-0C00-00000B000000}" name="דירוג" dataDxfId="561"/>
    <tableColumn id="12" xr3:uid="{00000000-0010-0000-0C00-00000C000000}" name="שם מדרג" dataDxfId="560"/>
    <tableColumn id="13" xr3:uid="{00000000-0010-0000-0C00-00000D000000}" name="מטבע פעילות" dataDxfId="559"/>
    <tableColumn id="14" xr3:uid="{00000000-0010-0000-0C00-00000E000000}" name="מח&quot;מ" dataDxfId="558"/>
    <tableColumn id="15" xr3:uid="{00000000-0010-0000-0C00-00000F000000}" name="מועד פדיון" dataDxfId="557"/>
    <tableColumn id="16" xr3:uid="{00000000-0010-0000-0C00-000010000000}" name="שיעור ריבית" dataDxfId="556"/>
    <tableColumn id="17" xr3:uid="{00000000-0010-0000-0C00-000011000000}" name="תשואה לפדיון" dataDxfId="555"/>
    <tableColumn id="18" xr3:uid="{00000000-0010-0000-0C00-000012000000}" name="ערך נקוב (יחידות)" dataDxfId="554"/>
    <tableColumn id="19" xr3:uid="{00000000-0010-0000-0C00-000013000000}" name="שער חליפין" dataDxfId="553"/>
    <tableColumn id="20" xr3:uid="{00000000-0010-0000-0C00-000014000000}" name="שער נייר הערך" dataDxfId="552"/>
    <tableColumn id="21" xr3:uid="{00000000-0010-0000-0C00-000015000000}" name="שווי הוגן (באלפי ש&quot;ח)" dataDxfId="551"/>
    <tableColumn id="22" xr3:uid="{00000000-0010-0000-0C00-000016000000}" name="עלות מופחתת (באלפי ש&quot;ח)" dataDxfId="550"/>
    <tableColumn id="23" xr3:uid="{00000000-0010-0000-0C00-000017000000}" name="השיטה שיושמה בדוח הכספי" dataDxfId="549"/>
    <tableColumn id="24" xr3:uid="{00000000-0010-0000-0C00-000018000000}" name="שיעור מנכסי אפיק ההשקעה" dataDxfId="548"/>
    <tableColumn id="25" xr3:uid="{00000000-0010-0000-0C00-000019000000}" name="שיעור מסך נכסי ההשקעה" dataDxfId="547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לא סחיר איגרות חוב מיועדות" displayName="לא_סחיר_איגרות_חוב_מיועדות" ref="A2:R8" totalsRowShown="0" headerRowDxfId="546" dataDxfId="544" headerRowBorderDxfId="545" tableBorderDxfId="543" totalsRowBorderDxfId="542">
  <autoFilter ref="A2:R8" xr:uid="{00000000-0009-0000-0100-00000E000000}"/>
  <tableColumns count="18">
    <tableColumn id="1" xr3:uid="{00000000-0010-0000-0D00-000001000000}" name="מספר קופה/קרן/ח.פ. עבור חברת ביטוח" dataDxfId="541"/>
    <tableColumn id="2" xr3:uid="{00000000-0010-0000-0D00-000002000000}" name="מספר מסלול" dataDxfId="540"/>
    <tableColumn id="3" xr3:uid="{00000000-0010-0000-0D00-000003000000}" name="מאפיין עיקרי" dataDxfId="539"/>
    <tableColumn id="4" xr3:uid="{00000000-0010-0000-0D00-000004000000}" name="שם נייר ערך" dataDxfId="538"/>
    <tableColumn id="5" xr3:uid="{00000000-0010-0000-0D00-000005000000}" name="מספר נייר ערך" dataDxfId="537"/>
    <tableColumn id="6" xr3:uid="{00000000-0010-0000-0D00-000006000000}" name="תאריך רכישה" dataDxfId="536"/>
    <tableColumn id="7" xr3:uid="{00000000-0010-0000-0D00-000007000000}" name="מח&quot;מ" dataDxfId="535"/>
    <tableColumn id="8" xr3:uid="{00000000-0010-0000-0D00-000008000000}" name="סוג הצמדה" dataDxfId="534"/>
    <tableColumn id="9" xr3:uid="{00000000-0010-0000-0D00-000009000000}" name="מועד פדיון" dataDxfId="533"/>
    <tableColumn id="10" xr3:uid="{00000000-0010-0000-0D00-00000A000000}" name="שיעור ריבית" dataDxfId="532"/>
    <tableColumn id="11" xr3:uid="{00000000-0010-0000-0D00-00000B000000}" name="תשואה לפדיון" dataDxfId="531"/>
    <tableColumn id="12" xr3:uid="{00000000-0010-0000-0D00-00000C000000}" name="ערך נקוב (יחידות)" dataDxfId="530"/>
    <tableColumn id="13" xr3:uid="{00000000-0010-0000-0D00-00000D000000}" name="שער נייר הערך" dataDxfId="529"/>
    <tableColumn id="14" xr3:uid="{00000000-0010-0000-0D00-00000E000000}" name="שווי הוגן (באלפי ש&quot;ח)" dataDxfId="528"/>
    <tableColumn id="15" xr3:uid="{00000000-0010-0000-0D00-00000F000000}" name="עלות מופחתת (באלפי ש&quot;ח)" dataDxfId="527"/>
    <tableColumn id="16" xr3:uid="{00000000-0010-0000-0D00-000010000000}" name="השיטה שיושמה בדוח הכספי" dataDxfId="526"/>
    <tableColumn id="17" xr3:uid="{00000000-0010-0000-0D00-000011000000}" name="שיעור מנכסי אפיק ההשקעה" dataDxfId="525"/>
    <tableColumn id="18" xr3:uid="{00000000-0010-0000-0D00-000012000000}" name="שיעור מסך נכסי ההשקעה" dataDxfId="524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אפיק השקעה מובטח תשואה" displayName="אפיק_השקעה_מובטח_תשואה" ref="A2:G8" totalsRowShown="0" headerRowDxfId="523" headerRowBorderDxfId="522" tableBorderDxfId="521" totalsRowBorderDxfId="520">
  <autoFilter ref="A2:G8" xr:uid="{00000000-0009-0000-0100-00000F000000}"/>
  <tableColumns count="7">
    <tableColumn id="1" xr3:uid="{00000000-0010-0000-0E00-000001000000}" name="מספר קרן" dataDxfId="519"/>
    <tableColumn id="2" xr3:uid="{00000000-0010-0000-0E00-000002000000}" name="מספר מסלול" dataDxfId="518"/>
    <tableColumn id="3" xr3:uid="{00000000-0010-0000-0E00-000003000000}" name="מאפיין עיקרי" dataDxfId="517"/>
    <tableColumn id="4" xr3:uid="{00000000-0010-0000-0E00-000004000000}" name="חודש הנפקת שכבה" dataDxfId="516"/>
    <tableColumn id="5" xr3:uid="{00000000-0010-0000-0E00-000005000000}" name="חודש הבדיקה" dataDxfId="515"/>
    <tableColumn id="6" xr3:uid="{00000000-0010-0000-0E00-000006000000}" name="שווי הנכסים באפיק (באלפי ש&quot;ח)" dataDxfId="514"/>
    <tableColumn id="7" xr3:uid="{00000000-0010-0000-0E00-000007000000}" name="שיעור מסך נכסי ההשקעה" dataDxfId="513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לא סחיר ניירות ערך מסחריים" displayName="לא_סחיר_ניירות_ערך_מסחריים" ref="A2:AN8" totalsRowShown="0" headerRowDxfId="512" headerRowBorderDxfId="511" tableBorderDxfId="510" totalsRowBorderDxfId="509">
  <autoFilter ref="A2:AN8" xr:uid="{00000000-0009-0000-0100-000010000000}"/>
  <tableColumns count="40">
    <tableColumn id="1" xr3:uid="{00000000-0010-0000-0F00-000001000000}" name="מספר קופה/קרן/ח.פ. עבור חברת ביטוח" dataDxfId="508"/>
    <tableColumn id="2" xr3:uid="{00000000-0010-0000-0F00-000002000000}" name="מספר מסלול" dataDxfId="507"/>
    <tableColumn id="3" xr3:uid="{00000000-0010-0000-0F00-000003000000}" name="שם מנפיק" dataDxfId="506"/>
    <tableColumn id="4" xr3:uid="{00000000-0010-0000-0F00-000004000000}" name="מספר מנפיק" dataDxfId="505"/>
    <tableColumn id="5" xr3:uid="{00000000-0010-0000-0F00-000005000000}" name="סוג מספר מזהה מנפיק" dataDxfId="504"/>
    <tableColumn id="6" xr3:uid="{00000000-0010-0000-0F00-000006000000}" name="שם נייר ערך" dataDxfId="503"/>
    <tableColumn id="7" xr3:uid="{00000000-0010-0000-0F00-000007000000}" name="מספר נייר ערך" dataDxfId="502"/>
    <tableColumn id="8" xr3:uid="{00000000-0010-0000-0F00-000008000000}" name="סוג מספר נייר ערך" dataDxfId="501"/>
    <tableColumn id="9" xr3:uid="{00000000-0010-0000-0F00-000009000000}" name="מאפיין עיקרי" dataDxfId="500"/>
    <tableColumn id="10" xr3:uid="{00000000-0010-0000-0F00-00000A000000}" name="ישראל/חו&quot;ל" dataDxfId="499"/>
    <tableColumn id="11" xr3:uid="{00000000-0010-0000-0F00-00000B000000}" name="מדינה לפי חשיפה כלכלית" dataDxfId="498"/>
    <tableColumn id="12" xr3:uid="{00000000-0010-0000-0F00-00000C000000}" name="ענף מסחר" dataDxfId="497"/>
    <tableColumn id="13" xr3:uid="{00000000-0010-0000-0F00-00000D000000}" name="בעל עניין/צד קשור" dataDxfId="496"/>
    <tableColumn id="14" xr3:uid="{00000000-0010-0000-0F00-00000E000000}" name="תאריך רכישה" dataDxfId="495"/>
    <tableColumn id="15" xr3:uid="{00000000-0010-0000-0F00-00000F000000}" name="דירוג" dataDxfId="494"/>
    <tableColumn id="16" xr3:uid="{00000000-0010-0000-0F00-000010000000}" name="שם מדרג" dataDxfId="493"/>
    <tableColumn id="17" xr3:uid="{00000000-0010-0000-0F00-000011000000}" name="דירוג נייר הערך/המנפיק" dataDxfId="492"/>
    <tableColumn id="18" xr3:uid="{00000000-0010-0000-0F00-000012000000}" name="מטבע פעילות" dataDxfId="491"/>
    <tableColumn id="19" xr3:uid="{00000000-0010-0000-0F00-000013000000}" name="מח&quot;מ" dataDxfId="490"/>
    <tableColumn id="20" xr3:uid="{00000000-0010-0000-0F00-000014000000}" name="סוג הצמדה" dataDxfId="489"/>
    <tableColumn id="21" xr3:uid="{00000000-0010-0000-0F00-000015000000}" name="ריבית עוגן" dataDxfId="488"/>
    <tableColumn id="22" xr3:uid="{00000000-0010-0000-0F00-000016000000}" name="מועד פדיון" dataDxfId="487"/>
    <tableColumn id="23" xr3:uid="{00000000-0010-0000-0F00-000017000000}" name="שיעור ריבית" dataDxfId="486"/>
    <tableColumn id="24" xr3:uid="{00000000-0010-0000-0F00-000018000000}" name="תשואה לפדיון" dataDxfId="485"/>
    <tableColumn id="25" xr3:uid="{00000000-0010-0000-0F00-000019000000}" name="נחיתות חוזית" dataDxfId="484"/>
    <tableColumn id="26" xr3:uid="{00000000-0010-0000-0F00-00001A000000}" name="האם סווג כחוב בעייתי" dataDxfId="483"/>
    <tableColumn id="27" xr3:uid="{00000000-0010-0000-0F00-00001B000000}" name="סוג גורם משערך" dataDxfId="482"/>
    <tableColumn id="28" xr3:uid="{00000000-0010-0000-0F00-00001C000000}" name="תלות/אי-תלות המשערך" dataDxfId="481"/>
    <tableColumn id="29" xr3:uid="{00000000-0010-0000-0F00-00001D000000}" name="שם גורם משערך" dataDxfId="480"/>
    <tableColumn id="30" xr3:uid="{00000000-0010-0000-0F00-00001E000000}" name="תאריך שערוך אחרון" dataDxfId="479"/>
    <tableColumn id="31" xr3:uid="{00000000-0010-0000-0F00-00001F000000}" name="תאריך אחרון בו נבחנה בפועל ירידת ערך" dataDxfId="478"/>
    <tableColumn id="32" xr3:uid="{00000000-0010-0000-0F00-000020000000}" name="ערך נקוב (יחידות)" dataDxfId="477"/>
    <tableColumn id="33" xr3:uid="{00000000-0010-0000-0F00-000021000000}" name="שער חליפין" dataDxfId="476"/>
    <tableColumn id="34" xr3:uid="{00000000-0010-0000-0F00-000022000000}" name="שער נייר הערך" dataDxfId="475"/>
    <tableColumn id="35" xr3:uid="{00000000-0010-0000-0F00-000023000000}" name="שווי הוגן (באלפי ש&quot;ח)" dataDxfId="474"/>
    <tableColumn id="36" xr3:uid="{00000000-0010-0000-0F00-000024000000}" name="עלות מופחתת (באלפי ש&quot;ח)" dataDxfId="473"/>
    <tableColumn id="37" xr3:uid="{00000000-0010-0000-0F00-000025000000}" name="עלות מופחתת (במטבע הפעילות)" dataDxfId="472"/>
    <tableColumn id="38" xr3:uid="{00000000-0010-0000-0F00-000026000000}" name="השיטה שיושמה בדוח הכספי" dataDxfId="471"/>
    <tableColumn id="39" xr3:uid="{00000000-0010-0000-0F00-000027000000}" name="שיעור מנכסי אפיק ההשקעה" dataDxfId="470"/>
    <tableColumn id="40" xr3:uid="{00000000-0010-0000-0F00-000028000000}" name="שיעור מסך נכסי ההשקעה" dataDxfId="469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לא סחיר איגרות חוב" displayName="לא_סחיר_איגרות_חוב" ref="A2:AL20" totalsRowShown="0" headerRowDxfId="468" headerRowBorderDxfId="467" tableBorderDxfId="466" totalsRowBorderDxfId="465">
  <autoFilter ref="A2:AL20" xr:uid="{00000000-0009-0000-0100-000011000000}"/>
  <tableColumns count="38">
    <tableColumn id="1" xr3:uid="{00000000-0010-0000-1000-000001000000}" name="מספר קופה/קרן/ח.פ. עבור חברת ביטוח" dataDxfId="464"/>
    <tableColumn id="2" xr3:uid="{00000000-0010-0000-1000-000002000000}" name="מספר מסלול" dataDxfId="463"/>
    <tableColumn id="3" xr3:uid="{00000000-0010-0000-1000-000003000000}" name="שם מנפיק" dataDxfId="462"/>
    <tableColumn id="4" xr3:uid="{00000000-0010-0000-1000-000004000000}" name="מספר מנפיק" dataDxfId="461"/>
    <tableColumn id="5" xr3:uid="{00000000-0010-0000-1000-000005000000}" name="סוג מספר מזהה מנפיק" dataDxfId="460"/>
    <tableColumn id="6" xr3:uid="{00000000-0010-0000-1000-000006000000}" name="שם נייר ערך" dataDxfId="459"/>
    <tableColumn id="7" xr3:uid="{00000000-0010-0000-1000-000007000000}" name="מספר נייר ערך" dataDxfId="458"/>
    <tableColumn id="8" xr3:uid="{00000000-0010-0000-1000-000008000000}" name="סוג מספר נייר ערך" dataDxfId="457"/>
    <tableColumn id="9" xr3:uid="{00000000-0010-0000-1000-000009000000}" name="מאפיין עיקרי" dataDxfId="456"/>
    <tableColumn id="10" xr3:uid="{00000000-0010-0000-1000-00000A000000}" name="ישראל/חו&quot;ל" dataDxfId="455"/>
    <tableColumn id="11" xr3:uid="{00000000-0010-0000-1000-00000B000000}" name="מדינה לפי חשיפה כלכלית" dataDxfId="454"/>
    <tableColumn id="12" xr3:uid="{00000000-0010-0000-1000-00000C000000}" name="סטאטוס סחירות" dataDxfId="453"/>
    <tableColumn id="13" xr3:uid="{00000000-0010-0000-1000-00000D000000}" name="ענף מסחר" dataDxfId="452"/>
    <tableColumn id="14" xr3:uid="{00000000-0010-0000-1000-00000E000000}" name="בעל עניין/צד קשור" dataDxfId="451"/>
    <tableColumn id="15" xr3:uid="{00000000-0010-0000-1000-00000F000000}" name="תאריך רכישה" dataDxfId="450"/>
    <tableColumn id="16" xr3:uid="{00000000-0010-0000-1000-000010000000}" name="דירוג" dataDxfId="449"/>
    <tableColumn id="17" xr3:uid="{00000000-0010-0000-1000-000011000000}" name="שם מדרג" dataDxfId="448"/>
    <tableColumn id="18" xr3:uid="{00000000-0010-0000-1000-000012000000}" name="דירוג נייר הערך/המנפיק" dataDxfId="447"/>
    <tableColumn id="19" xr3:uid="{00000000-0010-0000-1000-000013000000}" name="מטבע פעילות" dataDxfId="446"/>
    <tableColumn id="20" xr3:uid="{00000000-0010-0000-1000-000014000000}" name="מח&quot;מ" dataDxfId="445"/>
    <tableColumn id="21" xr3:uid="{00000000-0010-0000-1000-000015000000}" name="מועד פדיון" dataDxfId="444"/>
    <tableColumn id="22" xr3:uid="{00000000-0010-0000-1000-000016000000}" name="תשואה לפדיון" dataDxfId="443"/>
    <tableColumn id="23" xr3:uid="{00000000-0010-0000-1000-000017000000}" name="שיעור ריבית" dataDxfId="442"/>
    <tableColumn id="24" xr3:uid="{00000000-0010-0000-1000-000018000000}" name="נחיתות חוזית" dataDxfId="441"/>
    <tableColumn id="25" xr3:uid="{00000000-0010-0000-1000-000019000000}" name="האם סווג כחוב בעייתי" dataDxfId="440"/>
    <tableColumn id="26" xr3:uid="{00000000-0010-0000-1000-00001A000000}" name="סוג גורם משערך" dataDxfId="439"/>
    <tableColumn id="27" xr3:uid="{00000000-0010-0000-1000-00001B000000}" name="תלות/אי-תלות המשערך" dataDxfId="438"/>
    <tableColumn id="28" xr3:uid="{00000000-0010-0000-1000-00001C000000}" name="תאריך שערוך אחרון" dataDxfId="437"/>
    <tableColumn id="29" xr3:uid="{00000000-0010-0000-1000-00001D000000}" name="תאריך אחרון בו נבחנה בפועל ירידת ערך" dataDxfId="436"/>
    <tableColumn id="30" xr3:uid="{00000000-0010-0000-1000-00001E000000}" name="ערך נקוב (יחידות)" dataDxfId="435"/>
    <tableColumn id="31" xr3:uid="{00000000-0010-0000-1000-00001F000000}" name="שער חליפין" dataDxfId="434"/>
    <tableColumn id="32" xr3:uid="{00000000-0010-0000-1000-000020000000}" name="שער נייר הערך" dataDxfId="433"/>
    <tableColumn id="33" xr3:uid="{00000000-0010-0000-1000-000021000000}" name="שווי הוגן (באלפי ש&quot;ח)" dataDxfId="432"/>
    <tableColumn id="34" xr3:uid="{00000000-0010-0000-1000-000022000000}" name="עלות מופחתת (באלפי ש&quot;ח)" dataDxfId="431"/>
    <tableColumn id="35" xr3:uid="{00000000-0010-0000-1000-000023000000}" name="עלות מופחתת (במטבע הפעילות)" dataDxfId="430"/>
    <tableColumn id="36" xr3:uid="{00000000-0010-0000-1000-000024000000}" name="השיטה שיושמה בדוח הכספי" dataDxfId="429"/>
    <tableColumn id="37" xr3:uid="{00000000-0010-0000-1000-000025000000}" name="שיעור מנכסי אפיק ההשקעה" dataDxfId="428"/>
    <tableColumn id="38" xr3:uid="{00000000-0010-0000-1000-000026000000}" name="שיעור מסך נכסי ההשקעה" dataDxfId="427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לא סחיר מניות מבכ ויהש" displayName="לא_סחיר_מניות_מבכ_ויהש" ref="A2:Z59" totalsRowShown="0" headerRowDxfId="426" dataDxfId="424" headerRowBorderDxfId="425" tableBorderDxfId="423" totalsRowBorderDxfId="422">
  <autoFilter ref="A2:Z59" xr:uid="{00000000-0009-0000-0100-000012000000}"/>
  <tableColumns count="26">
    <tableColumn id="1" xr3:uid="{00000000-0010-0000-1100-000001000000}" name="מספר קופה/קרן/ח.פ. עבור חברת ביטוח" dataDxfId="421"/>
    <tableColumn id="2" xr3:uid="{00000000-0010-0000-1100-000002000000}" name="מספר מסלול" dataDxfId="420"/>
    <tableColumn id="3" xr3:uid="{00000000-0010-0000-1100-000003000000}" name="שם מנפיק" dataDxfId="419"/>
    <tableColumn id="4" xr3:uid="{00000000-0010-0000-1100-000004000000}" name="מספר מנפיק" dataDxfId="418"/>
    <tableColumn id="5" xr3:uid="{00000000-0010-0000-1100-000005000000}" name="סוג מספר מזהה מנפיק" dataDxfId="417"/>
    <tableColumn id="6" xr3:uid="{00000000-0010-0000-1100-000006000000}" name="שם נייר ערך" dataDxfId="416"/>
    <tableColumn id="7" xr3:uid="{00000000-0010-0000-1100-000007000000}" name="מספר נייר ערך" dataDxfId="415"/>
    <tableColumn id="8" xr3:uid="{00000000-0010-0000-1100-000008000000}" name="סוג מספר נייר ערך" dataDxfId="414"/>
    <tableColumn id="9" xr3:uid="{00000000-0010-0000-1100-000009000000}" name="מאפיין עיקרי" dataDxfId="413"/>
    <tableColumn id="10" xr3:uid="{00000000-0010-0000-1100-00000A000000}" name="ישראל/חו&quot;ל" dataDxfId="412"/>
    <tableColumn id="11" xr3:uid="{00000000-0010-0000-1100-00000B000000}" name="מדינה לפי חשיפה כלכלית" dataDxfId="411"/>
    <tableColumn id="12" xr3:uid="{00000000-0010-0000-1100-00000C000000}" name="סטאטוס סחירות" dataDxfId="410"/>
    <tableColumn id="13" xr3:uid="{00000000-0010-0000-1100-00000D000000}" name="ענף מסחר" dataDxfId="409"/>
    <tableColumn id="14" xr3:uid="{00000000-0010-0000-1100-00000E000000}" name="בעל עניין/צד קשור" dataDxfId="408"/>
    <tableColumn id="15" xr3:uid="{00000000-0010-0000-1100-00000F000000}" name="תאריך רכישה" dataDxfId="407"/>
    <tableColumn id="16" xr3:uid="{00000000-0010-0000-1100-000010000000}" name="מטבע פעילות" dataDxfId="406"/>
    <tableColumn id="17" xr3:uid="{00000000-0010-0000-1100-000011000000}" name="סוג גורם משערך" dataDxfId="405"/>
    <tableColumn id="18" xr3:uid="{00000000-0010-0000-1100-000012000000}" name="תלות/אי-תלות המשערך" dataDxfId="404"/>
    <tableColumn id="19" xr3:uid="{00000000-0010-0000-1100-000013000000}" name="תאריך שערוך אחרון" dataDxfId="403"/>
    <tableColumn id="20" xr3:uid="{00000000-0010-0000-1100-000014000000}" name="תאריך אחרון בו נבחנה בפועל ירידת ערך" dataDxfId="402"/>
    <tableColumn id="21" xr3:uid="{00000000-0010-0000-1100-000015000000}" name="ערך נקוב (יחידות)" dataDxfId="401"/>
    <tableColumn id="22" xr3:uid="{00000000-0010-0000-1100-000016000000}" name="שער חליפין" dataDxfId="400"/>
    <tableColumn id="23" xr3:uid="{00000000-0010-0000-1100-000017000000}" name="שער נייר הערך" dataDxfId="399"/>
    <tableColumn id="24" xr3:uid="{00000000-0010-0000-1100-000018000000}" name="שווי הוגן (באלפי ש&quot;ח)" dataDxfId="398"/>
    <tableColumn id="25" xr3:uid="{00000000-0010-0000-1100-000019000000}" name="שיעור מנכסי אפיק ההשקעה" dataDxfId="397"/>
    <tableColumn id="26" xr3:uid="{00000000-0010-0000-1100-00001A000000}" name="שיעור מסך נכסי ההשקעה" dataDxfId="396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קרנות השקעה" displayName="קרנות_השקעה" ref="A2:Z313" totalsRowShown="0" headerRowDxfId="395" dataDxfId="393" headerRowBorderDxfId="394" tableBorderDxfId="392" totalsRowBorderDxfId="391">
  <autoFilter ref="A2:Z313" xr:uid="{00000000-0009-0000-0100-000013000000}"/>
  <tableColumns count="26">
    <tableColumn id="1" xr3:uid="{00000000-0010-0000-1200-000001000000}" name="מספר קופה/קרן/ח.פ. עבור חברת ביטוח" dataDxfId="390"/>
    <tableColumn id="2" xr3:uid="{00000000-0010-0000-1200-000002000000}" name="מספר מסלול" dataDxfId="389"/>
    <tableColumn id="3" xr3:uid="{00000000-0010-0000-1200-000003000000}" name="שם שותף כללי קרן השקעות" dataDxfId="388"/>
    <tableColumn id="4" xr3:uid="{00000000-0010-0000-1200-000004000000}" name="מספר מזהה שותף כללי קרן השקעות" dataDxfId="387"/>
    <tableColumn id="5" xr3:uid="{00000000-0010-0000-1200-000005000000}" name="סוג מספר מזהה שותף כללי קרן השקעות" dataDxfId="386"/>
    <tableColumn id="6" xr3:uid="{00000000-0010-0000-1200-000006000000}" name="שם קרן השקעה" dataDxfId="385"/>
    <tableColumn id="7" xr3:uid="{00000000-0010-0000-1200-000007000000}" name="מספר מזהה קרן השקעה" dataDxfId="384"/>
    <tableColumn id="8" xr3:uid="{00000000-0010-0000-1200-000008000000}" name="סוג מספר מזהה קרן השקעות" dataDxfId="383"/>
    <tableColumn id="9" xr3:uid="{00000000-0010-0000-1200-000009000000}" name="מאפיין עיקרי" dataDxfId="382"/>
    <tableColumn id="10" xr3:uid="{00000000-0010-0000-1200-00000A000000}" name="אסטרטגיית קרן ההשקעה" dataDxfId="381"/>
    <tableColumn id="11" xr3:uid="{00000000-0010-0000-1200-00000B000000}" name="ישראל/חו&quot;ל" dataDxfId="380"/>
    <tableColumn id="12" xr3:uid="{00000000-0010-0000-1200-00000C000000}" name="מדינת התאגדות קרן השקעה" dataDxfId="379"/>
    <tableColumn id="13" xr3:uid="{00000000-0010-0000-1200-00000D000000}" name="מיקום משרד השותף הכללי" dataDxfId="378"/>
    <tableColumn id="14" xr3:uid="{00000000-0010-0000-1200-00000E000000}" name="מדינה לפי חשיפה כלכלית" dataDxfId="377"/>
    <tableColumn id="15" xr3:uid="{00000000-0010-0000-1200-00000F000000}" name="בעל עניין/צד קשור" dataDxfId="376"/>
    <tableColumn id="16" xr3:uid="{00000000-0010-0000-1200-000010000000}" name="תאריך רכישה" dataDxfId="375"/>
    <tableColumn id="17" xr3:uid="{00000000-0010-0000-1200-000011000000}" name="מטבע פעילות" dataDxfId="374"/>
    <tableColumn id="18" xr3:uid="{00000000-0010-0000-1200-000012000000}" name="סוג גורם משערך" dataDxfId="373"/>
    <tableColumn id="19" xr3:uid="{00000000-0010-0000-1200-000013000000}" name="תלות/אי-תלות המשערך" dataDxfId="372"/>
    <tableColumn id="20" xr3:uid="{00000000-0010-0000-1200-000014000000}" name="תאריך שערוך אחרון" dataDxfId="371"/>
    <tableColumn id="21" xr3:uid="{00000000-0010-0000-1200-000015000000}" name="שער חליפין" dataDxfId="370"/>
    <tableColumn id="22" xr3:uid="{00000000-0010-0000-1200-000016000000}" name="NAV (במטבע הדיווח של קרן ההשקעה)" dataDxfId="369"/>
    <tableColumn id="23" xr3:uid="{00000000-0010-0000-1200-000017000000}" name="שווי הוגן (באלפי ש&quot;ח)" dataDxfId="368"/>
    <tableColumn id="24" xr3:uid="{00000000-0010-0000-1200-000018000000}" name="שיעור החזקה בקרן השקעה" dataDxfId="367"/>
    <tableColumn id="25" xr3:uid="{00000000-0010-0000-1200-000019000000}" name="שיעור מנכסי אפיק ההשקעה" dataDxfId="366"/>
    <tableColumn id="26" xr3:uid="{00000000-0010-0000-1200-00001A000000}" name="שיעור מסך נכסי ההשקעה" dataDxfId="365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לא סחיר כתבי אופציה" displayName="לא_סחיר_כתבי_אופציה" ref="A2:AB12" totalsRowShown="0" headerRowDxfId="364" dataDxfId="362" headerRowBorderDxfId="363" tableBorderDxfId="361" totalsRowBorderDxfId="360">
  <autoFilter ref="A2:AB12" xr:uid="{00000000-0009-0000-0100-000014000000}"/>
  <tableColumns count="28">
    <tableColumn id="1" xr3:uid="{00000000-0010-0000-1300-000001000000}" name="מספר קופה/קרן/ח.פ. עבור חברת ביטוח" dataDxfId="359"/>
    <tableColumn id="2" xr3:uid="{00000000-0010-0000-1300-000002000000}" name="מספר מסלול" dataDxfId="358"/>
    <tableColumn id="3" xr3:uid="{00000000-0010-0000-1300-000003000000}" name="שם מנפיק" dataDxfId="357"/>
    <tableColumn id="4" xr3:uid="{00000000-0010-0000-1300-000004000000}" name="מספר מנפיק" dataDxfId="356"/>
    <tableColumn id="5" xr3:uid="{00000000-0010-0000-1300-000005000000}" name="סוג מספר מזהה מנפיק" dataDxfId="355"/>
    <tableColumn id="6" xr3:uid="{00000000-0010-0000-1300-000006000000}" name="שם נייר ערך" dataDxfId="354"/>
    <tableColumn id="7" xr3:uid="{00000000-0010-0000-1300-000007000000}" name="מספר נייר ערך" dataDxfId="353"/>
    <tableColumn id="8" xr3:uid="{00000000-0010-0000-1300-000008000000}" name="סוג מספר נייר ערך" dataDxfId="352"/>
    <tableColumn id="9" xr3:uid="{00000000-0010-0000-1300-000009000000}" name="ישראל/חו&quot;ל" dataDxfId="351"/>
    <tableColumn id="10" xr3:uid="{00000000-0010-0000-1300-00000A000000}" name="מדינה לפי חשיפה כלכלית" dataDxfId="350"/>
    <tableColumn id="11" xr3:uid="{00000000-0010-0000-1300-00000B000000}" name="סטאטוס סחירות" dataDxfId="349"/>
    <tableColumn id="12" xr3:uid="{00000000-0010-0000-1300-00000C000000}" name="נכס בסיס (כתב אופציה)" dataDxfId="348"/>
    <tableColumn id="13" xr3:uid="{00000000-0010-0000-1300-00000D000000}" name="ענף מסחר" dataDxfId="347"/>
    <tableColumn id="14" xr3:uid="{00000000-0010-0000-1300-00000E000000}" name="תאריך פקיעה" dataDxfId="346"/>
    <tableColumn id="15" xr3:uid="{00000000-0010-0000-1300-00000F000000}" name="בעל עניין/צד קשור" dataDxfId="345"/>
    <tableColumn id="16" xr3:uid="{00000000-0010-0000-1300-000010000000}" name="תאריך רכישה" dataDxfId="344"/>
    <tableColumn id="17" xr3:uid="{00000000-0010-0000-1300-000011000000}" name="מטבע פעילות" dataDxfId="343"/>
    <tableColumn id="18" xr3:uid="{00000000-0010-0000-1300-000012000000}" name="סוג גורם משערך" dataDxfId="342"/>
    <tableColumn id="19" xr3:uid="{00000000-0010-0000-1300-000013000000}" name="תלות/אי-תלות המשערך" dataDxfId="341"/>
    <tableColumn id="20" xr3:uid="{00000000-0010-0000-1300-000014000000}" name="תאריך שערוך אחרון" dataDxfId="340"/>
    <tableColumn id="21" xr3:uid="{00000000-0010-0000-1300-000015000000}" name="שער מימוש" dataDxfId="339"/>
    <tableColumn id="22" xr3:uid="{00000000-0010-0000-1300-000016000000}" name="יחס המרה" dataDxfId="338"/>
    <tableColumn id="23" xr3:uid="{00000000-0010-0000-1300-000017000000}" name="ערך נקוב (יחידות)" dataDxfId="337"/>
    <tableColumn id="24" xr3:uid="{00000000-0010-0000-1300-000018000000}" name="שער נייר הערך" dataDxfId="336"/>
    <tableColumn id="25" xr3:uid="{00000000-0010-0000-1300-000019000000}" name="שער חליפין" dataDxfId="335"/>
    <tableColumn id="26" xr3:uid="{00000000-0010-0000-1300-00001A000000}" name="שווי הוגן (באלפי ש&quot;ח)" dataDxfId="334"/>
    <tableColumn id="27" xr3:uid="{00000000-0010-0000-1300-00001B000000}" name="שיעור מנכסי אפיק ההשקעה" dataDxfId="333"/>
    <tableColumn id="28" xr3:uid="{00000000-0010-0000-1300-00001C000000}" name="שיעור מסך נכסי ההשקעה" dataDxfId="332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לא סחיר אופציות" displayName="לא_סחיר_אופציות" ref="A2:AB8" totalsRowShown="0" headerRowDxfId="331" dataDxfId="329" headerRowBorderDxfId="330" tableBorderDxfId="328" totalsRowBorderDxfId="327">
  <autoFilter ref="A2:AB8" xr:uid="{00000000-0009-0000-0100-000015000000}"/>
  <tableColumns count="28">
    <tableColumn id="1" xr3:uid="{00000000-0010-0000-1400-000001000000}" name="מספר קופה/קרן/ח.פ. עבור חברת ביטוח" dataDxfId="326"/>
    <tableColumn id="2" xr3:uid="{00000000-0010-0000-1400-000002000000}" name="מספר מסלול" dataDxfId="325"/>
    <tableColumn id="3" xr3:uid="{00000000-0010-0000-1400-000003000000}" name="שם מנפיק" dataDxfId="324"/>
    <tableColumn id="4" xr3:uid="{00000000-0010-0000-1400-000004000000}" name="מספר מנפיק" dataDxfId="323"/>
    <tableColumn id="5" xr3:uid="{00000000-0010-0000-1400-000005000000}" name="סוג מספר מזהה מנפיק" dataDxfId="322"/>
    <tableColumn id="6" xr3:uid="{00000000-0010-0000-1400-000006000000}" name="שם נייר ערך" dataDxfId="321"/>
    <tableColumn id="7" xr3:uid="{00000000-0010-0000-1400-000007000000}" name="מספר נייר ערך" dataDxfId="320"/>
    <tableColumn id="8" xr3:uid="{00000000-0010-0000-1400-000008000000}" name="סוג מספר נייר ערך" dataDxfId="319"/>
    <tableColumn id="9" xr3:uid="{00000000-0010-0000-1400-000009000000}" name="מאפיין עיקרי" dataDxfId="318"/>
    <tableColumn id="10" xr3:uid="{00000000-0010-0000-1400-00000A000000}" name="ישראל/חו&quot;ל" dataDxfId="317"/>
    <tableColumn id="11" xr3:uid="{00000000-0010-0000-1400-00000B000000}" name="מדינה לפי חשיפה כלכלית" dataDxfId="316"/>
    <tableColumn id="12" xr3:uid="{00000000-0010-0000-1400-00000C000000}" name="ענף מסחר" dataDxfId="315"/>
    <tableColumn id="13" xr3:uid="{00000000-0010-0000-1400-00000D000000}" name="נכס בסיס" dataDxfId="314"/>
    <tableColumn id="14" xr3:uid="{00000000-0010-0000-1400-00000E000000}" name="תאריך פקיעה" dataDxfId="313"/>
    <tableColumn id="15" xr3:uid="{00000000-0010-0000-1400-00000F000000}" name="בעל עניין/צד קשור" dataDxfId="312"/>
    <tableColumn id="16" xr3:uid="{00000000-0010-0000-1400-000010000000}" name="תאריך רכישה" dataDxfId="311"/>
    <tableColumn id="17" xr3:uid="{00000000-0010-0000-1400-000011000000}" name="מטבע פעילות" dataDxfId="310"/>
    <tableColumn id="18" xr3:uid="{00000000-0010-0000-1400-000012000000}" name="סוג גורם משערך" dataDxfId="309"/>
    <tableColumn id="19" xr3:uid="{00000000-0010-0000-1400-000013000000}" name="תלות/אי-תלות המשערך" dataDxfId="308"/>
    <tableColumn id="20" xr3:uid="{00000000-0010-0000-1400-000014000000}" name="תאריך שערוך אחרון" dataDxfId="307"/>
    <tableColumn id="21" xr3:uid="{00000000-0010-0000-1400-000015000000}" name="שער מימוש" dataDxfId="306"/>
    <tableColumn id="22" xr3:uid="{00000000-0010-0000-1400-000016000000}" name="יחס המרה" dataDxfId="305"/>
    <tableColumn id="23" xr3:uid="{00000000-0010-0000-1400-000017000000}" name="ערך נקוב (יחידות)" dataDxfId="304"/>
    <tableColumn id="24" xr3:uid="{00000000-0010-0000-1400-000018000000}" name="שער נייר הערך" dataDxfId="303"/>
    <tableColumn id="25" xr3:uid="{00000000-0010-0000-1400-000019000000}" name="שער חליפין" dataDxfId="302"/>
    <tableColumn id="26" xr3:uid="{00000000-0010-0000-1400-00001A000000}" name="שווי הוגן (בש&quot;ח)" dataDxfId="301"/>
    <tableColumn id="27" xr3:uid="{00000000-0010-0000-1400-00001B000000}" name="שיעור מנכסי אפיק ההשקעה" dataDxfId="300"/>
    <tableColumn id="28" xr3:uid="{00000000-0010-0000-1400-00001C000000}" name="שיעור מסך נכסי ההשקעה" dataDxfId="299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לא סחיר נגזרים אחרים" displayName="לא_סחיר_נגזרים_אחרים" ref="A2:AO39" totalsRowShown="0" headerRowDxfId="298" headerRowBorderDxfId="297" tableBorderDxfId="296" totalsRowBorderDxfId="295">
  <autoFilter ref="A2:AO39" xr:uid="{00000000-0009-0000-0100-000016000000}"/>
  <tableColumns count="41">
    <tableColumn id="1" xr3:uid="{00000000-0010-0000-1500-000001000000}" name="מספר קופה/קרן/ח.פ. עבור חברת ביטוח" dataDxfId="294"/>
    <tableColumn id="2" xr3:uid="{00000000-0010-0000-1500-000002000000}" name="מספר מסלול" dataDxfId="293"/>
    <tableColumn id="3" xr3:uid="{00000000-0010-0000-1500-000003000000}" name="מאפיין עיקרי" dataDxfId="292"/>
    <tableColumn id="4" xr3:uid="{00000000-0010-0000-1500-000004000000}" name="מספר עסקה (רגל 1)" dataDxfId="291"/>
    <tableColumn id="5" xr3:uid="{00000000-0010-0000-1500-000005000000}" name="מטבע פעילות (רגל 1)" dataDxfId="290"/>
    <tableColumn id="6" xr3:uid="{00000000-0010-0000-1500-000006000000}" name="שער חליפין" dataDxfId="289"/>
    <tableColumn id="7" xr3:uid="{00000000-0010-0000-1500-000007000000}" name="ערך נקוב (רגל 1)" dataDxfId="288"/>
    <tableColumn id="8" xr3:uid="{00000000-0010-0000-1500-000008000000}" name="שווי הוגן במטבע הנסחר (רגל 1)" dataDxfId="287"/>
    <tableColumn id="9" xr3:uid="{00000000-0010-0000-1500-000009000000}" name="שיעור מנכסי אפיק ההשקעה (רגל 1)" dataDxfId="286"/>
    <tableColumn id="10" xr3:uid="{00000000-0010-0000-1500-00000A000000}" name="שיעור מסך נכסי ההשקעה (רגל 1)" dataDxfId="285"/>
    <tableColumn id="11" xr3:uid="{00000000-0010-0000-1500-00000B000000}" name="מספר עסקה (רגל 2)" dataDxfId="284"/>
    <tableColumn id="12" xr3:uid="{00000000-0010-0000-1500-00000C000000}" name="מטבע פעילות (רגל 2)" dataDxfId="283"/>
    <tableColumn id="13" xr3:uid="{00000000-0010-0000-1500-00000D000000}" name="שער חליפין2" dataDxfId="282"/>
    <tableColumn id="14" xr3:uid="{00000000-0010-0000-1500-00000E000000}" name="ערך נקוב (רגל 2)" dataDxfId="281"/>
    <tableColumn id="15" xr3:uid="{00000000-0010-0000-1500-00000F000000}" name="שווי הוגן במטבע הנסחר (רגל 2)" dataDxfId="280"/>
    <tableColumn id="16" xr3:uid="{00000000-0010-0000-1500-000010000000}" name="שיעור מנכסי ההשקעה (רגל 2)" dataDxfId="279"/>
    <tableColumn id="17" xr3:uid="{00000000-0010-0000-1500-000011000000}" name="שיעור מסך אפיק ההשקעה (רגל 2)" dataDxfId="278"/>
    <tableColumn id="18" xr3:uid="{00000000-0010-0000-1500-000012000000}" name="שווי הוגן (נטו  באלפי ש&quot;ח)" dataDxfId="277"/>
    <tableColumn id="19" xr3:uid="{00000000-0010-0000-1500-000013000000}" name="ישראל/חו&quot;ל" dataDxfId="276"/>
    <tableColumn id="20" xr3:uid="{00000000-0010-0000-1500-000014000000}" name="מדינה לפי חשיפה כלכלית" dataDxfId="275"/>
    <tableColumn id="21" xr3:uid="{00000000-0010-0000-1500-000015000000}" name="סוג הנכס" dataDxfId="274"/>
    <tableColumn id="22" xr3:uid="{00000000-0010-0000-1500-000016000000}" name="פקטור מוביל" dataDxfId="273"/>
    <tableColumn id="23" xr3:uid="{00000000-0010-0000-1500-000017000000}" name="פקטור נוסף" dataDxfId="272"/>
    <tableColumn id="24" xr3:uid="{00000000-0010-0000-1500-000018000000}" name="טיקר" dataDxfId="271"/>
    <tableColumn id="25" xr3:uid="{00000000-0010-0000-1500-000019000000}" name="בעל עניין/צד קשור" dataDxfId="270"/>
    <tableColumn id="26" xr3:uid="{00000000-0010-0000-1500-00001A000000}" name="מועד ההתקשרות בעסקה" dataDxfId="269"/>
    <tableColumn id="27" xr3:uid="{00000000-0010-0000-1500-00001B000000}" name="מועד סיום חוזי" dataDxfId="268"/>
    <tableColumn id="28" xr3:uid="{00000000-0010-0000-1500-00001C000000}" name="תדירות Reset" dataDxfId="267"/>
    <tableColumn id="29" xr3:uid="{00000000-0010-0000-1500-00001D000000}" name="סוג הסליקה" dataDxfId="266"/>
    <tableColumn id="30" xr3:uid="{00000000-0010-0000-1500-00001E000000}" name="נספח התחשבנות בטחונות - CSA" dataDxfId="265"/>
    <tableColumn id="31" xr3:uid="{00000000-0010-0000-1500-00001F000000}" name="גורם מצטט" dataDxfId="264"/>
    <tableColumn id="32" xr3:uid="{00000000-0010-0000-1500-000020000000}" name="ריבית עוגן" dataDxfId="263"/>
    <tableColumn id="33" xr3:uid="{00000000-0010-0000-1500-000021000000}" name="תקופת ריבית עוגן" dataDxfId="262"/>
    <tableColumn id="34" xr3:uid="{00000000-0010-0000-1500-000022000000}" name="שיעור ריבית עוגן" dataDxfId="261"/>
    <tableColumn id="35" xr3:uid="{00000000-0010-0000-1500-000023000000}" name="שער נכס הבסיס במועד ההתקשרות בעסקה" dataDxfId="260"/>
    <tableColumn id="36" xr3:uid="{00000000-0010-0000-1500-000024000000}" name="שער הנגזר במועד ההתקשרות בעסקה" dataDxfId="259"/>
    <tableColumn id="37" xr3:uid="{00000000-0010-0000-1500-000025000000}" name="האם קיים קנס בגין יציאה מוקדמת" dataDxfId="258"/>
    <tableColumn id="38" xr3:uid="{00000000-0010-0000-1500-000026000000}" name="שיעור הקנס בגין יציאה מוקדמת" dataDxfId="257"/>
    <tableColumn id="39" xr3:uid="{00000000-0010-0000-1500-000027000000}" name="צד נגדי - Counterparty" dataDxfId="256"/>
    <tableColumn id="40" xr3:uid="{00000000-0010-0000-1500-000028000000}" name="שיעור מנכסי אפיק ההשקעה" dataDxfId="255"/>
    <tableColumn id="41" xr3:uid="{00000000-0010-0000-1500-000029000000}" name="שיעור מסך נכסי ההשקעה" dataDxfId="254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הלוואות" displayName="הלוואות" ref="A2:BA109" totalsRowShown="0" headerRowDxfId="253" headerRowBorderDxfId="252" tableBorderDxfId="251" totalsRowBorderDxfId="250">
  <autoFilter ref="A2:BA109" xr:uid="{00000000-0009-0000-0100-000017000000}"/>
  <tableColumns count="53">
    <tableColumn id="1" xr3:uid="{00000000-0010-0000-1600-000001000000}" name="מספר קופה/קרן/ח.פ. עבור חברת ביטוח" dataDxfId="249"/>
    <tableColumn id="2" xr3:uid="{00000000-0010-0000-1600-000002000000}" name="מספר מסלול" dataDxfId="248"/>
    <tableColumn id="3" xr3:uid="{00000000-0010-0000-1600-000003000000}" name="מספר מזהה לווה" dataDxfId="247"/>
    <tableColumn id="4" xr3:uid="{00000000-0010-0000-1600-000004000000}" name="סוג מספר מזהה לווה" dataDxfId="246"/>
    <tableColumn id="5" xr3:uid="{00000000-0010-0000-1600-000005000000}" name="שם הלוואה" dataDxfId="245"/>
    <tableColumn id="6" xr3:uid="{00000000-0010-0000-1600-000006000000}" name="מספר הלוואה" dataDxfId="244"/>
    <tableColumn id="7" xr3:uid="{00000000-0010-0000-1600-000007000000}" name="מאפיין עיקרי" dataDxfId="243"/>
    <tableColumn id="8" xr3:uid="{00000000-0010-0000-1600-000008000000}" name="מאפיין הלוואות מתואמות עבור זכויות מקרקעין" dataDxfId="242"/>
    <tableColumn id="9" xr3:uid="{00000000-0010-0000-1600-000009000000}" name="ישראל/חו&quot;ל" dataDxfId="241"/>
    <tableColumn id="10" xr3:uid="{00000000-0010-0000-1600-00000A000000}" name="מדינה לפי חשיפה כלכלית" dataDxfId="240"/>
    <tableColumn id="11" xr3:uid="{00000000-0010-0000-1600-00000B000000}" name="ענף מסחר" dataDxfId="239"/>
    <tableColumn id="12" xr3:uid="{00000000-0010-0000-1600-00000C000000}" name="בעל עניין/צד קשור" dataDxfId="238"/>
    <tableColumn id="13" xr3:uid="{00000000-0010-0000-1600-00000D000000}" name="קונסורציום/ סינדיקציה" dataDxfId="237"/>
    <tableColumn id="14" xr3:uid="{00000000-0010-0000-1600-00000E000000}" name="מספר קונסורציום/ סינדיקציה" dataDxfId="236"/>
    <tableColumn id="15" xr3:uid="{00000000-0010-0000-1600-00000F000000}" name="תאריך העמדת הלוואה" dataDxfId="235"/>
    <tableColumn id="16" xr3:uid="{00000000-0010-0000-1600-000010000000}" name="דירוג" dataDxfId="234"/>
    <tableColumn id="17" xr3:uid="{00000000-0010-0000-1600-000011000000}" name="שם מדרג" dataDxfId="233"/>
    <tableColumn id="18" xr3:uid="{00000000-0010-0000-1600-000012000000}" name="דירוג הלוואה/המנפיק" dataDxfId="232"/>
    <tableColumn id="19" xr3:uid="{00000000-0010-0000-1600-000013000000}" name="מטבע פעילות" dataDxfId="231"/>
    <tableColumn id="20" xr3:uid="{00000000-0010-0000-1600-000014000000}" name="מח&quot;מ" dataDxfId="230"/>
    <tableColumn id="21" xr3:uid="{00000000-0010-0000-1600-000015000000}" name="סוג הריבית" dataDxfId="229"/>
    <tableColumn id="22" xr3:uid="{00000000-0010-0000-1600-000016000000}" name="שיעור ריבית" dataDxfId="228"/>
    <tableColumn id="23" xr3:uid="{00000000-0010-0000-1600-000017000000}" name="סוג הצמדה" dataDxfId="227"/>
    <tableColumn id="24" xr3:uid="{00000000-0010-0000-1600-000018000000}" name="ריבית עוגן" dataDxfId="226"/>
    <tableColumn id="25" xr3:uid="{00000000-0010-0000-1600-000019000000}" name="שיעור תוספת/הפחתה לריבית העוגן" dataDxfId="225"/>
    <tableColumn id="26" xr3:uid="{00000000-0010-0000-1600-00001A000000}" name="תשואה לפדיון" dataDxfId="224"/>
    <tableColumn id="27" xr3:uid="{00000000-0010-0000-1600-00001B000000}" name="מועד פדיון" dataDxfId="223"/>
    <tableColumn id="28" xr3:uid="{00000000-0010-0000-1600-00001C000000}" name="נחיתות חוזית" dataDxfId="222"/>
    <tableColumn id="29" xr3:uid="{00000000-0010-0000-1600-00001D000000}" name="סוג בטוחה" dataDxfId="221"/>
    <tableColumn id="30" xr3:uid="{00000000-0010-0000-1600-00001E000000}" name="שווי הבטוחות העומדות כנגד ההלוואה" dataDxfId="220"/>
    <tableColumn id="31" xr3:uid="{00000000-0010-0000-1600-00001F000000}" name="שיעור הבטוחות מהחוב" dataDxfId="219"/>
    <tableColumn id="32" xr3:uid="{00000000-0010-0000-1600-000020000000}" name="מועד עדכון אחרון לשווי הבטוחות" dataDxfId="218"/>
    <tableColumn id="33" xr3:uid="{00000000-0010-0000-1600-000021000000}" name="זכות חזרה" dataDxfId="217"/>
    <tableColumn id="34" xr3:uid="{00000000-0010-0000-1600-000022000000}" name="מבנה לוח סילוקין" dataDxfId="216"/>
    <tableColumn id="35" xr3:uid="{00000000-0010-0000-1600-000023000000}" name="יעוד הלוואה" dataDxfId="215"/>
    <tableColumn id="36" xr3:uid="{00000000-0010-0000-1600-000024000000}" name="זכות פירעון מוקדם" dataDxfId="214"/>
    <tableColumn id="37" xr3:uid="{00000000-0010-0000-1600-000025000000}" name="סוג גורם משערך" dataDxfId="213"/>
    <tableColumn id="38" xr3:uid="{00000000-0010-0000-1600-000026000000}" name="שם גורם משערך" dataDxfId="212"/>
    <tableColumn id="39" xr3:uid="{00000000-0010-0000-1600-000027000000}" name="תלות/אי-תלות המשערך" dataDxfId="211"/>
    <tableColumn id="40" xr3:uid="{00000000-0010-0000-1600-000028000000}" name="תאריך שערוך אחרון" dataDxfId="210"/>
    <tableColumn id="41" xr3:uid="{00000000-0010-0000-1600-000029000000}" name="תאריך אחרון בו נבחנה בפועל ירידת ערך" dataDxfId="209"/>
    <tableColumn id="42" xr3:uid="{00000000-0010-0000-1600-00002A000000}" name="שיעור ריבית בגין אי-ניצול מסגרת האשראי" dataDxfId="208"/>
    <tableColumn id="43" xr3:uid="{00000000-0010-0000-1600-00002B000000}" name="ערך נקוב" dataDxfId="207"/>
    <tableColumn id="44" xr3:uid="{00000000-0010-0000-1600-00002C000000}" name="שער הלוואה" dataDxfId="206"/>
    <tableColumn id="45" xr3:uid="{00000000-0010-0000-1600-00002D000000}" name="שער חליפין" dataDxfId="205"/>
    <tableColumn id="46" xr3:uid="{00000000-0010-0000-1600-00002E000000}" name="שווי הוגן (באלפי ש&quot;ח)" dataDxfId="204"/>
    <tableColumn id="47" xr3:uid="{00000000-0010-0000-1600-00002F000000}" name="שווי הוגן (במטבע הפעילות)" dataDxfId="203"/>
    <tableColumn id="48" xr3:uid="{00000000-0010-0000-1600-000030000000}" name="עלות מופחתת (באלפי ש&quot;ח)" dataDxfId="202"/>
    <tableColumn id="49" xr3:uid="{00000000-0010-0000-1600-000031000000}" name="עלות מופחתת (במטבע הפעילות)" dataDxfId="201"/>
    <tableColumn id="50" xr3:uid="{00000000-0010-0000-1600-000032000000}" name="האם סווג כחוב בעייתי" dataDxfId="200"/>
    <tableColumn id="51" xr3:uid="{00000000-0010-0000-1600-000033000000}" name="השיטה שיושמה בדוח הכספי" dataDxfId="199"/>
    <tableColumn id="52" xr3:uid="{00000000-0010-0000-1600-000034000000}" name="שיעור מנכסי אפיק ההשקעה" dataDxfId="198"/>
    <tableColumn id="53" xr3:uid="{00000000-0010-0000-1600-000035000000}" name="שיעור מסך נכסי ההשקעה" dataDxfId="197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לא סחיר מוצרים מובנים" displayName="לא_סחיר_מוצרים_מובנים" ref="A2:AD10" totalsRowShown="0" headerRowDxfId="196" dataDxfId="194" headerRowBorderDxfId="195" tableBorderDxfId="193" totalsRowBorderDxfId="192">
  <autoFilter ref="A2:AD10" xr:uid="{00000000-0009-0000-0100-000018000000}"/>
  <tableColumns count="30">
    <tableColumn id="1" xr3:uid="{00000000-0010-0000-1700-000001000000}" name="מספר קופה/קרן/ח.פ. עבור חברת ביטוח" dataDxfId="191"/>
    <tableColumn id="2" xr3:uid="{00000000-0010-0000-1700-000002000000}" name="מספר מסלול" dataDxfId="190"/>
    <tableColumn id="3" xr3:uid="{00000000-0010-0000-1700-000003000000}" name="שם מנפיק" dataDxfId="189"/>
    <tableColumn id="4" xr3:uid="{00000000-0010-0000-1700-000004000000}" name="מספר מנפיק" dataDxfId="188"/>
    <tableColumn id="5" xr3:uid="{00000000-0010-0000-1700-000005000000}" name="סוג מספר מזהה מנפיק" dataDxfId="187"/>
    <tableColumn id="6" xr3:uid="{00000000-0010-0000-1700-000006000000}" name="שם נייר ערך" dataDxfId="186"/>
    <tableColumn id="7" xr3:uid="{00000000-0010-0000-1700-000007000000}" name="מספר נייר ערך" dataDxfId="185"/>
    <tableColumn id="8" xr3:uid="{00000000-0010-0000-1700-000008000000}" name="סוג מספר נייר ערך" dataDxfId="184"/>
    <tableColumn id="9" xr3:uid="{00000000-0010-0000-1700-000009000000}" name="מאפיין עיקרי" dataDxfId="183"/>
    <tableColumn id="10" xr3:uid="{00000000-0010-0000-1700-00000A000000}" name="ישראל/חו&quot;ל" dataDxfId="182"/>
    <tableColumn id="11" xr3:uid="{00000000-0010-0000-1700-00000B000000}" name="מדינה לפי חשיפה כלכלית" dataDxfId="181"/>
    <tableColumn id="12" xr3:uid="{00000000-0010-0000-1700-00000C000000}" name="בעל עניין/צד קשור" dataDxfId="180"/>
    <tableColumn id="13" xr3:uid="{00000000-0010-0000-1700-00000D000000}" name="נכס בסיס" dataDxfId="179"/>
    <tableColumn id="14" xr3:uid="{00000000-0010-0000-1700-00000E000000}" name="תאריך רכישה" dataDxfId="178"/>
    <tableColumn id="15" xr3:uid="{00000000-0010-0000-1700-00000F000000}" name="דירוג" dataDxfId="177"/>
    <tableColumn id="16" xr3:uid="{00000000-0010-0000-1700-000010000000}" name="שם מדרג" dataDxfId="176"/>
    <tableColumn id="17" xr3:uid="{00000000-0010-0000-1700-000011000000}" name="דירוג נייר הערך/המנפיק" dataDxfId="175"/>
    <tableColumn id="18" xr3:uid="{00000000-0010-0000-1700-000012000000}" name="מטבע פעילות" dataDxfId="174"/>
    <tableColumn id="19" xr3:uid="{00000000-0010-0000-1700-000013000000}" name="מח&quot;מ" dataDxfId="173"/>
    <tableColumn id="20" xr3:uid="{00000000-0010-0000-1700-000014000000}" name="שיעור ריבית" dataDxfId="172"/>
    <tableColumn id="21" xr3:uid="{00000000-0010-0000-1700-000015000000}" name="תשואה לפדיון" dataDxfId="171"/>
    <tableColumn id="22" xr3:uid="{00000000-0010-0000-1700-000016000000}" name="סוג גורם משערך" dataDxfId="170"/>
    <tableColumn id="23" xr3:uid="{00000000-0010-0000-1700-000017000000}" name="תלות/אי-תלות המשערך" dataDxfId="169"/>
    <tableColumn id="24" xr3:uid="{00000000-0010-0000-1700-000018000000}" name="תאריך שערוך אחרון" dataDxfId="168"/>
    <tableColumn id="25" xr3:uid="{00000000-0010-0000-1700-000019000000}" name="ערך נקוב (יחידות)" dataDxfId="167"/>
    <tableColumn id="26" xr3:uid="{00000000-0010-0000-1700-00001A000000}" name="שער חליפין" dataDxfId="166"/>
    <tableColumn id="27" xr3:uid="{00000000-0010-0000-1700-00001B000000}" name="שער נייר הערך" dataDxfId="165"/>
    <tableColumn id="28" xr3:uid="{00000000-0010-0000-1700-00001C000000}" name="שווי הוגן (באלפי ש&quot;ח)" dataDxfId="164"/>
    <tableColumn id="29" xr3:uid="{00000000-0010-0000-1700-00001D000000}" name="שיעור מנכסי אפיק ההשקעה" dataDxfId="163"/>
    <tableColumn id="30" xr3:uid="{00000000-0010-0000-1700-00001E000000}" name="שיעור מסך נכסי ההשקעה" dataDxfId="162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פיקדונות מעל 3 חודשים" displayName="פיקדונות_מעל_3_חודשים" ref="A2:V10" totalsRowShown="0" headerRowDxfId="161" dataDxfId="159" headerRowBorderDxfId="160" tableBorderDxfId="158" totalsRowBorderDxfId="157">
  <autoFilter ref="A2:V10" xr:uid="{00000000-0009-0000-0100-000019000000}"/>
  <tableColumns count="22">
    <tableColumn id="1" xr3:uid="{00000000-0010-0000-1800-000001000000}" name="מספר קופה/קרן/ח.פ. עבור חברת ביטוח" dataDxfId="156"/>
    <tableColumn id="2" xr3:uid="{00000000-0010-0000-1800-000002000000}" name="מספר מסלול" dataDxfId="155"/>
    <tableColumn id="3" xr3:uid="{00000000-0010-0000-1800-000003000000}" name="שם הבנק" dataDxfId="154"/>
    <tableColumn id="4" xr3:uid="{00000000-0010-0000-1800-000004000000}" name="מספר מזהה בנק" dataDxfId="153"/>
    <tableColumn id="5" xr3:uid="{00000000-0010-0000-1800-000005000000}" name="סוג מספר מזהה בנק" dataDxfId="152"/>
    <tableColumn id="6" xr3:uid="{00000000-0010-0000-1800-000006000000}" name="מאפיין עיקרי" dataDxfId="151"/>
    <tableColumn id="7" xr3:uid="{00000000-0010-0000-1800-000007000000}" name="תאריך פקיעת פיקדון" dataDxfId="150"/>
    <tableColumn id="8" xr3:uid="{00000000-0010-0000-1800-000008000000}" name="ישראל/חו&quot;ל" dataDxfId="149"/>
    <tableColumn id="9" xr3:uid="{00000000-0010-0000-1800-000009000000}" name="מדינה לפי חשיפה כלכלית" dataDxfId="148"/>
    <tableColumn id="10" xr3:uid="{00000000-0010-0000-1800-00000A000000}" name="בעל עניין/צד קשור" dataDxfId="147"/>
    <tableColumn id="11" xr3:uid="{00000000-0010-0000-1800-00000B000000}" name="דירוג הבנק" dataDxfId="146"/>
    <tableColumn id="12" xr3:uid="{00000000-0010-0000-1800-00000C000000}" name="שם מדרג" dataDxfId="145"/>
    <tableColumn id="13" xr3:uid="{00000000-0010-0000-1800-00000D000000}" name="מטבע פעילות" dataDxfId="144"/>
    <tableColumn id="14" xr3:uid="{00000000-0010-0000-1800-00000E000000}" name="מח&quot;מ" dataDxfId="143"/>
    <tableColumn id="15" xr3:uid="{00000000-0010-0000-1800-00000F000000}" name="שיעור ריבית" dataDxfId="142"/>
    <tableColumn id="16" xr3:uid="{00000000-0010-0000-1800-000010000000}" name="תשואה לפדיון" dataDxfId="141"/>
    <tableColumn id="17" xr3:uid="{00000000-0010-0000-1800-000011000000}" name="שווי מטבעי" dataDxfId="140"/>
    <tableColumn id="18" xr3:uid="{00000000-0010-0000-1800-000012000000}" name="שער חליפין" dataDxfId="139"/>
    <tableColumn id="19" xr3:uid="{00000000-0010-0000-1800-000013000000}" name="שער פיקדון" dataDxfId="138"/>
    <tableColumn id="20" xr3:uid="{00000000-0010-0000-1800-000014000000}" name="שווי הוגן (באלפי ש&quot;ח)" dataDxfId="137"/>
    <tableColumn id="21" xr3:uid="{00000000-0010-0000-1800-000015000000}" name="שיעור מנכסי אפיק ההשקעה" dataDxfId="136"/>
    <tableColumn id="22" xr3:uid="{00000000-0010-0000-1800-000016000000}" name="שיעור מסך נכסי ההשקעה" dataDxfId="135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זכויות מקרקעין" displayName="זכויות_מקרקעין" ref="A2:X8" totalsRowShown="0" headerRowDxfId="134" dataDxfId="132" headerRowBorderDxfId="133" tableBorderDxfId="131" totalsRowBorderDxfId="130">
  <autoFilter ref="A2:X8" xr:uid="{00000000-0009-0000-0100-00001A000000}"/>
  <tableColumns count="24">
    <tableColumn id="1" xr3:uid="{00000000-0010-0000-1900-000001000000}" name="מספר קופה/קרן/ח.פ. עבור חברת ביטוח" dataDxfId="129"/>
    <tableColumn id="2" xr3:uid="{00000000-0010-0000-1900-000002000000}" name="מספר מסלול" dataDxfId="128"/>
    <tableColumn id="3" xr3:uid="{00000000-0010-0000-1900-000003000000}" name="שם הנכס" dataDxfId="127"/>
    <tableColumn id="4" xr3:uid="{00000000-0010-0000-1900-000004000000}" name="מאפיין עיקרי" dataDxfId="126"/>
    <tableColumn id="5" xr3:uid="{00000000-0010-0000-1900-000005000000}" name="מדינת מיקום נדל&quot;ן" dataDxfId="125"/>
    <tableColumn id="6" xr3:uid="{00000000-0010-0000-1900-000006000000}" name="בעל עניין/צד קשור" dataDxfId="124"/>
    <tableColumn id="7" xr3:uid="{00000000-0010-0000-1900-000007000000}" name="תאריך רכישה" dataDxfId="123"/>
    <tableColumn id="8" xr3:uid="{00000000-0010-0000-1900-000008000000}" name="שימוש עיקרי בנכס" dataDxfId="122"/>
    <tableColumn id="9" xr3:uid="{00000000-0010-0000-1900-000009000000}" name="מחזור חיי הנכס" dataDxfId="121"/>
    <tableColumn id="10" xr3:uid="{00000000-0010-0000-1900-00000A000000}" name="כתובת הנכס" dataDxfId="120"/>
    <tableColumn id="11" xr3:uid="{00000000-0010-0000-1900-00000B000000}" name="שיעור תשואה בפועל במהלך הרבעון" dataDxfId="119"/>
    <tableColumn id="12" xr3:uid="{00000000-0010-0000-1900-00000C000000}" name="השיטה שבאמצעותה נקבע שווי הנכס" dataDxfId="118"/>
    <tableColumn id="13" xr3:uid="{00000000-0010-0000-1900-00000D000000}" name="סוג גורם משערך" dataDxfId="117"/>
    <tableColumn id="14" xr3:uid="{00000000-0010-0000-1900-00000E000000}" name="שם גורם משערך" dataDxfId="116"/>
    <tableColumn id="15" xr3:uid="{00000000-0010-0000-1900-00000F000000}" name="תלות/אי-תלות המשערך" dataDxfId="115"/>
    <tableColumn id="16" xr3:uid="{00000000-0010-0000-1900-000010000000}" name="תאריך שערוך אחרון" dataDxfId="114"/>
    <tableColumn id="17" xr3:uid="{00000000-0010-0000-1900-000011000000}" name="מטבע פעילות" dataDxfId="113"/>
    <tableColumn id="18" xr3:uid="{00000000-0010-0000-1900-000012000000}" name="שווי הוגן (במטבע הפעילות)" dataDxfId="112"/>
    <tableColumn id="19" xr3:uid="{00000000-0010-0000-1900-000013000000}" name="שווי הוגן (באלפי ש&quot;ח)" dataDxfId="111"/>
    <tableColumn id="20" xr3:uid="{00000000-0010-0000-1900-000014000000}" name="עלות מופחתת (באלפי ש&quot;ח)" dataDxfId="110"/>
    <tableColumn id="21" xr3:uid="{00000000-0010-0000-1900-000015000000}" name="עלות מופחתת (במטבע הפעילות)" dataDxfId="109"/>
    <tableColumn id="22" xr3:uid="{00000000-0010-0000-1900-000016000000}" name="השיטה שיושמה בדוח הכספי" dataDxfId="108"/>
    <tableColumn id="23" xr3:uid="{00000000-0010-0000-1900-000017000000}" name="שיעור מנכסי אפיק ההשקעה" dataDxfId="107"/>
    <tableColumn id="24" xr3:uid="{00000000-0010-0000-1900-000018000000}" name="שיעור מסך נכסי ההשקעה" dataDxfId="106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השקעה בחברות מוחזקות" displayName="השקעה_בחברות_מוחזקות" ref="A2:W8" totalsRowShown="0" headerRowDxfId="105" dataDxfId="103" headerRowBorderDxfId="104" tableBorderDxfId="102" totalsRowBorderDxfId="101">
  <autoFilter ref="A2:W8" xr:uid="{00000000-0009-0000-0100-00001B000000}"/>
  <tableColumns count="23">
    <tableColumn id="1" xr3:uid="{00000000-0010-0000-1A00-000001000000}" name="מספר קופה/קרן/ח.פ. עבור חברת ביטוח" dataDxfId="100"/>
    <tableColumn id="2" xr3:uid="{00000000-0010-0000-1A00-000002000000}" name="מספר מסלול" dataDxfId="99"/>
    <tableColumn id="3" xr3:uid="{00000000-0010-0000-1A00-000003000000}" name="שם מנפיק" dataDxfId="98"/>
    <tableColumn id="4" xr3:uid="{00000000-0010-0000-1A00-000004000000}" name="מספר מנפיק" dataDxfId="97"/>
    <tableColumn id="5" xr3:uid="{00000000-0010-0000-1A00-000005000000}" name="סוג מספר מזהה מנפיק" dataDxfId="96"/>
    <tableColumn id="6" xr3:uid="{00000000-0010-0000-1A00-000006000000}" name="שם נייר ערך" dataDxfId="95"/>
    <tableColumn id="7" xr3:uid="{00000000-0010-0000-1A00-000007000000}" name="מספר נייר ערך" dataDxfId="94"/>
    <tableColumn id="8" xr3:uid="{00000000-0010-0000-1A00-000008000000}" name="סוג מספר נייר ערך" dataDxfId="93"/>
    <tableColumn id="9" xr3:uid="{00000000-0010-0000-1A00-000009000000}" name="מאפיין עיקרי" dataDxfId="92"/>
    <tableColumn id="10" xr3:uid="{00000000-0010-0000-1A00-00000A000000}" name="ישראל/חו&quot;ל" dataDxfId="91"/>
    <tableColumn id="11" xr3:uid="{00000000-0010-0000-1A00-00000B000000}" name="מדינה לפי חשיפה כלכלית" dataDxfId="90"/>
    <tableColumn id="12" xr3:uid="{00000000-0010-0000-1A00-00000C000000}" name="ענף מסחר" dataDxfId="89"/>
    <tableColumn id="13" xr3:uid="{00000000-0010-0000-1A00-00000D000000}" name="בעל עניין/צד קשור" dataDxfId="88"/>
    <tableColumn id="14" xr3:uid="{00000000-0010-0000-1A00-00000E000000}" name="מטבע פעילות" dataDxfId="87"/>
    <tableColumn id="15" xr3:uid="{00000000-0010-0000-1A00-00000F000000}" name="סוג גורם משערך" dataDxfId="86"/>
    <tableColumn id="16" xr3:uid="{00000000-0010-0000-1A00-000010000000}" name="תלות/אי-תלות המשערך" dataDxfId="85"/>
    <tableColumn id="17" xr3:uid="{00000000-0010-0000-1A00-000011000000}" name="תאריך שערוך אחרון" dataDxfId="84"/>
    <tableColumn id="18" xr3:uid="{00000000-0010-0000-1A00-000012000000}" name="תאריך אחרון בו נבחנה בפועל ירידת ערך" dataDxfId="83"/>
    <tableColumn id="19" xr3:uid="{00000000-0010-0000-1A00-000013000000}" name="שיעור אחזקה באמצעי שליטה" dataDxfId="82"/>
    <tableColumn id="20" xr3:uid="{00000000-0010-0000-1A00-000014000000}" name="שווי מאזני (באלפי ש&quot;ח)" dataDxfId="81"/>
    <tableColumn id="21" xr3:uid="{00000000-0010-0000-1A00-000015000000}" name="שווי הוגן (באלפי ש&quot;ח)" dataDxfId="80"/>
    <tableColumn id="22" xr3:uid="{00000000-0010-0000-1A00-000016000000}" name="שיעור מנכסי אפיק ההשקעה" dataDxfId="79"/>
    <tableColumn id="23" xr3:uid="{00000000-0010-0000-1A00-000017000000}" name="שיעור מסך נכסי ההשקעה" dataDxfId="78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נכסים אחרים" displayName="נכסים_אחרים" ref="A2:R8" totalsRowShown="0" headerRowDxfId="77" dataDxfId="75" headerRowBorderDxfId="76" tableBorderDxfId="74" totalsRowBorderDxfId="73">
  <autoFilter ref="A2:R8" xr:uid="{00000000-0009-0000-0100-00001C000000}"/>
  <tableColumns count="18">
    <tableColumn id="1" xr3:uid="{00000000-0010-0000-1B00-000001000000}" name="מספר קופה/קרן/ח.פ. עבור חברת ביטוח" dataDxfId="72"/>
    <tableColumn id="2" xr3:uid="{00000000-0010-0000-1B00-000002000000}" name="מספר מסלול" dataDxfId="71"/>
    <tableColumn id="3" xr3:uid="{00000000-0010-0000-1B00-000003000000}" name="שם הנכס האחר" dataDxfId="70"/>
    <tableColumn id="4" xr3:uid="{00000000-0010-0000-1B00-000004000000}" name="מספר הנכס האחר" dataDxfId="69"/>
    <tableColumn id="5" xr3:uid="{00000000-0010-0000-1B00-000005000000}" name="מאפיין עיקרי" dataDxfId="68"/>
    <tableColumn id="6" xr3:uid="{00000000-0010-0000-1B00-000006000000}" name="ישראל/חו&quot;ל" dataDxfId="67"/>
    <tableColumn id="7" xr3:uid="{00000000-0010-0000-1B00-000007000000}" name="מדינה לפי חשיפה כלכלית" dataDxfId="66"/>
    <tableColumn id="8" xr3:uid="{00000000-0010-0000-1B00-000008000000}" name="בעל עניין/צד קשור" dataDxfId="65"/>
    <tableColumn id="9" xr3:uid="{00000000-0010-0000-1B00-000009000000}" name="תאריך עסקה" dataDxfId="64"/>
    <tableColumn id="10" xr3:uid="{00000000-0010-0000-1B00-00000A000000}" name="מטבע פעילות" dataDxfId="63"/>
    <tableColumn id="11" xr3:uid="{00000000-0010-0000-1B00-00000B000000}" name="תאריך שערוך אחרון" dataDxfId="62"/>
    <tableColumn id="12" xr3:uid="{00000000-0010-0000-1B00-00000C000000}" name="שווי מטבעי" dataDxfId="61"/>
    <tableColumn id="13" xr3:uid="{00000000-0010-0000-1B00-00000D000000}" name="שער חליפין" dataDxfId="60"/>
    <tableColumn id="14" xr3:uid="{00000000-0010-0000-1B00-00000E000000}" name="שווי הוגן (באלפי ש&quot;ח)" dataDxfId="59"/>
    <tableColumn id="15" xr3:uid="{00000000-0010-0000-1B00-00000F000000}" name="עלות מופחתת (באלפי ש&quot;ח)" dataDxfId="58"/>
    <tableColumn id="16" xr3:uid="{00000000-0010-0000-1B00-000010000000}" name="השיטה שיושמה בדוח הכספי" dataDxfId="57"/>
    <tableColumn id="17" xr3:uid="{00000000-0010-0000-1B00-000011000000}" name="שיעור מנכסי אפיק ההשקעה" dataDxfId="56"/>
    <tableColumn id="18" xr3:uid="{00000000-0010-0000-1B00-000012000000}" name="שיעור מסך נכסי ההשקעה" dataDxfId="55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מסגרות אשראי" displayName="מסגרות_אשראי" ref="A2:T8" totalsRowShown="0" headerRowDxfId="54" dataDxfId="52" headerRowBorderDxfId="53" tableBorderDxfId="51" totalsRowBorderDxfId="50">
  <autoFilter ref="A2:T8" xr:uid="{00000000-0009-0000-0100-00001D000000}"/>
  <tableColumns count="20">
    <tableColumn id="1" xr3:uid="{00000000-0010-0000-1C00-000001000000}" name="מספר קופה/קרן/ח.פ. עבור חברת ביטוח" dataDxfId="49"/>
    <tableColumn id="2" xr3:uid="{00000000-0010-0000-1C00-000002000000}" name="מספר מסלול" dataDxfId="48"/>
    <tableColumn id="3" xr3:uid="{00000000-0010-0000-1C00-000003000000}" name="מספר מזהה לווה" dataDxfId="47"/>
    <tableColumn id="4" xr3:uid="{00000000-0010-0000-1C00-000004000000}" name="סוג מספר מזהה לווה" dataDxfId="46"/>
    <tableColumn id="5" xr3:uid="{00000000-0010-0000-1C00-000005000000}" name="שם הלוואה" dataDxfId="45"/>
    <tableColumn id="6" xr3:uid="{00000000-0010-0000-1C00-000006000000}" name="מספר הלוואה" dataDxfId="44"/>
    <tableColumn id="7" xr3:uid="{00000000-0010-0000-1C00-000007000000}" name="תאריך העמדת מסגרת אשראי" dataDxfId="43"/>
    <tableColumn id="8" xr3:uid="{00000000-0010-0000-1C00-000008000000}" name="ישראל/חו&quot;ל" dataDxfId="42"/>
    <tableColumn id="9" xr3:uid="{00000000-0010-0000-1C00-000009000000}" name="מדינה לפי חשיפה כלכלית" dataDxfId="41"/>
    <tableColumn id="10" xr3:uid="{00000000-0010-0000-1C00-00000A000000}" name="בעל עניין/צד קשור" dataDxfId="40"/>
    <tableColumn id="11" xr3:uid="{00000000-0010-0000-1C00-00000B000000}" name="דירוג" dataDxfId="39"/>
    <tableColumn id="12" xr3:uid="{00000000-0010-0000-1C00-00000C000000}" name="שם מדרג" dataDxfId="38"/>
    <tableColumn id="13" xr3:uid="{00000000-0010-0000-1C00-00000D000000}" name="דירוג הלוואה/המנפיק" dataDxfId="37"/>
    <tableColumn id="14" xr3:uid="{00000000-0010-0000-1C00-00000E000000}" name="מטבע פעילות" dataDxfId="36"/>
    <tableColumn id="15" xr3:uid="{00000000-0010-0000-1C00-00000F000000}" name="שער חליפין" dataDxfId="35"/>
    <tableColumn id="16" xr3:uid="{00000000-0010-0000-1C00-000010000000}" name="שיעור ריבית" dataDxfId="34"/>
    <tableColumn id="17" xr3:uid="{00000000-0010-0000-1C00-000011000000}" name="סוג הריבית" dataDxfId="33"/>
    <tableColumn id="18" xr3:uid="{00000000-0010-0000-1C00-000012000000}" name="סכום מסגרת האשראי הראשוני (במטבע הפעילות)" dataDxfId="32"/>
    <tableColumn id="19" xr3:uid="{00000000-0010-0000-1C00-000013000000}" name="סכום מסגרת האשראי הראשוני (באלפי ש&quot;ח)" dataDxfId="31"/>
    <tableColumn id="20" xr3:uid="{00000000-0010-0000-1C00-000014000000}" name="שיעור יתרת מסגרת אשראי" dataDxfId="30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יתרות התחייבות להשקעה" displayName="יתרות_התחייבות_להשקעה" ref="A2:Q244" totalsRowShown="0" headerRowDxfId="29" dataDxfId="27" headerRowBorderDxfId="28" tableBorderDxfId="26" totalsRowBorderDxfId="25">
  <autoFilter ref="A2:Q244" xr:uid="{00000000-0009-0000-0100-00001E000000}"/>
  <tableColumns count="17">
    <tableColumn id="1" xr3:uid="{00000000-0010-0000-1D00-000001000000}" name="מספר קופה/קרן/ח.פ. עבור חברת ביטוח" dataDxfId="24"/>
    <tableColumn id="2" xr3:uid="{00000000-0010-0000-1D00-000002000000}" name="מספר מסלול" dataDxfId="23"/>
    <tableColumn id="3" xr3:uid="{00000000-0010-0000-1D00-000003000000}" name="מאפיין עיקרי" dataDxfId="22"/>
    <tableColumn id="4" xr3:uid="{00000000-0010-0000-1D00-000004000000}" name="שם שותף כללי קרן השקעות" dataDxfId="21"/>
    <tableColumn id="5" xr3:uid="{00000000-0010-0000-1D00-000005000000}" name="מספר מזהה שותף כללי קרן השקעות" dataDxfId="20"/>
    <tableColumn id="6" xr3:uid="{00000000-0010-0000-1D00-000006000000}" name="סוג מספר מזהה שותף כללי קרן השקעות" dataDxfId="19"/>
    <tableColumn id="7" xr3:uid="{00000000-0010-0000-1D00-000007000000}" name="שם קרן השקעה" dataDxfId="18"/>
    <tableColumn id="8" xr3:uid="{00000000-0010-0000-1D00-000008000000}" name="מספר מזהה קרן השקעה" dataDxfId="17"/>
    <tableColumn id="9" xr3:uid="{00000000-0010-0000-1D00-000009000000}" name="סוג מספר מזהה קרן השקעות" dataDxfId="16"/>
    <tableColumn id="10" xr3:uid="{00000000-0010-0000-1D00-00000A000000}" name="מטבע פעילות" dataDxfId="15"/>
    <tableColumn id="11" xr3:uid="{00000000-0010-0000-1D00-00000B000000}" name="תאריך העמדת התחייבות לקרן השקעה" dataDxfId="14"/>
    <tableColumn id="12" xr3:uid="{00000000-0010-0000-1D00-00000C000000}" name="סכום המחויבות הראשוני (במטבע הדיווח של קרן ההשקעה)" dataDxfId="13"/>
    <tableColumn id="13" xr3:uid="{00000000-0010-0000-1D00-00000D000000}" name="סכום המחויבות הראשוני (באלפי ש&quot;ח)" dataDxfId="12"/>
    <tableColumn id="14" xr3:uid="{00000000-0010-0000-1D00-00000E000000}" name="יתרת המחויבות לתקופת הדיווח (במטבע הדיווח של קרן ההשקעה)" dataDxfId="11"/>
    <tableColumn id="15" xr3:uid="{00000000-0010-0000-1D00-00000F000000}" name="יתרת המחויבות לתקופת הדיווח (באלפי ש&quot;ח)" dataDxfId="10"/>
    <tableColumn id="16" xr3:uid="{00000000-0010-0000-1D00-000010000000}" name="שיעור יתרת המחויבות" dataDxfId="9"/>
    <tableColumn id="17" xr3:uid="{00000000-0010-0000-1D00-000011000000}" name="תאריך פקיעת מחויבות להשקעה" dataDxfId="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rightToLeft="1" workbookViewId="0">
      <selection activeCell="F19" sqref="F19"/>
    </sheetView>
  </sheetViews>
  <sheetFormatPr defaultRowHeight="14.25" x14ac:dyDescent="0.2"/>
  <cols>
    <col min="1" max="1" width="23.625" bestFit="1" customWidth="1"/>
    <col min="2" max="2" width="10.125" bestFit="1" customWidth="1"/>
  </cols>
  <sheetData>
    <row r="1" spans="1:2" x14ac:dyDescent="0.2">
      <c r="A1" t="s">
        <v>3516</v>
      </c>
    </row>
    <row r="2" spans="1:2" ht="15" x14ac:dyDescent="0.25">
      <c r="A2" s="98" t="s">
        <v>3464</v>
      </c>
      <c r="B2" s="99" t="s">
        <v>3465</v>
      </c>
    </row>
    <row r="3" spans="1:2" x14ac:dyDescent="0.2">
      <c r="A3" s="100" t="s">
        <v>3466</v>
      </c>
      <c r="B3" s="106" t="s">
        <v>3475</v>
      </c>
    </row>
    <row r="4" spans="1:2" x14ac:dyDescent="0.2">
      <c r="A4" s="100" t="s">
        <v>3468</v>
      </c>
      <c r="B4" s="106" t="s">
        <v>3475</v>
      </c>
    </row>
    <row r="5" spans="1:2" x14ac:dyDescent="0.2">
      <c r="A5" s="100" t="s">
        <v>31</v>
      </c>
      <c r="B5" s="106" t="s">
        <v>3475</v>
      </c>
    </row>
    <row r="6" spans="1:2" x14ac:dyDescent="0.2">
      <c r="A6" s="100" t="s">
        <v>40</v>
      </c>
      <c r="B6" s="106" t="s">
        <v>3475</v>
      </c>
    </row>
    <row r="7" spans="1:2" x14ac:dyDescent="0.2">
      <c r="A7" s="100" t="s">
        <v>32</v>
      </c>
      <c r="B7" s="106" t="s">
        <v>3475</v>
      </c>
    </row>
    <row r="8" spans="1:2" x14ac:dyDescent="0.2">
      <c r="A8" s="100" t="s">
        <v>33</v>
      </c>
      <c r="B8" s="106" t="s">
        <v>3475</v>
      </c>
    </row>
    <row r="9" spans="1:2" x14ac:dyDescent="0.2">
      <c r="A9" s="100" t="s">
        <v>3470</v>
      </c>
      <c r="B9" s="106" t="s">
        <v>3475</v>
      </c>
    </row>
    <row r="10" spans="1:2" ht="15" x14ac:dyDescent="0.2">
      <c r="A10" s="101" t="s">
        <v>34</v>
      </c>
      <c r="B10" s="106" t="s">
        <v>3475</v>
      </c>
    </row>
    <row r="11" spans="1:2" x14ac:dyDescent="0.2">
      <c r="A11" s="100" t="s">
        <v>35</v>
      </c>
      <c r="B11" s="106" t="s">
        <v>3475</v>
      </c>
    </row>
    <row r="12" spans="1:2" x14ac:dyDescent="0.2">
      <c r="A12" s="100" t="s">
        <v>36</v>
      </c>
      <c r="B12" s="106" t="s">
        <v>3475</v>
      </c>
    </row>
    <row r="13" spans="1:2" x14ac:dyDescent="0.2">
      <c r="A13" s="100" t="s">
        <v>37</v>
      </c>
      <c r="B13" s="106" t="s">
        <v>3475</v>
      </c>
    </row>
    <row r="14" spans="1:2" x14ac:dyDescent="0.2">
      <c r="A14" s="100" t="s">
        <v>38</v>
      </c>
      <c r="B14" s="106" t="s">
        <v>3475</v>
      </c>
    </row>
    <row r="15" spans="1:2" x14ac:dyDescent="0.2">
      <c r="A15" s="100" t="s">
        <v>39</v>
      </c>
      <c r="B15" s="106" t="s">
        <v>3475</v>
      </c>
    </row>
    <row r="16" spans="1:2" x14ac:dyDescent="0.2">
      <c r="A16" s="100" t="s">
        <v>41</v>
      </c>
      <c r="B16" s="106" t="s">
        <v>3475</v>
      </c>
    </row>
    <row r="17" spans="1:2" x14ac:dyDescent="0.2">
      <c r="A17" s="100" t="s">
        <v>42</v>
      </c>
      <c r="B17" s="106" t="s">
        <v>3475</v>
      </c>
    </row>
    <row r="18" spans="1:2" ht="15" x14ac:dyDescent="0.2">
      <c r="A18" s="101" t="s">
        <v>667</v>
      </c>
      <c r="B18" s="106" t="s">
        <v>3475</v>
      </c>
    </row>
    <row r="19" spans="1:2" x14ac:dyDescent="0.2">
      <c r="A19" s="100" t="s">
        <v>43</v>
      </c>
      <c r="B19" s="106" t="s">
        <v>3475</v>
      </c>
    </row>
    <row r="20" spans="1:2" x14ac:dyDescent="0.2">
      <c r="A20" s="100" t="s">
        <v>44</v>
      </c>
      <c r="B20" s="106" t="s">
        <v>3475</v>
      </c>
    </row>
    <row r="21" spans="1:2" x14ac:dyDescent="0.2">
      <c r="A21" s="100" t="s">
        <v>3469</v>
      </c>
      <c r="B21" s="106" t="s">
        <v>3475</v>
      </c>
    </row>
    <row r="22" spans="1:2" x14ac:dyDescent="0.2">
      <c r="A22" s="100" t="s">
        <v>45</v>
      </c>
      <c r="B22" s="106" t="s">
        <v>3475</v>
      </c>
    </row>
    <row r="23" spans="1:2" x14ac:dyDescent="0.2">
      <c r="A23" s="100" t="s">
        <v>46</v>
      </c>
      <c r="B23" s="106" t="s">
        <v>3475</v>
      </c>
    </row>
    <row r="24" spans="1:2" x14ac:dyDescent="0.2">
      <c r="A24" s="100" t="s">
        <v>47</v>
      </c>
      <c r="B24" s="106" t="s">
        <v>3475</v>
      </c>
    </row>
    <row r="25" spans="1:2" x14ac:dyDescent="0.2">
      <c r="A25" s="100" t="s">
        <v>461</v>
      </c>
      <c r="B25" s="106" t="s">
        <v>3475</v>
      </c>
    </row>
    <row r="26" spans="1:2" x14ac:dyDescent="0.2">
      <c r="A26" s="100" t="s">
        <v>48</v>
      </c>
      <c r="B26" s="106" t="s">
        <v>3475</v>
      </c>
    </row>
    <row r="27" spans="1:2" x14ac:dyDescent="0.2">
      <c r="A27" s="100" t="s">
        <v>49</v>
      </c>
      <c r="B27" s="106" t="s">
        <v>3475</v>
      </c>
    </row>
    <row r="28" spans="1:2" x14ac:dyDescent="0.2">
      <c r="A28" s="100" t="s">
        <v>50</v>
      </c>
      <c r="B28" s="106" t="s">
        <v>3475</v>
      </c>
    </row>
    <row r="29" spans="1:2" x14ac:dyDescent="0.2">
      <c r="A29" s="100" t="s">
        <v>51</v>
      </c>
      <c r="B29" s="106" t="s">
        <v>3475</v>
      </c>
    </row>
    <row r="30" spans="1:2" x14ac:dyDescent="0.2">
      <c r="A30" s="102" t="s">
        <v>506</v>
      </c>
      <c r="B30" s="106" t="s">
        <v>3475</v>
      </c>
    </row>
    <row r="31" spans="1:2" x14ac:dyDescent="0.2">
      <c r="A31" s="100" t="s">
        <v>52</v>
      </c>
      <c r="B31" s="106" t="s">
        <v>3475</v>
      </c>
    </row>
    <row r="32" spans="1:2" x14ac:dyDescent="0.2">
      <c r="A32" s="100" t="s">
        <v>755</v>
      </c>
      <c r="B32" s="106" t="s">
        <v>3475</v>
      </c>
    </row>
    <row r="33" spans="1:2" x14ac:dyDescent="0.2">
      <c r="A33" s="103" t="s">
        <v>774</v>
      </c>
      <c r="B33" s="107" t="s">
        <v>3475</v>
      </c>
    </row>
    <row r="34" spans="1:2" x14ac:dyDescent="0.2">
      <c r="A34" s="1" t="s">
        <v>3482</v>
      </c>
    </row>
  </sheetData>
  <hyperlinks>
    <hyperlink ref="B3" location="'עמוד פתיחה'!B2" display="מעבר לגליון" xr:uid="{00000000-0004-0000-0000-000000000000}"/>
    <hyperlink ref="B4" location="'סכום נכסים'!B2" display="מעבר לגליון" xr:uid="{00000000-0004-0000-0000-000001000000}"/>
    <hyperlink ref="B5" location="'מזומנים ושווי מזומנים'!B2" display="מעבר לגליון" xr:uid="{00000000-0004-0000-0000-000002000000}"/>
    <hyperlink ref="B6" location="'איגרות חוב ממשלתיות'!B2" display="מעבר לגליון" xr:uid="{00000000-0004-0000-0000-000003000000}"/>
    <hyperlink ref="B7" location="'ניירות ערך מסחריים'!B2" display="מעבר לגליון" xr:uid="{00000000-0004-0000-0000-000004000000}"/>
    <hyperlink ref="B8" location="'איגרות חוב'!B2" display="מעבר לגליון" xr:uid="{00000000-0004-0000-0000-000005000000}"/>
    <hyperlink ref="B9" location="'מניות מבכ ויהש'!B2" display="מעבר לגליון" xr:uid="{00000000-0004-0000-0000-000006000000}"/>
    <hyperlink ref="B10" location="'קרנות סל'!B2" display="מעבר לגליון" xr:uid="{00000000-0004-0000-0000-000007000000}"/>
    <hyperlink ref="B11" location="'קרנות נאמנות'!B2" display="מעבר לגליון" xr:uid="{00000000-0004-0000-0000-000008000000}"/>
    <hyperlink ref="B12" location="'כתבי אופציה'!B2" display="מעבר לגליון" xr:uid="{00000000-0004-0000-0000-000009000000}"/>
    <hyperlink ref="B13" location="'אופציות'!B2" display="מעבר לגליון" xr:uid="{00000000-0004-0000-0000-00000A000000}"/>
    <hyperlink ref="B14" location="'חוזים עתידיים'!B2" display="מעבר לגליון" xr:uid="{00000000-0004-0000-0000-00000B000000}"/>
    <hyperlink ref="B15" location="'מוצרים מובנים'!B2" display="מעבר לגליון" xr:uid="{00000000-0004-0000-0000-00000C000000}"/>
    <hyperlink ref="B16" location="'לא סחיר איגרות חוב ממשלתיות'!B2" display="מעבר לגליון" xr:uid="{00000000-0004-0000-0000-00000D000000}"/>
    <hyperlink ref="B17" location="'לא סחיר איגרות חוב מיועדות'!B2" display="מעבר לגליון" xr:uid="{00000000-0004-0000-0000-00000E000000}"/>
    <hyperlink ref="B18" location="'אפיק השקעה מובטח תשואה'!B2" display="מעבר לגליון" xr:uid="{00000000-0004-0000-0000-00000F000000}"/>
    <hyperlink ref="B19" location="'לא סחיר ניירות ערך מסחריים'!B2" display="מעבר לגליון" xr:uid="{00000000-0004-0000-0000-000010000000}"/>
    <hyperlink ref="B20" location="'לא סחיר איגרות חוב'!B2" display="מעבר לגליון" xr:uid="{00000000-0004-0000-0000-000011000000}"/>
    <hyperlink ref="B21" location="'לא סחיר מניות מבכ ויהש'!B2" display="מעבר לגליון" xr:uid="{00000000-0004-0000-0000-000012000000}"/>
    <hyperlink ref="B22" location="'קרנות השקעה'!B2" display="מעבר לגליון" xr:uid="{00000000-0004-0000-0000-000013000000}"/>
    <hyperlink ref="B23" location="'לא סחיר כתבי אופציה'!B2" display="מעבר לגליון" xr:uid="{00000000-0004-0000-0000-000014000000}"/>
    <hyperlink ref="B24" location="'לא סחיר אופציות'!B2" display="מעבר לגליון" xr:uid="{00000000-0004-0000-0000-000015000000}"/>
    <hyperlink ref="B25" location="'לא סחיר נגזרים אחרים'!B2" display="מעבר לגליון" xr:uid="{00000000-0004-0000-0000-000016000000}"/>
    <hyperlink ref="B26" location="'הלוואות'!B2" display="מעבר לגליון" xr:uid="{00000000-0004-0000-0000-000017000000}"/>
    <hyperlink ref="B27" location="'לא סחיר מוצרים מובנים'!B2" display="מעבר לגליון" xr:uid="{00000000-0004-0000-0000-000018000000}"/>
    <hyperlink ref="B28" location="'פיקדונות מעל 3 חודשים'!B2" display="מעבר לגליון" xr:uid="{00000000-0004-0000-0000-000019000000}"/>
    <hyperlink ref="B29" location="'זכויות מקרקעין'!B2" display="מעבר לגליון" xr:uid="{00000000-0004-0000-0000-00001A000000}"/>
    <hyperlink ref="B30" location="'השקעה בחברות מוחזקות'!B2" display="מעבר לגליון" xr:uid="{00000000-0004-0000-0000-00001B000000}"/>
    <hyperlink ref="B31" location="'נכסים אחרים'!B2" display="מעבר לגליון" xr:uid="{00000000-0004-0000-0000-00001C000000}"/>
    <hyperlink ref="B32" location="'מסגרות אשראי'!B2" display="מעבר לגליון" xr:uid="{00000000-0004-0000-0000-00001D000000}"/>
    <hyperlink ref="B33" location="'יתרות התחייבות להשקעה'!B2" display="מעבר לגליון" xr:uid="{00000000-0004-0000-0000-00001E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-0.24994659260841701"/>
  </sheetPr>
  <dimension ref="A1:D25"/>
  <sheetViews>
    <sheetView showGridLines="0" rightToLeft="1" workbookViewId="0">
      <pane xSplit="4" ySplit="24" topLeftCell="XFD25" activePane="bottomRight" state="frozen"/>
      <selection pane="topRight" activeCell="E1" sqref="E1"/>
      <selection pane="bottomLeft" activeCell="A24" sqref="A24"/>
      <selection pane="bottomRight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x14ac:dyDescent="0.2">
      <c r="A1" t="s">
        <v>3485</v>
      </c>
    </row>
    <row r="2" spans="1:4" ht="18" x14ac:dyDescent="0.2">
      <c r="A2" s="111" t="s">
        <v>856</v>
      </c>
      <c r="B2" s="111"/>
      <c r="C2" s="111"/>
      <c r="D2" s="111"/>
    </row>
    <row r="3" spans="1:4" x14ac:dyDescent="0.2"/>
    <row r="4" spans="1:4" ht="15" x14ac:dyDescent="0.2">
      <c r="A4" t="s">
        <v>507</v>
      </c>
      <c r="D4" s="70" t="s">
        <v>807</v>
      </c>
    </row>
    <row r="5" spans="1:4" x14ac:dyDescent="0.2"/>
    <row r="6" spans="1:4" ht="15" x14ac:dyDescent="0.2">
      <c r="A6" t="s">
        <v>597</v>
      </c>
      <c r="D6" s="70" t="s">
        <v>598</v>
      </c>
    </row>
    <row r="7" spans="1:4" x14ac:dyDescent="0.2"/>
    <row r="8" spans="1:4" ht="15" x14ac:dyDescent="0.2">
      <c r="A8" t="s">
        <v>587</v>
      </c>
      <c r="D8" s="105" t="s">
        <v>516</v>
      </c>
    </row>
    <row r="9" spans="1:4" ht="15" x14ac:dyDescent="0.2">
      <c r="D9" s="16"/>
    </row>
    <row r="10" spans="1:4" ht="15" x14ac:dyDescent="0.2">
      <c r="A10" t="s">
        <v>588</v>
      </c>
      <c r="D10" s="70">
        <v>2025</v>
      </c>
    </row>
    <row r="11" spans="1:4" x14ac:dyDescent="0.2"/>
    <row r="12" spans="1:4" ht="15" x14ac:dyDescent="0.2">
      <c r="A12" t="s">
        <v>572</v>
      </c>
      <c r="D12" s="70" t="s">
        <v>545</v>
      </c>
    </row>
    <row r="13" spans="1:4" x14ac:dyDescent="0.2"/>
    <row r="14" spans="1:4" ht="15" x14ac:dyDescent="0.2">
      <c r="A14" t="s">
        <v>509</v>
      </c>
      <c r="D14" s="71">
        <v>520027251</v>
      </c>
    </row>
    <row r="15" spans="1:4" x14ac:dyDescent="0.2"/>
    <row r="16" spans="1:4" ht="15" x14ac:dyDescent="0.25">
      <c r="A16" s="10" t="s">
        <v>371</v>
      </c>
      <c r="D16" s="71" t="s">
        <v>3471</v>
      </c>
    </row>
    <row r="17" spans="1:4" ht="15" x14ac:dyDescent="0.25">
      <c r="A17" s="10"/>
      <c r="D17" s="16"/>
    </row>
    <row r="18" spans="1:4" ht="15" x14ac:dyDescent="0.25">
      <c r="A18" s="10" t="s">
        <v>437</v>
      </c>
      <c r="B18" s="8" t="s">
        <v>345</v>
      </c>
      <c r="C18" s="8"/>
      <c r="D18" s="72" t="s">
        <v>3472</v>
      </c>
    </row>
    <row r="19" spans="1:4" x14ac:dyDescent="0.2">
      <c r="A19" s="6"/>
      <c r="D19" s="9"/>
    </row>
    <row r="20" spans="1:4" ht="15" x14ac:dyDescent="0.2">
      <c r="A20" s="6"/>
      <c r="B20" s="8" t="s">
        <v>346</v>
      </c>
      <c r="C20" s="8"/>
      <c r="D20" s="72" t="s">
        <v>3473</v>
      </c>
    </row>
    <row r="21" spans="1:4" x14ac:dyDescent="0.2">
      <c r="A21" s="6"/>
      <c r="D21" s="9"/>
    </row>
    <row r="22" spans="1:4" ht="15" x14ac:dyDescent="0.2">
      <c r="A22" s="6"/>
      <c r="B22" s="8" t="s">
        <v>347</v>
      </c>
      <c r="C22" s="8"/>
      <c r="D22" s="73" t="s">
        <v>3474</v>
      </c>
    </row>
    <row r="23" spans="1:4" x14ac:dyDescent="0.2">
      <c r="A23" s="6"/>
      <c r="B23" s="7"/>
      <c r="C23" s="7"/>
    </row>
    <row r="24" spans="1:4" ht="28.5" x14ac:dyDescent="0.2">
      <c r="A24" s="95" t="s">
        <v>415</v>
      </c>
      <c r="D24" s="94" t="s">
        <v>508</v>
      </c>
    </row>
    <row r="25" spans="1:4" hidden="1" x14ac:dyDescent="0.2">
      <c r="A25" s="1" t="s">
        <v>3482</v>
      </c>
    </row>
  </sheetData>
  <conditionalFormatting sqref="D4">
    <cfRule type="containsText" dxfId="7" priority="13" operator="containsText" text="Please fill in data">
      <formula>NOT(ISERROR(SEARCH("Please fill in data",D4)))</formula>
    </cfRule>
  </conditionalFormatting>
  <conditionalFormatting sqref="D6">
    <cfRule type="containsText" dxfId="6" priority="7" operator="containsText" text="Please fill in data">
      <formula>NOT(ISERROR(SEARCH("Please fill in data",D6)))</formula>
    </cfRule>
  </conditionalFormatting>
  <conditionalFormatting sqref="D8:D10">
    <cfRule type="containsText" dxfId="5" priority="5" operator="containsText" text="Please fill in data">
      <formula>NOT(ISERROR(SEARCH("Please fill in data",D8)))</formula>
    </cfRule>
  </conditionalFormatting>
  <conditionalFormatting sqref="D12">
    <cfRule type="containsText" dxfId="4" priority="4" operator="containsText" text="Please fill in data">
      <formula>NOT(ISERROR(SEARCH("Please fill in data",D12)))</formula>
    </cfRule>
  </conditionalFormatting>
  <conditionalFormatting sqref="D14">
    <cfRule type="containsText" dxfId="3" priority="3" operator="containsText" text="Please fill in data">
      <formula>NOT(ISERROR(SEARCH("Please fill in data",D14)))</formula>
    </cfRule>
  </conditionalFormatting>
  <conditionalFormatting sqref="D16:D18">
    <cfRule type="containsText" dxfId="2" priority="1" operator="containsText" text="Please fill in data">
      <formula>NOT(ISERROR(SEARCH("Please fill in data",D16)))</formula>
    </cfRule>
  </conditionalFormatting>
  <conditionalFormatting sqref="D20">
    <cfRule type="containsText" dxfId="1" priority="20" operator="containsText" text="Please fill in data">
      <formula>NOT(ISERROR(SEARCH("Please fill in data",D20)))</formula>
    </cfRule>
  </conditionalFormatting>
  <conditionalFormatting sqref="D22">
    <cfRule type="containsText" dxfId="0" priority="19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4" xr:uid="{00000000-0002-0000-0100-000000000000}">
      <formula1>Type</formula1>
    </dataValidation>
    <dataValidation type="list" allowBlank="1" showInputMessage="1" showErrorMessage="1" sqref="D6" xr:uid="{00000000-0002-0000-0100-000001000000}">
      <formula1>File_Type</formula1>
    </dataValidation>
    <dataValidation type="list" allowBlank="1" showInputMessage="1" showErrorMessage="1" sqref="D8" xr:uid="{00000000-0002-0000-0100-000002000000}">
      <formula1>QTR</formula1>
    </dataValidation>
    <dataValidation type="list" allowBlank="1" showInputMessage="1" showErrorMessage="1" sqref="D10" xr:uid="{00000000-0002-0000-0100-000003000000}">
      <formula1>YEAR</formula1>
    </dataValidation>
    <dataValidation type="list" allowBlank="1" showInputMessage="1" showErrorMessage="1" sqref="D12" xr:uid="{00000000-0002-0000-01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5" tint="-0.49995422223578601"/>
  </sheetPr>
  <dimension ref="A1:F36"/>
  <sheetViews>
    <sheetView showGridLines="0" rightToLeft="1" tabSelected="1" workbookViewId="0">
      <pane xSplit="5" ySplit="33" topLeftCell="XFD34" activePane="bottomRight" state="frozen"/>
      <selection pane="topRight" activeCell="F1" sqref="F1"/>
      <selection pane="bottomLeft" activeCell="A33" sqref="A33"/>
      <selection pane="bottomRight" activeCell="B25" sqref="B25"/>
    </sheetView>
  </sheetViews>
  <sheetFormatPr defaultColWidth="0" defaultRowHeight="12.75" zeroHeight="1" x14ac:dyDescent="0.2"/>
  <cols>
    <col min="1" max="1" width="42.75" style="4" customWidth="1"/>
    <col min="2" max="2" width="17.5" style="5" customWidth="1"/>
    <col min="3" max="3" width="24" style="5" customWidth="1"/>
    <col min="4" max="4" width="13" style="5" customWidth="1"/>
    <col min="5" max="5" width="14" style="5" customWidth="1"/>
    <col min="6" max="16384" width="2.375" style="4" hidden="1"/>
  </cols>
  <sheetData>
    <row r="1" spans="1:6" x14ac:dyDescent="0.2">
      <c r="A1" s="4" t="s">
        <v>3486</v>
      </c>
    </row>
    <row r="2" spans="1:6" ht="18.75" customHeight="1" x14ac:dyDescent="0.2">
      <c r="A2" s="114" t="s">
        <v>3477</v>
      </c>
      <c r="B2" s="115" t="s">
        <v>3478</v>
      </c>
      <c r="C2" s="116" t="s">
        <v>921</v>
      </c>
      <c r="D2" s="117" t="s">
        <v>3479</v>
      </c>
      <c r="E2" s="115" t="s">
        <v>3480</v>
      </c>
      <c r="F2" s="158" t="s">
        <v>3484</v>
      </c>
    </row>
    <row r="3" spans="1:6" ht="25.5" x14ac:dyDescent="0.2">
      <c r="A3" s="114" t="s">
        <v>3476</v>
      </c>
      <c r="B3" s="115" t="s">
        <v>17</v>
      </c>
      <c r="C3" s="115" t="s">
        <v>27</v>
      </c>
      <c r="D3" s="115" t="s">
        <v>26</v>
      </c>
      <c r="E3" s="115" t="s">
        <v>918</v>
      </c>
      <c r="F3" s="158"/>
    </row>
    <row r="4" spans="1:6" ht="14.25" x14ac:dyDescent="0.2">
      <c r="A4" s="112" t="s">
        <v>31</v>
      </c>
      <c r="B4" s="96">
        <v>1021861.605</v>
      </c>
      <c r="C4" s="113"/>
      <c r="D4" s="113"/>
      <c r="E4" s="97">
        <f>סכום_נכסים[[#This Row],[עמודה2]]/$B$31</f>
        <v>3.4071810322911428E-2</v>
      </c>
      <c r="F4" s="158"/>
    </row>
    <row r="5" spans="1:6" ht="14.25" x14ac:dyDescent="0.2">
      <c r="A5" s="108" t="s">
        <v>40</v>
      </c>
      <c r="B5" s="96">
        <v>4540600.34</v>
      </c>
      <c r="C5" s="26"/>
      <c r="D5" s="26"/>
      <c r="E5" s="97">
        <f>סכום_נכסים[[#This Row],[עמודה2]]/$B$31</f>
        <v>0.15139669871110104</v>
      </c>
      <c r="F5" s="158"/>
    </row>
    <row r="6" spans="1:6" ht="14.25" x14ac:dyDescent="0.2">
      <c r="A6" s="108" t="s">
        <v>32</v>
      </c>
      <c r="B6" s="26"/>
      <c r="C6" s="26"/>
      <c r="D6" s="26"/>
      <c r="E6" s="97">
        <f>סכום_נכסים[[#This Row],[עמודה2]]/$B$31</f>
        <v>0</v>
      </c>
      <c r="F6" s="158"/>
    </row>
    <row r="7" spans="1:6" ht="14.25" x14ac:dyDescent="0.2">
      <c r="A7" s="108" t="s">
        <v>33</v>
      </c>
      <c r="B7" s="96">
        <v>4027166.1129999999</v>
      </c>
      <c r="C7" s="26"/>
      <c r="D7" s="26"/>
      <c r="E7" s="97">
        <f>סכום_נכסים[[#This Row],[עמודה2]]/$B$31</f>
        <v>0.13427732216339852</v>
      </c>
      <c r="F7" s="158"/>
    </row>
    <row r="8" spans="1:6" ht="14.25" x14ac:dyDescent="0.2">
      <c r="A8" s="108" t="s">
        <v>459</v>
      </c>
      <c r="B8" s="96">
        <v>7023094.784</v>
      </c>
      <c r="C8" s="26"/>
      <c r="D8" s="26"/>
      <c r="E8" s="97">
        <f>סכום_נכסים[[#This Row],[עמודה2]]/$B$31</f>
        <v>0.23417021658258369</v>
      </c>
      <c r="F8" s="158"/>
    </row>
    <row r="9" spans="1:6" ht="14.25" x14ac:dyDescent="0.2">
      <c r="A9" s="108" t="s">
        <v>34</v>
      </c>
      <c r="B9" s="96">
        <v>6104130.5750000002</v>
      </c>
      <c r="C9" s="26"/>
      <c r="D9" s="26"/>
      <c r="E9" s="97">
        <f>סכום_נכסים[[#This Row],[עמודה2]]/$B$31</f>
        <v>0.20352930193290145</v>
      </c>
      <c r="F9" s="158"/>
    </row>
    <row r="10" spans="1:6" ht="14.25" x14ac:dyDescent="0.2">
      <c r="A10" s="108" t="s">
        <v>35</v>
      </c>
      <c r="B10" s="96">
        <v>955138.30700000003</v>
      </c>
      <c r="C10" s="26"/>
      <c r="D10" s="26"/>
      <c r="E10" s="97">
        <f>סכום_נכסים[[#This Row],[עמודה2]]/$B$31</f>
        <v>3.1847063309762717E-2</v>
      </c>
      <c r="F10" s="158"/>
    </row>
    <row r="11" spans="1:6" ht="14.25" x14ac:dyDescent="0.2">
      <c r="A11" s="108" t="s">
        <v>36</v>
      </c>
      <c r="B11" s="96">
        <v>8018.8029999999999</v>
      </c>
      <c r="C11" s="26"/>
      <c r="D11" s="26"/>
      <c r="E11" s="97">
        <f>סכום_נכסים[[#This Row],[עמודה2]]/$B$31</f>
        <v>2.6736999755734347E-4</v>
      </c>
      <c r="F11" s="158"/>
    </row>
    <row r="12" spans="1:6" ht="14.25" x14ac:dyDescent="0.2">
      <c r="A12" s="108" t="s">
        <v>37</v>
      </c>
      <c r="B12" s="96">
        <v>-28758.415000000001</v>
      </c>
      <c r="C12" s="26"/>
      <c r="D12" s="26"/>
      <c r="E12" s="97">
        <f>סכום_נכסים[[#This Row],[עמודה2]]/$B$31</f>
        <v>-9.5888842116498816E-4</v>
      </c>
      <c r="F12" s="158"/>
    </row>
    <row r="13" spans="1:6" ht="14.25" x14ac:dyDescent="0.2">
      <c r="A13" s="108" t="s">
        <v>38</v>
      </c>
      <c r="B13" s="96">
        <v>28263.394</v>
      </c>
      <c r="C13" s="26"/>
      <c r="D13" s="26"/>
      <c r="E13" s="97">
        <f>סכום_נכסים[[#This Row],[עמודה2]]/$B$31</f>
        <v>9.423829946617016E-4</v>
      </c>
      <c r="F13" s="158"/>
    </row>
    <row r="14" spans="1:6" ht="14.25" x14ac:dyDescent="0.2">
      <c r="A14" s="108" t="s">
        <v>39</v>
      </c>
      <c r="B14" s="96">
        <v>140496.79800000001</v>
      </c>
      <c r="C14" s="26"/>
      <c r="D14" s="26"/>
      <c r="E14" s="97">
        <f>סכום_נכסים[[#This Row],[עמודה2]]/$B$31</f>
        <v>4.6845680755687085E-3</v>
      </c>
      <c r="F14" s="158"/>
    </row>
    <row r="15" spans="1:6" ht="14.25" x14ac:dyDescent="0.2">
      <c r="A15" s="108" t="s">
        <v>41</v>
      </c>
      <c r="B15" s="26"/>
      <c r="C15" s="26"/>
      <c r="D15" s="26"/>
      <c r="E15" s="97">
        <f>סכום_נכסים[[#This Row],[עמודה2]]/$B$31</f>
        <v>0</v>
      </c>
      <c r="F15" s="158"/>
    </row>
    <row r="16" spans="1:6" ht="14.25" x14ac:dyDescent="0.2">
      <c r="A16" s="108" t="s">
        <v>42</v>
      </c>
      <c r="B16" s="26"/>
      <c r="C16" s="26"/>
      <c r="D16" s="26"/>
      <c r="E16" s="97">
        <f>סכום_נכסים[[#This Row],[עמודה2]]/$B$31</f>
        <v>0</v>
      </c>
      <c r="F16" s="158"/>
    </row>
    <row r="17" spans="1:6" ht="14.25" x14ac:dyDescent="0.2">
      <c r="A17" s="108" t="s">
        <v>667</v>
      </c>
      <c r="B17" s="26"/>
      <c r="C17" s="26"/>
      <c r="D17" s="26"/>
      <c r="E17" s="97">
        <f>סכום_נכסים[[#This Row],[עמודה2]]/$B$31</f>
        <v>0</v>
      </c>
      <c r="F17" s="158"/>
    </row>
    <row r="18" spans="1:6" ht="14.25" x14ac:dyDescent="0.2">
      <c r="A18" s="108" t="s">
        <v>43</v>
      </c>
      <c r="B18" s="26"/>
      <c r="C18" s="26"/>
      <c r="D18" s="26"/>
      <c r="E18" s="97">
        <f>סכום_נכסים[[#This Row],[עמודה2]]/$B$31</f>
        <v>0</v>
      </c>
      <c r="F18" s="158"/>
    </row>
    <row r="19" spans="1:6" ht="14.25" x14ac:dyDescent="0.2">
      <c r="A19" s="108" t="s">
        <v>44</v>
      </c>
      <c r="B19" s="96">
        <v>46513.843999999997</v>
      </c>
      <c r="C19" s="26"/>
      <c r="D19" s="26"/>
      <c r="E19" s="97">
        <f>סכום_נכסים[[#This Row],[עמודה2]]/$B$31</f>
        <v>1.550905584868796E-3</v>
      </c>
      <c r="F19" s="158"/>
    </row>
    <row r="20" spans="1:6" ht="14.25" x14ac:dyDescent="0.2">
      <c r="A20" s="108" t="s">
        <v>462</v>
      </c>
      <c r="B20" s="96">
        <v>1509613.0260000001</v>
      </c>
      <c r="C20" s="26"/>
      <c r="D20" s="26"/>
      <c r="E20" s="97">
        <f>סכום_נכסים[[#This Row],[עמודה2]]/$B$31</f>
        <v>5.0334848115629473E-2</v>
      </c>
      <c r="F20" s="158"/>
    </row>
    <row r="21" spans="1:6" ht="14.25" x14ac:dyDescent="0.2">
      <c r="A21" s="108" t="s">
        <v>45</v>
      </c>
      <c r="B21" s="96">
        <v>3622911.0989999999</v>
      </c>
      <c r="C21" s="26"/>
      <c r="D21" s="26"/>
      <c r="E21" s="97">
        <f>סכום_נכסים[[#This Row],[עמודה2]]/$B$31</f>
        <v>0.12079829516825674</v>
      </c>
      <c r="F21" s="158"/>
    </row>
    <row r="22" spans="1:6" ht="14.25" x14ac:dyDescent="0.2">
      <c r="A22" s="108" t="s">
        <v>46</v>
      </c>
      <c r="B22" s="96">
        <v>0</v>
      </c>
      <c r="C22" s="26"/>
      <c r="D22" s="26"/>
      <c r="E22" s="97">
        <f>סכום_נכסים[[#This Row],[עמודה2]]/$B$31</f>
        <v>0</v>
      </c>
      <c r="F22" s="158"/>
    </row>
    <row r="23" spans="1:6" ht="14.25" x14ac:dyDescent="0.2">
      <c r="A23" s="108" t="s">
        <v>47</v>
      </c>
      <c r="B23" s="26"/>
      <c r="C23" s="26"/>
      <c r="D23" s="26"/>
      <c r="E23" s="97">
        <f>סכום_נכסים[[#This Row],[עמודה2]]/$B$31</f>
        <v>0</v>
      </c>
      <c r="F23" s="158"/>
    </row>
    <row r="24" spans="1:6" ht="14.25" x14ac:dyDescent="0.2">
      <c r="A24" s="108" t="s">
        <v>461</v>
      </c>
      <c r="B24" s="96">
        <v>279935.28999999998</v>
      </c>
      <c r="C24" s="26"/>
      <c r="D24" s="26"/>
      <c r="E24" s="97">
        <f>סכום_נכסים[[#This Row],[עמודה2]]/$B$31</f>
        <v>9.3338491796736041E-3</v>
      </c>
      <c r="F24" s="158"/>
    </row>
    <row r="25" spans="1:6" ht="14.25" x14ac:dyDescent="0.2">
      <c r="A25" s="108" t="s">
        <v>48</v>
      </c>
      <c r="B25" s="96">
        <v>540340.02399999998</v>
      </c>
      <c r="C25" s="26"/>
      <c r="D25" s="26"/>
      <c r="E25" s="97">
        <f>סכום_נכסים[[#This Row],[עמודה2]]/$B$31</f>
        <v>1.8016493346577404E-2</v>
      </c>
      <c r="F25" s="158"/>
    </row>
    <row r="26" spans="1:6" ht="14.25" x14ac:dyDescent="0.2">
      <c r="A26" s="108" t="s">
        <v>49</v>
      </c>
      <c r="B26" s="96">
        <v>148008.99900000001</v>
      </c>
      <c r="C26" s="26"/>
      <c r="D26" s="26"/>
      <c r="E26" s="97">
        <f>סכום_נכסים[[#This Row],[עמודה2]]/$B$31</f>
        <v>4.9350465027130433E-3</v>
      </c>
      <c r="F26" s="158"/>
    </row>
    <row r="27" spans="1:6" ht="14.25" x14ac:dyDescent="0.2">
      <c r="A27" s="108" t="s">
        <v>50</v>
      </c>
      <c r="B27" s="96">
        <v>23916.539000000001</v>
      </c>
      <c r="C27" s="26"/>
      <c r="D27" s="26"/>
      <c r="E27" s="97">
        <f>סכום_נכסים[[#This Row],[עמודה2]]/$B$31</f>
        <v>7.9744632384784995E-4</v>
      </c>
      <c r="F27" s="158"/>
    </row>
    <row r="28" spans="1:6" ht="14.25" x14ac:dyDescent="0.2">
      <c r="A28" s="108" t="s">
        <v>51</v>
      </c>
      <c r="B28" s="26"/>
      <c r="C28" s="26"/>
      <c r="D28" s="26"/>
      <c r="E28" s="97">
        <f>סכום_נכסים[[#This Row],[עמודה2]]/$B$31</f>
        <v>0</v>
      </c>
      <c r="F28" s="158"/>
    </row>
    <row r="29" spans="1:6" ht="14.25" x14ac:dyDescent="0.2">
      <c r="A29" s="108" t="s">
        <v>506</v>
      </c>
      <c r="B29" s="26"/>
      <c r="C29" s="26"/>
      <c r="D29" s="26"/>
      <c r="E29" s="97">
        <f>סכום_נכסים[[#This Row],[עמודה2]]/$B$31</f>
        <v>0</v>
      </c>
      <c r="F29" s="158"/>
    </row>
    <row r="30" spans="1:6" ht="14.25" x14ac:dyDescent="0.2">
      <c r="A30" s="108" t="s">
        <v>52</v>
      </c>
      <c r="B30" s="96">
        <v>158.05799999999999</v>
      </c>
      <c r="C30" s="92"/>
      <c r="D30" s="92"/>
      <c r="E30" s="97">
        <f>סכום_נכסים[[#This Row],[עמודה2]]/$B$31</f>
        <v>5.270109151443002E-6</v>
      </c>
      <c r="F30" s="158"/>
    </row>
    <row r="31" spans="1:6" ht="15.75" thickBot="1" x14ac:dyDescent="0.25">
      <c r="A31" s="109" t="s">
        <v>603</v>
      </c>
      <c r="B31" s="164">
        <v>29991409.183000002</v>
      </c>
      <c r="C31" s="93">
        <f t="shared" ref="C31:D31" si="0">SUM(C4:C30)</f>
        <v>0</v>
      </c>
      <c r="D31" s="93">
        <f t="shared" si="0"/>
        <v>0</v>
      </c>
      <c r="E31" s="104">
        <f>SUBTOTAL(109,E3:E30)</f>
        <v>0.99999999999999989</v>
      </c>
      <c r="F31" s="158"/>
    </row>
    <row r="32" spans="1:6" ht="13.5" thickTop="1" x14ac:dyDescent="0.2">
      <c r="A32" s="108" t="s">
        <v>755</v>
      </c>
      <c r="B32" s="26"/>
      <c r="C32" s="26"/>
      <c r="D32" s="26"/>
      <c r="E32" s="26"/>
      <c r="F32" s="158"/>
    </row>
    <row r="33" spans="1:6" ht="15" x14ac:dyDescent="0.25">
      <c r="A33" s="110" t="s">
        <v>756</v>
      </c>
      <c r="B33" s="163">
        <v>1317943.8745081958</v>
      </c>
      <c r="C33" s="92"/>
      <c r="D33" s="92"/>
      <c r="E33" s="92"/>
      <c r="F33" s="158"/>
    </row>
    <row r="34" spans="1:6" ht="12.75" hidden="1" customHeight="1" x14ac:dyDescent="0.2">
      <c r="A34" s="158" t="s">
        <v>3483</v>
      </c>
      <c r="B34" s="158"/>
      <c r="C34" s="158"/>
      <c r="D34" s="158"/>
      <c r="E34" s="158"/>
    </row>
    <row r="35" spans="1:6" hidden="1" x14ac:dyDescent="0.2">
      <c r="A35" s="4" t="s">
        <v>3482</v>
      </c>
    </row>
    <row r="36" spans="1:6" hidden="1" x14ac:dyDescent="0.2">
      <c r="A36" s="155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mergeCells count="2">
    <mergeCell ref="A34:E34"/>
    <mergeCell ref="F2:F33"/>
  </mergeCells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8"/>
  <sheetViews>
    <sheetView rightToLeft="1" workbookViewId="0"/>
  </sheetViews>
  <sheetFormatPr defaultColWidth="0" defaultRowHeight="14.25" x14ac:dyDescent="0.2"/>
  <cols>
    <col min="1" max="1" width="29.375" customWidth="1"/>
    <col min="2" max="3" width="11.625" customWidth="1"/>
    <col min="4" max="4" width="13.75" customWidth="1"/>
    <col min="5" max="5" width="16.5" style="3" customWidth="1"/>
    <col min="6" max="7" width="11.625" customWidth="1"/>
    <col min="8" max="8" width="15.125" customWidth="1"/>
    <col min="9" max="10" width="11.625" customWidth="1"/>
    <col min="11" max="11" width="11.75" customWidth="1"/>
    <col min="12" max="14" width="11.625" customWidth="1"/>
    <col min="15" max="15" width="17.875" customWidth="1"/>
    <col min="16" max="16" width="21.75" customWidth="1"/>
    <col min="17" max="17" width="20.125" customWidth="1"/>
    <col min="18" max="18" width="11.625" hidden="1" customWidth="1"/>
    <col min="19" max="16384" width="9" hidden="1"/>
  </cols>
  <sheetData>
    <row r="1" spans="1:18" x14ac:dyDescent="0.2">
      <c r="A1" t="s">
        <v>3487</v>
      </c>
    </row>
    <row r="2" spans="1:18" s="2" customFormat="1" x14ac:dyDescent="0.2">
      <c r="A2" s="118" t="s">
        <v>651</v>
      </c>
      <c r="B2" s="119" t="s">
        <v>0</v>
      </c>
      <c r="C2" s="119" t="s">
        <v>723</v>
      </c>
      <c r="D2" s="119" t="s">
        <v>741</v>
      </c>
      <c r="E2" s="119" t="s">
        <v>742</v>
      </c>
      <c r="F2" s="119" t="s">
        <v>1</v>
      </c>
      <c r="G2" s="119" t="s">
        <v>604</v>
      </c>
      <c r="H2" s="119" t="s">
        <v>606</v>
      </c>
      <c r="I2" s="119" t="s">
        <v>772</v>
      </c>
      <c r="J2" s="119" t="s">
        <v>8</v>
      </c>
      <c r="K2" s="119" t="s">
        <v>396</v>
      </c>
      <c r="L2" s="119" t="s">
        <v>922</v>
      </c>
      <c r="M2" s="119" t="s">
        <v>11</v>
      </c>
      <c r="N2" s="119" t="s">
        <v>14</v>
      </c>
      <c r="O2" s="119" t="s">
        <v>1153</v>
      </c>
      <c r="P2" s="119" t="s">
        <v>19</v>
      </c>
      <c r="Q2" s="120" t="s">
        <v>30</v>
      </c>
      <c r="R2" s="160" t="s">
        <v>3484</v>
      </c>
    </row>
    <row r="3" spans="1:18" x14ac:dyDescent="0.2">
      <c r="A3" s="121" t="s">
        <v>1211</v>
      </c>
      <c r="B3" s="122" t="s">
        <v>1212</v>
      </c>
      <c r="C3" s="122" t="s">
        <v>1213</v>
      </c>
      <c r="D3" s="122" t="s">
        <v>1214</v>
      </c>
      <c r="E3" s="122" t="s">
        <v>776</v>
      </c>
      <c r="F3" s="122" t="s">
        <v>213</v>
      </c>
      <c r="G3" s="122" t="s">
        <v>53</v>
      </c>
      <c r="H3" s="122" t="s">
        <v>62</v>
      </c>
      <c r="I3" s="122" t="s">
        <v>1215</v>
      </c>
      <c r="J3" s="122" t="s">
        <v>70</v>
      </c>
      <c r="K3" s="122" t="s">
        <v>1216</v>
      </c>
      <c r="L3" s="123">
        <v>1401.0450000000001</v>
      </c>
      <c r="M3" s="123">
        <v>1</v>
      </c>
      <c r="N3" s="124"/>
      <c r="O3" s="123">
        <v>1401.0450000000001</v>
      </c>
      <c r="P3" s="125">
        <v>0.76385000000000003</v>
      </c>
      <c r="Q3" s="126">
        <v>3.9899999999999998E-2</v>
      </c>
      <c r="R3" s="160"/>
    </row>
    <row r="4" spans="1:18" x14ac:dyDescent="0.2">
      <c r="A4" s="121" t="s">
        <v>1211</v>
      </c>
      <c r="B4" s="122" t="s">
        <v>1212</v>
      </c>
      <c r="C4" s="122" t="s">
        <v>1213</v>
      </c>
      <c r="D4" s="122" t="s">
        <v>1214</v>
      </c>
      <c r="E4" s="122" t="s">
        <v>776</v>
      </c>
      <c r="F4" s="122" t="s">
        <v>218</v>
      </c>
      <c r="G4" s="122" t="s">
        <v>53</v>
      </c>
      <c r="H4" s="122" t="s">
        <v>62</v>
      </c>
      <c r="I4" s="122" t="s">
        <v>1215</v>
      </c>
      <c r="J4" s="122" t="s">
        <v>70</v>
      </c>
      <c r="K4" s="122" t="s">
        <v>1217</v>
      </c>
      <c r="L4" s="123">
        <v>112.277</v>
      </c>
      <c r="M4" s="123">
        <v>3.306</v>
      </c>
      <c r="N4" s="122"/>
      <c r="O4" s="123">
        <v>371.18900000000002</v>
      </c>
      <c r="P4" s="125">
        <v>0.20236999999999999</v>
      </c>
      <c r="Q4" s="126">
        <v>1.057E-2</v>
      </c>
      <c r="R4" s="160"/>
    </row>
    <row r="5" spans="1:18" x14ac:dyDescent="0.2">
      <c r="A5" s="121" t="s">
        <v>1211</v>
      </c>
      <c r="B5" s="122" t="s">
        <v>1212</v>
      </c>
      <c r="C5" s="122" t="s">
        <v>1213</v>
      </c>
      <c r="D5" s="122" t="s">
        <v>1214</v>
      </c>
      <c r="E5" s="122" t="s">
        <v>776</v>
      </c>
      <c r="F5" s="122" t="s">
        <v>218</v>
      </c>
      <c r="G5" s="122" t="s">
        <v>53</v>
      </c>
      <c r="H5" s="122" t="s">
        <v>62</v>
      </c>
      <c r="I5" s="122" t="s">
        <v>1215</v>
      </c>
      <c r="J5" s="122" t="s">
        <v>70</v>
      </c>
      <c r="K5" s="122" t="s">
        <v>1218</v>
      </c>
      <c r="L5" s="123">
        <v>15.869</v>
      </c>
      <c r="M5" s="123">
        <v>3.8809999999999998</v>
      </c>
      <c r="N5" s="122"/>
      <c r="O5" s="123">
        <v>61.582999999999998</v>
      </c>
      <c r="P5" s="125">
        <v>3.3579999999999999E-2</v>
      </c>
      <c r="Q5" s="126">
        <v>1.75E-3</v>
      </c>
      <c r="R5" s="160"/>
    </row>
    <row r="6" spans="1:18" x14ac:dyDescent="0.2">
      <c r="A6" s="121" t="s">
        <v>1211</v>
      </c>
      <c r="B6" s="122" t="s">
        <v>1212</v>
      </c>
      <c r="C6" s="122" t="s">
        <v>1213</v>
      </c>
      <c r="D6" s="122" t="s">
        <v>1214</v>
      </c>
      <c r="E6" s="122" t="s">
        <v>776</v>
      </c>
      <c r="F6" s="122" t="s">
        <v>218</v>
      </c>
      <c r="G6" s="122" t="s">
        <v>53</v>
      </c>
      <c r="H6" s="122" t="s">
        <v>62</v>
      </c>
      <c r="I6" s="122" t="s">
        <v>1215</v>
      </c>
      <c r="J6" s="122" t="s">
        <v>70</v>
      </c>
      <c r="K6" s="122" t="s">
        <v>1219</v>
      </c>
      <c r="L6" s="123">
        <v>0.874</v>
      </c>
      <c r="M6" s="123">
        <v>0.42499999999999999</v>
      </c>
      <c r="N6" s="122"/>
      <c r="O6" s="123">
        <v>0.371</v>
      </c>
      <c r="P6" s="125">
        <v>2.0000000000000001E-4</v>
      </c>
      <c r="Q6" s="126">
        <v>1.0000000000000001E-5</v>
      </c>
      <c r="R6" s="160"/>
    </row>
    <row r="7" spans="1:18" x14ac:dyDescent="0.2">
      <c r="A7" s="121" t="s">
        <v>1211</v>
      </c>
      <c r="B7" s="122" t="s">
        <v>1220</v>
      </c>
      <c r="C7" s="122" t="s">
        <v>1213</v>
      </c>
      <c r="D7" s="122" t="s">
        <v>1214</v>
      </c>
      <c r="E7" s="122" t="s">
        <v>776</v>
      </c>
      <c r="F7" s="122" t="s">
        <v>213</v>
      </c>
      <c r="G7" s="122" t="s">
        <v>53</v>
      </c>
      <c r="H7" s="122" t="s">
        <v>62</v>
      </c>
      <c r="I7" s="122" t="s">
        <v>1215</v>
      </c>
      <c r="J7" s="122" t="s">
        <v>70</v>
      </c>
      <c r="K7" s="122" t="s">
        <v>1216</v>
      </c>
      <c r="L7" s="123">
        <v>163.32900000000001</v>
      </c>
      <c r="M7" s="123">
        <v>1</v>
      </c>
      <c r="N7" s="122"/>
      <c r="O7" s="123">
        <v>163.32900000000001</v>
      </c>
      <c r="P7" s="125">
        <v>0.99204999999999999</v>
      </c>
      <c r="Q7" s="126">
        <v>7.3700000000000002E-2</v>
      </c>
      <c r="R7" s="160"/>
    </row>
    <row r="8" spans="1:18" x14ac:dyDescent="0.2">
      <c r="A8" s="121" t="s">
        <v>1211</v>
      </c>
      <c r="B8" s="122" t="s">
        <v>1220</v>
      </c>
      <c r="C8" s="122" t="s">
        <v>1213</v>
      </c>
      <c r="D8" s="122" t="s">
        <v>1214</v>
      </c>
      <c r="E8" s="122" t="s">
        <v>776</v>
      </c>
      <c r="F8" s="122" t="s">
        <v>218</v>
      </c>
      <c r="G8" s="122" t="s">
        <v>53</v>
      </c>
      <c r="H8" s="122" t="s">
        <v>62</v>
      </c>
      <c r="I8" s="122" t="s">
        <v>1215</v>
      </c>
      <c r="J8" s="122" t="s">
        <v>70</v>
      </c>
      <c r="K8" s="122" t="s">
        <v>1217</v>
      </c>
      <c r="L8" s="123">
        <v>0.39600000000000002</v>
      </c>
      <c r="M8" s="123">
        <v>3.306</v>
      </c>
      <c r="N8" s="122"/>
      <c r="O8" s="123">
        <v>1.3089999999999999</v>
      </c>
      <c r="P8" s="125">
        <v>7.9500000000000005E-3</v>
      </c>
      <c r="Q8" s="126">
        <v>5.9000000000000003E-4</v>
      </c>
      <c r="R8" s="160"/>
    </row>
    <row r="9" spans="1:18" x14ac:dyDescent="0.2">
      <c r="A9" s="121" t="s">
        <v>1211</v>
      </c>
      <c r="B9" s="122" t="s">
        <v>1211</v>
      </c>
      <c r="C9" s="122" t="s">
        <v>1213</v>
      </c>
      <c r="D9" s="122" t="s">
        <v>1214</v>
      </c>
      <c r="E9" s="122" t="s">
        <v>776</v>
      </c>
      <c r="F9" s="122" t="s">
        <v>213</v>
      </c>
      <c r="G9" s="122" t="s">
        <v>53</v>
      </c>
      <c r="H9" s="122" t="s">
        <v>62</v>
      </c>
      <c r="I9" s="122" t="s">
        <v>1215</v>
      </c>
      <c r="J9" s="122" t="s">
        <v>70</v>
      </c>
      <c r="K9" s="122" t="s">
        <v>1216</v>
      </c>
      <c r="L9" s="123">
        <v>27035.11</v>
      </c>
      <c r="M9" s="123">
        <v>1</v>
      </c>
      <c r="N9" s="122"/>
      <c r="O9" s="123">
        <v>27035.11</v>
      </c>
      <c r="P9" s="125">
        <v>0.76948000000000005</v>
      </c>
      <c r="Q9" s="126">
        <v>2.3050000000000001E-2</v>
      </c>
      <c r="R9" s="160"/>
    </row>
    <row r="10" spans="1:18" x14ac:dyDescent="0.2">
      <c r="A10" s="121" t="s">
        <v>1211</v>
      </c>
      <c r="B10" s="122" t="s">
        <v>1211</v>
      </c>
      <c r="C10" s="122" t="s">
        <v>1213</v>
      </c>
      <c r="D10" s="122" t="s">
        <v>1214</v>
      </c>
      <c r="E10" s="122" t="s">
        <v>776</v>
      </c>
      <c r="F10" s="122" t="s">
        <v>218</v>
      </c>
      <c r="G10" s="122" t="s">
        <v>53</v>
      </c>
      <c r="H10" s="122" t="s">
        <v>62</v>
      </c>
      <c r="I10" s="122" t="s">
        <v>1215</v>
      </c>
      <c r="J10" s="122" t="s">
        <v>70</v>
      </c>
      <c r="K10" s="122" t="s">
        <v>1217</v>
      </c>
      <c r="L10" s="123">
        <v>1588.751</v>
      </c>
      <c r="M10" s="123">
        <v>3.306</v>
      </c>
      <c r="N10" s="122"/>
      <c r="O10" s="123">
        <v>5252.4110000000001</v>
      </c>
      <c r="P10" s="125">
        <v>0.14949000000000001</v>
      </c>
      <c r="Q10" s="126">
        <v>4.4799999999999996E-3</v>
      </c>
      <c r="R10" s="160"/>
    </row>
    <row r="11" spans="1:18" x14ac:dyDescent="0.2">
      <c r="A11" s="121" t="s">
        <v>1211</v>
      </c>
      <c r="B11" s="122" t="s">
        <v>1211</v>
      </c>
      <c r="C11" s="122" t="s">
        <v>1213</v>
      </c>
      <c r="D11" s="122" t="s">
        <v>1214</v>
      </c>
      <c r="E11" s="122" t="s">
        <v>776</v>
      </c>
      <c r="F11" s="122" t="s">
        <v>218</v>
      </c>
      <c r="G11" s="122" t="s">
        <v>53</v>
      </c>
      <c r="H11" s="122" t="s">
        <v>62</v>
      </c>
      <c r="I11" s="122" t="s">
        <v>1215</v>
      </c>
      <c r="J11" s="122" t="s">
        <v>70</v>
      </c>
      <c r="K11" s="122" t="s">
        <v>1218</v>
      </c>
      <c r="L11" s="123">
        <v>703.66700000000003</v>
      </c>
      <c r="M11" s="123">
        <v>3.8809999999999998</v>
      </c>
      <c r="N11" s="122"/>
      <c r="O11" s="123">
        <v>2730.7220000000002</v>
      </c>
      <c r="P11" s="125">
        <v>7.7719999999999997E-2</v>
      </c>
      <c r="Q11" s="126">
        <v>2.33E-3</v>
      </c>
      <c r="R11" s="160"/>
    </row>
    <row r="12" spans="1:18" x14ac:dyDescent="0.2">
      <c r="A12" s="121" t="s">
        <v>1211</v>
      </c>
      <c r="B12" s="122" t="s">
        <v>1211</v>
      </c>
      <c r="C12" s="122" t="s">
        <v>1213</v>
      </c>
      <c r="D12" s="122" t="s">
        <v>1214</v>
      </c>
      <c r="E12" s="122" t="s">
        <v>776</v>
      </c>
      <c r="F12" s="122" t="s">
        <v>218</v>
      </c>
      <c r="G12" s="122" t="s">
        <v>53</v>
      </c>
      <c r="H12" s="122" t="s">
        <v>62</v>
      </c>
      <c r="I12" s="122" t="s">
        <v>1215</v>
      </c>
      <c r="J12" s="122" t="s">
        <v>70</v>
      </c>
      <c r="K12" s="122" t="s">
        <v>1221</v>
      </c>
      <c r="L12" s="123">
        <v>21.207000000000001</v>
      </c>
      <c r="M12" s="123">
        <v>4.4409999999999998</v>
      </c>
      <c r="N12" s="122"/>
      <c r="O12" s="123">
        <v>94.177000000000007</v>
      </c>
      <c r="P12" s="125">
        <v>2.6800000000000001E-3</v>
      </c>
      <c r="Q12" s="126">
        <v>8.0000000000000007E-5</v>
      </c>
      <c r="R12" s="160"/>
    </row>
    <row r="13" spans="1:18" x14ac:dyDescent="0.2">
      <c r="A13" s="121" t="s">
        <v>1211</v>
      </c>
      <c r="B13" s="122" t="s">
        <v>1211</v>
      </c>
      <c r="C13" s="122" t="s">
        <v>1213</v>
      </c>
      <c r="D13" s="122" t="s">
        <v>1214</v>
      </c>
      <c r="E13" s="122" t="s">
        <v>776</v>
      </c>
      <c r="F13" s="122" t="s">
        <v>218</v>
      </c>
      <c r="G13" s="122" t="s">
        <v>53</v>
      </c>
      <c r="H13" s="122" t="s">
        <v>62</v>
      </c>
      <c r="I13" s="122" t="s">
        <v>1215</v>
      </c>
      <c r="J13" s="122" t="s">
        <v>70</v>
      </c>
      <c r="K13" s="122" t="s">
        <v>1219</v>
      </c>
      <c r="L13" s="123">
        <v>51.750999999999998</v>
      </c>
      <c r="M13" s="123">
        <v>0.42499999999999999</v>
      </c>
      <c r="N13" s="122"/>
      <c r="O13" s="123">
        <v>21.984000000000002</v>
      </c>
      <c r="P13" s="125">
        <v>6.3000000000000003E-4</v>
      </c>
      <c r="Q13" s="126">
        <v>2.0000000000000002E-5</v>
      </c>
      <c r="R13" s="160"/>
    </row>
    <row r="14" spans="1:18" x14ac:dyDescent="0.2">
      <c r="A14" s="121" t="s">
        <v>1211</v>
      </c>
      <c r="B14" s="122" t="s">
        <v>1211</v>
      </c>
      <c r="C14" s="122" t="s">
        <v>1213</v>
      </c>
      <c r="D14" s="122" t="s">
        <v>1214</v>
      </c>
      <c r="E14" s="122" t="s">
        <v>776</v>
      </c>
      <c r="F14" s="122" t="s">
        <v>218</v>
      </c>
      <c r="G14" s="122" t="s">
        <v>53</v>
      </c>
      <c r="H14" s="122" t="s">
        <v>62</v>
      </c>
      <c r="I14" s="122" t="s">
        <v>1215</v>
      </c>
      <c r="J14" s="122" t="s">
        <v>70</v>
      </c>
      <c r="K14" s="122" t="s">
        <v>1222</v>
      </c>
      <c r="L14" s="123">
        <v>0</v>
      </c>
      <c r="M14" s="123">
        <v>2.1999999999999999E-2</v>
      </c>
      <c r="N14" s="122"/>
      <c r="O14" s="123">
        <v>0</v>
      </c>
      <c r="P14" s="125">
        <v>0</v>
      </c>
      <c r="Q14" s="126">
        <v>0</v>
      </c>
      <c r="R14" s="160"/>
    </row>
    <row r="15" spans="1:18" x14ac:dyDescent="0.2">
      <c r="A15" s="121" t="s">
        <v>1223</v>
      </c>
      <c r="B15" s="122" t="s">
        <v>1224</v>
      </c>
      <c r="C15" s="122" t="s">
        <v>1213</v>
      </c>
      <c r="D15" s="122" t="s">
        <v>1214</v>
      </c>
      <c r="E15" s="122" t="s">
        <v>776</v>
      </c>
      <c r="F15" s="122" t="s">
        <v>213</v>
      </c>
      <c r="G15" s="122" t="s">
        <v>53</v>
      </c>
      <c r="H15" s="122" t="s">
        <v>62</v>
      </c>
      <c r="I15" s="122" t="s">
        <v>1215</v>
      </c>
      <c r="J15" s="122" t="s">
        <v>70</v>
      </c>
      <c r="K15" s="122" t="s">
        <v>1216</v>
      </c>
      <c r="L15" s="123">
        <v>91601.327999999994</v>
      </c>
      <c r="M15" s="123">
        <v>1</v>
      </c>
      <c r="N15" s="122"/>
      <c r="O15" s="123">
        <v>91601.327999999994</v>
      </c>
      <c r="P15" s="125">
        <v>0.98180999999999996</v>
      </c>
      <c r="Q15" s="126">
        <v>6.2179999999999999E-2</v>
      </c>
      <c r="R15" s="160"/>
    </row>
    <row r="16" spans="1:18" x14ac:dyDescent="0.2">
      <c r="A16" s="121" t="s">
        <v>1223</v>
      </c>
      <c r="B16" s="122" t="s">
        <v>1224</v>
      </c>
      <c r="C16" s="122" t="s">
        <v>1213</v>
      </c>
      <c r="D16" s="122" t="s">
        <v>1214</v>
      </c>
      <c r="E16" s="122" t="s">
        <v>776</v>
      </c>
      <c r="F16" s="122" t="s">
        <v>218</v>
      </c>
      <c r="G16" s="122" t="s">
        <v>53</v>
      </c>
      <c r="H16" s="122" t="s">
        <v>62</v>
      </c>
      <c r="I16" s="122" t="s">
        <v>1215</v>
      </c>
      <c r="J16" s="122" t="s">
        <v>70</v>
      </c>
      <c r="K16" s="122" t="s">
        <v>1217</v>
      </c>
      <c r="L16" s="123">
        <v>508.70499999999998</v>
      </c>
      <c r="M16" s="123">
        <v>3.306</v>
      </c>
      <c r="N16" s="122"/>
      <c r="O16" s="123">
        <v>1681.778</v>
      </c>
      <c r="P16" s="125">
        <v>1.8030000000000001E-2</v>
      </c>
      <c r="Q16" s="126">
        <v>1.14E-3</v>
      </c>
      <c r="R16" s="160"/>
    </row>
    <row r="17" spans="1:18" x14ac:dyDescent="0.2">
      <c r="A17" s="121" t="s">
        <v>1223</v>
      </c>
      <c r="B17" s="122" t="s">
        <v>1224</v>
      </c>
      <c r="C17" s="122" t="s">
        <v>1213</v>
      </c>
      <c r="D17" s="122" t="s">
        <v>1214</v>
      </c>
      <c r="E17" s="122" t="s">
        <v>776</v>
      </c>
      <c r="F17" s="122" t="s">
        <v>218</v>
      </c>
      <c r="G17" s="122" t="s">
        <v>53</v>
      </c>
      <c r="H17" s="122" t="s">
        <v>62</v>
      </c>
      <c r="I17" s="122" t="s">
        <v>1215</v>
      </c>
      <c r="J17" s="122" t="s">
        <v>70</v>
      </c>
      <c r="K17" s="122" t="s">
        <v>1219</v>
      </c>
      <c r="L17" s="123">
        <v>30.565000000000001</v>
      </c>
      <c r="M17" s="123">
        <v>0.42499999999999999</v>
      </c>
      <c r="N17" s="122"/>
      <c r="O17" s="123">
        <v>12.984</v>
      </c>
      <c r="P17" s="125">
        <v>1.3999999999999999E-4</v>
      </c>
      <c r="Q17" s="126">
        <v>1.0000000000000001E-5</v>
      </c>
      <c r="R17" s="160"/>
    </row>
    <row r="18" spans="1:18" x14ac:dyDescent="0.2">
      <c r="A18" s="121" t="s">
        <v>1223</v>
      </c>
      <c r="B18" s="122" t="s">
        <v>1224</v>
      </c>
      <c r="C18" s="122" t="s">
        <v>1213</v>
      </c>
      <c r="D18" s="122" t="s">
        <v>1214</v>
      </c>
      <c r="E18" s="122" t="s">
        <v>776</v>
      </c>
      <c r="F18" s="122" t="s">
        <v>218</v>
      </c>
      <c r="G18" s="122" t="s">
        <v>53</v>
      </c>
      <c r="H18" s="122" t="s">
        <v>62</v>
      </c>
      <c r="I18" s="122" t="s">
        <v>1215</v>
      </c>
      <c r="J18" s="122" t="s">
        <v>70</v>
      </c>
      <c r="K18" s="122" t="s">
        <v>1218</v>
      </c>
      <c r="L18" s="123">
        <v>0.48499999999999999</v>
      </c>
      <c r="M18" s="123">
        <v>3.8809999999999998</v>
      </c>
      <c r="N18" s="122"/>
      <c r="O18" s="123">
        <v>1.883</v>
      </c>
      <c r="P18" s="125">
        <v>2.0000000000000002E-5</v>
      </c>
      <c r="Q18" s="126">
        <v>0</v>
      </c>
      <c r="R18" s="160"/>
    </row>
    <row r="19" spans="1:18" x14ac:dyDescent="0.2">
      <c r="A19" s="121" t="s">
        <v>1223</v>
      </c>
      <c r="B19" s="122" t="s">
        <v>1225</v>
      </c>
      <c r="C19" s="122" t="s">
        <v>1213</v>
      </c>
      <c r="D19" s="122" t="s">
        <v>1214</v>
      </c>
      <c r="E19" s="122" t="s">
        <v>776</v>
      </c>
      <c r="F19" s="122" t="s">
        <v>213</v>
      </c>
      <c r="G19" s="122" t="s">
        <v>53</v>
      </c>
      <c r="H19" s="122" t="s">
        <v>62</v>
      </c>
      <c r="I19" s="122" t="s">
        <v>1215</v>
      </c>
      <c r="J19" s="122" t="s">
        <v>70</v>
      </c>
      <c r="K19" s="122" t="s">
        <v>1216</v>
      </c>
      <c r="L19" s="123">
        <v>475.363</v>
      </c>
      <c r="M19" s="123">
        <v>1</v>
      </c>
      <c r="N19" s="122"/>
      <c r="O19" s="123">
        <v>475.363</v>
      </c>
      <c r="P19" s="125">
        <v>0.98560999999999999</v>
      </c>
      <c r="Q19" s="126">
        <v>4.7100000000000003E-2</v>
      </c>
      <c r="R19" s="160"/>
    </row>
    <row r="20" spans="1:18" x14ac:dyDescent="0.2">
      <c r="A20" s="121" t="s">
        <v>1223</v>
      </c>
      <c r="B20" s="122" t="s">
        <v>1225</v>
      </c>
      <c r="C20" s="122" t="s">
        <v>1213</v>
      </c>
      <c r="D20" s="122" t="s">
        <v>1214</v>
      </c>
      <c r="E20" s="122" t="s">
        <v>776</v>
      </c>
      <c r="F20" s="122" t="s">
        <v>218</v>
      </c>
      <c r="G20" s="122" t="s">
        <v>53</v>
      </c>
      <c r="H20" s="122" t="s">
        <v>62</v>
      </c>
      <c r="I20" s="122" t="s">
        <v>1215</v>
      </c>
      <c r="J20" s="122" t="s">
        <v>70</v>
      </c>
      <c r="K20" s="122" t="s">
        <v>1217</v>
      </c>
      <c r="L20" s="123">
        <v>2.0990000000000002</v>
      </c>
      <c r="M20" s="123">
        <v>3.306</v>
      </c>
      <c r="N20" s="122"/>
      <c r="O20" s="123">
        <v>6.9379999999999997</v>
      </c>
      <c r="P20" s="125">
        <v>1.439E-2</v>
      </c>
      <c r="Q20" s="126">
        <v>6.8999999999999997E-4</v>
      </c>
      <c r="R20" s="160"/>
    </row>
    <row r="21" spans="1:18" x14ac:dyDescent="0.2">
      <c r="A21" s="121" t="s">
        <v>1223</v>
      </c>
      <c r="B21" s="122" t="s">
        <v>1223</v>
      </c>
      <c r="C21" s="122" t="s">
        <v>1213</v>
      </c>
      <c r="D21" s="122" t="s">
        <v>1214</v>
      </c>
      <c r="E21" s="122" t="s">
        <v>776</v>
      </c>
      <c r="F21" s="122" t="s">
        <v>213</v>
      </c>
      <c r="G21" s="122" t="s">
        <v>53</v>
      </c>
      <c r="H21" s="122" t="s">
        <v>62</v>
      </c>
      <c r="I21" s="122" t="s">
        <v>1215</v>
      </c>
      <c r="J21" s="122" t="s">
        <v>70</v>
      </c>
      <c r="K21" s="122" t="s">
        <v>1216</v>
      </c>
      <c r="L21" s="123">
        <v>707771.99199999997</v>
      </c>
      <c r="M21" s="123">
        <v>1</v>
      </c>
      <c r="N21" s="122"/>
      <c r="O21" s="123">
        <v>707771.99199999997</v>
      </c>
      <c r="P21" s="125">
        <v>0.7944</v>
      </c>
      <c r="Q21" s="126">
        <v>2.5930000000000002E-2</v>
      </c>
      <c r="R21" s="160"/>
    </row>
    <row r="22" spans="1:18" x14ac:dyDescent="0.2">
      <c r="A22" s="121" t="s">
        <v>1223</v>
      </c>
      <c r="B22" s="122" t="s">
        <v>1223</v>
      </c>
      <c r="C22" s="122" t="s">
        <v>1213</v>
      </c>
      <c r="D22" s="122" t="s">
        <v>1214</v>
      </c>
      <c r="E22" s="122" t="s">
        <v>776</v>
      </c>
      <c r="F22" s="122" t="s">
        <v>218</v>
      </c>
      <c r="G22" s="122" t="s">
        <v>53</v>
      </c>
      <c r="H22" s="122" t="s">
        <v>62</v>
      </c>
      <c r="I22" s="122" t="s">
        <v>1215</v>
      </c>
      <c r="J22" s="122" t="s">
        <v>70</v>
      </c>
      <c r="K22" s="122" t="s">
        <v>1217</v>
      </c>
      <c r="L22" s="123">
        <v>37433.447</v>
      </c>
      <c r="M22" s="123">
        <v>3.306</v>
      </c>
      <c r="N22" s="122"/>
      <c r="O22" s="123">
        <v>123754.97500000001</v>
      </c>
      <c r="P22" s="125">
        <v>0.1389</v>
      </c>
      <c r="Q22" s="126">
        <v>4.5300000000000002E-3</v>
      </c>
      <c r="R22" s="160"/>
    </row>
    <row r="23" spans="1:18" x14ac:dyDescent="0.2">
      <c r="A23" s="121" t="s">
        <v>1223</v>
      </c>
      <c r="B23" s="122" t="s">
        <v>1223</v>
      </c>
      <c r="C23" s="122" t="s">
        <v>1213</v>
      </c>
      <c r="D23" s="122" t="s">
        <v>1214</v>
      </c>
      <c r="E23" s="122" t="s">
        <v>776</v>
      </c>
      <c r="F23" s="122" t="s">
        <v>218</v>
      </c>
      <c r="G23" s="122" t="s">
        <v>53</v>
      </c>
      <c r="H23" s="122" t="s">
        <v>62</v>
      </c>
      <c r="I23" s="122" t="s">
        <v>1215</v>
      </c>
      <c r="J23" s="122" t="s">
        <v>70</v>
      </c>
      <c r="K23" s="122" t="s">
        <v>1218</v>
      </c>
      <c r="L23" s="123">
        <v>15087.656000000001</v>
      </c>
      <c r="M23" s="123">
        <v>3.8809999999999998</v>
      </c>
      <c r="N23" s="122"/>
      <c r="O23" s="123">
        <v>58550.667000000001</v>
      </c>
      <c r="P23" s="125">
        <v>6.5720000000000001E-2</v>
      </c>
      <c r="Q23" s="126">
        <v>2.14E-3</v>
      </c>
      <c r="R23" s="160"/>
    </row>
    <row r="24" spans="1:18" x14ac:dyDescent="0.2">
      <c r="A24" s="121" t="s">
        <v>1223</v>
      </c>
      <c r="B24" s="122" t="s">
        <v>1223</v>
      </c>
      <c r="C24" s="122" t="s">
        <v>1213</v>
      </c>
      <c r="D24" s="122" t="s">
        <v>1214</v>
      </c>
      <c r="E24" s="122" t="s">
        <v>776</v>
      </c>
      <c r="F24" s="122" t="s">
        <v>218</v>
      </c>
      <c r="G24" s="122" t="s">
        <v>53</v>
      </c>
      <c r="H24" s="122" t="s">
        <v>62</v>
      </c>
      <c r="I24" s="122" t="s">
        <v>1215</v>
      </c>
      <c r="J24" s="122" t="s">
        <v>70</v>
      </c>
      <c r="K24" s="122" t="s">
        <v>1219</v>
      </c>
      <c r="L24" s="123">
        <v>1142.434</v>
      </c>
      <c r="M24" s="123">
        <v>0.42499999999999999</v>
      </c>
      <c r="N24" s="122"/>
      <c r="O24" s="123">
        <v>485.30599999999998</v>
      </c>
      <c r="P24" s="125">
        <v>5.4000000000000001E-4</v>
      </c>
      <c r="Q24" s="126">
        <v>2.0000000000000002E-5</v>
      </c>
      <c r="R24" s="160"/>
    </row>
    <row r="25" spans="1:18" x14ac:dyDescent="0.2">
      <c r="A25" s="127" t="s">
        <v>1223</v>
      </c>
      <c r="B25" s="128" t="s">
        <v>1223</v>
      </c>
      <c r="C25" s="128" t="s">
        <v>1213</v>
      </c>
      <c r="D25" s="128" t="s">
        <v>1214</v>
      </c>
      <c r="E25" s="128" t="s">
        <v>776</v>
      </c>
      <c r="F25" s="128" t="s">
        <v>218</v>
      </c>
      <c r="G25" s="128" t="s">
        <v>53</v>
      </c>
      <c r="H25" s="128" t="s">
        <v>62</v>
      </c>
      <c r="I25" s="128" t="s">
        <v>1215</v>
      </c>
      <c r="J25" s="128" t="s">
        <v>70</v>
      </c>
      <c r="K25" s="128" t="s">
        <v>1221</v>
      </c>
      <c r="L25" s="129">
        <v>86.730999999999995</v>
      </c>
      <c r="M25" s="129">
        <v>4.4409999999999998</v>
      </c>
      <c r="N25" s="128"/>
      <c r="O25" s="129">
        <v>385.16199999999998</v>
      </c>
      <c r="P25" s="130">
        <v>4.2999999999999999E-4</v>
      </c>
      <c r="Q25" s="131">
        <v>1.0000000000000001E-5</v>
      </c>
      <c r="R25" s="160"/>
    </row>
    <row r="26" spans="1:18" x14ac:dyDescent="0.2">
      <c r="A26" s="159" t="s">
        <v>3483</v>
      </c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</row>
    <row r="27" spans="1:18" x14ac:dyDescent="0.2">
      <c r="A27" t="s">
        <v>3482</v>
      </c>
    </row>
    <row r="28" spans="1:18" x14ac:dyDescent="0.2">
      <c r="A28" s="1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/>
    </customSheetView>
  </customSheetViews>
  <mergeCells count="2">
    <mergeCell ref="A26:Q26"/>
    <mergeCell ref="R2:R25"/>
  </mergeCells>
  <dataValidations count="4">
    <dataValidation type="list" allowBlank="1" showInputMessage="1" showErrorMessage="1" sqref="G3:G21" xr:uid="{00000000-0002-0000-0300-000000000000}">
      <formula1>israel_abroad</formula1>
    </dataValidation>
    <dataValidation type="list" allowBlank="1" showInputMessage="1" showErrorMessage="1" sqref="H3:H21" xr:uid="{00000000-0002-0000-0300-000001000000}">
      <formula1>Holding_interest</formula1>
    </dataValidation>
    <dataValidation type="list" allowBlank="1" showInputMessage="1" showErrorMessage="1" sqref="J3:J22" xr:uid="{00000000-0002-0000-0300-000002000000}">
      <formula1>Rating_Agency</formula1>
    </dataValidation>
    <dataValidation type="list" allowBlank="1" showInputMessage="1" showErrorMessage="1" sqref="E3:E21" xr:uid="{00000000-0002-0000-0300-000003000000}">
      <formula1>Issuer_Number_Banks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4000000}">
          <x14:formula1>
            <xm:f>'אפשרויות בחירה'!$C$853:$C$861</xm:f>
          </x14:formula1>
          <xm:sqref>F3:F21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D132"/>
  <sheetViews>
    <sheetView rightToLeft="1" workbookViewId="0"/>
  </sheetViews>
  <sheetFormatPr defaultColWidth="0" defaultRowHeight="14.25" x14ac:dyDescent="0.2"/>
  <cols>
    <col min="1" max="1" width="29.375" style="3" customWidth="1"/>
    <col min="2" max="4" width="11.625" style="3" customWidth="1"/>
    <col min="5" max="5" width="12.75" style="3" customWidth="1"/>
    <col min="6" max="7" width="11.625" style="3" customWidth="1"/>
    <col min="8" max="8" width="19.875" style="3" customWidth="1"/>
    <col min="9" max="11" width="11.625" style="3" customWidth="1"/>
    <col min="12" max="12" width="11.75" style="3" customWidth="1"/>
    <col min="13" max="15" width="11.625" style="3" customWidth="1"/>
    <col min="16" max="16" width="12.25" style="3" customWidth="1"/>
    <col min="17" max="17" width="22.25" style="3" customWidth="1"/>
    <col min="18" max="18" width="14.875" style="3" customWidth="1"/>
    <col min="19" max="19" width="11.625" style="3" customWidth="1"/>
    <col min="20" max="20" width="12.875" style="3" customWidth="1"/>
    <col min="21" max="21" width="17.875" style="3" customWidth="1"/>
    <col min="22" max="22" width="21.375" style="3" customWidth="1"/>
    <col min="23" max="23" width="22" style="3" customWidth="1"/>
    <col min="24" max="24" width="19" style="3" customWidth="1"/>
    <col min="25" max="25" width="21.75" style="3" customWidth="1"/>
    <col min="26" max="26" width="20.125" style="3" customWidth="1"/>
    <col min="27" max="30" width="11.625" style="3" hidden="1" customWidth="1"/>
    <col min="31" max="16384" width="9" style="3" hidden="1"/>
  </cols>
  <sheetData>
    <row r="1" spans="1:27" x14ac:dyDescent="0.2">
      <c r="A1" s="3" t="s">
        <v>3488</v>
      </c>
    </row>
    <row r="2" spans="1:27" x14ac:dyDescent="0.2">
      <c r="A2" s="118" t="s">
        <v>651</v>
      </c>
      <c r="B2" s="119" t="s">
        <v>0</v>
      </c>
      <c r="C2" s="119" t="s">
        <v>724</v>
      </c>
      <c r="D2" s="119" t="s">
        <v>1145</v>
      </c>
      <c r="E2" s="119" t="s">
        <v>29</v>
      </c>
      <c r="F2" s="119" t="s">
        <v>1</v>
      </c>
      <c r="G2" s="119" t="s">
        <v>604</v>
      </c>
      <c r="H2" s="119" t="s">
        <v>605</v>
      </c>
      <c r="I2" s="119" t="s">
        <v>5</v>
      </c>
      <c r="J2" s="119" t="s">
        <v>6</v>
      </c>
      <c r="K2" s="119" t="s">
        <v>8</v>
      </c>
      <c r="L2" s="119" t="s">
        <v>396</v>
      </c>
      <c r="M2" s="119" t="s">
        <v>13</v>
      </c>
      <c r="N2" s="119" t="s">
        <v>421</v>
      </c>
      <c r="O2" s="119" t="s">
        <v>14</v>
      </c>
      <c r="P2" s="119" t="s">
        <v>621</v>
      </c>
      <c r="Q2" s="119" t="s">
        <v>938</v>
      </c>
      <c r="R2" s="119" t="s">
        <v>773</v>
      </c>
      <c r="S2" s="119" t="s">
        <v>11</v>
      </c>
      <c r="T2" s="119" t="s">
        <v>15</v>
      </c>
      <c r="U2" s="119" t="s">
        <v>1153</v>
      </c>
      <c r="V2" s="119" t="s">
        <v>1154</v>
      </c>
      <c r="W2" s="119" t="s">
        <v>26</v>
      </c>
      <c r="X2" s="119" t="s">
        <v>18</v>
      </c>
      <c r="Y2" s="119" t="s">
        <v>19</v>
      </c>
      <c r="Z2" s="120" t="s">
        <v>30</v>
      </c>
      <c r="AA2" s="161" t="s">
        <v>3484</v>
      </c>
    </row>
    <row r="3" spans="1:27" x14ac:dyDescent="0.2">
      <c r="A3" s="121" t="s">
        <v>1211</v>
      </c>
      <c r="B3" s="122" t="s">
        <v>1212</v>
      </c>
      <c r="C3" s="122" t="s">
        <v>1226</v>
      </c>
      <c r="D3" s="122" t="s">
        <v>1227</v>
      </c>
      <c r="E3" s="122" t="s">
        <v>1228</v>
      </c>
      <c r="F3" s="122" t="s">
        <v>223</v>
      </c>
      <c r="G3" s="122" t="s">
        <v>53</v>
      </c>
      <c r="H3" s="122" t="s">
        <v>53</v>
      </c>
      <c r="I3" s="122" t="s">
        <v>311</v>
      </c>
      <c r="J3" s="122" t="s">
        <v>1229</v>
      </c>
      <c r="K3" s="122" t="s">
        <v>78</v>
      </c>
      <c r="L3" s="122" t="s">
        <v>1216</v>
      </c>
      <c r="M3" s="123">
        <v>10.56</v>
      </c>
      <c r="N3" s="122" t="s">
        <v>1230</v>
      </c>
      <c r="O3" s="125">
        <v>1.4959999999999999E-2</v>
      </c>
      <c r="P3" s="125">
        <v>4.2049999999999997E-2</v>
      </c>
      <c r="Q3" s="122"/>
      <c r="R3" s="123">
        <v>1753921</v>
      </c>
      <c r="S3" s="123">
        <v>1</v>
      </c>
      <c r="T3" s="123">
        <v>75.94</v>
      </c>
      <c r="U3" s="123">
        <v>1331.9280000000001</v>
      </c>
      <c r="V3" s="122"/>
      <c r="W3" s="132"/>
      <c r="X3" s="125">
        <v>4.0000000000000003E-5</v>
      </c>
      <c r="Y3" s="125">
        <v>0.15362999999999999</v>
      </c>
      <c r="Z3" s="126">
        <v>3.7929999999999998E-2</v>
      </c>
      <c r="AA3" s="161"/>
    </row>
    <row r="4" spans="1:27" x14ac:dyDescent="0.2">
      <c r="A4" s="121" t="s">
        <v>1211</v>
      </c>
      <c r="B4" s="122" t="s">
        <v>1212</v>
      </c>
      <c r="C4" s="122" t="s">
        <v>1226</v>
      </c>
      <c r="D4" s="122" t="s">
        <v>1231</v>
      </c>
      <c r="E4" s="122" t="s">
        <v>1232</v>
      </c>
      <c r="F4" s="122" t="s">
        <v>223</v>
      </c>
      <c r="G4" s="122" t="s">
        <v>53</v>
      </c>
      <c r="H4" s="122" t="s">
        <v>53</v>
      </c>
      <c r="I4" s="122" t="s">
        <v>311</v>
      </c>
      <c r="J4" s="122" t="s">
        <v>1229</v>
      </c>
      <c r="K4" s="122" t="s">
        <v>78</v>
      </c>
      <c r="L4" s="122" t="s">
        <v>1216</v>
      </c>
      <c r="M4" s="123">
        <v>6.29</v>
      </c>
      <c r="N4" s="122" t="s">
        <v>1233</v>
      </c>
      <c r="O4" s="125">
        <v>1.2999999999999999E-2</v>
      </c>
      <c r="P4" s="125">
        <v>4.018E-2</v>
      </c>
      <c r="Q4" s="122"/>
      <c r="R4" s="123">
        <v>1192951</v>
      </c>
      <c r="S4" s="123">
        <v>1</v>
      </c>
      <c r="T4" s="123">
        <v>85.09</v>
      </c>
      <c r="U4" s="123">
        <v>1015.082</v>
      </c>
      <c r="V4" s="122"/>
      <c r="W4" s="132"/>
      <c r="X4" s="125">
        <v>3.0000000000000001E-5</v>
      </c>
      <c r="Y4" s="125">
        <v>0.11708</v>
      </c>
      <c r="Z4" s="126">
        <v>2.8910000000000002E-2</v>
      </c>
      <c r="AA4" s="161"/>
    </row>
    <row r="5" spans="1:27" x14ac:dyDescent="0.2">
      <c r="A5" s="121" t="s">
        <v>1211</v>
      </c>
      <c r="B5" s="122" t="s">
        <v>1212</v>
      </c>
      <c r="C5" s="122" t="s">
        <v>1226</v>
      </c>
      <c r="D5" s="122" t="s">
        <v>1234</v>
      </c>
      <c r="E5" s="122" t="s">
        <v>1235</v>
      </c>
      <c r="F5" s="122" t="s">
        <v>223</v>
      </c>
      <c r="G5" s="122" t="s">
        <v>53</v>
      </c>
      <c r="H5" s="122" t="s">
        <v>53</v>
      </c>
      <c r="I5" s="122" t="s">
        <v>311</v>
      </c>
      <c r="J5" s="122" t="s">
        <v>1229</v>
      </c>
      <c r="K5" s="122" t="s">
        <v>78</v>
      </c>
      <c r="L5" s="122" t="s">
        <v>1216</v>
      </c>
      <c r="M5" s="123">
        <v>11.18</v>
      </c>
      <c r="N5" s="122" t="s">
        <v>1236</v>
      </c>
      <c r="O5" s="125">
        <v>5.5149999999999998E-2</v>
      </c>
      <c r="P5" s="125">
        <v>4.3409999999999997E-2</v>
      </c>
      <c r="Q5" s="122"/>
      <c r="R5" s="123">
        <v>793658.71</v>
      </c>
      <c r="S5" s="123">
        <v>1</v>
      </c>
      <c r="T5" s="123">
        <v>117</v>
      </c>
      <c r="U5" s="123">
        <v>928.58100000000002</v>
      </c>
      <c r="V5" s="122"/>
      <c r="W5" s="132"/>
      <c r="X5" s="125">
        <v>3.0000000000000001E-5</v>
      </c>
      <c r="Y5" s="125">
        <v>0.1071</v>
      </c>
      <c r="Z5" s="126">
        <v>2.6440000000000002E-2</v>
      </c>
      <c r="AA5" s="161"/>
    </row>
    <row r="6" spans="1:27" x14ac:dyDescent="0.2">
      <c r="A6" s="121" t="s">
        <v>1211</v>
      </c>
      <c r="B6" s="122" t="s">
        <v>1212</v>
      </c>
      <c r="C6" s="122" t="s">
        <v>1237</v>
      </c>
      <c r="D6" s="122" t="s">
        <v>1238</v>
      </c>
      <c r="E6" s="122" t="s">
        <v>1239</v>
      </c>
      <c r="F6" s="122" t="s">
        <v>221</v>
      </c>
      <c r="G6" s="122" t="s">
        <v>53</v>
      </c>
      <c r="H6" s="122" t="s">
        <v>53</v>
      </c>
      <c r="I6" s="122" t="s">
        <v>311</v>
      </c>
      <c r="J6" s="122" t="s">
        <v>1229</v>
      </c>
      <c r="K6" s="122" t="s">
        <v>78</v>
      </c>
      <c r="L6" s="122" t="s">
        <v>1216</v>
      </c>
      <c r="M6" s="123">
        <v>6.14</v>
      </c>
      <c r="N6" s="122" t="s">
        <v>1240</v>
      </c>
      <c r="O6" s="125">
        <v>1E-3</v>
      </c>
      <c r="P6" s="125">
        <v>1.8970000000000001E-2</v>
      </c>
      <c r="Q6" s="122"/>
      <c r="R6" s="123">
        <v>808006</v>
      </c>
      <c r="S6" s="123">
        <v>1</v>
      </c>
      <c r="T6" s="123">
        <v>106.54</v>
      </c>
      <c r="U6" s="123">
        <v>860.85</v>
      </c>
      <c r="V6" s="122"/>
      <c r="W6" s="132"/>
      <c r="X6" s="125">
        <v>2.0000000000000002E-5</v>
      </c>
      <c r="Y6" s="125">
        <v>9.9290000000000003E-2</v>
      </c>
      <c r="Z6" s="126">
        <v>2.452E-2</v>
      </c>
      <c r="AA6" s="161"/>
    </row>
    <row r="7" spans="1:27" x14ac:dyDescent="0.2">
      <c r="A7" s="121" t="s">
        <v>1211</v>
      </c>
      <c r="B7" s="122" t="s">
        <v>1212</v>
      </c>
      <c r="C7" s="122" t="s">
        <v>1241</v>
      </c>
      <c r="D7" s="122" t="s">
        <v>1242</v>
      </c>
      <c r="E7" s="122" t="s">
        <v>1243</v>
      </c>
      <c r="F7" s="122" t="s">
        <v>223</v>
      </c>
      <c r="G7" s="122" t="s">
        <v>53</v>
      </c>
      <c r="H7" s="122" t="s">
        <v>53</v>
      </c>
      <c r="I7" s="122" t="s">
        <v>311</v>
      </c>
      <c r="J7" s="122" t="s">
        <v>1229</v>
      </c>
      <c r="K7" s="122" t="s">
        <v>78</v>
      </c>
      <c r="L7" s="122" t="s">
        <v>1216</v>
      </c>
      <c r="M7" s="123">
        <v>0.5</v>
      </c>
      <c r="N7" s="122" t="s">
        <v>1244</v>
      </c>
      <c r="O7" s="122" t="s">
        <v>1245</v>
      </c>
      <c r="P7" s="125">
        <v>4.1340000000000002E-2</v>
      </c>
      <c r="Q7" s="122"/>
      <c r="R7" s="123">
        <v>753200</v>
      </c>
      <c r="S7" s="123">
        <v>1</v>
      </c>
      <c r="T7" s="123">
        <v>98</v>
      </c>
      <c r="U7" s="123">
        <v>738.13599999999997</v>
      </c>
      <c r="V7" s="122"/>
      <c r="W7" s="132"/>
      <c r="X7" s="125">
        <v>4.0000000000000003E-5</v>
      </c>
      <c r="Y7" s="125">
        <v>8.5139999999999993E-2</v>
      </c>
      <c r="Z7" s="126">
        <v>2.102E-2</v>
      </c>
      <c r="AA7" s="161"/>
    </row>
    <row r="8" spans="1:27" x14ac:dyDescent="0.2">
      <c r="A8" s="121" t="s">
        <v>1211</v>
      </c>
      <c r="B8" s="122" t="s">
        <v>1212</v>
      </c>
      <c r="C8" s="122" t="s">
        <v>1237</v>
      </c>
      <c r="D8" s="122" t="s">
        <v>1246</v>
      </c>
      <c r="E8" s="122" t="s">
        <v>1247</v>
      </c>
      <c r="F8" s="122" t="s">
        <v>221</v>
      </c>
      <c r="G8" s="122" t="s">
        <v>53</v>
      </c>
      <c r="H8" s="122" t="s">
        <v>53</v>
      </c>
      <c r="I8" s="122" t="s">
        <v>311</v>
      </c>
      <c r="J8" s="122" t="s">
        <v>1229</v>
      </c>
      <c r="K8" s="122" t="s">
        <v>78</v>
      </c>
      <c r="L8" s="122" t="s">
        <v>1216</v>
      </c>
      <c r="M8" s="123">
        <v>3.02</v>
      </c>
      <c r="N8" s="122" t="s">
        <v>1248</v>
      </c>
      <c r="O8" s="125">
        <v>1.103E-2</v>
      </c>
      <c r="P8" s="125">
        <v>1.9900000000000001E-2</v>
      </c>
      <c r="Q8" s="122"/>
      <c r="R8" s="123">
        <v>660673</v>
      </c>
      <c r="S8" s="123">
        <v>1</v>
      </c>
      <c r="T8" s="123">
        <v>105.65</v>
      </c>
      <c r="U8" s="123">
        <v>698.00099999999998</v>
      </c>
      <c r="V8" s="122"/>
      <c r="W8" s="132"/>
      <c r="X8" s="125">
        <v>2.0000000000000002E-5</v>
      </c>
      <c r="Y8" s="125">
        <v>8.0509999999999998E-2</v>
      </c>
      <c r="Z8" s="126">
        <v>1.9879999999999998E-2</v>
      </c>
      <c r="AA8" s="161"/>
    </row>
    <row r="9" spans="1:27" x14ac:dyDescent="0.2">
      <c r="A9" s="121" t="s">
        <v>1211</v>
      </c>
      <c r="B9" s="122" t="s">
        <v>1212</v>
      </c>
      <c r="C9" s="122" t="s">
        <v>1226</v>
      </c>
      <c r="D9" s="122" t="s">
        <v>1249</v>
      </c>
      <c r="E9" s="122" t="s">
        <v>1250</v>
      </c>
      <c r="F9" s="122" t="s">
        <v>223</v>
      </c>
      <c r="G9" s="122" t="s">
        <v>53</v>
      </c>
      <c r="H9" s="122" t="s">
        <v>53</v>
      </c>
      <c r="I9" s="122" t="s">
        <v>311</v>
      </c>
      <c r="J9" s="122" t="s">
        <v>1229</v>
      </c>
      <c r="K9" s="122" t="s">
        <v>78</v>
      </c>
      <c r="L9" s="122" t="s">
        <v>1216</v>
      </c>
      <c r="M9" s="123">
        <v>7.93</v>
      </c>
      <c r="N9" s="122" t="s">
        <v>1251</v>
      </c>
      <c r="O9" s="125">
        <v>0.04</v>
      </c>
      <c r="P9" s="125">
        <v>4.0960000000000003E-2</v>
      </c>
      <c r="Q9" s="122"/>
      <c r="R9" s="123">
        <v>459535</v>
      </c>
      <c r="S9" s="123">
        <v>1</v>
      </c>
      <c r="T9" s="123">
        <v>101.25</v>
      </c>
      <c r="U9" s="123">
        <v>465.279</v>
      </c>
      <c r="V9" s="122"/>
      <c r="W9" s="132"/>
      <c r="X9" s="125">
        <v>1.0000000000000001E-5</v>
      </c>
      <c r="Y9" s="125">
        <v>5.3670000000000002E-2</v>
      </c>
      <c r="Z9" s="126">
        <v>1.325E-2</v>
      </c>
      <c r="AA9" s="161"/>
    </row>
    <row r="10" spans="1:27" x14ac:dyDescent="0.2">
      <c r="A10" s="121" t="s">
        <v>1211</v>
      </c>
      <c r="B10" s="122" t="s">
        <v>1212</v>
      </c>
      <c r="C10" s="122" t="s">
        <v>1226</v>
      </c>
      <c r="D10" s="122" t="s">
        <v>1252</v>
      </c>
      <c r="E10" s="122" t="s">
        <v>1253</v>
      </c>
      <c r="F10" s="122" t="s">
        <v>223</v>
      </c>
      <c r="G10" s="122" t="s">
        <v>53</v>
      </c>
      <c r="H10" s="122" t="s">
        <v>53</v>
      </c>
      <c r="I10" s="122" t="s">
        <v>311</v>
      </c>
      <c r="J10" s="122" t="s">
        <v>1229</v>
      </c>
      <c r="K10" s="122" t="s">
        <v>78</v>
      </c>
      <c r="L10" s="122" t="s">
        <v>1216</v>
      </c>
      <c r="M10" s="123">
        <v>14.45</v>
      </c>
      <c r="N10" s="122" t="s">
        <v>1254</v>
      </c>
      <c r="O10" s="125">
        <v>3.7499999999999999E-2</v>
      </c>
      <c r="P10" s="125">
        <v>4.4859999999999997E-2</v>
      </c>
      <c r="Q10" s="122"/>
      <c r="R10" s="123">
        <v>485143</v>
      </c>
      <c r="S10" s="123">
        <v>1</v>
      </c>
      <c r="T10" s="123">
        <v>91.85</v>
      </c>
      <c r="U10" s="123">
        <v>445.60399999999998</v>
      </c>
      <c r="V10" s="122"/>
      <c r="W10" s="132"/>
      <c r="X10" s="125">
        <v>2.0000000000000002E-5</v>
      </c>
      <c r="Y10" s="125">
        <v>5.1400000000000001E-2</v>
      </c>
      <c r="Z10" s="126">
        <v>1.269E-2</v>
      </c>
      <c r="AA10" s="161"/>
    </row>
    <row r="11" spans="1:27" x14ac:dyDescent="0.2">
      <c r="A11" s="121" t="s">
        <v>1211</v>
      </c>
      <c r="B11" s="122" t="s">
        <v>1212</v>
      </c>
      <c r="C11" s="122" t="s">
        <v>1241</v>
      </c>
      <c r="D11" s="122" t="s">
        <v>1255</v>
      </c>
      <c r="E11" s="122" t="s">
        <v>1256</v>
      </c>
      <c r="F11" s="122" t="s">
        <v>223</v>
      </c>
      <c r="G11" s="122" t="s">
        <v>53</v>
      </c>
      <c r="H11" s="122" t="s">
        <v>53</v>
      </c>
      <c r="I11" s="122" t="s">
        <v>311</v>
      </c>
      <c r="J11" s="122" t="s">
        <v>1229</v>
      </c>
      <c r="K11" s="122" t="s">
        <v>78</v>
      </c>
      <c r="L11" s="122" t="s">
        <v>1216</v>
      </c>
      <c r="M11" s="123">
        <v>0.35</v>
      </c>
      <c r="N11" s="122" t="s">
        <v>1257</v>
      </c>
      <c r="O11" s="122" t="s">
        <v>1245</v>
      </c>
      <c r="P11" s="125">
        <v>4.1689999999999998E-2</v>
      </c>
      <c r="Q11" s="122"/>
      <c r="R11" s="123">
        <v>368483</v>
      </c>
      <c r="S11" s="123">
        <v>1</v>
      </c>
      <c r="T11" s="123">
        <v>98.6</v>
      </c>
      <c r="U11" s="123">
        <v>363.32400000000001</v>
      </c>
      <c r="V11" s="122"/>
      <c r="W11" s="132"/>
      <c r="X11" s="125">
        <v>2.0000000000000002E-5</v>
      </c>
      <c r="Y11" s="125">
        <v>4.1910000000000003E-2</v>
      </c>
      <c r="Z11" s="126">
        <v>1.035E-2</v>
      </c>
      <c r="AA11" s="161"/>
    </row>
    <row r="12" spans="1:27" x14ac:dyDescent="0.2">
      <c r="A12" s="121" t="s">
        <v>1211</v>
      </c>
      <c r="B12" s="122" t="s">
        <v>1212</v>
      </c>
      <c r="C12" s="122" t="s">
        <v>1241</v>
      </c>
      <c r="D12" s="122" t="s">
        <v>1258</v>
      </c>
      <c r="E12" s="122" t="s">
        <v>1259</v>
      </c>
      <c r="F12" s="122" t="s">
        <v>223</v>
      </c>
      <c r="G12" s="122" t="s">
        <v>53</v>
      </c>
      <c r="H12" s="122" t="s">
        <v>53</v>
      </c>
      <c r="I12" s="122" t="s">
        <v>311</v>
      </c>
      <c r="J12" s="122" t="s">
        <v>1229</v>
      </c>
      <c r="K12" s="122" t="s">
        <v>78</v>
      </c>
      <c r="L12" s="122" t="s">
        <v>1216</v>
      </c>
      <c r="M12" s="123">
        <v>0.67</v>
      </c>
      <c r="N12" s="122" t="s">
        <v>1260</v>
      </c>
      <c r="O12" s="122" t="s">
        <v>1245</v>
      </c>
      <c r="P12" s="125">
        <v>4.1619999999999997E-2</v>
      </c>
      <c r="Q12" s="122"/>
      <c r="R12" s="123">
        <v>366418</v>
      </c>
      <c r="S12" s="123">
        <v>1</v>
      </c>
      <c r="T12" s="123">
        <v>97.3</v>
      </c>
      <c r="U12" s="123">
        <v>356.52499999999998</v>
      </c>
      <c r="V12" s="122"/>
      <c r="W12" s="132"/>
      <c r="X12" s="125">
        <v>2.0000000000000002E-5</v>
      </c>
      <c r="Y12" s="125">
        <v>4.1119999999999997E-2</v>
      </c>
      <c r="Z12" s="126">
        <v>1.0149999999999999E-2</v>
      </c>
      <c r="AA12" s="161"/>
    </row>
    <row r="13" spans="1:27" x14ac:dyDescent="0.2">
      <c r="A13" s="121" t="s">
        <v>1211</v>
      </c>
      <c r="B13" s="122" t="s">
        <v>1212</v>
      </c>
      <c r="C13" s="122" t="s">
        <v>1237</v>
      </c>
      <c r="D13" s="122" t="s">
        <v>1261</v>
      </c>
      <c r="E13" s="122" t="s">
        <v>1262</v>
      </c>
      <c r="F13" s="122" t="s">
        <v>221</v>
      </c>
      <c r="G13" s="122" t="s">
        <v>53</v>
      </c>
      <c r="H13" s="122" t="s">
        <v>53</v>
      </c>
      <c r="I13" s="122" t="s">
        <v>311</v>
      </c>
      <c r="J13" s="122" t="s">
        <v>1229</v>
      </c>
      <c r="K13" s="122" t="s">
        <v>78</v>
      </c>
      <c r="L13" s="122" t="s">
        <v>1216</v>
      </c>
      <c r="M13" s="123">
        <v>0.83</v>
      </c>
      <c r="N13" s="122" t="s">
        <v>1263</v>
      </c>
      <c r="O13" s="125">
        <v>1E-3</v>
      </c>
      <c r="P13" s="125">
        <v>2.656E-2</v>
      </c>
      <c r="Q13" s="122"/>
      <c r="R13" s="123">
        <v>203834</v>
      </c>
      <c r="S13" s="123">
        <v>1</v>
      </c>
      <c r="T13" s="123">
        <v>116.31</v>
      </c>
      <c r="U13" s="123">
        <v>237.07900000000001</v>
      </c>
      <c r="V13" s="122"/>
      <c r="W13" s="132"/>
      <c r="X13" s="125">
        <v>1.0000000000000001E-5</v>
      </c>
      <c r="Y13" s="125">
        <v>2.734E-2</v>
      </c>
      <c r="Z13" s="126">
        <v>6.7499999999999999E-3</v>
      </c>
      <c r="AA13" s="161"/>
    </row>
    <row r="14" spans="1:27" x14ac:dyDescent="0.2">
      <c r="A14" s="121" t="s">
        <v>1211</v>
      </c>
      <c r="B14" s="122" t="s">
        <v>1212</v>
      </c>
      <c r="C14" s="122" t="s">
        <v>1226</v>
      </c>
      <c r="D14" s="122" t="s">
        <v>1264</v>
      </c>
      <c r="E14" s="122" t="s">
        <v>1265</v>
      </c>
      <c r="F14" s="122" t="s">
        <v>223</v>
      </c>
      <c r="G14" s="122" t="s">
        <v>53</v>
      </c>
      <c r="H14" s="122" t="s">
        <v>53</v>
      </c>
      <c r="I14" s="122" t="s">
        <v>311</v>
      </c>
      <c r="J14" s="122" t="s">
        <v>1229</v>
      </c>
      <c r="K14" s="122" t="s">
        <v>78</v>
      </c>
      <c r="L14" s="122" t="s">
        <v>1216</v>
      </c>
      <c r="M14" s="123">
        <v>4.3899999999999997</v>
      </c>
      <c r="N14" s="122" t="s">
        <v>1266</v>
      </c>
      <c r="O14" s="125">
        <v>0.01</v>
      </c>
      <c r="P14" s="125">
        <v>3.9210000000000002E-2</v>
      </c>
      <c r="Q14" s="122"/>
      <c r="R14" s="123">
        <v>265596</v>
      </c>
      <c r="S14" s="123">
        <v>1</v>
      </c>
      <c r="T14" s="123">
        <v>88.66</v>
      </c>
      <c r="U14" s="123">
        <v>235.477</v>
      </c>
      <c r="V14" s="122"/>
      <c r="W14" s="132"/>
      <c r="X14" s="125">
        <v>1.0000000000000001E-5</v>
      </c>
      <c r="Y14" s="125">
        <v>2.716E-2</v>
      </c>
      <c r="Z14" s="126">
        <v>6.7099999999999998E-3</v>
      </c>
      <c r="AA14" s="161"/>
    </row>
    <row r="15" spans="1:27" x14ac:dyDescent="0.2">
      <c r="A15" s="121" t="s">
        <v>1211</v>
      </c>
      <c r="B15" s="122" t="s">
        <v>1212</v>
      </c>
      <c r="C15" s="122" t="s">
        <v>1237</v>
      </c>
      <c r="D15" s="122" t="s">
        <v>1267</v>
      </c>
      <c r="E15" s="122" t="s">
        <v>1268</v>
      </c>
      <c r="F15" s="122" t="s">
        <v>221</v>
      </c>
      <c r="G15" s="122" t="s">
        <v>53</v>
      </c>
      <c r="H15" s="122" t="s">
        <v>53</v>
      </c>
      <c r="I15" s="122" t="s">
        <v>311</v>
      </c>
      <c r="J15" s="122" t="s">
        <v>1229</v>
      </c>
      <c r="K15" s="122" t="s">
        <v>78</v>
      </c>
      <c r="L15" s="122" t="s">
        <v>1216</v>
      </c>
      <c r="M15" s="123">
        <v>3.63</v>
      </c>
      <c r="N15" s="122" t="s">
        <v>1269</v>
      </c>
      <c r="O15" s="125">
        <v>5.0000000000000001E-3</v>
      </c>
      <c r="P15" s="125">
        <v>1.9290000000000002E-2</v>
      </c>
      <c r="Q15" s="122"/>
      <c r="R15" s="123">
        <v>133449</v>
      </c>
      <c r="S15" s="123">
        <v>1</v>
      </c>
      <c r="T15" s="123">
        <v>113</v>
      </c>
      <c r="U15" s="123">
        <v>150.797</v>
      </c>
      <c r="V15" s="122"/>
      <c r="W15" s="132"/>
      <c r="X15" s="125">
        <v>0</v>
      </c>
      <c r="Y15" s="125">
        <v>1.7389999999999999E-2</v>
      </c>
      <c r="Z15" s="126">
        <v>4.2900000000000004E-3</v>
      </c>
      <c r="AA15" s="161"/>
    </row>
    <row r="16" spans="1:27" x14ac:dyDescent="0.2">
      <c r="A16" s="121" t="s">
        <v>1211</v>
      </c>
      <c r="B16" s="122" t="s">
        <v>1212</v>
      </c>
      <c r="C16" s="122" t="s">
        <v>1226</v>
      </c>
      <c r="D16" s="122" t="s">
        <v>1270</v>
      </c>
      <c r="E16" s="122" t="s">
        <v>1271</v>
      </c>
      <c r="F16" s="122" t="s">
        <v>223</v>
      </c>
      <c r="G16" s="122" t="s">
        <v>53</v>
      </c>
      <c r="H16" s="122" t="s">
        <v>53</v>
      </c>
      <c r="I16" s="122" t="s">
        <v>311</v>
      </c>
      <c r="J16" s="122" t="s">
        <v>1229</v>
      </c>
      <c r="K16" s="122" t="s">
        <v>78</v>
      </c>
      <c r="L16" s="122" t="s">
        <v>1216</v>
      </c>
      <c r="M16" s="123">
        <v>3.66</v>
      </c>
      <c r="N16" s="122" t="s">
        <v>1272</v>
      </c>
      <c r="O16" s="125">
        <v>4.6190000000000002E-2</v>
      </c>
      <c r="P16" s="125">
        <v>3.934E-2</v>
      </c>
      <c r="Q16" s="122"/>
      <c r="R16" s="123">
        <v>132302</v>
      </c>
      <c r="S16" s="123">
        <v>1</v>
      </c>
      <c r="T16" s="123">
        <v>102.76</v>
      </c>
      <c r="U16" s="123">
        <v>135.95400000000001</v>
      </c>
      <c r="V16" s="122"/>
      <c r="W16" s="132"/>
      <c r="X16" s="125">
        <v>1.0000000000000001E-5</v>
      </c>
      <c r="Y16" s="125">
        <v>1.5679999999999999E-2</v>
      </c>
      <c r="Z16" s="126">
        <v>3.8700000000000002E-3</v>
      </c>
      <c r="AA16" s="161"/>
    </row>
    <row r="17" spans="1:27" x14ac:dyDescent="0.2">
      <c r="A17" s="121" t="s">
        <v>1211</v>
      </c>
      <c r="B17" s="122" t="s">
        <v>1212</v>
      </c>
      <c r="C17" s="122" t="s">
        <v>1237</v>
      </c>
      <c r="D17" s="122" t="s">
        <v>1273</v>
      </c>
      <c r="E17" s="122" t="s">
        <v>1274</v>
      </c>
      <c r="F17" s="122" t="s">
        <v>221</v>
      </c>
      <c r="G17" s="122" t="s">
        <v>53</v>
      </c>
      <c r="H17" s="122" t="s">
        <v>53</v>
      </c>
      <c r="I17" s="122" t="s">
        <v>311</v>
      </c>
      <c r="J17" s="122" t="s">
        <v>1229</v>
      </c>
      <c r="K17" s="122" t="s">
        <v>78</v>
      </c>
      <c r="L17" s="122" t="s">
        <v>1216</v>
      </c>
      <c r="M17" s="123">
        <v>1.66</v>
      </c>
      <c r="N17" s="122" t="s">
        <v>1275</v>
      </c>
      <c r="O17" s="125">
        <v>7.4999999999999997E-3</v>
      </c>
      <c r="P17" s="125">
        <v>2.0789999999999999E-2</v>
      </c>
      <c r="Q17" s="122"/>
      <c r="R17" s="123">
        <v>102177</v>
      </c>
      <c r="S17" s="123">
        <v>1</v>
      </c>
      <c r="T17" s="123">
        <v>117.66</v>
      </c>
      <c r="U17" s="123">
        <v>120.221</v>
      </c>
      <c r="V17" s="122"/>
      <c r="W17" s="132"/>
      <c r="X17" s="125">
        <v>0</v>
      </c>
      <c r="Y17" s="125">
        <v>1.387E-2</v>
      </c>
      <c r="Z17" s="126">
        <v>3.4199999999999999E-3</v>
      </c>
      <c r="AA17" s="161"/>
    </row>
    <row r="18" spans="1:27" x14ac:dyDescent="0.2">
      <c r="A18" s="121" t="s">
        <v>1211</v>
      </c>
      <c r="B18" s="122" t="s">
        <v>1212</v>
      </c>
      <c r="C18" s="122" t="s">
        <v>1237</v>
      </c>
      <c r="D18" s="122" t="s">
        <v>1276</v>
      </c>
      <c r="E18" s="122" t="s">
        <v>1277</v>
      </c>
      <c r="F18" s="122" t="s">
        <v>221</v>
      </c>
      <c r="G18" s="122" t="s">
        <v>53</v>
      </c>
      <c r="H18" s="122" t="s">
        <v>53</v>
      </c>
      <c r="I18" s="122" t="s">
        <v>311</v>
      </c>
      <c r="J18" s="122" t="s">
        <v>1229</v>
      </c>
      <c r="K18" s="122" t="s">
        <v>78</v>
      </c>
      <c r="L18" s="122" t="s">
        <v>1216</v>
      </c>
      <c r="M18" s="123">
        <v>8.9700000000000006</v>
      </c>
      <c r="N18" s="122" t="s">
        <v>1278</v>
      </c>
      <c r="O18" s="125">
        <v>3.9890000000000002E-2</v>
      </c>
      <c r="P18" s="125">
        <v>1.9349999999999999E-2</v>
      </c>
      <c r="Q18" s="122"/>
      <c r="R18" s="123">
        <v>15862</v>
      </c>
      <c r="S18" s="123">
        <v>1</v>
      </c>
      <c r="T18" s="123">
        <v>170.85</v>
      </c>
      <c r="U18" s="123">
        <v>27.1</v>
      </c>
      <c r="V18" s="122"/>
      <c r="W18" s="132"/>
      <c r="X18" s="125">
        <v>0</v>
      </c>
      <c r="Y18" s="125">
        <v>3.13E-3</v>
      </c>
      <c r="Z18" s="126">
        <v>7.6999999999999996E-4</v>
      </c>
      <c r="AA18" s="161"/>
    </row>
    <row r="19" spans="1:27" x14ac:dyDescent="0.2">
      <c r="A19" s="121" t="s">
        <v>1211</v>
      </c>
      <c r="B19" s="122" t="s">
        <v>1212</v>
      </c>
      <c r="C19" s="122" t="s">
        <v>1226</v>
      </c>
      <c r="D19" s="122" t="s">
        <v>1279</v>
      </c>
      <c r="E19" s="122" t="s">
        <v>1280</v>
      </c>
      <c r="F19" s="122" t="s">
        <v>223</v>
      </c>
      <c r="G19" s="122" t="s">
        <v>53</v>
      </c>
      <c r="H19" s="122" t="s">
        <v>53</v>
      </c>
      <c r="I19" s="122" t="s">
        <v>311</v>
      </c>
      <c r="J19" s="122" t="s">
        <v>1229</v>
      </c>
      <c r="K19" s="122" t="s">
        <v>78</v>
      </c>
      <c r="L19" s="122" t="s">
        <v>1216</v>
      </c>
      <c r="M19" s="123">
        <v>3.2</v>
      </c>
      <c r="N19" s="122" t="s">
        <v>1281</v>
      </c>
      <c r="O19" s="125">
        <v>3.7499999999999999E-2</v>
      </c>
      <c r="P19" s="125">
        <v>3.9070000000000001E-2</v>
      </c>
      <c r="Q19" s="122"/>
      <c r="R19" s="123">
        <v>15225</v>
      </c>
      <c r="S19" s="123">
        <v>1</v>
      </c>
      <c r="T19" s="123">
        <v>101.7</v>
      </c>
      <c r="U19" s="123">
        <v>15.484</v>
      </c>
      <c r="V19" s="122"/>
      <c r="W19" s="132"/>
      <c r="X19" s="125">
        <v>0</v>
      </c>
      <c r="Y19" s="125">
        <v>1.7899999999999999E-3</v>
      </c>
      <c r="Z19" s="126">
        <v>4.4000000000000002E-4</v>
      </c>
      <c r="AA19" s="161"/>
    </row>
    <row r="20" spans="1:27" x14ac:dyDescent="0.2">
      <c r="A20" s="121" t="s">
        <v>1211</v>
      </c>
      <c r="B20" s="122" t="s">
        <v>1212</v>
      </c>
      <c r="C20" s="122" t="s">
        <v>1226</v>
      </c>
      <c r="D20" s="122" t="s">
        <v>1282</v>
      </c>
      <c r="E20" s="122" t="s">
        <v>1283</v>
      </c>
      <c r="F20" s="122" t="s">
        <v>223</v>
      </c>
      <c r="G20" s="122" t="s">
        <v>53</v>
      </c>
      <c r="H20" s="122" t="s">
        <v>53</v>
      </c>
      <c r="I20" s="122" t="s">
        <v>311</v>
      </c>
      <c r="J20" s="122" t="s">
        <v>1229</v>
      </c>
      <c r="K20" s="122" t="s">
        <v>78</v>
      </c>
      <c r="L20" s="122" t="s">
        <v>1216</v>
      </c>
      <c r="M20" s="123">
        <v>17.25</v>
      </c>
      <c r="N20" s="122" t="s">
        <v>1284</v>
      </c>
      <c r="O20" s="125">
        <v>2.8080000000000001E-2</v>
      </c>
      <c r="P20" s="125">
        <v>4.6080000000000003E-2</v>
      </c>
      <c r="Q20" s="122"/>
      <c r="R20" s="123">
        <v>20000</v>
      </c>
      <c r="S20" s="123">
        <v>1</v>
      </c>
      <c r="T20" s="123">
        <v>74.63</v>
      </c>
      <c r="U20" s="123">
        <v>14.926</v>
      </c>
      <c r="V20" s="122"/>
      <c r="W20" s="132"/>
      <c r="X20" s="125">
        <v>0</v>
      </c>
      <c r="Y20" s="125">
        <v>1.72E-3</v>
      </c>
      <c r="Z20" s="126">
        <v>4.2999999999999999E-4</v>
      </c>
      <c r="AA20" s="161"/>
    </row>
    <row r="21" spans="1:27" x14ac:dyDescent="0.2">
      <c r="A21" s="121" t="s">
        <v>1211</v>
      </c>
      <c r="B21" s="122" t="s">
        <v>1212</v>
      </c>
      <c r="C21" s="122" t="s">
        <v>1285</v>
      </c>
      <c r="D21" s="122" t="s">
        <v>1286</v>
      </c>
      <c r="E21" s="122" t="s">
        <v>1287</v>
      </c>
      <c r="F21" s="122" t="s">
        <v>225</v>
      </c>
      <c r="G21" s="122" t="s">
        <v>61</v>
      </c>
      <c r="H21" s="122" t="s">
        <v>314</v>
      </c>
      <c r="I21" s="122" t="s">
        <v>476</v>
      </c>
      <c r="J21" s="122" t="s">
        <v>1288</v>
      </c>
      <c r="K21" s="122" t="s">
        <v>84</v>
      </c>
      <c r="L21" s="122" t="s">
        <v>1217</v>
      </c>
      <c r="M21" s="123">
        <v>7.3959999999999999</v>
      </c>
      <c r="N21" s="122" t="s">
        <v>1289</v>
      </c>
      <c r="O21" s="125">
        <v>4.2500000000000003E-2</v>
      </c>
      <c r="P21" s="125">
        <v>4.1000000000000002E-2</v>
      </c>
      <c r="Q21" s="122"/>
      <c r="R21" s="123">
        <v>61200</v>
      </c>
      <c r="S21" s="123">
        <v>3.306</v>
      </c>
      <c r="T21" s="123">
        <v>102.72</v>
      </c>
      <c r="U21" s="123">
        <v>207.83099999999999</v>
      </c>
      <c r="V21" s="122"/>
      <c r="W21" s="132"/>
      <c r="X21" s="125">
        <v>0</v>
      </c>
      <c r="Y21" s="125">
        <v>2.3970000000000002E-2</v>
      </c>
      <c r="Z21" s="126">
        <v>5.9199999999999999E-3</v>
      </c>
      <c r="AA21" s="161"/>
    </row>
    <row r="22" spans="1:27" x14ac:dyDescent="0.2">
      <c r="A22" s="121" t="s">
        <v>1211</v>
      </c>
      <c r="B22" s="122" t="s">
        <v>1212</v>
      </c>
      <c r="C22" s="122" t="s">
        <v>1285</v>
      </c>
      <c r="D22" s="122" t="s">
        <v>1290</v>
      </c>
      <c r="E22" s="122" t="s">
        <v>1291</v>
      </c>
      <c r="F22" s="122" t="s">
        <v>225</v>
      </c>
      <c r="G22" s="122" t="s">
        <v>61</v>
      </c>
      <c r="H22" s="122" t="s">
        <v>314</v>
      </c>
      <c r="I22" s="122" t="s">
        <v>476</v>
      </c>
      <c r="J22" s="122" t="s">
        <v>1288</v>
      </c>
      <c r="K22" s="122" t="s">
        <v>84</v>
      </c>
      <c r="L22" s="122" t="s">
        <v>1217</v>
      </c>
      <c r="M22" s="123">
        <v>6.6879999999999997</v>
      </c>
      <c r="N22" s="122" t="s">
        <v>1292</v>
      </c>
      <c r="O22" s="125">
        <v>3.875E-2</v>
      </c>
      <c r="P22" s="125">
        <v>3.9980000000000002E-2</v>
      </c>
      <c r="Q22" s="133"/>
      <c r="R22" s="123">
        <v>56500</v>
      </c>
      <c r="S22" s="123">
        <v>3.306</v>
      </c>
      <c r="T22" s="123">
        <v>99.667000000000002</v>
      </c>
      <c r="U22" s="123">
        <v>186.167</v>
      </c>
      <c r="V22" s="133"/>
      <c r="W22" s="133"/>
      <c r="X22" s="125">
        <v>0</v>
      </c>
      <c r="Y22" s="125">
        <v>2.147E-2</v>
      </c>
      <c r="Z22" s="126">
        <v>5.3E-3</v>
      </c>
      <c r="AA22" s="161"/>
    </row>
    <row r="23" spans="1:27" x14ac:dyDescent="0.2">
      <c r="A23" s="121" t="s">
        <v>1211</v>
      </c>
      <c r="B23" s="122" t="s">
        <v>1212</v>
      </c>
      <c r="C23" s="122" t="s">
        <v>1285</v>
      </c>
      <c r="D23" s="122" t="s">
        <v>1293</v>
      </c>
      <c r="E23" s="122" t="s">
        <v>1294</v>
      </c>
      <c r="F23" s="122" t="s">
        <v>225</v>
      </c>
      <c r="G23" s="122" t="s">
        <v>61</v>
      </c>
      <c r="H23" s="122" t="s">
        <v>314</v>
      </c>
      <c r="I23" s="122" t="s">
        <v>476</v>
      </c>
      <c r="J23" s="122" t="s">
        <v>1288</v>
      </c>
      <c r="K23" s="122" t="s">
        <v>84</v>
      </c>
      <c r="L23" s="122" t="s">
        <v>1217</v>
      </c>
      <c r="M23" s="123">
        <v>7.3920000000000003</v>
      </c>
      <c r="N23" s="122" t="s">
        <v>1295</v>
      </c>
      <c r="O23" s="125">
        <v>3.875E-2</v>
      </c>
      <c r="P23" s="125">
        <v>4.0829999999999998E-2</v>
      </c>
      <c r="Q23" s="133"/>
      <c r="R23" s="123">
        <v>21200</v>
      </c>
      <c r="S23" s="123">
        <v>3.306</v>
      </c>
      <c r="T23" s="123">
        <v>98.956000000000003</v>
      </c>
      <c r="U23" s="123">
        <v>69.355999999999995</v>
      </c>
      <c r="V23" s="133"/>
      <c r="W23" s="133"/>
      <c r="X23" s="125">
        <v>0</v>
      </c>
      <c r="Y23" s="125">
        <v>8.0000000000000002E-3</v>
      </c>
      <c r="Z23" s="126">
        <v>1.98E-3</v>
      </c>
      <c r="AA23" s="161"/>
    </row>
    <row r="24" spans="1:27" x14ac:dyDescent="0.2">
      <c r="A24" s="121" t="s">
        <v>1211</v>
      </c>
      <c r="B24" s="122" t="s">
        <v>1212</v>
      </c>
      <c r="C24" s="122" t="s">
        <v>1285</v>
      </c>
      <c r="D24" s="122" t="s">
        <v>1296</v>
      </c>
      <c r="E24" s="122" t="s">
        <v>1297</v>
      </c>
      <c r="F24" s="122" t="s">
        <v>225</v>
      </c>
      <c r="G24" s="122" t="s">
        <v>61</v>
      </c>
      <c r="H24" s="122" t="s">
        <v>314</v>
      </c>
      <c r="I24" s="122" t="s">
        <v>476</v>
      </c>
      <c r="J24" s="122" t="s">
        <v>1288</v>
      </c>
      <c r="K24" s="122" t="s">
        <v>84</v>
      </c>
      <c r="L24" s="122" t="s">
        <v>1217</v>
      </c>
      <c r="M24" s="123">
        <v>7.0179999999999998</v>
      </c>
      <c r="N24" s="122" t="s">
        <v>1298</v>
      </c>
      <c r="O24" s="125">
        <v>0.04</v>
      </c>
      <c r="P24" s="125">
        <v>4.0370000000000003E-2</v>
      </c>
      <c r="Q24" s="133"/>
      <c r="R24" s="123">
        <v>20000</v>
      </c>
      <c r="S24" s="123">
        <v>3.306</v>
      </c>
      <c r="T24" s="123">
        <v>100.245</v>
      </c>
      <c r="U24" s="123">
        <v>66.281999999999996</v>
      </c>
      <c r="V24" s="133"/>
      <c r="W24" s="133"/>
      <c r="X24" s="125">
        <v>0</v>
      </c>
      <c r="Y24" s="125">
        <v>7.6499999999999997E-3</v>
      </c>
      <c r="Z24" s="126">
        <v>1.89E-3</v>
      </c>
      <c r="AA24" s="161"/>
    </row>
    <row r="25" spans="1:27" x14ac:dyDescent="0.2">
      <c r="A25" s="121" t="s">
        <v>1211</v>
      </c>
      <c r="B25" s="122" t="s">
        <v>1220</v>
      </c>
      <c r="C25" s="122" t="s">
        <v>1237</v>
      </c>
      <c r="D25" s="122" t="s">
        <v>1238</v>
      </c>
      <c r="E25" s="122" t="s">
        <v>1239</v>
      </c>
      <c r="F25" s="122" t="s">
        <v>221</v>
      </c>
      <c r="G25" s="122" t="s">
        <v>53</v>
      </c>
      <c r="H25" s="122" t="s">
        <v>53</v>
      </c>
      <c r="I25" s="122" t="s">
        <v>311</v>
      </c>
      <c r="J25" s="122" t="s">
        <v>1229</v>
      </c>
      <c r="K25" s="122" t="s">
        <v>78</v>
      </c>
      <c r="L25" s="122" t="s">
        <v>1216</v>
      </c>
      <c r="M25" s="123">
        <v>6.14</v>
      </c>
      <c r="N25" s="122" t="s">
        <v>1240</v>
      </c>
      <c r="O25" s="125">
        <v>1E-3</v>
      </c>
      <c r="P25" s="125">
        <v>1.8970000000000001E-2</v>
      </c>
      <c r="Q25" s="133"/>
      <c r="R25" s="123">
        <v>243878</v>
      </c>
      <c r="S25" s="123">
        <v>1</v>
      </c>
      <c r="T25" s="123">
        <v>106.54</v>
      </c>
      <c r="U25" s="123">
        <v>259.82799999999997</v>
      </c>
      <c r="V25" s="133"/>
      <c r="W25" s="133"/>
      <c r="X25" s="125">
        <v>1.0000000000000001E-5</v>
      </c>
      <c r="Y25" s="125">
        <v>0.20216999999999999</v>
      </c>
      <c r="Z25" s="126">
        <v>0.11724</v>
      </c>
      <c r="AA25" s="161"/>
    </row>
    <row r="26" spans="1:27" x14ac:dyDescent="0.2">
      <c r="A26" s="121" t="s">
        <v>1211</v>
      </c>
      <c r="B26" s="122" t="s">
        <v>1220</v>
      </c>
      <c r="C26" s="122" t="s">
        <v>1237</v>
      </c>
      <c r="D26" s="122" t="s">
        <v>1246</v>
      </c>
      <c r="E26" s="122" t="s">
        <v>1247</v>
      </c>
      <c r="F26" s="122" t="s">
        <v>221</v>
      </c>
      <c r="G26" s="122" t="s">
        <v>53</v>
      </c>
      <c r="H26" s="122" t="s">
        <v>53</v>
      </c>
      <c r="I26" s="122" t="s">
        <v>311</v>
      </c>
      <c r="J26" s="122" t="s">
        <v>1229</v>
      </c>
      <c r="K26" s="122" t="s">
        <v>78</v>
      </c>
      <c r="L26" s="122" t="s">
        <v>1216</v>
      </c>
      <c r="M26" s="123">
        <v>3.02</v>
      </c>
      <c r="N26" s="122" t="s">
        <v>1248</v>
      </c>
      <c r="O26" s="125">
        <v>1.103E-2</v>
      </c>
      <c r="P26" s="125">
        <v>1.9900000000000001E-2</v>
      </c>
      <c r="Q26" s="133"/>
      <c r="R26" s="123">
        <v>215105</v>
      </c>
      <c r="S26" s="123">
        <v>1</v>
      </c>
      <c r="T26" s="123">
        <v>105.65</v>
      </c>
      <c r="U26" s="123">
        <v>227.25800000000001</v>
      </c>
      <c r="V26" s="133"/>
      <c r="W26" s="133"/>
      <c r="X26" s="125">
        <v>1.0000000000000001E-5</v>
      </c>
      <c r="Y26" s="125">
        <v>0.17682999999999999</v>
      </c>
      <c r="Z26" s="126">
        <v>0.10254000000000001</v>
      </c>
      <c r="AA26" s="161"/>
    </row>
    <row r="27" spans="1:27" x14ac:dyDescent="0.2">
      <c r="A27" s="121" t="s">
        <v>1211</v>
      </c>
      <c r="B27" s="122" t="s">
        <v>1220</v>
      </c>
      <c r="C27" s="122" t="s">
        <v>1226</v>
      </c>
      <c r="D27" s="122" t="s">
        <v>1227</v>
      </c>
      <c r="E27" s="122" t="s">
        <v>1228</v>
      </c>
      <c r="F27" s="122" t="s">
        <v>223</v>
      </c>
      <c r="G27" s="122" t="s">
        <v>53</v>
      </c>
      <c r="H27" s="122" t="s">
        <v>53</v>
      </c>
      <c r="I27" s="122" t="s">
        <v>311</v>
      </c>
      <c r="J27" s="122" t="s">
        <v>1229</v>
      </c>
      <c r="K27" s="122" t="s">
        <v>78</v>
      </c>
      <c r="L27" s="122" t="s">
        <v>1216</v>
      </c>
      <c r="M27" s="123">
        <v>10.56</v>
      </c>
      <c r="N27" s="122" t="s">
        <v>1230</v>
      </c>
      <c r="O27" s="125">
        <v>1.4959999999999999E-2</v>
      </c>
      <c r="P27" s="125">
        <v>4.2049999999999997E-2</v>
      </c>
      <c r="Q27" s="133"/>
      <c r="R27" s="123">
        <v>248985</v>
      </c>
      <c r="S27" s="123">
        <v>1</v>
      </c>
      <c r="T27" s="123">
        <v>75.94</v>
      </c>
      <c r="U27" s="123">
        <v>189.07900000000001</v>
      </c>
      <c r="V27" s="133"/>
      <c r="W27" s="133"/>
      <c r="X27" s="125">
        <v>1.0000000000000001E-5</v>
      </c>
      <c r="Y27" s="125">
        <v>0.14712</v>
      </c>
      <c r="Z27" s="126">
        <v>8.5319999999999993E-2</v>
      </c>
      <c r="AA27" s="161"/>
    </row>
    <row r="28" spans="1:27" x14ac:dyDescent="0.2">
      <c r="A28" s="121" t="s">
        <v>1211</v>
      </c>
      <c r="B28" s="122" t="s">
        <v>1220</v>
      </c>
      <c r="C28" s="122" t="s">
        <v>1226</v>
      </c>
      <c r="D28" s="122" t="s">
        <v>1231</v>
      </c>
      <c r="E28" s="122" t="s">
        <v>1232</v>
      </c>
      <c r="F28" s="122" t="s">
        <v>223</v>
      </c>
      <c r="G28" s="122" t="s">
        <v>53</v>
      </c>
      <c r="H28" s="122" t="s">
        <v>53</v>
      </c>
      <c r="I28" s="122" t="s">
        <v>311</v>
      </c>
      <c r="J28" s="122" t="s">
        <v>1229</v>
      </c>
      <c r="K28" s="122" t="s">
        <v>78</v>
      </c>
      <c r="L28" s="122" t="s">
        <v>1216</v>
      </c>
      <c r="M28" s="123">
        <v>6.29</v>
      </c>
      <c r="N28" s="122" t="s">
        <v>1233</v>
      </c>
      <c r="O28" s="125">
        <v>1.2999999999999999E-2</v>
      </c>
      <c r="P28" s="125">
        <v>4.018E-2</v>
      </c>
      <c r="Q28" s="133"/>
      <c r="R28" s="123">
        <v>144121</v>
      </c>
      <c r="S28" s="123">
        <v>1</v>
      </c>
      <c r="T28" s="123">
        <v>85.09</v>
      </c>
      <c r="U28" s="123">
        <v>122.633</v>
      </c>
      <c r="V28" s="133"/>
      <c r="W28" s="133"/>
      <c r="X28" s="125">
        <v>0</v>
      </c>
      <c r="Y28" s="125">
        <v>9.5420000000000005E-2</v>
      </c>
      <c r="Z28" s="126">
        <v>5.5329999999999997E-2</v>
      </c>
      <c r="AA28" s="161"/>
    </row>
    <row r="29" spans="1:27" x14ac:dyDescent="0.2">
      <c r="A29" s="121" t="s">
        <v>1211</v>
      </c>
      <c r="B29" s="122" t="s">
        <v>1220</v>
      </c>
      <c r="C29" s="122" t="s">
        <v>1226</v>
      </c>
      <c r="D29" s="122" t="s">
        <v>1234</v>
      </c>
      <c r="E29" s="122" t="s">
        <v>1235</v>
      </c>
      <c r="F29" s="122" t="s">
        <v>223</v>
      </c>
      <c r="G29" s="122" t="s">
        <v>53</v>
      </c>
      <c r="H29" s="122" t="s">
        <v>53</v>
      </c>
      <c r="I29" s="122" t="s">
        <v>311</v>
      </c>
      <c r="J29" s="122" t="s">
        <v>1229</v>
      </c>
      <c r="K29" s="122" t="s">
        <v>78</v>
      </c>
      <c r="L29" s="122" t="s">
        <v>1216</v>
      </c>
      <c r="M29" s="123">
        <v>11.18</v>
      </c>
      <c r="N29" s="122" t="s">
        <v>1236</v>
      </c>
      <c r="O29" s="125">
        <v>5.5149999999999998E-2</v>
      </c>
      <c r="P29" s="125">
        <v>4.3409999999999997E-2</v>
      </c>
      <c r="Q29" s="133"/>
      <c r="R29" s="123">
        <v>84779.97</v>
      </c>
      <c r="S29" s="123">
        <v>1</v>
      </c>
      <c r="T29" s="123">
        <v>117</v>
      </c>
      <c r="U29" s="123">
        <v>99.192999999999998</v>
      </c>
      <c r="V29" s="133"/>
      <c r="W29" s="133"/>
      <c r="X29" s="125">
        <v>0</v>
      </c>
      <c r="Y29" s="125">
        <v>7.7179999999999999E-2</v>
      </c>
      <c r="Z29" s="126">
        <v>4.4760000000000001E-2</v>
      </c>
      <c r="AA29" s="161"/>
    </row>
    <row r="30" spans="1:27" x14ac:dyDescent="0.2">
      <c r="A30" s="121" t="s">
        <v>1211</v>
      </c>
      <c r="B30" s="122" t="s">
        <v>1220</v>
      </c>
      <c r="C30" s="122" t="s">
        <v>1241</v>
      </c>
      <c r="D30" s="122" t="s">
        <v>1242</v>
      </c>
      <c r="E30" s="122" t="s">
        <v>1243</v>
      </c>
      <c r="F30" s="122" t="s">
        <v>223</v>
      </c>
      <c r="G30" s="122" t="s">
        <v>53</v>
      </c>
      <c r="H30" s="122" t="s">
        <v>53</v>
      </c>
      <c r="I30" s="122" t="s">
        <v>311</v>
      </c>
      <c r="J30" s="122" t="s">
        <v>1229</v>
      </c>
      <c r="K30" s="122" t="s">
        <v>78</v>
      </c>
      <c r="L30" s="122" t="s">
        <v>1216</v>
      </c>
      <c r="M30" s="123">
        <v>0.5</v>
      </c>
      <c r="N30" s="122" t="s">
        <v>1244</v>
      </c>
      <c r="O30" s="122" t="s">
        <v>1245</v>
      </c>
      <c r="P30" s="125">
        <v>4.1340000000000002E-2</v>
      </c>
      <c r="Q30" s="133"/>
      <c r="R30" s="123">
        <v>72308</v>
      </c>
      <c r="S30" s="123">
        <v>1</v>
      </c>
      <c r="T30" s="123">
        <v>98</v>
      </c>
      <c r="U30" s="123">
        <v>70.861999999999995</v>
      </c>
      <c r="V30" s="133"/>
      <c r="W30" s="133"/>
      <c r="X30" s="125">
        <v>0</v>
      </c>
      <c r="Y30" s="125">
        <v>5.5140000000000002E-2</v>
      </c>
      <c r="Z30" s="126">
        <v>3.1969999999999998E-2</v>
      </c>
      <c r="AA30" s="161"/>
    </row>
    <row r="31" spans="1:27" x14ac:dyDescent="0.2">
      <c r="A31" s="121" t="s">
        <v>1211</v>
      </c>
      <c r="B31" s="122" t="s">
        <v>1220</v>
      </c>
      <c r="C31" s="122" t="s">
        <v>1241</v>
      </c>
      <c r="D31" s="122" t="s">
        <v>1255</v>
      </c>
      <c r="E31" s="122" t="s">
        <v>1256</v>
      </c>
      <c r="F31" s="122" t="s">
        <v>223</v>
      </c>
      <c r="G31" s="122" t="s">
        <v>53</v>
      </c>
      <c r="H31" s="122" t="s">
        <v>53</v>
      </c>
      <c r="I31" s="122" t="s">
        <v>311</v>
      </c>
      <c r="J31" s="122" t="s">
        <v>1229</v>
      </c>
      <c r="K31" s="122" t="s">
        <v>78</v>
      </c>
      <c r="L31" s="122" t="s">
        <v>1216</v>
      </c>
      <c r="M31" s="123">
        <v>0.35</v>
      </c>
      <c r="N31" s="122" t="s">
        <v>1257</v>
      </c>
      <c r="O31" s="122" t="s">
        <v>1245</v>
      </c>
      <c r="P31" s="125">
        <v>4.1689999999999998E-2</v>
      </c>
      <c r="Q31" s="133"/>
      <c r="R31" s="123">
        <v>69091</v>
      </c>
      <c r="S31" s="123">
        <v>1</v>
      </c>
      <c r="T31" s="123">
        <v>98.6</v>
      </c>
      <c r="U31" s="123">
        <v>68.123999999999995</v>
      </c>
      <c r="V31" s="133"/>
      <c r="W31" s="133"/>
      <c r="X31" s="125">
        <v>0</v>
      </c>
      <c r="Y31" s="125">
        <v>5.3010000000000002E-2</v>
      </c>
      <c r="Z31" s="126">
        <v>3.074E-2</v>
      </c>
      <c r="AA31" s="161"/>
    </row>
    <row r="32" spans="1:27" x14ac:dyDescent="0.2">
      <c r="A32" s="121" t="s">
        <v>1211</v>
      </c>
      <c r="B32" s="122" t="s">
        <v>1220</v>
      </c>
      <c r="C32" s="122" t="s">
        <v>1241</v>
      </c>
      <c r="D32" s="122" t="s">
        <v>1299</v>
      </c>
      <c r="E32" s="122" t="s">
        <v>1300</v>
      </c>
      <c r="F32" s="122" t="s">
        <v>223</v>
      </c>
      <c r="G32" s="122" t="s">
        <v>53</v>
      </c>
      <c r="H32" s="122" t="s">
        <v>53</v>
      </c>
      <c r="I32" s="122" t="s">
        <v>311</v>
      </c>
      <c r="J32" s="122" t="s">
        <v>1229</v>
      </c>
      <c r="K32" s="122" t="s">
        <v>78</v>
      </c>
      <c r="L32" s="122" t="s">
        <v>1216</v>
      </c>
      <c r="M32" s="123">
        <v>0.59</v>
      </c>
      <c r="N32" s="122" t="s">
        <v>1301</v>
      </c>
      <c r="O32" s="122" t="s">
        <v>1245</v>
      </c>
      <c r="P32" s="125">
        <v>4.1169999999999998E-2</v>
      </c>
      <c r="Q32" s="133"/>
      <c r="R32" s="123">
        <v>63027</v>
      </c>
      <c r="S32" s="123">
        <v>1</v>
      </c>
      <c r="T32" s="123">
        <v>97.63</v>
      </c>
      <c r="U32" s="123">
        <v>61.533000000000001</v>
      </c>
      <c r="V32" s="133"/>
      <c r="W32" s="133"/>
      <c r="X32" s="125">
        <v>0</v>
      </c>
      <c r="Y32" s="125">
        <v>4.7879999999999999E-2</v>
      </c>
      <c r="Z32" s="126">
        <v>2.777E-2</v>
      </c>
      <c r="AA32" s="161"/>
    </row>
    <row r="33" spans="1:27" x14ac:dyDescent="0.2">
      <c r="A33" s="121" t="s">
        <v>1211</v>
      </c>
      <c r="B33" s="122" t="s">
        <v>1220</v>
      </c>
      <c r="C33" s="122" t="s">
        <v>1241</v>
      </c>
      <c r="D33" s="122" t="s">
        <v>1258</v>
      </c>
      <c r="E33" s="122" t="s">
        <v>1259</v>
      </c>
      <c r="F33" s="122" t="s">
        <v>223</v>
      </c>
      <c r="G33" s="122" t="s">
        <v>53</v>
      </c>
      <c r="H33" s="122" t="s">
        <v>53</v>
      </c>
      <c r="I33" s="122" t="s">
        <v>311</v>
      </c>
      <c r="J33" s="122" t="s">
        <v>1229</v>
      </c>
      <c r="K33" s="122" t="s">
        <v>78</v>
      </c>
      <c r="L33" s="122" t="s">
        <v>1216</v>
      </c>
      <c r="M33" s="123">
        <v>0.67</v>
      </c>
      <c r="N33" s="122" t="s">
        <v>1260</v>
      </c>
      <c r="O33" s="122" t="s">
        <v>1245</v>
      </c>
      <c r="P33" s="125">
        <v>4.1619999999999997E-2</v>
      </c>
      <c r="Q33" s="133"/>
      <c r="R33" s="123">
        <v>51007</v>
      </c>
      <c r="S33" s="123">
        <v>1</v>
      </c>
      <c r="T33" s="123">
        <v>97.3</v>
      </c>
      <c r="U33" s="123">
        <v>49.63</v>
      </c>
      <c r="V33" s="133"/>
      <c r="W33" s="133"/>
      <c r="X33" s="125">
        <v>0</v>
      </c>
      <c r="Y33" s="125">
        <v>3.8620000000000002E-2</v>
      </c>
      <c r="Z33" s="126">
        <v>2.239E-2</v>
      </c>
      <c r="AA33" s="161"/>
    </row>
    <row r="34" spans="1:27" x14ac:dyDescent="0.2">
      <c r="A34" s="121" t="s">
        <v>1211</v>
      </c>
      <c r="B34" s="122" t="s">
        <v>1220</v>
      </c>
      <c r="C34" s="122" t="s">
        <v>1226</v>
      </c>
      <c r="D34" s="122" t="s">
        <v>1252</v>
      </c>
      <c r="E34" s="122" t="s">
        <v>1253</v>
      </c>
      <c r="F34" s="122" t="s">
        <v>223</v>
      </c>
      <c r="G34" s="122" t="s">
        <v>53</v>
      </c>
      <c r="H34" s="122" t="s">
        <v>53</v>
      </c>
      <c r="I34" s="122" t="s">
        <v>311</v>
      </c>
      <c r="J34" s="122" t="s">
        <v>1229</v>
      </c>
      <c r="K34" s="122" t="s">
        <v>78</v>
      </c>
      <c r="L34" s="122" t="s">
        <v>1216</v>
      </c>
      <c r="M34" s="123">
        <v>14.45</v>
      </c>
      <c r="N34" s="122" t="s">
        <v>1254</v>
      </c>
      <c r="O34" s="125">
        <v>3.7499999999999999E-2</v>
      </c>
      <c r="P34" s="125">
        <v>4.4859999999999997E-2</v>
      </c>
      <c r="Q34" s="133"/>
      <c r="R34" s="123">
        <v>41224</v>
      </c>
      <c r="S34" s="123">
        <v>1</v>
      </c>
      <c r="T34" s="123">
        <v>91.85</v>
      </c>
      <c r="U34" s="123">
        <v>37.863999999999997</v>
      </c>
      <c r="V34" s="133"/>
      <c r="W34" s="133"/>
      <c r="X34" s="125">
        <v>0</v>
      </c>
      <c r="Y34" s="125">
        <v>2.946E-2</v>
      </c>
      <c r="Z34" s="126">
        <v>1.7090000000000001E-2</v>
      </c>
      <c r="AA34" s="161"/>
    </row>
    <row r="35" spans="1:27" x14ac:dyDescent="0.2">
      <c r="A35" s="121" t="s">
        <v>1211</v>
      </c>
      <c r="B35" s="122" t="s">
        <v>1220</v>
      </c>
      <c r="C35" s="122" t="s">
        <v>1226</v>
      </c>
      <c r="D35" s="122" t="s">
        <v>1264</v>
      </c>
      <c r="E35" s="122" t="s">
        <v>1265</v>
      </c>
      <c r="F35" s="122" t="s">
        <v>223</v>
      </c>
      <c r="G35" s="122" t="s">
        <v>53</v>
      </c>
      <c r="H35" s="122" t="s">
        <v>53</v>
      </c>
      <c r="I35" s="122" t="s">
        <v>311</v>
      </c>
      <c r="J35" s="122" t="s">
        <v>1229</v>
      </c>
      <c r="K35" s="122" t="s">
        <v>78</v>
      </c>
      <c r="L35" s="122" t="s">
        <v>1216</v>
      </c>
      <c r="M35" s="123">
        <v>4.3899999999999997</v>
      </c>
      <c r="N35" s="122" t="s">
        <v>1266</v>
      </c>
      <c r="O35" s="125">
        <v>0.01</v>
      </c>
      <c r="P35" s="125">
        <v>3.9210000000000002E-2</v>
      </c>
      <c r="Q35" s="133"/>
      <c r="R35" s="123">
        <v>39366</v>
      </c>
      <c r="S35" s="123">
        <v>1</v>
      </c>
      <c r="T35" s="123">
        <v>88.66</v>
      </c>
      <c r="U35" s="123">
        <v>34.902000000000001</v>
      </c>
      <c r="V35" s="133"/>
      <c r="W35" s="133"/>
      <c r="X35" s="125">
        <v>0</v>
      </c>
      <c r="Y35" s="125">
        <v>2.716E-2</v>
      </c>
      <c r="Z35" s="126">
        <v>1.575E-2</v>
      </c>
      <c r="AA35" s="161"/>
    </row>
    <row r="36" spans="1:27" x14ac:dyDescent="0.2">
      <c r="A36" s="121" t="s">
        <v>1211</v>
      </c>
      <c r="B36" s="122" t="s">
        <v>1220</v>
      </c>
      <c r="C36" s="122" t="s">
        <v>1226</v>
      </c>
      <c r="D36" s="122" t="s">
        <v>1249</v>
      </c>
      <c r="E36" s="122" t="s">
        <v>1250</v>
      </c>
      <c r="F36" s="122" t="s">
        <v>223</v>
      </c>
      <c r="G36" s="122" t="s">
        <v>53</v>
      </c>
      <c r="H36" s="122" t="s">
        <v>53</v>
      </c>
      <c r="I36" s="122" t="s">
        <v>311</v>
      </c>
      <c r="J36" s="122" t="s">
        <v>1229</v>
      </c>
      <c r="K36" s="122" t="s">
        <v>78</v>
      </c>
      <c r="L36" s="122" t="s">
        <v>1216</v>
      </c>
      <c r="M36" s="123">
        <v>7.93</v>
      </c>
      <c r="N36" s="122" t="s">
        <v>1251</v>
      </c>
      <c r="O36" s="125">
        <v>0.04</v>
      </c>
      <c r="P36" s="125">
        <v>4.0960000000000003E-2</v>
      </c>
      <c r="Q36" s="133"/>
      <c r="R36" s="123">
        <v>33365</v>
      </c>
      <c r="S36" s="123">
        <v>1</v>
      </c>
      <c r="T36" s="123">
        <v>101.25</v>
      </c>
      <c r="U36" s="123">
        <v>33.781999999999996</v>
      </c>
      <c r="V36" s="133"/>
      <c r="W36" s="133"/>
      <c r="X36" s="125">
        <v>0</v>
      </c>
      <c r="Y36" s="125">
        <v>2.6290000000000001E-2</v>
      </c>
      <c r="Z36" s="126">
        <v>1.524E-2</v>
      </c>
      <c r="AA36" s="161"/>
    </row>
    <row r="37" spans="1:27" x14ac:dyDescent="0.2">
      <c r="A37" s="121" t="s">
        <v>1211</v>
      </c>
      <c r="B37" s="122" t="s">
        <v>1220</v>
      </c>
      <c r="C37" s="122" t="s">
        <v>1237</v>
      </c>
      <c r="D37" s="122" t="s">
        <v>1276</v>
      </c>
      <c r="E37" s="122" t="s">
        <v>1277</v>
      </c>
      <c r="F37" s="122" t="s">
        <v>221</v>
      </c>
      <c r="G37" s="122" t="s">
        <v>53</v>
      </c>
      <c r="H37" s="122" t="s">
        <v>53</v>
      </c>
      <c r="I37" s="122" t="s">
        <v>311</v>
      </c>
      <c r="J37" s="122" t="s">
        <v>1229</v>
      </c>
      <c r="K37" s="122" t="s">
        <v>78</v>
      </c>
      <c r="L37" s="122" t="s">
        <v>1216</v>
      </c>
      <c r="M37" s="123">
        <v>8.9700000000000006</v>
      </c>
      <c r="N37" s="122" t="s">
        <v>1278</v>
      </c>
      <c r="O37" s="125">
        <v>3.9890000000000002E-2</v>
      </c>
      <c r="P37" s="125">
        <v>1.9349999999999999E-2</v>
      </c>
      <c r="Q37" s="133"/>
      <c r="R37" s="123">
        <v>3259</v>
      </c>
      <c r="S37" s="123">
        <v>1</v>
      </c>
      <c r="T37" s="123">
        <v>170.85</v>
      </c>
      <c r="U37" s="123">
        <v>5.5679999999999996</v>
      </c>
      <c r="V37" s="133"/>
      <c r="W37" s="133"/>
      <c r="X37" s="125">
        <v>0</v>
      </c>
      <c r="Y37" s="125">
        <v>4.3299999999999996E-3</v>
      </c>
      <c r="Z37" s="126">
        <v>2.5100000000000001E-3</v>
      </c>
      <c r="AA37" s="161"/>
    </row>
    <row r="38" spans="1:27" x14ac:dyDescent="0.2">
      <c r="A38" s="121" t="s">
        <v>1211</v>
      </c>
      <c r="B38" s="122" t="s">
        <v>1220</v>
      </c>
      <c r="C38" s="122" t="s">
        <v>1237</v>
      </c>
      <c r="D38" s="122" t="s">
        <v>1261</v>
      </c>
      <c r="E38" s="122" t="s">
        <v>1262</v>
      </c>
      <c r="F38" s="122" t="s">
        <v>221</v>
      </c>
      <c r="G38" s="122" t="s">
        <v>53</v>
      </c>
      <c r="H38" s="122" t="s">
        <v>53</v>
      </c>
      <c r="I38" s="122" t="s">
        <v>311</v>
      </c>
      <c r="J38" s="122" t="s">
        <v>1229</v>
      </c>
      <c r="K38" s="122" t="s">
        <v>78</v>
      </c>
      <c r="L38" s="122" t="s">
        <v>1216</v>
      </c>
      <c r="M38" s="123">
        <v>0.83</v>
      </c>
      <c r="N38" s="122" t="s">
        <v>1263</v>
      </c>
      <c r="O38" s="125">
        <v>1E-3</v>
      </c>
      <c r="P38" s="125">
        <v>2.656E-2</v>
      </c>
      <c r="Q38" s="133"/>
      <c r="R38" s="123">
        <v>1840</v>
      </c>
      <c r="S38" s="123">
        <v>1</v>
      </c>
      <c r="T38" s="123">
        <v>116.31</v>
      </c>
      <c r="U38" s="123">
        <v>2.14</v>
      </c>
      <c r="V38" s="133"/>
      <c r="W38" s="133"/>
      <c r="X38" s="125">
        <v>0</v>
      </c>
      <c r="Y38" s="125">
        <v>1.67E-3</v>
      </c>
      <c r="Z38" s="126">
        <v>9.7000000000000005E-4</v>
      </c>
      <c r="AA38" s="161"/>
    </row>
    <row r="39" spans="1:27" x14ac:dyDescent="0.2">
      <c r="A39" s="121" t="s">
        <v>1211</v>
      </c>
      <c r="B39" s="122" t="s">
        <v>1220</v>
      </c>
      <c r="C39" s="122" t="s">
        <v>1226</v>
      </c>
      <c r="D39" s="122" t="s">
        <v>1282</v>
      </c>
      <c r="E39" s="122" t="s">
        <v>1283</v>
      </c>
      <c r="F39" s="122" t="s">
        <v>223</v>
      </c>
      <c r="G39" s="122" t="s">
        <v>53</v>
      </c>
      <c r="H39" s="122" t="s">
        <v>53</v>
      </c>
      <c r="I39" s="122" t="s">
        <v>311</v>
      </c>
      <c r="J39" s="122" t="s">
        <v>1229</v>
      </c>
      <c r="K39" s="122" t="s">
        <v>78</v>
      </c>
      <c r="L39" s="122" t="s">
        <v>1216</v>
      </c>
      <c r="M39" s="123">
        <v>17.25</v>
      </c>
      <c r="N39" s="122" t="s">
        <v>1284</v>
      </c>
      <c r="O39" s="125">
        <v>2.8080000000000001E-2</v>
      </c>
      <c r="P39" s="125">
        <v>4.6080000000000003E-2</v>
      </c>
      <c r="Q39" s="133"/>
      <c r="R39" s="123">
        <v>30</v>
      </c>
      <c r="S39" s="123">
        <v>1</v>
      </c>
      <c r="T39" s="123">
        <v>74.63</v>
      </c>
      <c r="U39" s="123">
        <v>2.1999999999999999E-2</v>
      </c>
      <c r="V39" s="133"/>
      <c r="W39" s="133"/>
      <c r="X39" s="125">
        <v>0</v>
      </c>
      <c r="Y39" s="125">
        <v>2.0000000000000002E-5</v>
      </c>
      <c r="Z39" s="126">
        <v>1.0000000000000001E-5</v>
      </c>
      <c r="AA39" s="161"/>
    </row>
    <row r="40" spans="1:27" x14ac:dyDescent="0.2">
      <c r="A40" s="121" t="s">
        <v>1211</v>
      </c>
      <c r="B40" s="122" t="s">
        <v>1220</v>
      </c>
      <c r="C40" s="122" t="s">
        <v>1285</v>
      </c>
      <c r="D40" s="122" t="s">
        <v>1290</v>
      </c>
      <c r="E40" s="122" t="s">
        <v>1291</v>
      </c>
      <c r="F40" s="122" t="s">
        <v>225</v>
      </c>
      <c r="G40" s="122" t="s">
        <v>61</v>
      </c>
      <c r="H40" s="122" t="s">
        <v>314</v>
      </c>
      <c r="I40" s="122" t="s">
        <v>476</v>
      </c>
      <c r="J40" s="122" t="s">
        <v>1288</v>
      </c>
      <c r="K40" s="122" t="s">
        <v>84</v>
      </c>
      <c r="L40" s="122" t="s">
        <v>1217</v>
      </c>
      <c r="M40" s="123">
        <v>6.6879999999999997</v>
      </c>
      <c r="N40" s="122" t="s">
        <v>1292</v>
      </c>
      <c r="O40" s="125">
        <v>3.875E-2</v>
      </c>
      <c r="P40" s="125">
        <v>3.9980000000000002E-2</v>
      </c>
      <c r="Q40" s="133"/>
      <c r="R40" s="123">
        <v>5900</v>
      </c>
      <c r="S40" s="123">
        <v>3.306</v>
      </c>
      <c r="T40" s="123">
        <v>99.667000000000002</v>
      </c>
      <c r="U40" s="123">
        <v>19.440000000000001</v>
      </c>
      <c r="V40" s="133"/>
      <c r="W40" s="133"/>
      <c r="X40" s="125">
        <v>0</v>
      </c>
      <c r="Y40" s="125">
        <v>1.5129999999999999E-2</v>
      </c>
      <c r="Z40" s="126">
        <v>8.77E-3</v>
      </c>
      <c r="AA40" s="161"/>
    </row>
    <row r="41" spans="1:27" x14ac:dyDescent="0.2">
      <c r="A41" s="121" t="s">
        <v>1211</v>
      </c>
      <c r="B41" s="122" t="s">
        <v>1220</v>
      </c>
      <c r="C41" s="122" t="s">
        <v>1285</v>
      </c>
      <c r="D41" s="122" t="s">
        <v>1296</v>
      </c>
      <c r="E41" s="122" t="s">
        <v>1297</v>
      </c>
      <c r="F41" s="122" t="s">
        <v>225</v>
      </c>
      <c r="G41" s="122" t="s">
        <v>61</v>
      </c>
      <c r="H41" s="122" t="s">
        <v>314</v>
      </c>
      <c r="I41" s="122" t="s">
        <v>476</v>
      </c>
      <c r="J41" s="122" t="s">
        <v>1288</v>
      </c>
      <c r="K41" s="122" t="s">
        <v>84</v>
      </c>
      <c r="L41" s="122" t="s">
        <v>1217</v>
      </c>
      <c r="M41" s="123">
        <v>7.0179999999999998</v>
      </c>
      <c r="N41" s="122" t="s">
        <v>1298</v>
      </c>
      <c r="O41" s="125">
        <v>0.04</v>
      </c>
      <c r="P41" s="125">
        <v>4.0370000000000003E-2</v>
      </c>
      <c r="Q41" s="133"/>
      <c r="R41" s="123">
        <v>1000</v>
      </c>
      <c r="S41" s="123">
        <v>3.306</v>
      </c>
      <c r="T41" s="123">
        <v>100.245</v>
      </c>
      <c r="U41" s="123">
        <v>3.3140000000000001</v>
      </c>
      <c r="V41" s="133"/>
      <c r="W41" s="133"/>
      <c r="X41" s="125">
        <v>0</v>
      </c>
      <c r="Y41" s="125">
        <v>2.5799999999999998E-3</v>
      </c>
      <c r="Z41" s="126">
        <v>1.5E-3</v>
      </c>
      <c r="AA41" s="161"/>
    </row>
    <row r="42" spans="1:27" x14ac:dyDescent="0.2">
      <c r="A42" s="121" t="s">
        <v>1211</v>
      </c>
      <c r="B42" s="122" t="s">
        <v>1211</v>
      </c>
      <c r="C42" s="122" t="s">
        <v>1226</v>
      </c>
      <c r="D42" s="122" t="s">
        <v>1227</v>
      </c>
      <c r="E42" s="122" t="s">
        <v>1228</v>
      </c>
      <c r="F42" s="122" t="s">
        <v>223</v>
      </c>
      <c r="G42" s="122" t="s">
        <v>53</v>
      </c>
      <c r="H42" s="122" t="s">
        <v>53</v>
      </c>
      <c r="I42" s="122" t="s">
        <v>311</v>
      </c>
      <c r="J42" s="122" t="s">
        <v>1229</v>
      </c>
      <c r="K42" s="122" t="s">
        <v>78</v>
      </c>
      <c r="L42" s="122" t="s">
        <v>1216</v>
      </c>
      <c r="M42" s="123">
        <v>10.56</v>
      </c>
      <c r="N42" s="122" t="s">
        <v>1230</v>
      </c>
      <c r="O42" s="125">
        <v>1.4959999999999999E-2</v>
      </c>
      <c r="P42" s="125">
        <v>4.2049999999999997E-2</v>
      </c>
      <c r="Q42" s="133"/>
      <c r="R42" s="123">
        <v>32856748</v>
      </c>
      <c r="S42" s="123">
        <v>1</v>
      </c>
      <c r="T42" s="123">
        <v>75.94</v>
      </c>
      <c r="U42" s="123">
        <v>24951.414000000001</v>
      </c>
      <c r="V42" s="133"/>
      <c r="W42" s="133"/>
      <c r="X42" s="125">
        <v>8.1999999999999998E-4</v>
      </c>
      <c r="Y42" s="125">
        <v>0.15081</v>
      </c>
      <c r="Z42" s="126">
        <v>2.1270000000000001E-2</v>
      </c>
      <c r="AA42" s="161"/>
    </row>
    <row r="43" spans="1:27" x14ac:dyDescent="0.2">
      <c r="A43" s="121" t="s">
        <v>1211</v>
      </c>
      <c r="B43" s="122" t="s">
        <v>1211</v>
      </c>
      <c r="C43" s="122" t="s">
        <v>1226</v>
      </c>
      <c r="D43" s="122" t="s">
        <v>1234</v>
      </c>
      <c r="E43" s="122" t="s">
        <v>1235</v>
      </c>
      <c r="F43" s="122" t="s">
        <v>223</v>
      </c>
      <c r="G43" s="122" t="s">
        <v>53</v>
      </c>
      <c r="H43" s="122" t="s">
        <v>53</v>
      </c>
      <c r="I43" s="122" t="s">
        <v>311</v>
      </c>
      <c r="J43" s="122" t="s">
        <v>1229</v>
      </c>
      <c r="K43" s="122" t="s">
        <v>78</v>
      </c>
      <c r="L43" s="122" t="s">
        <v>1216</v>
      </c>
      <c r="M43" s="123">
        <v>11.18</v>
      </c>
      <c r="N43" s="122" t="s">
        <v>1236</v>
      </c>
      <c r="O43" s="125">
        <v>5.5149999999999998E-2</v>
      </c>
      <c r="P43" s="125">
        <v>4.3409999999999997E-2</v>
      </c>
      <c r="Q43" s="133"/>
      <c r="R43" s="123">
        <v>16593297.130000001</v>
      </c>
      <c r="S43" s="123">
        <v>1</v>
      </c>
      <c r="T43" s="123">
        <v>117</v>
      </c>
      <c r="U43" s="123">
        <v>19414.157999999999</v>
      </c>
      <c r="V43" s="133"/>
      <c r="W43" s="133"/>
      <c r="X43" s="125">
        <v>5.4000000000000001E-4</v>
      </c>
      <c r="Y43" s="125">
        <v>0.11734</v>
      </c>
      <c r="Z43" s="126">
        <v>1.6549999999999999E-2</v>
      </c>
      <c r="AA43" s="161"/>
    </row>
    <row r="44" spans="1:27" x14ac:dyDescent="0.2">
      <c r="A44" s="121" t="s">
        <v>1211</v>
      </c>
      <c r="B44" s="122" t="s">
        <v>1211</v>
      </c>
      <c r="C44" s="122" t="s">
        <v>1237</v>
      </c>
      <c r="D44" s="122" t="s">
        <v>1246</v>
      </c>
      <c r="E44" s="122" t="s">
        <v>1247</v>
      </c>
      <c r="F44" s="122" t="s">
        <v>221</v>
      </c>
      <c r="G44" s="122" t="s">
        <v>53</v>
      </c>
      <c r="H44" s="122" t="s">
        <v>53</v>
      </c>
      <c r="I44" s="122" t="s">
        <v>311</v>
      </c>
      <c r="J44" s="122" t="s">
        <v>1229</v>
      </c>
      <c r="K44" s="122" t="s">
        <v>78</v>
      </c>
      <c r="L44" s="122" t="s">
        <v>1216</v>
      </c>
      <c r="M44" s="123">
        <v>3.02</v>
      </c>
      <c r="N44" s="122" t="s">
        <v>1248</v>
      </c>
      <c r="O44" s="125">
        <v>1.103E-2</v>
      </c>
      <c r="P44" s="125">
        <v>1.9900000000000001E-2</v>
      </c>
      <c r="Q44" s="133"/>
      <c r="R44" s="123">
        <v>16916743</v>
      </c>
      <c r="S44" s="123">
        <v>1</v>
      </c>
      <c r="T44" s="123">
        <v>105.65</v>
      </c>
      <c r="U44" s="123">
        <v>17872.539000000001</v>
      </c>
      <c r="V44" s="133"/>
      <c r="W44" s="133"/>
      <c r="X44" s="125">
        <v>5.0000000000000001E-4</v>
      </c>
      <c r="Y44" s="125">
        <v>0.10802</v>
      </c>
      <c r="Z44" s="126">
        <v>1.524E-2</v>
      </c>
      <c r="AA44" s="161"/>
    </row>
    <row r="45" spans="1:27" x14ac:dyDescent="0.2">
      <c r="A45" s="121" t="s">
        <v>1211</v>
      </c>
      <c r="B45" s="122" t="s">
        <v>1211</v>
      </c>
      <c r="C45" s="122" t="s">
        <v>1241</v>
      </c>
      <c r="D45" s="122" t="s">
        <v>1302</v>
      </c>
      <c r="E45" s="122" t="s">
        <v>1303</v>
      </c>
      <c r="F45" s="122" t="s">
        <v>223</v>
      </c>
      <c r="G45" s="122" t="s">
        <v>53</v>
      </c>
      <c r="H45" s="122" t="s">
        <v>53</v>
      </c>
      <c r="I45" s="122" t="s">
        <v>311</v>
      </c>
      <c r="J45" s="122" t="s">
        <v>1229</v>
      </c>
      <c r="K45" s="122" t="s">
        <v>78</v>
      </c>
      <c r="L45" s="122" t="s">
        <v>1216</v>
      </c>
      <c r="M45" s="123">
        <v>0.17</v>
      </c>
      <c r="N45" s="122" t="s">
        <v>1304</v>
      </c>
      <c r="O45" s="122" t="s">
        <v>1245</v>
      </c>
      <c r="P45" s="125">
        <v>4.0910000000000002E-2</v>
      </c>
      <c r="Q45" s="133"/>
      <c r="R45" s="123">
        <v>16391154</v>
      </c>
      <c r="S45" s="123">
        <v>1</v>
      </c>
      <c r="T45" s="123">
        <v>99.31</v>
      </c>
      <c r="U45" s="123">
        <v>16278.055</v>
      </c>
      <c r="V45" s="133"/>
      <c r="W45" s="133"/>
      <c r="X45" s="125">
        <v>5.5000000000000003E-4</v>
      </c>
      <c r="Y45" s="125">
        <v>9.8390000000000005E-2</v>
      </c>
      <c r="Z45" s="126">
        <v>1.388E-2</v>
      </c>
      <c r="AA45" s="161"/>
    </row>
    <row r="46" spans="1:27" x14ac:dyDescent="0.2">
      <c r="A46" s="121" t="s">
        <v>1211</v>
      </c>
      <c r="B46" s="122" t="s">
        <v>1211</v>
      </c>
      <c r="C46" s="122" t="s">
        <v>1237</v>
      </c>
      <c r="D46" s="122" t="s">
        <v>1238</v>
      </c>
      <c r="E46" s="122" t="s">
        <v>1239</v>
      </c>
      <c r="F46" s="122" t="s">
        <v>221</v>
      </c>
      <c r="G46" s="122" t="s">
        <v>53</v>
      </c>
      <c r="H46" s="122" t="s">
        <v>53</v>
      </c>
      <c r="I46" s="122" t="s">
        <v>311</v>
      </c>
      <c r="J46" s="122" t="s">
        <v>1229</v>
      </c>
      <c r="K46" s="122" t="s">
        <v>78</v>
      </c>
      <c r="L46" s="122" t="s">
        <v>1216</v>
      </c>
      <c r="M46" s="123">
        <v>6.14</v>
      </c>
      <c r="N46" s="122" t="s">
        <v>1240</v>
      </c>
      <c r="O46" s="125">
        <v>1E-3</v>
      </c>
      <c r="P46" s="125">
        <v>1.8970000000000001E-2</v>
      </c>
      <c r="Q46" s="133"/>
      <c r="R46" s="123">
        <v>14619425</v>
      </c>
      <c r="S46" s="123">
        <v>1</v>
      </c>
      <c r="T46" s="123">
        <v>106.54</v>
      </c>
      <c r="U46" s="123">
        <v>15575.535</v>
      </c>
      <c r="V46" s="133"/>
      <c r="W46" s="133"/>
      <c r="X46" s="125">
        <v>4.2999999999999999E-4</v>
      </c>
      <c r="Y46" s="125">
        <v>9.4140000000000001E-2</v>
      </c>
      <c r="Z46" s="126">
        <v>1.328E-2</v>
      </c>
      <c r="AA46" s="161"/>
    </row>
    <row r="47" spans="1:27" x14ac:dyDescent="0.2">
      <c r="A47" s="121" t="s">
        <v>1211</v>
      </c>
      <c r="B47" s="122" t="s">
        <v>1211</v>
      </c>
      <c r="C47" s="122" t="s">
        <v>1226</v>
      </c>
      <c r="D47" s="122" t="s">
        <v>1252</v>
      </c>
      <c r="E47" s="122" t="s">
        <v>1253</v>
      </c>
      <c r="F47" s="122" t="s">
        <v>223</v>
      </c>
      <c r="G47" s="122" t="s">
        <v>53</v>
      </c>
      <c r="H47" s="122" t="s">
        <v>53</v>
      </c>
      <c r="I47" s="122" t="s">
        <v>311</v>
      </c>
      <c r="J47" s="122" t="s">
        <v>1229</v>
      </c>
      <c r="K47" s="122" t="s">
        <v>78</v>
      </c>
      <c r="L47" s="122" t="s">
        <v>1216</v>
      </c>
      <c r="M47" s="123">
        <v>14.45</v>
      </c>
      <c r="N47" s="122" t="s">
        <v>1254</v>
      </c>
      <c r="O47" s="125">
        <v>3.7499999999999999E-2</v>
      </c>
      <c r="P47" s="125">
        <v>4.4859999999999997E-2</v>
      </c>
      <c r="Q47" s="133"/>
      <c r="R47" s="123">
        <v>11826233</v>
      </c>
      <c r="S47" s="123">
        <v>1</v>
      </c>
      <c r="T47" s="123">
        <v>91.85</v>
      </c>
      <c r="U47" s="123">
        <v>10862.395</v>
      </c>
      <c r="V47" s="133"/>
      <c r="W47" s="133"/>
      <c r="X47" s="125">
        <v>4.4999999999999999E-4</v>
      </c>
      <c r="Y47" s="125">
        <v>6.565E-2</v>
      </c>
      <c r="Z47" s="126">
        <v>9.2599999999999991E-3</v>
      </c>
      <c r="AA47" s="161"/>
    </row>
    <row r="48" spans="1:27" x14ac:dyDescent="0.2">
      <c r="A48" s="121" t="s">
        <v>1211</v>
      </c>
      <c r="B48" s="122" t="s">
        <v>1211</v>
      </c>
      <c r="C48" s="122" t="s">
        <v>1226</v>
      </c>
      <c r="D48" s="122" t="s">
        <v>1249</v>
      </c>
      <c r="E48" s="122" t="s">
        <v>1250</v>
      </c>
      <c r="F48" s="122" t="s">
        <v>223</v>
      </c>
      <c r="G48" s="122" t="s">
        <v>53</v>
      </c>
      <c r="H48" s="122" t="s">
        <v>53</v>
      </c>
      <c r="I48" s="122" t="s">
        <v>311</v>
      </c>
      <c r="J48" s="122" t="s">
        <v>1229</v>
      </c>
      <c r="K48" s="122" t="s">
        <v>78</v>
      </c>
      <c r="L48" s="122" t="s">
        <v>1216</v>
      </c>
      <c r="M48" s="123">
        <v>7.93</v>
      </c>
      <c r="N48" s="122" t="s">
        <v>1251</v>
      </c>
      <c r="O48" s="125">
        <v>0.04</v>
      </c>
      <c r="P48" s="125">
        <v>4.0960000000000003E-2</v>
      </c>
      <c r="Q48" s="133"/>
      <c r="R48" s="123">
        <v>9015397</v>
      </c>
      <c r="S48" s="123">
        <v>1</v>
      </c>
      <c r="T48" s="123">
        <v>101.25</v>
      </c>
      <c r="U48" s="123">
        <v>9128.0889999999999</v>
      </c>
      <c r="V48" s="133"/>
      <c r="W48" s="133"/>
      <c r="X48" s="125">
        <v>2.5000000000000001E-4</v>
      </c>
      <c r="Y48" s="125">
        <v>5.5169999999999997E-2</v>
      </c>
      <c r="Z48" s="126">
        <v>7.7799999999999996E-3</v>
      </c>
      <c r="AA48" s="161"/>
    </row>
    <row r="49" spans="1:27" x14ac:dyDescent="0.2">
      <c r="A49" s="121" t="s">
        <v>1211</v>
      </c>
      <c r="B49" s="122" t="s">
        <v>1211</v>
      </c>
      <c r="C49" s="122" t="s">
        <v>1241</v>
      </c>
      <c r="D49" s="122" t="s">
        <v>1305</v>
      </c>
      <c r="E49" s="122" t="s">
        <v>1306</v>
      </c>
      <c r="F49" s="122" t="s">
        <v>223</v>
      </c>
      <c r="G49" s="122" t="s">
        <v>53</v>
      </c>
      <c r="H49" s="122" t="s">
        <v>53</v>
      </c>
      <c r="I49" s="122" t="s">
        <v>311</v>
      </c>
      <c r="J49" s="122" t="s">
        <v>1229</v>
      </c>
      <c r="K49" s="122" t="s">
        <v>78</v>
      </c>
      <c r="L49" s="122" t="s">
        <v>1216</v>
      </c>
      <c r="M49" s="123">
        <v>0.84</v>
      </c>
      <c r="N49" s="122" t="s">
        <v>1307</v>
      </c>
      <c r="O49" s="122" t="s">
        <v>1245</v>
      </c>
      <c r="P49" s="125">
        <v>4.0689999999999997E-2</v>
      </c>
      <c r="Q49" s="133"/>
      <c r="R49" s="123">
        <v>9271829</v>
      </c>
      <c r="S49" s="123">
        <v>1</v>
      </c>
      <c r="T49" s="123">
        <v>96.69</v>
      </c>
      <c r="U49" s="123">
        <v>8964.9310000000005</v>
      </c>
      <c r="V49" s="133"/>
      <c r="W49" s="133"/>
      <c r="X49" s="125">
        <v>5.1999999999999995E-4</v>
      </c>
      <c r="Y49" s="125">
        <v>5.4179999999999999E-2</v>
      </c>
      <c r="Z49" s="126">
        <v>7.6400000000000001E-3</v>
      </c>
      <c r="AA49" s="161"/>
    </row>
    <row r="50" spans="1:27" x14ac:dyDescent="0.2">
      <c r="A50" s="121" t="s">
        <v>1211</v>
      </c>
      <c r="B50" s="122" t="s">
        <v>1211</v>
      </c>
      <c r="C50" s="122" t="s">
        <v>1226</v>
      </c>
      <c r="D50" s="122" t="s">
        <v>1264</v>
      </c>
      <c r="E50" s="122" t="s">
        <v>1265</v>
      </c>
      <c r="F50" s="122" t="s">
        <v>223</v>
      </c>
      <c r="G50" s="122" t="s">
        <v>53</v>
      </c>
      <c r="H50" s="122" t="s">
        <v>53</v>
      </c>
      <c r="I50" s="122" t="s">
        <v>311</v>
      </c>
      <c r="J50" s="122" t="s">
        <v>1229</v>
      </c>
      <c r="K50" s="122" t="s">
        <v>78</v>
      </c>
      <c r="L50" s="122" t="s">
        <v>1216</v>
      </c>
      <c r="M50" s="123">
        <v>4.3899999999999997</v>
      </c>
      <c r="N50" s="122" t="s">
        <v>1266</v>
      </c>
      <c r="O50" s="125">
        <v>0.01</v>
      </c>
      <c r="P50" s="125">
        <v>3.9210000000000002E-2</v>
      </c>
      <c r="Q50" s="133"/>
      <c r="R50" s="123">
        <v>7451377</v>
      </c>
      <c r="S50" s="123">
        <v>1</v>
      </c>
      <c r="T50" s="123">
        <v>88.66</v>
      </c>
      <c r="U50" s="123">
        <v>6606.3909999999996</v>
      </c>
      <c r="V50" s="133"/>
      <c r="W50" s="133"/>
      <c r="X50" s="125">
        <v>2.0000000000000001E-4</v>
      </c>
      <c r="Y50" s="125">
        <v>3.993E-2</v>
      </c>
      <c r="Z50" s="126">
        <v>5.6299999999999996E-3</v>
      </c>
      <c r="AA50" s="161"/>
    </row>
    <row r="51" spans="1:27" x14ac:dyDescent="0.2">
      <c r="A51" s="121" t="s">
        <v>1211</v>
      </c>
      <c r="B51" s="122" t="s">
        <v>1211</v>
      </c>
      <c r="C51" s="122" t="s">
        <v>1226</v>
      </c>
      <c r="D51" s="122" t="s">
        <v>1279</v>
      </c>
      <c r="E51" s="122" t="s">
        <v>1280</v>
      </c>
      <c r="F51" s="122" t="s">
        <v>223</v>
      </c>
      <c r="G51" s="122" t="s">
        <v>53</v>
      </c>
      <c r="H51" s="122" t="s">
        <v>53</v>
      </c>
      <c r="I51" s="122" t="s">
        <v>311</v>
      </c>
      <c r="J51" s="122" t="s">
        <v>1229</v>
      </c>
      <c r="K51" s="122" t="s">
        <v>78</v>
      </c>
      <c r="L51" s="122" t="s">
        <v>1216</v>
      </c>
      <c r="M51" s="123">
        <v>3.2</v>
      </c>
      <c r="N51" s="122" t="s">
        <v>1281</v>
      </c>
      <c r="O51" s="125">
        <v>3.7499999999999999E-2</v>
      </c>
      <c r="P51" s="125">
        <v>3.9070000000000001E-2</v>
      </c>
      <c r="Q51" s="133"/>
      <c r="R51" s="123">
        <v>6370527</v>
      </c>
      <c r="S51" s="123">
        <v>1</v>
      </c>
      <c r="T51" s="123">
        <v>101.7</v>
      </c>
      <c r="U51" s="123">
        <v>6478.826</v>
      </c>
      <c r="V51" s="133"/>
      <c r="W51" s="133"/>
      <c r="X51" s="125">
        <v>1.8000000000000001E-4</v>
      </c>
      <c r="Y51" s="125">
        <v>3.916E-2</v>
      </c>
      <c r="Z51" s="126">
        <v>5.5199999999999997E-3</v>
      </c>
      <c r="AA51" s="161"/>
    </row>
    <row r="52" spans="1:27" x14ac:dyDescent="0.2">
      <c r="A52" s="121" t="s">
        <v>1211</v>
      </c>
      <c r="B52" s="122" t="s">
        <v>1211</v>
      </c>
      <c r="C52" s="122" t="s">
        <v>1226</v>
      </c>
      <c r="D52" s="122" t="s">
        <v>1231</v>
      </c>
      <c r="E52" s="122" t="s">
        <v>1232</v>
      </c>
      <c r="F52" s="122" t="s">
        <v>223</v>
      </c>
      <c r="G52" s="122" t="s">
        <v>53</v>
      </c>
      <c r="H52" s="122" t="s">
        <v>53</v>
      </c>
      <c r="I52" s="122" t="s">
        <v>311</v>
      </c>
      <c r="J52" s="122" t="s">
        <v>1229</v>
      </c>
      <c r="K52" s="122" t="s">
        <v>78</v>
      </c>
      <c r="L52" s="122" t="s">
        <v>1216</v>
      </c>
      <c r="M52" s="123">
        <v>6.29</v>
      </c>
      <c r="N52" s="122" t="s">
        <v>1233</v>
      </c>
      <c r="O52" s="125">
        <v>1.2999999999999999E-2</v>
      </c>
      <c r="P52" s="125">
        <v>4.018E-2</v>
      </c>
      <c r="Q52" s="133"/>
      <c r="R52" s="123">
        <v>6460914</v>
      </c>
      <c r="S52" s="123">
        <v>1</v>
      </c>
      <c r="T52" s="123">
        <v>85.09</v>
      </c>
      <c r="U52" s="123">
        <v>5497.5919999999996</v>
      </c>
      <c r="V52" s="133"/>
      <c r="W52" s="133"/>
      <c r="X52" s="125">
        <v>1.7000000000000001E-4</v>
      </c>
      <c r="Y52" s="125">
        <v>3.3230000000000003E-2</v>
      </c>
      <c r="Z52" s="126">
        <v>4.6899999999999997E-3</v>
      </c>
      <c r="AA52" s="161"/>
    </row>
    <row r="53" spans="1:27" x14ac:dyDescent="0.2">
      <c r="A53" s="121" t="s">
        <v>1211</v>
      </c>
      <c r="B53" s="122" t="s">
        <v>1211</v>
      </c>
      <c r="C53" s="122" t="s">
        <v>1226</v>
      </c>
      <c r="D53" s="122" t="s">
        <v>1270</v>
      </c>
      <c r="E53" s="122" t="s">
        <v>1271</v>
      </c>
      <c r="F53" s="122" t="s">
        <v>223</v>
      </c>
      <c r="G53" s="122" t="s">
        <v>53</v>
      </c>
      <c r="H53" s="122" t="s">
        <v>53</v>
      </c>
      <c r="I53" s="122" t="s">
        <v>311</v>
      </c>
      <c r="J53" s="122" t="s">
        <v>1229</v>
      </c>
      <c r="K53" s="122" t="s">
        <v>78</v>
      </c>
      <c r="L53" s="122" t="s">
        <v>1216</v>
      </c>
      <c r="M53" s="123">
        <v>3.66</v>
      </c>
      <c r="N53" s="122" t="s">
        <v>1272</v>
      </c>
      <c r="O53" s="125">
        <v>4.6190000000000002E-2</v>
      </c>
      <c r="P53" s="125">
        <v>3.934E-2</v>
      </c>
      <c r="Q53" s="133"/>
      <c r="R53" s="123">
        <v>4441252</v>
      </c>
      <c r="S53" s="123">
        <v>1</v>
      </c>
      <c r="T53" s="123">
        <v>102.76</v>
      </c>
      <c r="U53" s="123">
        <v>4563.8310000000001</v>
      </c>
      <c r="V53" s="133"/>
      <c r="W53" s="133"/>
      <c r="X53" s="125">
        <v>2.4000000000000001E-4</v>
      </c>
      <c r="Y53" s="125">
        <v>2.758E-2</v>
      </c>
      <c r="Z53" s="126">
        <v>3.8899999999999998E-3</v>
      </c>
      <c r="AA53" s="161"/>
    </row>
    <row r="54" spans="1:27" x14ac:dyDescent="0.2">
      <c r="A54" s="121" t="s">
        <v>1211</v>
      </c>
      <c r="B54" s="122" t="s">
        <v>1211</v>
      </c>
      <c r="C54" s="122" t="s">
        <v>1237</v>
      </c>
      <c r="D54" s="122" t="s">
        <v>1273</v>
      </c>
      <c r="E54" s="122" t="s">
        <v>1274</v>
      </c>
      <c r="F54" s="122" t="s">
        <v>221</v>
      </c>
      <c r="G54" s="122" t="s">
        <v>53</v>
      </c>
      <c r="H54" s="122" t="s">
        <v>53</v>
      </c>
      <c r="I54" s="122" t="s">
        <v>311</v>
      </c>
      <c r="J54" s="122" t="s">
        <v>1229</v>
      </c>
      <c r="K54" s="122" t="s">
        <v>78</v>
      </c>
      <c r="L54" s="122" t="s">
        <v>1216</v>
      </c>
      <c r="M54" s="123">
        <v>1.66</v>
      </c>
      <c r="N54" s="122" t="s">
        <v>1275</v>
      </c>
      <c r="O54" s="125">
        <v>7.4999999999999997E-3</v>
      </c>
      <c r="P54" s="125">
        <v>2.0789999999999999E-2</v>
      </c>
      <c r="Q54" s="133"/>
      <c r="R54" s="123">
        <v>2208629</v>
      </c>
      <c r="S54" s="123">
        <v>1</v>
      </c>
      <c r="T54" s="123">
        <v>117.66</v>
      </c>
      <c r="U54" s="123">
        <v>2598.6729999999998</v>
      </c>
      <c r="V54" s="133"/>
      <c r="W54" s="133"/>
      <c r="X54" s="125">
        <v>9.0000000000000006E-5</v>
      </c>
      <c r="Y54" s="125">
        <v>1.5709999999999998E-2</v>
      </c>
      <c r="Z54" s="126">
        <v>2.2200000000000002E-3</v>
      </c>
      <c r="AA54" s="161"/>
    </row>
    <row r="55" spans="1:27" x14ac:dyDescent="0.2">
      <c r="A55" s="121" t="s">
        <v>1211</v>
      </c>
      <c r="B55" s="122" t="s">
        <v>1211</v>
      </c>
      <c r="C55" s="122" t="s">
        <v>1237</v>
      </c>
      <c r="D55" s="122" t="s">
        <v>1267</v>
      </c>
      <c r="E55" s="122" t="s">
        <v>1268</v>
      </c>
      <c r="F55" s="122" t="s">
        <v>221</v>
      </c>
      <c r="G55" s="122" t="s">
        <v>53</v>
      </c>
      <c r="H55" s="122" t="s">
        <v>53</v>
      </c>
      <c r="I55" s="122" t="s">
        <v>311</v>
      </c>
      <c r="J55" s="122" t="s">
        <v>1229</v>
      </c>
      <c r="K55" s="122" t="s">
        <v>78</v>
      </c>
      <c r="L55" s="122" t="s">
        <v>1216</v>
      </c>
      <c r="M55" s="123">
        <v>3.63</v>
      </c>
      <c r="N55" s="122" t="s">
        <v>1269</v>
      </c>
      <c r="O55" s="125">
        <v>5.0000000000000001E-3</v>
      </c>
      <c r="P55" s="125">
        <v>1.9290000000000002E-2</v>
      </c>
      <c r="Q55" s="133"/>
      <c r="R55" s="123">
        <v>1553828</v>
      </c>
      <c r="S55" s="123">
        <v>1</v>
      </c>
      <c r="T55" s="123">
        <v>113</v>
      </c>
      <c r="U55" s="123">
        <v>1755.826</v>
      </c>
      <c r="V55" s="133"/>
      <c r="W55" s="133"/>
      <c r="X55" s="125">
        <v>5.0000000000000002E-5</v>
      </c>
      <c r="Y55" s="125">
        <v>1.061E-2</v>
      </c>
      <c r="Z55" s="126">
        <v>1.5E-3</v>
      </c>
      <c r="AA55" s="161"/>
    </row>
    <row r="56" spans="1:27" x14ac:dyDescent="0.2">
      <c r="A56" s="121" t="s">
        <v>1211</v>
      </c>
      <c r="B56" s="122" t="s">
        <v>1211</v>
      </c>
      <c r="C56" s="122" t="s">
        <v>1226</v>
      </c>
      <c r="D56" s="122" t="s">
        <v>1282</v>
      </c>
      <c r="E56" s="122" t="s">
        <v>1283</v>
      </c>
      <c r="F56" s="122" t="s">
        <v>223</v>
      </c>
      <c r="G56" s="122" t="s">
        <v>53</v>
      </c>
      <c r="H56" s="122" t="s">
        <v>53</v>
      </c>
      <c r="I56" s="122" t="s">
        <v>311</v>
      </c>
      <c r="J56" s="122" t="s">
        <v>1229</v>
      </c>
      <c r="K56" s="122" t="s">
        <v>78</v>
      </c>
      <c r="L56" s="122" t="s">
        <v>1216</v>
      </c>
      <c r="M56" s="123">
        <v>17.25</v>
      </c>
      <c r="N56" s="122" t="s">
        <v>1284</v>
      </c>
      <c r="O56" s="125">
        <v>2.8080000000000001E-2</v>
      </c>
      <c r="P56" s="125">
        <v>4.6080000000000003E-2</v>
      </c>
      <c r="Q56" s="133"/>
      <c r="R56" s="123">
        <v>1845025</v>
      </c>
      <c r="S56" s="123">
        <v>1</v>
      </c>
      <c r="T56" s="123">
        <v>74.63</v>
      </c>
      <c r="U56" s="123">
        <v>1376.942</v>
      </c>
      <c r="V56" s="133"/>
      <c r="W56" s="133"/>
      <c r="X56" s="125">
        <v>6.9999999999999994E-5</v>
      </c>
      <c r="Y56" s="125">
        <v>8.3199999999999993E-3</v>
      </c>
      <c r="Z56" s="126">
        <v>1.17E-3</v>
      </c>
      <c r="AA56" s="161"/>
    </row>
    <row r="57" spans="1:27" x14ac:dyDescent="0.2">
      <c r="A57" s="121" t="s">
        <v>1211</v>
      </c>
      <c r="B57" s="122" t="s">
        <v>1211</v>
      </c>
      <c r="C57" s="122" t="s">
        <v>1241</v>
      </c>
      <c r="D57" s="122" t="s">
        <v>1258</v>
      </c>
      <c r="E57" s="122" t="s">
        <v>1259</v>
      </c>
      <c r="F57" s="122" t="s">
        <v>223</v>
      </c>
      <c r="G57" s="122" t="s">
        <v>53</v>
      </c>
      <c r="H57" s="122" t="s">
        <v>53</v>
      </c>
      <c r="I57" s="122" t="s">
        <v>311</v>
      </c>
      <c r="J57" s="122" t="s">
        <v>1229</v>
      </c>
      <c r="K57" s="122" t="s">
        <v>78</v>
      </c>
      <c r="L57" s="122" t="s">
        <v>1216</v>
      </c>
      <c r="M57" s="123">
        <v>0.67</v>
      </c>
      <c r="N57" s="122" t="s">
        <v>1260</v>
      </c>
      <c r="O57" s="122" t="s">
        <v>1245</v>
      </c>
      <c r="P57" s="125">
        <v>4.1619999999999997E-2</v>
      </c>
      <c r="Q57" s="133"/>
      <c r="R57" s="123">
        <v>988914</v>
      </c>
      <c r="S57" s="123">
        <v>1</v>
      </c>
      <c r="T57" s="123">
        <v>97.3</v>
      </c>
      <c r="U57" s="123">
        <v>962.21299999999997</v>
      </c>
      <c r="V57" s="133"/>
      <c r="W57" s="133"/>
      <c r="X57" s="125">
        <v>5.0000000000000002E-5</v>
      </c>
      <c r="Y57" s="125">
        <v>5.8199999999999997E-3</v>
      </c>
      <c r="Z57" s="126">
        <v>8.1999999999999998E-4</v>
      </c>
      <c r="AA57" s="161"/>
    </row>
    <row r="58" spans="1:27" x14ac:dyDescent="0.2">
      <c r="A58" s="121" t="s">
        <v>1211</v>
      </c>
      <c r="B58" s="122" t="s">
        <v>1211</v>
      </c>
      <c r="C58" s="122" t="s">
        <v>1237</v>
      </c>
      <c r="D58" s="122" t="s">
        <v>1276</v>
      </c>
      <c r="E58" s="122" t="s">
        <v>1277</v>
      </c>
      <c r="F58" s="122" t="s">
        <v>221</v>
      </c>
      <c r="G58" s="122" t="s">
        <v>53</v>
      </c>
      <c r="H58" s="122" t="s">
        <v>53</v>
      </c>
      <c r="I58" s="122" t="s">
        <v>311</v>
      </c>
      <c r="J58" s="122" t="s">
        <v>1229</v>
      </c>
      <c r="K58" s="122" t="s">
        <v>78</v>
      </c>
      <c r="L58" s="122" t="s">
        <v>1216</v>
      </c>
      <c r="M58" s="123">
        <v>8.9700000000000006</v>
      </c>
      <c r="N58" s="122" t="s">
        <v>1278</v>
      </c>
      <c r="O58" s="125">
        <v>3.9890000000000002E-2</v>
      </c>
      <c r="P58" s="125">
        <v>1.9349999999999999E-2</v>
      </c>
      <c r="Q58" s="133"/>
      <c r="R58" s="123">
        <v>547217</v>
      </c>
      <c r="S58" s="123">
        <v>1</v>
      </c>
      <c r="T58" s="123">
        <v>170.85</v>
      </c>
      <c r="U58" s="123">
        <v>934.92</v>
      </c>
      <c r="V58" s="133"/>
      <c r="W58" s="133"/>
      <c r="X58" s="125">
        <v>3.0000000000000001E-5</v>
      </c>
      <c r="Y58" s="125">
        <v>5.6499999999999996E-3</v>
      </c>
      <c r="Z58" s="126">
        <v>8.0000000000000004E-4</v>
      </c>
      <c r="AA58" s="161"/>
    </row>
    <row r="59" spans="1:27" x14ac:dyDescent="0.2">
      <c r="A59" s="121" t="s">
        <v>1211</v>
      </c>
      <c r="B59" s="122" t="s">
        <v>1211</v>
      </c>
      <c r="C59" s="122" t="s">
        <v>1237</v>
      </c>
      <c r="D59" s="122" t="s">
        <v>1261</v>
      </c>
      <c r="E59" s="122" t="s">
        <v>1262</v>
      </c>
      <c r="F59" s="122" t="s">
        <v>221</v>
      </c>
      <c r="G59" s="122" t="s">
        <v>53</v>
      </c>
      <c r="H59" s="122" t="s">
        <v>53</v>
      </c>
      <c r="I59" s="122" t="s">
        <v>311</v>
      </c>
      <c r="J59" s="122" t="s">
        <v>1229</v>
      </c>
      <c r="K59" s="122" t="s">
        <v>78</v>
      </c>
      <c r="L59" s="122" t="s">
        <v>1216</v>
      </c>
      <c r="M59" s="123">
        <v>0.83</v>
      </c>
      <c r="N59" s="122" t="s">
        <v>1263</v>
      </c>
      <c r="O59" s="125">
        <v>1E-3</v>
      </c>
      <c r="P59" s="125">
        <v>2.656E-2</v>
      </c>
      <c r="Q59" s="133"/>
      <c r="R59" s="123">
        <v>336328</v>
      </c>
      <c r="S59" s="123">
        <v>1</v>
      </c>
      <c r="T59" s="123">
        <v>116.31</v>
      </c>
      <c r="U59" s="123">
        <v>391.18299999999999</v>
      </c>
      <c r="V59" s="133"/>
      <c r="W59" s="133"/>
      <c r="X59" s="125">
        <v>2.0000000000000002E-5</v>
      </c>
      <c r="Y59" s="125">
        <v>2.3600000000000001E-3</v>
      </c>
      <c r="Z59" s="126">
        <v>3.3E-4</v>
      </c>
      <c r="AA59" s="161"/>
    </row>
    <row r="60" spans="1:27" x14ac:dyDescent="0.2">
      <c r="A60" s="121" t="s">
        <v>1211</v>
      </c>
      <c r="B60" s="122" t="s">
        <v>1211</v>
      </c>
      <c r="C60" s="122" t="s">
        <v>1285</v>
      </c>
      <c r="D60" s="122" t="s">
        <v>1293</v>
      </c>
      <c r="E60" s="122" t="s">
        <v>1294</v>
      </c>
      <c r="F60" s="122" t="s">
        <v>225</v>
      </c>
      <c r="G60" s="122" t="s">
        <v>61</v>
      </c>
      <c r="H60" s="122" t="s">
        <v>314</v>
      </c>
      <c r="I60" s="122" t="s">
        <v>476</v>
      </c>
      <c r="J60" s="122" t="s">
        <v>1288</v>
      </c>
      <c r="K60" s="122" t="s">
        <v>84</v>
      </c>
      <c r="L60" s="122" t="s">
        <v>1217</v>
      </c>
      <c r="M60" s="123">
        <v>7.3920000000000003</v>
      </c>
      <c r="N60" s="122" t="s">
        <v>1295</v>
      </c>
      <c r="O60" s="125">
        <v>3.875E-2</v>
      </c>
      <c r="P60" s="125">
        <v>4.0829999999999998E-2</v>
      </c>
      <c r="Q60" s="133"/>
      <c r="R60" s="123">
        <v>1381000</v>
      </c>
      <c r="S60" s="123">
        <v>3.306</v>
      </c>
      <c r="T60" s="123">
        <v>98.956000000000003</v>
      </c>
      <c r="U60" s="123">
        <v>4517.924</v>
      </c>
      <c r="V60" s="133"/>
      <c r="W60" s="133"/>
      <c r="X60" s="125">
        <v>1.0000000000000001E-5</v>
      </c>
      <c r="Y60" s="125">
        <v>2.7310000000000001E-2</v>
      </c>
      <c r="Z60" s="126">
        <v>3.8500000000000001E-3</v>
      </c>
      <c r="AA60" s="161"/>
    </row>
    <row r="61" spans="1:27" x14ac:dyDescent="0.2">
      <c r="A61" s="121" t="s">
        <v>1211</v>
      </c>
      <c r="B61" s="122" t="s">
        <v>1211</v>
      </c>
      <c r="C61" s="122" t="s">
        <v>1285</v>
      </c>
      <c r="D61" s="122" t="s">
        <v>1290</v>
      </c>
      <c r="E61" s="122" t="s">
        <v>1291</v>
      </c>
      <c r="F61" s="122" t="s">
        <v>225</v>
      </c>
      <c r="G61" s="122" t="s">
        <v>61</v>
      </c>
      <c r="H61" s="122" t="s">
        <v>314</v>
      </c>
      <c r="I61" s="122" t="s">
        <v>476</v>
      </c>
      <c r="J61" s="122" t="s">
        <v>1288</v>
      </c>
      <c r="K61" s="122" t="s">
        <v>84</v>
      </c>
      <c r="L61" s="122" t="s">
        <v>1217</v>
      </c>
      <c r="M61" s="123">
        <v>6.6879999999999997</v>
      </c>
      <c r="N61" s="122" t="s">
        <v>1292</v>
      </c>
      <c r="O61" s="125">
        <v>3.875E-2</v>
      </c>
      <c r="P61" s="125">
        <v>3.9980000000000002E-2</v>
      </c>
      <c r="Q61" s="133"/>
      <c r="R61" s="123">
        <v>987500</v>
      </c>
      <c r="S61" s="123">
        <v>3.306</v>
      </c>
      <c r="T61" s="123">
        <v>99.667000000000002</v>
      </c>
      <c r="U61" s="123">
        <v>3253.8040000000001</v>
      </c>
      <c r="V61" s="133"/>
      <c r="W61" s="133"/>
      <c r="X61" s="125">
        <v>1.0000000000000001E-5</v>
      </c>
      <c r="Y61" s="125">
        <v>1.967E-2</v>
      </c>
      <c r="Z61" s="126">
        <v>2.7699999999999999E-3</v>
      </c>
      <c r="AA61" s="161"/>
    </row>
    <row r="62" spans="1:27" x14ac:dyDescent="0.2">
      <c r="A62" s="121" t="s">
        <v>1211</v>
      </c>
      <c r="B62" s="122" t="s">
        <v>1211</v>
      </c>
      <c r="C62" s="122" t="s">
        <v>1285</v>
      </c>
      <c r="D62" s="122" t="s">
        <v>1286</v>
      </c>
      <c r="E62" s="122" t="s">
        <v>1287</v>
      </c>
      <c r="F62" s="122" t="s">
        <v>225</v>
      </c>
      <c r="G62" s="122" t="s">
        <v>61</v>
      </c>
      <c r="H62" s="122" t="s">
        <v>314</v>
      </c>
      <c r="I62" s="122" t="s">
        <v>476</v>
      </c>
      <c r="J62" s="122" t="s">
        <v>1288</v>
      </c>
      <c r="K62" s="122" t="s">
        <v>84</v>
      </c>
      <c r="L62" s="122" t="s">
        <v>1217</v>
      </c>
      <c r="M62" s="123">
        <v>7.3959999999999999</v>
      </c>
      <c r="N62" s="122" t="s">
        <v>1289</v>
      </c>
      <c r="O62" s="125">
        <v>4.2500000000000003E-2</v>
      </c>
      <c r="P62" s="125">
        <v>4.1000000000000002E-2</v>
      </c>
      <c r="Q62" s="133"/>
      <c r="R62" s="123">
        <v>597000</v>
      </c>
      <c r="S62" s="123">
        <v>3.306</v>
      </c>
      <c r="T62" s="123">
        <v>102.72</v>
      </c>
      <c r="U62" s="123">
        <v>2027.37</v>
      </c>
      <c r="V62" s="133"/>
      <c r="W62" s="133"/>
      <c r="X62" s="125">
        <v>1.0000000000000001E-5</v>
      </c>
      <c r="Y62" s="125">
        <v>1.225E-2</v>
      </c>
      <c r="Z62" s="126">
        <v>1.73E-3</v>
      </c>
      <c r="AA62" s="161"/>
    </row>
    <row r="63" spans="1:27" x14ac:dyDescent="0.2">
      <c r="A63" s="121" t="s">
        <v>1211</v>
      </c>
      <c r="B63" s="122" t="s">
        <v>1211</v>
      </c>
      <c r="C63" s="122" t="s">
        <v>1285</v>
      </c>
      <c r="D63" s="122" t="s">
        <v>1296</v>
      </c>
      <c r="E63" s="122" t="s">
        <v>1297</v>
      </c>
      <c r="F63" s="122" t="s">
        <v>225</v>
      </c>
      <c r="G63" s="122" t="s">
        <v>61</v>
      </c>
      <c r="H63" s="122" t="s">
        <v>314</v>
      </c>
      <c r="I63" s="122" t="s">
        <v>476</v>
      </c>
      <c r="J63" s="122" t="s">
        <v>1288</v>
      </c>
      <c r="K63" s="122" t="s">
        <v>84</v>
      </c>
      <c r="L63" s="122" t="s">
        <v>1217</v>
      </c>
      <c r="M63" s="123">
        <v>7.0179999999999998</v>
      </c>
      <c r="N63" s="122" t="s">
        <v>1298</v>
      </c>
      <c r="O63" s="125">
        <v>0.04</v>
      </c>
      <c r="P63" s="125">
        <v>4.0370000000000003E-2</v>
      </c>
      <c r="Q63" s="133"/>
      <c r="R63" s="123">
        <v>434000</v>
      </c>
      <c r="S63" s="123">
        <v>3.306</v>
      </c>
      <c r="T63" s="123">
        <v>100.245</v>
      </c>
      <c r="U63" s="123">
        <v>1438.326</v>
      </c>
      <c r="V63" s="133"/>
      <c r="W63" s="133"/>
      <c r="X63" s="125">
        <v>0</v>
      </c>
      <c r="Y63" s="125">
        <v>8.6899999999999998E-3</v>
      </c>
      <c r="Z63" s="126">
        <v>1.23E-3</v>
      </c>
      <c r="AA63" s="161"/>
    </row>
    <row r="64" spans="1:27" x14ac:dyDescent="0.2">
      <c r="A64" s="121" t="s">
        <v>1223</v>
      </c>
      <c r="B64" s="122" t="s">
        <v>1224</v>
      </c>
      <c r="C64" s="122" t="s">
        <v>1226</v>
      </c>
      <c r="D64" s="122" t="s">
        <v>1227</v>
      </c>
      <c r="E64" s="122" t="s">
        <v>1228</v>
      </c>
      <c r="F64" s="122" t="s">
        <v>223</v>
      </c>
      <c r="G64" s="122" t="s">
        <v>53</v>
      </c>
      <c r="H64" s="122" t="s">
        <v>53</v>
      </c>
      <c r="I64" s="122" t="s">
        <v>311</v>
      </c>
      <c r="J64" s="122" t="s">
        <v>1229</v>
      </c>
      <c r="K64" s="122" t="s">
        <v>78</v>
      </c>
      <c r="L64" s="122" t="s">
        <v>1216</v>
      </c>
      <c r="M64" s="123">
        <v>10.56</v>
      </c>
      <c r="N64" s="122" t="s">
        <v>1230</v>
      </c>
      <c r="O64" s="125">
        <v>1.4959999999999999E-2</v>
      </c>
      <c r="P64" s="125">
        <v>4.2049999999999997E-2</v>
      </c>
      <c r="Q64" s="133"/>
      <c r="R64" s="123">
        <v>54452453</v>
      </c>
      <c r="S64" s="123">
        <v>1</v>
      </c>
      <c r="T64" s="123">
        <v>75.94</v>
      </c>
      <c r="U64" s="123">
        <v>41351.192999999999</v>
      </c>
      <c r="V64" s="133"/>
      <c r="W64" s="133"/>
      <c r="X64" s="125">
        <v>1.3600000000000001E-3</v>
      </c>
      <c r="Y64" s="125">
        <v>0.1149</v>
      </c>
      <c r="Z64" s="126">
        <v>2.8070000000000001E-2</v>
      </c>
      <c r="AA64" s="161"/>
    </row>
    <row r="65" spans="1:27" x14ac:dyDescent="0.2">
      <c r="A65" s="121" t="s">
        <v>1223</v>
      </c>
      <c r="B65" s="122" t="s">
        <v>1224</v>
      </c>
      <c r="C65" s="122" t="s">
        <v>1226</v>
      </c>
      <c r="D65" s="122" t="s">
        <v>1234</v>
      </c>
      <c r="E65" s="122" t="s">
        <v>1235</v>
      </c>
      <c r="F65" s="122" t="s">
        <v>223</v>
      </c>
      <c r="G65" s="122" t="s">
        <v>53</v>
      </c>
      <c r="H65" s="122" t="s">
        <v>53</v>
      </c>
      <c r="I65" s="122" t="s">
        <v>311</v>
      </c>
      <c r="J65" s="122" t="s">
        <v>1229</v>
      </c>
      <c r="K65" s="122" t="s">
        <v>78</v>
      </c>
      <c r="L65" s="122" t="s">
        <v>1216</v>
      </c>
      <c r="M65" s="123">
        <v>11.18</v>
      </c>
      <c r="N65" s="122" t="s">
        <v>1236</v>
      </c>
      <c r="O65" s="125">
        <v>5.5149999999999998E-2</v>
      </c>
      <c r="P65" s="125">
        <v>4.3409999999999997E-2</v>
      </c>
      <c r="Q65" s="133"/>
      <c r="R65" s="123">
        <v>28998863.609999999</v>
      </c>
      <c r="S65" s="123">
        <v>1</v>
      </c>
      <c r="T65" s="123">
        <v>117</v>
      </c>
      <c r="U65" s="123">
        <v>33928.67</v>
      </c>
      <c r="V65" s="133"/>
      <c r="W65" s="133"/>
      <c r="X65" s="125">
        <v>9.3999999999999997E-4</v>
      </c>
      <c r="Y65" s="125">
        <v>9.4270000000000007E-2</v>
      </c>
      <c r="Z65" s="126">
        <v>2.3029999999999998E-2</v>
      </c>
      <c r="AA65" s="161"/>
    </row>
    <row r="66" spans="1:27" x14ac:dyDescent="0.2">
      <c r="A66" s="121" t="s">
        <v>1223</v>
      </c>
      <c r="B66" s="122" t="s">
        <v>1224</v>
      </c>
      <c r="C66" s="122" t="s">
        <v>1237</v>
      </c>
      <c r="D66" s="122" t="s">
        <v>1238</v>
      </c>
      <c r="E66" s="122" t="s">
        <v>1239</v>
      </c>
      <c r="F66" s="122" t="s">
        <v>221</v>
      </c>
      <c r="G66" s="122" t="s">
        <v>53</v>
      </c>
      <c r="H66" s="122" t="s">
        <v>53</v>
      </c>
      <c r="I66" s="122" t="s">
        <v>311</v>
      </c>
      <c r="J66" s="122" t="s">
        <v>1229</v>
      </c>
      <c r="K66" s="122" t="s">
        <v>78</v>
      </c>
      <c r="L66" s="122" t="s">
        <v>1216</v>
      </c>
      <c r="M66" s="123">
        <v>6.14</v>
      </c>
      <c r="N66" s="122" t="s">
        <v>1240</v>
      </c>
      <c r="O66" s="125">
        <v>1E-3</v>
      </c>
      <c r="P66" s="125">
        <v>1.8970000000000001E-2</v>
      </c>
      <c r="Q66" s="133"/>
      <c r="R66" s="123">
        <v>29553596</v>
      </c>
      <c r="S66" s="123">
        <v>1</v>
      </c>
      <c r="T66" s="123">
        <v>106.54</v>
      </c>
      <c r="U66" s="123">
        <v>31486.401000000002</v>
      </c>
      <c r="V66" s="133"/>
      <c r="W66" s="133"/>
      <c r="X66" s="125">
        <v>8.5999999999999998E-4</v>
      </c>
      <c r="Y66" s="125">
        <v>8.7489999999999998E-2</v>
      </c>
      <c r="Z66" s="126">
        <v>2.137E-2</v>
      </c>
      <c r="AA66" s="161"/>
    </row>
    <row r="67" spans="1:27" x14ac:dyDescent="0.2">
      <c r="A67" s="121" t="s">
        <v>1223</v>
      </c>
      <c r="B67" s="122" t="s">
        <v>1224</v>
      </c>
      <c r="C67" s="122" t="s">
        <v>1237</v>
      </c>
      <c r="D67" s="122" t="s">
        <v>1246</v>
      </c>
      <c r="E67" s="122" t="s">
        <v>1247</v>
      </c>
      <c r="F67" s="122" t="s">
        <v>221</v>
      </c>
      <c r="G67" s="122" t="s">
        <v>53</v>
      </c>
      <c r="H67" s="122" t="s">
        <v>53</v>
      </c>
      <c r="I67" s="122" t="s">
        <v>311</v>
      </c>
      <c r="J67" s="122" t="s">
        <v>1229</v>
      </c>
      <c r="K67" s="122" t="s">
        <v>78</v>
      </c>
      <c r="L67" s="122" t="s">
        <v>1216</v>
      </c>
      <c r="M67" s="123">
        <v>3.02</v>
      </c>
      <c r="N67" s="122" t="s">
        <v>1248</v>
      </c>
      <c r="O67" s="125">
        <v>1.103E-2</v>
      </c>
      <c r="P67" s="125">
        <v>1.9900000000000001E-2</v>
      </c>
      <c r="Q67" s="133"/>
      <c r="R67" s="123">
        <v>27984948</v>
      </c>
      <c r="S67" s="123">
        <v>1</v>
      </c>
      <c r="T67" s="123">
        <v>105.65</v>
      </c>
      <c r="U67" s="123">
        <v>29566.098000000002</v>
      </c>
      <c r="V67" s="133"/>
      <c r="W67" s="133"/>
      <c r="X67" s="125">
        <v>8.3000000000000001E-4</v>
      </c>
      <c r="Y67" s="125">
        <v>8.2150000000000001E-2</v>
      </c>
      <c r="Z67" s="126">
        <v>2.0070000000000001E-2</v>
      </c>
      <c r="AA67" s="161"/>
    </row>
    <row r="68" spans="1:27" x14ac:dyDescent="0.2">
      <c r="A68" s="121" t="s">
        <v>1223</v>
      </c>
      <c r="B68" s="122" t="s">
        <v>1224</v>
      </c>
      <c r="C68" s="122" t="s">
        <v>1226</v>
      </c>
      <c r="D68" s="122" t="s">
        <v>1264</v>
      </c>
      <c r="E68" s="122" t="s">
        <v>1265</v>
      </c>
      <c r="F68" s="122" t="s">
        <v>223</v>
      </c>
      <c r="G68" s="122" t="s">
        <v>53</v>
      </c>
      <c r="H68" s="122" t="s">
        <v>53</v>
      </c>
      <c r="I68" s="122" t="s">
        <v>311</v>
      </c>
      <c r="J68" s="122" t="s">
        <v>1229</v>
      </c>
      <c r="K68" s="122" t="s">
        <v>78</v>
      </c>
      <c r="L68" s="122" t="s">
        <v>1216</v>
      </c>
      <c r="M68" s="123">
        <v>4.3899999999999997</v>
      </c>
      <c r="N68" s="122" t="s">
        <v>1266</v>
      </c>
      <c r="O68" s="125">
        <v>0.01</v>
      </c>
      <c r="P68" s="125">
        <v>3.9210000000000002E-2</v>
      </c>
      <c r="Q68" s="133"/>
      <c r="R68" s="123">
        <v>33015639</v>
      </c>
      <c r="S68" s="123">
        <v>1</v>
      </c>
      <c r="T68" s="123">
        <v>88.66</v>
      </c>
      <c r="U68" s="123">
        <v>29271.666000000001</v>
      </c>
      <c r="V68" s="133"/>
      <c r="W68" s="133"/>
      <c r="X68" s="125">
        <v>8.7000000000000001E-4</v>
      </c>
      <c r="Y68" s="125">
        <v>8.133E-2</v>
      </c>
      <c r="Z68" s="126">
        <v>1.9869999999999999E-2</v>
      </c>
      <c r="AA68" s="161"/>
    </row>
    <row r="69" spans="1:27" x14ac:dyDescent="0.2">
      <c r="A69" s="121" t="s">
        <v>1223</v>
      </c>
      <c r="B69" s="122" t="s">
        <v>1224</v>
      </c>
      <c r="C69" s="122" t="s">
        <v>1241</v>
      </c>
      <c r="D69" s="122" t="s">
        <v>1255</v>
      </c>
      <c r="E69" s="122" t="s">
        <v>1256</v>
      </c>
      <c r="F69" s="122" t="s">
        <v>223</v>
      </c>
      <c r="G69" s="122" t="s">
        <v>53</v>
      </c>
      <c r="H69" s="122" t="s">
        <v>53</v>
      </c>
      <c r="I69" s="122" t="s">
        <v>311</v>
      </c>
      <c r="J69" s="122" t="s">
        <v>1229</v>
      </c>
      <c r="K69" s="122" t="s">
        <v>78</v>
      </c>
      <c r="L69" s="122" t="s">
        <v>1216</v>
      </c>
      <c r="M69" s="123">
        <v>0.35</v>
      </c>
      <c r="N69" s="122" t="s">
        <v>1257</v>
      </c>
      <c r="O69" s="122" t="s">
        <v>1245</v>
      </c>
      <c r="P69" s="125">
        <v>4.1689999999999998E-2</v>
      </c>
      <c r="Q69" s="133"/>
      <c r="R69" s="123">
        <v>28649169</v>
      </c>
      <c r="S69" s="123">
        <v>1</v>
      </c>
      <c r="T69" s="123">
        <v>98.6</v>
      </c>
      <c r="U69" s="123">
        <v>28248.080999999998</v>
      </c>
      <c r="V69" s="133"/>
      <c r="W69" s="133"/>
      <c r="X69" s="125">
        <v>1.5900000000000001E-3</v>
      </c>
      <c r="Y69" s="125">
        <v>7.8490000000000004E-2</v>
      </c>
      <c r="Z69" s="126">
        <v>1.917E-2</v>
      </c>
      <c r="AA69" s="161"/>
    </row>
    <row r="70" spans="1:27" x14ac:dyDescent="0.2">
      <c r="A70" s="121" t="s">
        <v>1223</v>
      </c>
      <c r="B70" s="122" t="s">
        <v>1224</v>
      </c>
      <c r="C70" s="122" t="s">
        <v>1226</v>
      </c>
      <c r="D70" s="122" t="s">
        <v>1231</v>
      </c>
      <c r="E70" s="122" t="s">
        <v>1232</v>
      </c>
      <c r="F70" s="122" t="s">
        <v>223</v>
      </c>
      <c r="G70" s="122" t="s">
        <v>53</v>
      </c>
      <c r="H70" s="122" t="s">
        <v>53</v>
      </c>
      <c r="I70" s="122" t="s">
        <v>311</v>
      </c>
      <c r="J70" s="122" t="s">
        <v>1229</v>
      </c>
      <c r="K70" s="122" t="s">
        <v>78</v>
      </c>
      <c r="L70" s="122" t="s">
        <v>1216</v>
      </c>
      <c r="M70" s="123">
        <v>6.29</v>
      </c>
      <c r="N70" s="122" t="s">
        <v>1233</v>
      </c>
      <c r="O70" s="125">
        <v>1.2999999999999999E-2</v>
      </c>
      <c r="P70" s="125">
        <v>4.018E-2</v>
      </c>
      <c r="Q70" s="133"/>
      <c r="R70" s="123">
        <v>31538841</v>
      </c>
      <c r="S70" s="123">
        <v>1</v>
      </c>
      <c r="T70" s="123">
        <v>85.09</v>
      </c>
      <c r="U70" s="123">
        <v>26836.400000000001</v>
      </c>
      <c r="V70" s="133"/>
      <c r="W70" s="133"/>
      <c r="X70" s="125">
        <v>8.1999999999999998E-4</v>
      </c>
      <c r="Y70" s="125">
        <v>7.4569999999999997E-2</v>
      </c>
      <c r="Z70" s="126">
        <v>1.822E-2</v>
      </c>
      <c r="AA70" s="161"/>
    </row>
    <row r="71" spans="1:27" x14ac:dyDescent="0.2">
      <c r="A71" s="121" t="s">
        <v>1223</v>
      </c>
      <c r="B71" s="122" t="s">
        <v>1224</v>
      </c>
      <c r="C71" s="122" t="s">
        <v>1226</v>
      </c>
      <c r="D71" s="122" t="s">
        <v>1252</v>
      </c>
      <c r="E71" s="122" t="s">
        <v>1253</v>
      </c>
      <c r="F71" s="122" t="s">
        <v>223</v>
      </c>
      <c r="G71" s="122" t="s">
        <v>53</v>
      </c>
      <c r="H71" s="122" t="s">
        <v>53</v>
      </c>
      <c r="I71" s="122" t="s">
        <v>311</v>
      </c>
      <c r="J71" s="122" t="s">
        <v>1229</v>
      </c>
      <c r="K71" s="122" t="s">
        <v>78</v>
      </c>
      <c r="L71" s="122" t="s">
        <v>1216</v>
      </c>
      <c r="M71" s="123">
        <v>14.45</v>
      </c>
      <c r="N71" s="122" t="s">
        <v>1254</v>
      </c>
      <c r="O71" s="125">
        <v>3.7499999999999999E-2</v>
      </c>
      <c r="P71" s="125">
        <v>4.4859999999999997E-2</v>
      </c>
      <c r="Q71" s="133"/>
      <c r="R71" s="123">
        <v>24559847</v>
      </c>
      <c r="S71" s="123">
        <v>1</v>
      </c>
      <c r="T71" s="123">
        <v>91.85</v>
      </c>
      <c r="U71" s="123">
        <v>22558.219000000001</v>
      </c>
      <c r="V71" s="133"/>
      <c r="W71" s="133"/>
      <c r="X71" s="125">
        <v>9.3999999999999997E-4</v>
      </c>
      <c r="Y71" s="125">
        <v>6.268E-2</v>
      </c>
      <c r="Z71" s="126">
        <v>1.5310000000000001E-2</v>
      </c>
      <c r="AA71" s="161"/>
    </row>
    <row r="72" spans="1:27" x14ac:dyDescent="0.2">
      <c r="A72" s="121" t="s">
        <v>1223</v>
      </c>
      <c r="B72" s="122" t="s">
        <v>1224</v>
      </c>
      <c r="C72" s="122" t="s">
        <v>1226</v>
      </c>
      <c r="D72" s="122" t="s">
        <v>1249</v>
      </c>
      <c r="E72" s="122" t="s">
        <v>1250</v>
      </c>
      <c r="F72" s="122" t="s">
        <v>223</v>
      </c>
      <c r="G72" s="122" t="s">
        <v>53</v>
      </c>
      <c r="H72" s="122" t="s">
        <v>53</v>
      </c>
      <c r="I72" s="122" t="s">
        <v>311</v>
      </c>
      <c r="J72" s="122" t="s">
        <v>1229</v>
      </c>
      <c r="K72" s="122" t="s">
        <v>78</v>
      </c>
      <c r="L72" s="122" t="s">
        <v>1216</v>
      </c>
      <c r="M72" s="123">
        <v>7.93</v>
      </c>
      <c r="N72" s="122" t="s">
        <v>1251</v>
      </c>
      <c r="O72" s="125">
        <v>0.04</v>
      </c>
      <c r="P72" s="125">
        <v>4.0960000000000003E-2</v>
      </c>
      <c r="Q72" s="133"/>
      <c r="R72" s="123">
        <v>17873255</v>
      </c>
      <c r="S72" s="123">
        <v>1</v>
      </c>
      <c r="T72" s="123">
        <v>101.25</v>
      </c>
      <c r="U72" s="123">
        <v>18096.670999999998</v>
      </c>
      <c r="V72" s="133"/>
      <c r="W72" s="133"/>
      <c r="X72" s="125">
        <v>5.0000000000000001E-4</v>
      </c>
      <c r="Y72" s="125">
        <v>5.0279999999999998E-2</v>
      </c>
      <c r="Z72" s="126">
        <v>1.2279999999999999E-2</v>
      </c>
      <c r="AA72" s="161"/>
    </row>
    <row r="73" spans="1:27" x14ac:dyDescent="0.2">
      <c r="A73" s="121" t="s">
        <v>1223</v>
      </c>
      <c r="B73" s="122" t="s">
        <v>1224</v>
      </c>
      <c r="C73" s="122" t="s">
        <v>1241</v>
      </c>
      <c r="D73" s="122" t="s">
        <v>1242</v>
      </c>
      <c r="E73" s="122" t="s">
        <v>1243</v>
      </c>
      <c r="F73" s="122" t="s">
        <v>223</v>
      </c>
      <c r="G73" s="122" t="s">
        <v>53</v>
      </c>
      <c r="H73" s="122" t="s">
        <v>53</v>
      </c>
      <c r="I73" s="122" t="s">
        <v>311</v>
      </c>
      <c r="J73" s="122" t="s">
        <v>1229</v>
      </c>
      <c r="K73" s="122" t="s">
        <v>78</v>
      </c>
      <c r="L73" s="122" t="s">
        <v>1216</v>
      </c>
      <c r="M73" s="123">
        <v>0.5</v>
      </c>
      <c r="N73" s="122" t="s">
        <v>1244</v>
      </c>
      <c r="O73" s="122" t="s">
        <v>1245</v>
      </c>
      <c r="P73" s="125">
        <v>4.1340000000000002E-2</v>
      </c>
      <c r="Q73" s="133"/>
      <c r="R73" s="123">
        <v>15010301</v>
      </c>
      <c r="S73" s="123">
        <v>1</v>
      </c>
      <c r="T73" s="123">
        <v>98</v>
      </c>
      <c r="U73" s="123">
        <v>14710.094999999999</v>
      </c>
      <c r="V73" s="133"/>
      <c r="W73" s="133"/>
      <c r="X73" s="125">
        <v>8.3000000000000001E-4</v>
      </c>
      <c r="Y73" s="125">
        <v>4.0869999999999997E-2</v>
      </c>
      <c r="Z73" s="126">
        <v>9.9900000000000006E-3</v>
      </c>
      <c r="AA73" s="161"/>
    </row>
    <row r="74" spans="1:27" x14ac:dyDescent="0.2">
      <c r="A74" s="121" t="s">
        <v>1223</v>
      </c>
      <c r="B74" s="122" t="s">
        <v>1224</v>
      </c>
      <c r="C74" s="122" t="s">
        <v>1241</v>
      </c>
      <c r="D74" s="122" t="s">
        <v>1258</v>
      </c>
      <c r="E74" s="122" t="s">
        <v>1259</v>
      </c>
      <c r="F74" s="122" t="s">
        <v>223</v>
      </c>
      <c r="G74" s="122" t="s">
        <v>53</v>
      </c>
      <c r="H74" s="122" t="s">
        <v>53</v>
      </c>
      <c r="I74" s="122" t="s">
        <v>311</v>
      </c>
      <c r="J74" s="122" t="s">
        <v>1229</v>
      </c>
      <c r="K74" s="122" t="s">
        <v>78</v>
      </c>
      <c r="L74" s="122" t="s">
        <v>1216</v>
      </c>
      <c r="M74" s="123">
        <v>0.67</v>
      </c>
      <c r="N74" s="122" t="s">
        <v>1260</v>
      </c>
      <c r="O74" s="122" t="s">
        <v>1245</v>
      </c>
      <c r="P74" s="125">
        <v>4.1619999999999997E-2</v>
      </c>
      <c r="Q74" s="133"/>
      <c r="R74" s="123">
        <v>14521414</v>
      </c>
      <c r="S74" s="123">
        <v>1</v>
      </c>
      <c r="T74" s="123">
        <v>97.3</v>
      </c>
      <c r="U74" s="123">
        <v>14129.335999999999</v>
      </c>
      <c r="V74" s="133"/>
      <c r="W74" s="133"/>
      <c r="X74" s="125">
        <v>8.0999999999999996E-4</v>
      </c>
      <c r="Y74" s="125">
        <v>3.9260000000000003E-2</v>
      </c>
      <c r="Z74" s="126">
        <v>9.5899999999999996E-3</v>
      </c>
      <c r="AA74" s="161"/>
    </row>
    <row r="75" spans="1:27" x14ac:dyDescent="0.2">
      <c r="A75" s="121" t="s">
        <v>1223</v>
      </c>
      <c r="B75" s="122" t="s">
        <v>1224</v>
      </c>
      <c r="C75" s="122" t="s">
        <v>1237</v>
      </c>
      <c r="D75" s="122" t="s">
        <v>1267</v>
      </c>
      <c r="E75" s="122" t="s">
        <v>1268</v>
      </c>
      <c r="F75" s="122" t="s">
        <v>221</v>
      </c>
      <c r="G75" s="122" t="s">
        <v>53</v>
      </c>
      <c r="H75" s="122" t="s">
        <v>53</v>
      </c>
      <c r="I75" s="122" t="s">
        <v>311</v>
      </c>
      <c r="J75" s="122" t="s">
        <v>1229</v>
      </c>
      <c r="K75" s="122" t="s">
        <v>78</v>
      </c>
      <c r="L75" s="122" t="s">
        <v>1216</v>
      </c>
      <c r="M75" s="123">
        <v>3.63</v>
      </c>
      <c r="N75" s="122" t="s">
        <v>1269</v>
      </c>
      <c r="O75" s="125">
        <v>5.0000000000000001E-3</v>
      </c>
      <c r="P75" s="125">
        <v>1.9290000000000002E-2</v>
      </c>
      <c r="Q75" s="133"/>
      <c r="R75" s="123">
        <v>8848118</v>
      </c>
      <c r="S75" s="123">
        <v>1</v>
      </c>
      <c r="T75" s="123">
        <v>113</v>
      </c>
      <c r="U75" s="123">
        <v>9998.3729999999996</v>
      </c>
      <c r="V75" s="133"/>
      <c r="W75" s="133"/>
      <c r="X75" s="125">
        <v>2.9999999999999997E-4</v>
      </c>
      <c r="Y75" s="125">
        <v>2.7779999999999999E-2</v>
      </c>
      <c r="Z75" s="126">
        <v>6.79E-3</v>
      </c>
      <c r="AA75" s="161"/>
    </row>
    <row r="76" spans="1:27" x14ac:dyDescent="0.2">
      <c r="A76" s="121" t="s">
        <v>1223</v>
      </c>
      <c r="B76" s="122" t="s">
        <v>1224</v>
      </c>
      <c r="C76" s="122" t="s">
        <v>1237</v>
      </c>
      <c r="D76" s="122" t="s">
        <v>1261</v>
      </c>
      <c r="E76" s="122" t="s">
        <v>1262</v>
      </c>
      <c r="F76" s="122" t="s">
        <v>221</v>
      </c>
      <c r="G76" s="122" t="s">
        <v>53</v>
      </c>
      <c r="H76" s="122" t="s">
        <v>53</v>
      </c>
      <c r="I76" s="122" t="s">
        <v>311</v>
      </c>
      <c r="J76" s="122" t="s">
        <v>1229</v>
      </c>
      <c r="K76" s="122" t="s">
        <v>78</v>
      </c>
      <c r="L76" s="122" t="s">
        <v>1216</v>
      </c>
      <c r="M76" s="123">
        <v>0.83</v>
      </c>
      <c r="N76" s="122" t="s">
        <v>1263</v>
      </c>
      <c r="O76" s="125">
        <v>1E-3</v>
      </c>
      <c r="P76" s="125">
        <v>2.656E-2</v>
      </c>
      <c r="Q76" s="133"/>
      <c r="R76" s="123">
        <v>8331076</v>
      </c>
      <c r="S76" s="123">
        <v>1</v>
      </c>
      <c r="T76" s="123">
        <v>116.31</v>
      </c>
      <c r="U76" s="123">
        <v>9689.8739999999998</v>
      </c>
      <c r="V76" s="133"/>
      <c r="W76" s="133"/>
      <c r="X76" s="125">
        <v>4.0999999999999999E-4</v>
      </c>
      <c r="Y76" s="125">
        <v>2.6919999999999999E-2</v>
      </c>
      <c r="Z76" s="126">
        <v>6.5799999999999999E-3</v>
      </c>
      <c r="AA76" s="161"/>
    </row>
    <row r="77" spans="1:27" x14ac:dyDescent="0.2">
      <c r="A77" s="121" t="s">
        <v>1223</v>
      </c>
      <c r="B77" s="122" t="s">
        <v>1224</v>
      </c>
      <c r="C77" s="122" t="s">
        <v>1226</v>
      </c>
      <c r="D77" s="122" t="s">
        <v>1308</v>
      </c>
      <c r="E77" s="122" t="s">
        <v>1309</v>
      </c>
      <c r="F77" s="122" t="s">
        <v>223</v>
      </c>
      <c r="G77" s="122" t="s">
        <v>53</v>
      </c>
      <c r="H77" s="122" t="s">
        <v>53</v>
      </c>
      <c r="I77" s="122" t="s">
        <v>311</v>
      </c>
      <c r="J77" s="122" t="s">
        <v>1229</v>
      </c>
      <c r="K77" s="122" t="s">
        <v>78</v>
      </c>
      <c r="L77" s="122" t="s">
        <v>1216</v>
      </c>
      <c r="M77" s="123">
        <v>2.93</v>
      </c>
      <c r="N77" s="122" t="s">
        <v>1310</v>
      </c>
      <c r="O77" s="125">
        <v>2.2499999999999999E-2</v>
      </c>
      <c r="P77" s="125">
        <v>3.9210000000000002E-2</v>
      </c>
      <c r="Q77" s="133"/>
      <c r="R77" s="123">
        <v>8662546</v>
      </c>
      <c r="S77" s="123">
        <v>1</v>
      </c>
      <c r="T77" s="123">
        <v>95.37</v>
      </c>
      <c r="U77" s="123">
        <v>8261.4699999999993</v>
      </c>
      <c r="V77" s="133"/>
      <c r="W77" s="133"/>
      <c r="X77" s="125">
        <v>2.5000000000000001E-4</v>
      </c>
      <c r="Y77" s="125">
        <v>2.2960000000000001E-2</v>
      </c>
      <c r="Z77" s="126">
        <v>5.6100000000000004E-3</v>
      </c>
      <c r="AA77" s="161"/>
    </row>
    <row r="78" spans="1:27" x14ac:dyDescent="0.2">
      <c r="A78" s="121" t="s">
        <v>1223</v>
      </c>
      <c r="B78" s="122" t="s">
        <v>1224</v>
      </c>
      <c r="C78" s="122" t="s">
        <v>1226</v>
      </c>
      <c r="D78" s="122" t="s">
        <v>1270</v>
      </c>
      <c r="E78" s="122" t="s">
        <v>1271</v>
      </c>
      <c r="F78" s="122" t="s">
        <v>223</v>
      </c>
      <c r="G78" s="122" t="s">
        <v>53</v>
      </c>
      <c r="H78" s="122" t="s">
        <v>53</v>
      </c>
      <c r="I78" s="122" t="s">
        <v>311</v>
      </c>
      <c r="J78" s="122" t="s">
        <v>1229</v>
      </c>
      <c r="K78" s="122" t="s">
        <v>78</v>
      </c>
      <c r="L78" s="122" t="s">
        <v>1216</v>
      </c>
      <c r="M78" s="123">
        <v>3.66</v>
      </c>
      <c r="N78" s="122" t="s">
        <v>1272</v>
      </c>
      <c r="O78" s="125">
        <v>4.6190000000000002E-2</v>
      </c>
      <c r="P78" s="125">
        <v>3.934E-2</v>
      </c>
      <c r="Q78" s="133"/>
      <c r="R78" s="123">
        <v>5237382</v>
      </c>
      <c r="S78" s="123">
        <v>1</v>
      </c>
      <c r="T78" s="123">
        <v>102.76</v>
      </c>
      <c r="U78" s="123">
        <v>5381.9340000000002</v>
      </c>
      <c r="V78" s="133"/>
      <c r="W78" s="133"/>
      <c r="X78" s="125">
        <v>2.7999999999999998E-4</v>
      </c>
      <c r="Y78" s="125">
        <v>1.495E-2</v>
      </c>
      <c r="Z78" s="126">
        <v>3.65E-3</v>
      </c>
      <c r="AA78" s="161"/>
    </row>
    <row r="79" spans="1:27" x14ac:dyDescent="0.2">
      <c r="A79" s="121" t="s">
        <v>1223</v>
      </c>
      <c r="B79" s="122" t="s">
        <v>1224</v>
      </c>
      <c r="C79" s="122" t="s">
        <v>1237</v>
      </c>
      <c r="D79" s="122" t="s">
        <v>1273</v>
      </c>
      <c r="E79" s="122" t="s">
        <v>1274</v>
      </c>
      <c r="F79" s="122" t="s">
        <v>221</v>
      </c>
      <c r="G79" s="122" t="s">
        <v>53</v>
      </c>
      <c r="H79" s="122" t="s">
        <v>53</v>
      </c>
      <c r="I79" s="122" t="s">
        <v>311</v>
      </c>
      <c r="J79" s="122" t="s">
        <v>1229</v>
      </c>
      <c r="K79" s="122" t="s">
        <v>78</v>
      </c>
      <c r="L79" s="122" t="s">
        <v>1216</v>
      </c>
      <c r="M79" s="123">
        <v>1.66</v>
      </c>
      <c r="N79" s="122" t="s">
        <v>1275</v>
      </c>
      <c r="O79" s="125">
        <v>7.4999999999999997E-3</v>
      </c>
      <c r="P79" s="125">
        <v>2.0789999999999999E-2</v>
      </c>
      <c r="Q79" s="133"/>
      <c r="R79" s="123">
        <v>3874396</v>
      </c>
      <c r="S79" s="123">
        <v>1</v>
      </c>
      <c r="T79" s="123">
        <v>117.66</v>
      </c>
      <c r="U79" s="123">
        <v>4558.6139999999996</v>
      </c>
      <c r="V79" s="133"/>
      <c r="W79" s="133"/>
      <c r="X79" s="125">
        <v>1.6000000000000001E-4</v>
      </c>
      <c r="Y79" s="125">
        <v>1.2670000000000001E-2</v>
      </c>
      <c r="Z79" s="126">
        <v>3.0899999999999999E-3</v>
      </c>
      <c r="AA79" s="161"/>
    </row>
    <row r="80" spans="1:27" x14ac:dyDescent="0.2">
      <c r="A80" s="121" t="s">
        <v>1223</v>
      </c>
      <c r="B80" s="122" t="s">
        <v>1224</v>
      </c>
      <c r="C80" s="122" t="s">
        <v>1226</v>
      </c>
      <c r="D80" s="122" t="s">
        <v>1279</v>
      </c>
      <c r="E80" s="122" t="s">
        <v>1280</v>
      </c>
      <c r="F80" s="122" t="s">
        <v>223</v>
      </c>
      <c r="G80" s="122" t="s">
        <v>53</v>
      </c>
      <c r="H80" s="122" t="s">
        <v>53</v>
      </c>
      <c r="I80" s="122" t="s">
        <v>311</v>
      </c>
      <c r="J80" s="122" t="s">
        <v>1229</v>
      </c>
      <c r="K80" s="122" t="s">
        <v>78</v>
      </c>
      <c r="L80" s="122" t="s">
        <v>1216</v>
      </c>
      <c r="M80" s="123">
        <v>3.2</v>
      </c>
      <c r="N80" s="122" t="s">
        <v>1281</v>
      </c>
      <c r="O80" s="125">
        <v>3.7499999999999999E-2</v>
      </c>
      <c r="P80" s="125">
        <v>3.9070000000000001E-2</v>
      </c>
      <c r="Q80" s="133"/>
      <c r="R80" s="123">
        <v>4271240</v>
      </c>
      <c r="S80" s="123">
        <v>1</v>
      </c>
      <c r="T80" s="123">
        <v>101.7</v>
      </c>
      <c r="U80" s="123">
        <v>4343.8509999999997</v>
      </c>
      <c r="V80" s="133"/>
      <c r="W80" s="133"/>
      <c r="X80" s="125">
        <v>1.2E-4</v>
      </c>
      <c r="Y80" s="125">
        <v>1.2070000000000001E-2</v>
      </c>
      <c r="Z80" s="126">
        <v>2.9499999999999999E-3</v>
      </c>
      <c r="AA80" s="161"/>
    </row>
    <row r="81" spans="1:27" x14ac:dyDescent="0.2">
      <c r="A81" s="121" t="s">
        <v>1223</v>
      </c>
      <c r="B81" s="122" t="s">
        <v>1224</v>
      </c>
      <c r="C81" s="122" t="s">
        <v>1241</v>
      </c>
      <c r="D81" s="122" t="s">
        <v>1305</v>
      </c>
      <c r="E81" s="122" t="s">
        <v>1306</v>
      </c>
      <c r="F81" s="122" t="s">
        <v>223</v>
      </c>
      <c r="G81" s="122" t="s">
        <v>53</v>
      </c>
      <c r="H81" s="122" t="s">
        <v>53</v>
      </c>
      <c r="I81" s="122" t="s">
        <v>311</v>
      </c>
      <c r="J81" s="122" t="s">
        <v>1229</v>
      </c>
      <c r="K81" s="122" t="s">
        <v>78</v>
      </c>
      <c r="L81" s="122" t="s">
        <v>1216</v>
      </c>
      <c r="M81" s="123">
        <v>0.84</v>
      </c>
      <c r="N81" s="122" t="s">
        <v>1307</v>
      </c>
      <c r="O81" s="122" t="s">
        <v>1245</v>
      </c>
      <c r="P81" s="125">
        <v>4.0689999999999997E-2</v>
      </c>
      <c r="Q81" s="133"/>
      <c r="R81" s="123">
        <v>3854581</v>
      </c>
      <c r="S81" s="123">
        <v>1</v>
      </c>
      <c r="T81" s="123">
        <v>96.69</v>
      </c>
      <c r="U81" s="123">
        <v>3726.9940000000001</v>
      </c>
      <c r="V81" s="133"/>
      <c r="W81" s="133"/>
      <c r="X81" s="125">
        <v>2.1000000000000001E-4</v>
      </c>
      <c r="Y81" s="125">
        <v>1.0359999999999999E-2</v>
      </c>
      <c r="Z81" s="126">
        <v>2.5300000000000001E-3</v>
      </c>
      <c r="AA81" s="161"/>
    </row>
    <row r="82" spans="1:27" x14ac:dyDescent="0.2">
      <c r="A82" s="121" t="s">
        <v>1223</v>
      </c>
      <c r="B82" s="122" t="s">
        <v>1224</v>
      </c>
      <c r="C82" s="122" t="s">
        <v>1226</v>
      </c>
      <c r="D82" s="122" t="s">
        <v>1282</v>
      </c>
      <c r="E82" s="122" t="s">
        <v>1283</v>
      </c>
      <c r="F82" s="122" t="s">
        <v>223</v>
      </c>
      <c r="G82" s="122" t="s">
        <v>53</v>
      </c>
      <c r="H82" s="122" t="s">
        <v>53</v>
      </c>
      <c r="I82" s="122" t="s">
        <v>311</v>
      </c>
      <c r="J82" s="122" t="s">
        <v>1229</v>
      </c>
      <c r="K82" s="122" t="s">
        <v>78</v>
      </c>
      <c r="L82" s="122" t="s">
        <v>1216</v>
      </c>
      <c r="M82" s="123">
        <v>17.25</v>
      </c>
      <c r="N82" s="122" t="s">
        <v>1284</v>
      </c>
      <c r="O82" s="125">
        <v>2.8080000000000001E-2</v>
      </c>
      <c r="P82" s="125">
        <v>4.6080000000000003E-2</v>
      </c>
      <c r="Q82" s="133"/>
      <c r="R82" s="123">
        <v>1794527</v>
      </c>
      <c r="S82" s="123">
        <v>1</v>
      </c>
      <c r="T82" s="123">
        <v>74.63</v>
      </c>
      <c r="U82" s="123">
        <v>1339.2560000000001</v>
      </c>
      <c r="V82" s="133"/>
      <c r="W82" s="133"/>
      <c r="X82" s="125">
        <v>6.0000000000000002E-5</v>
      </c>
      <c r="Y82" s="125">
        <v>3.7200000000000002E-3</v>
      </c>
      <c r="Z82" s="126">
        <v>9.1E-4</v>
      </c>
      <c r="AA82" s="161"/>
    </row>
    <row r="83" spans="1:27" x14ac:dyDescent="0.2">
      <c r="A83" s="121" t="s">
        <v>1223</v>
      </c>
      <c r="B83" s="122" t="s">
        <v>1224</v>
      </c>
      <c r="C83" s="122" t="s">
        <v>1237</v>
      </c>
      <c r="D83" s="122" t="s">
        <v>1276</v>
      </c>
      <c r="E83" s="122" t="s">
        <v>1277</v>
      </c>
      <c r="F83" s="122" t="s">
        <v>221</v>
      </c>
      <c r="G83" s="122" t="s">
        <v>53</v>
      </c>
      <c r="H83" s="122" t="s">
        <v>53</v>
      </c>
      <c r="I83" s="122" t="s">
        <v>311</v>
      </c>
      <c r="J83" s="122" t="s">
        <v>1229</v>
      </c>
      <c r="K83" s="122" t="s">
        <v>78</v>
      </c>
      <c r="L83" s="122" t="s">
        <v>1216</v>
      </c>
      <c r="M83" s="123">
        <v>8.9700000000000006</v>
      </c>
      <c r="N83" s="122" t="s">
        <v>1278</v>
      </c>
      <c r="O83" s="125">
        <v>3.9890000000000002E-2</v>
      </c>
      <c r="P83" s="125">
        <v>1.9349999999999999E-2</v>
      </c>
      <c r="Q83" s="133"/>
      <c r="R83" s="123">
        <v>546581</v>
      </c>
      <c r="S83" s="123">
        <v>1</v>
      </c>
      <c r="T83" s="123">
        <v>170.85</v>
      </c>
      <c r="U83" s="123">
        <v>933.83399999999995</v>
      </c>
      <c r="V83" s="133"/>
      <c r="W83" s="133"/>
      <c r="X83" s="125">
        <v>3.0000000000000001E-5</v>
      </c>
      <c r="Y83" s="125">
        <v>2.5899999999999999E-3</v>
      </c>
      <c r="Z83" s="126">
        <v>6.3000000000000003E-4</v>
      </c>
      <c r="AA83" s="161"/>
    </row>
    <row r="84" spans="1:27" x14ac:dyDescent="0.2">
      <c r="A84" s="121" t="s">
        <v>1223</v>
      </c>
      <c r="B84" s="122" t="s">
        <v>1224</v>
      </c>
      <c r="C84" s="122" t="s">
        <v>1285</v>
      </c>
      <c r="D84" s="122" t="s">
        <v>1293</v>
      </c>
      <c r="E84" s="122" t="s">
        <v>1294</v>
      </c>
      <c r="F84" s="122" t="s">
        <v>225</v>
      </c>
      <c r="G84" s="122" t="s">
        <v>61</v>
      </c>
      <c r="H84" s="122" t="s">
        <v>314</v>
      </c>
      <c r="I84" s="122" t="s">
        <v>476</v>
      </c>
      <c r="J84" s="122" t="s">
        <v>1288</v>
      </c>
      <c r="K84" s="122" t="s">
        <v>84</v>
      </c>
      <c r="L84" s="122" t="s">
        <v>1217</v>
      </c>
      <c r="M84" s="123">
        <v>7.3920000000000003</v>
      </c>
      <c r="N84" s="122" t="s">
        <v>1295</v>
      </c>
      <c r="O84" s="125">
        <v>3.875E-2</v>
      </c>
      <c r="P84" s="125">
        <v>4.0829999999999998E-2</v>
      </c>
      <c r="Q84" s="133"/>
      <c r="R84" s="123">
        <v>3065000</v>
      </c>
      <c r="S84" s="123">
        <v>3.306</v>
      </c>
      <c r="T84" s="123">
        <v>98.956000000000003</v>
      </c>
      <c r="U84" s="123">
        <v>10027.11</v>
      </c>
      <c r="V84" s="133"/>
      <c r="W84" s="133"/>
      <c r="X84" s="125">
        <v>2.0000000000000002E-5</v>
      </c>
      <c r="Y84" s="125">
        <v>2.7859999999999999E-2</v>
      </c>
      <c r="Z84" s="126">
        <v>6.8100000000000001E-3</v>
      </c>
      <c r="AA84" s="161"/>
    </row>
    <row r="85" spans="1:27" x14ac:dyDescent="0.2">
      <c r="A85" s="121" t="s">
        <v>1223</v>
      </c>
      <c r="B85" s="122" t="s">
        <v>1224</v>
      </c>
      <c r="C85" s="122" t="s">
        <v>1285</v>
      </c>
      <c r="D85" s="122" t="s">
        <v>1290</v>
      </c>
      <c r="E85" s="122" t="s">
        <v>1291</v>
      </c>
      <c r="F85" s="122" t="s">
        <v>225</v>
      </c>
      <c r="G85" s="122" t="s">
        <v>61</v>
      </c>
      <c r="H85" s="122" t="s">
        <v>314</v>
      </c>
      <c r="I85" s="122" t="s">
        <v>476</v>
      </c>
      <c r="J85" s="122" t="s">
        <v>1288</v>
      </c>
      <c r="K85" s="122" t="s">
        <v>84</v>
      </c>
      <c r="L85" s="122" t="s">
        <v>1217</v>
      </c>
      <c r="M85" s="123">
        <v>6.6879999999999997</v>
      </c>
      <c r="N85" s="122" t="s">
        <v>1292</v>
      </c>
      <c r="O85" s="125">
        <v>3.875E-2</v>
      </c>
      <c r="P85" s="125">
        <v>3.9980000000000002E-2</v>
      </c>
      <c r="Q85" s="133"/>
      <c r="R85" s="123">
        <v>1962000</v>
      </c>
      <c r="S85" s="123">
        <v>3.306</v>
      </c>
      <c r="T85" s="123">
        <v>99.667000000000002</v>
      </c>
      <c r="U85" s="123">
        <v>6464.7730000000001</v>
      </c>
      <c r="V85" s="133"/>
      <c r="W85" s="133"/>
      <c r="X85" s="125">
        <v>2.0000000000000002E-5</v>
      </c>
      <c r="Y85" s="125">
        <v>1.796E-2</v>
      </c>
      <c r="Z85" s="126">
        <v>4.3899999999999998E-3</v>
      </c>
      <c r="AA85" s="161"/>
    </row>
    <row r="86" spans="1:27" x14ac:dyDescent="0.2">
      <c r="A86" s="121" t="s">
        <v>1223</v>
      </c>
      <c r="B86" s="122" t="s">
        <v>1224</v>
      </c>
      <c r="C86" s="122" t="s">
        <v>1285</v>
      </c>
      <c r="D86" s="122" t="s">
        <v>1296</v>
      </c>
      <c r="E86" s="122" t="s">
        <v>1297</v>
      </c>
      <c r="F86" s="122" t="s">
        <v>225</v>
      </c>
      <c r="G86" s="122" t="s">
        <v>61</v>
      </c>
      <c r="H86" s="122" t="s">
        <v>314</v>
      </c>
      <c r="I86" s="122" t="s">
        <v>476</v>
      </c>
      <c r="J86" s="122" t="s">
        <v>1288</v>
      </c>
      <c r="K86" s="122" t="s">
        <v>84</v>
      </c>
      <c r="L86" s="122" t="s">
        <v>1217</v>
      </c>
      <c r="M86" s="123">
        <v>7.0179999999999998</v>
      </c>
      <c r="N86" s="122" t="s">
        <v>1298</v>
      </c>
      <c r="O86" s="125">
        <v>0.04</v>
      </c>
      <c r="P86" s="125">
        <v>4.0370000000000003E-2</v>
      </c>
      <c r="Q86" s="133"/>
      <c r="R86" s="123">
        <v>819000</v>
      </c>
      <c r="S86" s="123">
        <v>3.306</v>
      </c>
      <c r="T86" s="123">
        <v>100.245</v>
      </c>
      <c r="U86" s="123">
        <v>2714.261</v>
      </c>
      <c r="V86" s="133"/>
      <c r="W86" s="133"/>
      <c r="X86" s="125">
        <v>1.0000000000000001E-5</v>
      </c>
      <c r="Y86" s="125">
        <v>7.5399999999999998E-3</v>
      </c>
      <c r="Z86" s="126">
        <v>1.8400000000000001E-3</v>
      </c>
      <c r="AA86" s="161"/>
    </row>
    <row r="87" spans="1:27" x14ac:dyDescent="0.2">
      <c r="A87" s="121" t="s">
        <v>1223</v>
      </c>
      <c r="B87" s="122" t="s">
        <v>1224</v>
      </c>
      <c r="C87" s="122" t="s">
        <v>1285</v>
      </c>
      <c r="D87" s="122" t="s">
        <v>1286</v>
      </c>
      <c r="E87" s="122" t="s">
        <v>1287</v>
      </c>
      <c r="F87" s="122" t="s">
        <v>225</v>
      </c>
      <c r="G87" s="122" t="s">
        <v>61</v>
      </c>
      <c r="H87" s="122" t="s">
        <v>314</v>
      </c>
      <c r="I87" s="122" t="s">
        <v>476</v>
      </c>
      <c r="J87" s="122" t="s">
        <v>1288</v>
      </c>
      <c r="K87" s="122" t="s">
        <v>84</v>
      </c>
      <c r="L87" s="122" t="s">
        <v>1217</v>
      </c>
      <c r="M87" s="123">
        <v>7.3959999999999999</v>
      </c>
      <c r="N87" s="122" t="s">
        <v>1289</v>
      </c>
      <c r="O87" s="125">
        <v>4.2500000000000003E-2</v>
      </c>
      <c r="P87" s="125">
        <v>4.1000000000000002E-2</v>
      </c>
      <c r="Q87" s="133"/>
      <c r="R87" s="123">
        <v>670000</v>
      </c>
      <c r="S87" s="123">
        <v>3.306</v>
      </c>
      <c r="T87" s="123">
        <v>102.72</v>
      </c>
      <c r="U87" s="123">
        <v>2275.2730000000001</v>
      </c>
      <c r="V87" s="133"/>
      <c r="W87" s="133"/>
      <c r="X87" s="125">
        <v>1.0000000000000001E-5</v>
      </c>
      <c r="Y87" s="125">
        <v>6.3200000000000001E-3</v>
      </c>
      <c r="Z87" s="126">
        <v>1.5399999999999999E-3</v>
      </c>
      <c r="AA87" s="161"/>
    </row>
    <row r="88" spans="1:27" x14ac:dyDescent="0.2">
      <c r="A88" s="121" t="s">
        <v>1223</v>
      </c>
      <c r="B88" s="122" t="s">
        <v>1225</v>
      </c>
      <c r="C88" s="122" t="s">
        <v>1237</v>
      </c>
      <c r="D88" s="122" t="s">
        <v>1246</v>
      </c>
      <c r="E88" s="122" t="s">
        <v>1247</v>
      </c>
      <c r="F88" s="122" t="s">
        <v>221</v>
      </c>
      <c r="G88" s="122" t="s">
        <v>53</v>
      </c>
      <c r="H88" s="122" t="s">
        <v>53</v>
      </c>
      <c r="I88" s="122" t="s">
        <v>311</v>
      </c>
      <c r="J88" s="122" t="s">
        <v>1229</v>
      </c>
      <c r="K88" s="122" t="s">
        <v>78</v>
      </c>
      <c r="L88" s="122" t="s">
        <v>1216</v>
      </c>
      <c r="M88" s="123">
        <v>3.02</v>
      </c>
      <c r="N88" s="122" t="s">
        <v>1248</v>
      </c>
      <c r="O88" s="125">
        <v>1.103E-2</v>
      </c>
      <c r="P88" s="125">
        <v>1.9900000000000001E-2</v>
      </c>
      <c r="Q88" s="133"/>
      <c r="R88" s="123">
        <v>1317893</v>
      </c>
      <c r="S88" s="123">
        <v>1</v>
      </c>
      <c r="T88" s="123">
        <v>105.65</v>
      </c>
      <c r="U88" s="123">
        <v>1392.354</v>
      </c>
      <c r="V88" s="133"/>
      <c r="W88" s="133"/>
      <c r="X88" s="125">
        <v>4.0000000000000003E-5</v>
      </c>
      <c r="Y88" s="125">
        <v>0.23421</v>
      </c>
      <c r="Z88" s="126">
        <v>0.13794000000000001</v>
      </c>
      <c r="AA88" s="161"/>
    </row>
    <row r="89" spans="1:27" x14ac:dyDescent="0.2">
      <c r="A89" s="121" t="s">
        <v>1223</v>
      </c>
      <c r="B89" s="122" t="s">
        <v>1225</v>
      </c>
      <c r="C89" s="122" t="s">
        <v>1226</v>
      </c>
      <c r="D89" s="122" t="s">
        <v>1227</v>
      </c>
      <c r="E89" s="122" t="s">
        <v>1228</v>
      </c>
      <c r="F89" s="122" t="s">
        <v>223</v>
      </c>
      <c r="G89" s="122" t="s">
        <v>53</v>
      </c>
      <c r="H89" s="122" t="s">
        <v>53</v>
      </c>
      <c r="I89" s="122" t="s">
        <v>311</v>
      </c>
      <c r="J89" s="122" t="s">
        <v>1229</v>
      </c>
      <c r="K89" s="122" t="s">
        <v>78</v>
      </c>
      <c r="L89" s="122" t="s">
        <v>1216</v>
      </c>
      <c r="M89" s="123">
        <v>10.56</v>
      </c>
      <c r="N89" s="122" t="s">
        <v>1230</v>
      </c>
      <c r="O89" s="125">
        <v>1.4959999999999999E-2</v>
      </c>
      <c r="P89" s="125">
        <v>4.2049999999999997E-2</v>
      </c>
      <c r="Q89" s="133"/>
      <c r="R89" s="123">
        <v>1421892</v>
      </c>
      <c r="S89" s="123">
        <v>1</v>
      </c>
      <c r="T89" s="123">
        <v>75.94</v>
      </c>
      <c r="U89" s="123">
        <v>1079.7850000000001</v>
      </c>
      <c r="V89" s="133"/>
      <c r="W89" s="133"/>
      <c r="X89" s="125">
        <v>4.0000000000000003E-5</v>
      </c>
      <c r="Y89" s="125">
        <v>0.18163000000000001</v>
      </c>
      <c r="Z89" s="126">
        <v>0.10698000000000001</v>
      </c>
      <c r="AA89" s="161"/>
    </row>
    <row r="90" spans="1:27" x14ac:dyDescent="0.2">
      <c r="A90" s="121" t="s">
        <v>1223</v>
      </c>
      <c r="B90" s="122" t="s">
        <v>1225</v>
      </c>
      <c r="C90" s="122" t="s">
        <v>1237</v>
      </c>
      <c r="D90" s="122" t="s">
        <v>1238</v>
      </c>
      <c r="E90" s="122" t="s">
        <v>1239</v>
      </c>
      <c r="F90" s="122" t="s">
        <v>221</v>
      </c>
      <c r="G90" s="122" t="s">
        <v>53</v>
      </c>
      <c r="H90" s="122" t="s">
        <v>53</v>
      </c>
      <c r="I90" s="122" t="s">
        <v>311</v>
      </c>
      <c r="J90" s="122" t="s">
        <v>1229</v>
      </c>
      <c r="K90" s="122" t="s">
        <v>78</v>
      </c>
      <c r="L90" s="122" t="s">
        <v>1216</v>
      </c>
      <c r="M90" s="123">
        <v>6.14</v>
      </c>
      <c r="N90" s="122" t="s">
        <v>1240</v>
      </c>
      <c r="O90" s="125">
        <v>1E-3</v>
      </c>
      <c r="P90" s="125">
        <v>1.8970000000000001E-2</v>
      </c>
      <c r="Q90" s="133"/>
      <c r="R90" s="123">
        <v>772066</v>
      </c>
      <c r="S90" s="123">
        <v>1</v>
      </c>
      <c r="T90" s="123">
        <v>106.54</v>
      </c>
      <c r="U90" s="123">
        <v>822.55899999999997</v>
      </c>
      <c r="V90" s="133"/>
      <c r="W90" s="133"/>
      <c r="X90" s="125">
        <v>2.0000000000000002E-5</v>
      </c>
      <c r="Y90" s="125">
        <v>0.13836000000000001</v>
      </c>
      <c r="Z90" s="126">
        <v>8.1490000000000007E-2</v>
      </c>
      <c r="AA90" s="161"/>
    </row>
    <row r="91" spans="1:27" x14ac:dyDescent="0.2">
      <c r="A91" s="121" t="s">
        <v>1223</v>
      </c>
      <c r="B91" s="122" t="s">
        <v>1225</v>
      </c>
      <c r="C91" s="122" t="s">
        <v>1241</v>
      </c>
      <c r="D91" s="122" t="s">
        <v>1255</v>
      </c>
      <c r="E91" s="122" t="s">
        <v>1256</v>
      </c>
      <c r="F91" s="122" t="s">
        <v>223</v>
      </c>
      <c r="G91" s="122" t="s">
        <v>53</v>
      </c>
      <c r="H91" s="122" t="s">
        <v>53</v>
      </c>
      <c r="I91" s="122" t="s">
        <v>311</v>
      </c>
      <c r="J91" s="122" t="s">
        <v>1229</v>
      </c>
      <c r="K91" s="122" t="s">
        <v>78</v>
      </c>
      <c r="L91" s="122" t="s">
        <v>1216</v>
      </c>
      <c r="M91" s="123">
        <v>0.35</v>
      </c>
      <c r="N91" s="122" t="s">
        <v>1257</v>
      </c>
      <c r="O91" s="122" t="s">
        <v>1245</v>
      </c>
      <c r="P91" s="125">
        <v>4.1689999999999998E-2</v>
      </c>
      <c r="Q91" s="133"/>
      <c r="R91" s="123">
        <v>602598</v>
      </c>
      <c r="S91" s="123">
        <v>1</v>
      </c>
      <c r="T91" s="123">
        <v>98.6</v>
      </c>
      <c r="U91" s="123">
        <v>594.16200000000003</v>
      </c>
      <c r="V91" s="133"/>
      <c r="W91" s="133"/>
      <c r="X91" s="125">
        <v>3.0000000000000001E-5</v>
      </c>
      <c r="Y91" s="125">
        <v>9.9940000000000001E-2</v>
      </c>
      <c r="Z91" s="126">
        <v>5.8860000000000003E-2</v>
      </c>
      <c r="AA91" s="161"/>
    </row>
    <row r="92" spans="1:27" x14ac:dyDescent="0.2">
      <c r="A92" s="121" t="s">
        <v>1223</v>
      </c>
      <c r="B92" s="122" t="s">
        <v>1225</v>
      </c>
      <c r="C92" s="122" t="s">
        <v>1241</v>
      </c>
      <c r="D92" s="122" t="s">
        <v>1258</v>
      </c>
      <c r="E92" s="122" t="s">
        <v>1259</v>
      </c>
      <c r="F92" s="122" t="s">
        <v>223</v>
      </c>
      <c r="G92" s="122" t="s">
        <v>53</v>
      </c>
      <c r="H92" s="122" t="s">
        <v>53</v>
      </c>
      <c r="I92" s="122" t="s">
        <v>311</v>
      </c>
      <c r="J92" s="122" t="s">
        <v>1229</v>
      </c>
      <c r="K92" s="122" t="s">
        <v>78</v>
      </c>
      <c r="L92" s="122" t="s">
        <v>1216</v>
      </c>
      <c r="M92" s="123">
        <v>0.67</v>
      </c>
      <c r="N92" s="122" t="s">
        <v>1260</v>
      </c>
      <c r="O92" s="122" t="s">
        <v>1245</v>
      </c>
      <c r="P92" s="125">
        <v>4.1619999999999997E-2</v>
      </c>
      <c r="Q92" s="133"/>
      <c r="R92" s="123">
        <v>525686</v>
      </c>
      <c r="S92" s="123">
        <v>1</v>
      </c>
      <c r="T92" s="123">
        <v>97.3</v>
      </c>
      <c r="U92" s="123">
        <v>511.49200000000002</v>
      </c>
      <c r="V92" s="133"/>
      <c r="W92" s="133"/>
      <c r="X92" s="125">
        <v>3.0000000000000001E-5</v>
      </c>
      <c r="Y92" s="125">
        <v>8.6040000000000005E-2</v>
      </c>
      <c r="Z92" s="126">
        <v>5.067E-2</v>
      </c>
      <c r="AA92" s="161"/>
    </row>
    <row r="93" spans="1:27" x14ac:dyDescent="0.2">
      <c r="A93" s="121" t="s">
        <v>1223</v>
      </c>
      <c r="B93" s="122" t="s">
        <v>1225</v>
      </c>
      <c r="C93" s="122" t="s">
        <v>1226</v>
      </c>
      <c r="D93" s="122" t="s">
        <v>1252</v>
      </c>
      <c r="E93" s="122" t="s">
        <v>1253</v>
      </c>
      <c r="F93" s="122" t="s">
        <v>223</v>
      </c>
      <c r="G93" s="122" t="s">
        <v>53</v>
      </c>
      <c r="H93" s="122" t="s">
        <v>53</v>
      </c>
      <c r="I93" s="122" t="s">
        <v>311</v>
      </c>
      <c r="J93" s="122" t="s">
        <v>1229</v>
      </c>
      <c r="K93" s="122" t="s">
        <v>78</v>
      </c>
      <c r="L93" s="122" t="s">
        <v>1216</v>
      </c>
      <c r="M93" s="123">
        <v>14.45</v>
      </c>
      <c r="N93" s="122" t="s">
        <v>1254</v>
      </c>
      <c r="O93" s="125">
        <v>3.7499999999999999E-2</v>
      </c>
      <c r="P93" s="125">
        <v>4.4859999999999997E-2</v>
      </c>
      <c r="Q93" s="133"/>
      <c r="R93" s="123">
        <v>483849</v>
      </c>
      <c r="S93" s="123">
        <v>1</v>
      </c>
      <c r="T93" s="123">
        <v>91.85</v>
      </c>
      <c r="U93" s="123">
        <v>444.41500000000002</v>
      </c>
      <c r="V93" s="133"/>
      <c r="W93" s="133"/>
      <c r="X93" s="125">
        <v>2.0000000000000002E-5</v>
      </c>
      <c r="Y93" s="125">
        <v>7.4749999999999997E-2</v>
      </c>
      <c r="Z93" s="126">
        <v>4.403E-2</v>
      </c>
      <c r="AA93" s="161"/>
    </row>
    <row r="94" spans="1:27" x14ac:dyDescent="0.2">
      <c r="A94" s="121" t="s">
        <v>1223</v>
      </c>
      <c r="B94" s="122" t="s">
        <v>1225</v>
      </c>
      <c r="C94" s="122" t="s">
        <v>1226</v>
      </c>
      <c r="D94" s="122" t="s">
        <v>1234</v>
      </c>
      <c r="E94" s="122" t="s">
        <v>1235</v>
      </c>
      <c r="F94" s="122" t="s">
        <v>223</v>
      </c>
      <c r="G94" s="122" t="s">
        <v>53</v>
      </c>
      <c r="H94" s="122" t="s">
        <v>53</v>
      </c>
      <c r="I94" s="122" t="s">
        <v>311</v>
      </c>
      <c r="J94" s="122" t="s">
        <v>1229</v>
      </c>
      <c r="K94" s="122" t="s">
        <v>78</v>
      </c>
      <c r="L94" s="122" t="s">
        <v>1216</v>
      </c>
      <c r="M94" s="123">
        <v>11.18</v>
      </c>
      <c r="N94" s="122" t="s">
        <v>1236</v>
      </c>
      <c r="O94" s="125">
        <v>5.5149999999999998E-2</v>
      </c>
      <c r="P94" s="125">
        <v>4.3409999999999997E-2</v>
      </c>
      <c r="Q94" s="133"/>
      <c r="R94" s="123">
        <v>360354.74</v>
      </c>
      <c r="S94" s="123">
        <v>1</v>
      </c>
      <c r="T94" s="123">
        <v>117</v>
      </c>
      <c r="U94" s="123">
        <v>421.61500000000001</v>
      </c>
      <c r="V94" s="133"/>
      <c r="W94" s="133"/>
      <c r="X94" s="125">
        <v>1.0000000000000001E-5</v>
      </c>
      <c r="Y94" s="125">
        <v>7.0919999999999997E-2</v>
      </c>
      <c r="Z94" s="126">
        <v>4.1770000000000002E-2</v>
      </c>
      <c r="AA94" s="161"/>
    </row>
    <row r="95" spans="1:27" x14ac:dyDescent="0.2">
      <c r="A95" s="121" t="s">
        <v>1223</v>
      </c>
      <c r="B95" s="122" t="s">
        <v>1225</v>
      </c>
      <c r="C95" s="122" t="s">
        <v>1237</v>
      </c>
      <c r="D95" s="122" t="s">
        <v>1311</v>
      </c>
      <c r="E95" s="122" t="s">
        <v>1312</v>
      </c>
      <c r="F95" s="122" t="s">
        <v>221</v>
      </c>
      <c r="G95" s="122" t="s">
        <v>53</v>
      </c>
      <c r="H95" s="122" t="s">
        <v>53</v>
      </c>
      <c r="I95" s="122" t="s">
        <v>311</v>
      </c>
      <c r="J95" s="122" t="s">
        <v>1229</v>
      </c>
      <c r="K95" s="122" t="s">
        <v>78</v>
      </c>
      <c r="L95" s="122" t="s">
        <v>1216</v>
      </c>
      <c r="M95" s="123">
        <v>17.670000000000002</v>
      </c>
      <c r="N95" s="122" t="s">
        <v>1313</v>
      </c>
      <c r="O95" s="125">
        <v>0.01</v>
      </c>
      <c r="P95" s="125">
        <v>2.069E-2</v>
      </c>
      <c r="Q95" s="133"/>
      <c r="R95" s="123">
        <v>141131</v>
      </c>
      <c r="S95" s="123">
        <v>1</v>
      </c>
      <c r="T95" s="123">
        <v>99.57</v>
      </c>
      <c r="U95" s="123">
        <v>140.524</v>
      </c>
      <c r="V95" s="133"/>
      <c r="W95" s="133"/>
      <c r="X95" s="125">
        <v>1.0000000000000001E-5</v>
      </c>
      <c r="Y95" s="125">
        <v>2.3640000000000001E-2</v>
      </c>
      <c r="Z95" s="126">
        <v>1.392E-2</v>
      </c>
      <c r="AA95" s="161"/>
    </row>
    <row r="96" spans="1:27" x14ac:dyDescent="0.2">
      <c r="A96" s="121" t="s">
        <v>1223</v>
      </c>
      <c r="B96" s="122" t="s">
        <v>1225</v>
      </c>
      <c r="C96" s="122" t="s">
        <v>1237</v>
      </c>
      <c r="D96" s="122" t="s">
        <v>1261</v>
      </c>
      <c r="E96" s="122" t="s">
        <v>1262</v>
      </c>
      <c r="F96" s="122" t="s">
        <v>221</v>
      </c>
      <c r="G96" s="122" t="s">
        <v>53</v>
      </c>
      <c r="H96" s="122" t="s">
        <v>53</v>
      </c>
      <c r="I96" s="122" t="s">
        <v>311</v>
      </c>
      <c r="J96" s="122" t="s">
        <v>1229</v>
      </c>
      <c r="K96" s="122" t="s">
        <v>78</v>
      </c>
      <c r="L96" s="122" t="s">
        <v>1216</v>
      </c>
      <c r="M96" s="123">
        <v>0.83</v>
      </c>
      <c r="N96" s="122" t="s">
        <v>1263</v>
      </c>
      <c r="O96" s="125">
        <v>1E-3</v>
      </c>
      <c r="P96" s="125">
        <v>2.656E-2</v>
      </c>
      <c r="Q96" s="133"/>
      <c r="R96" s="123">
        <v>117627</v>
      </c>
      <c r="S96" s="123">
        <v>1</v>
      </c>
      <c r="T96" s="123">
        <v>116.31</v>
      </c>
      <c r="U96" s="123">
        <v>136.81200000000001</v>
      </c>
      <c r="V96" s="133"/>
      <c r="W96" s="133"/>
      <c r="X96" s="125">
        <v>1.0000000000000001E-5</v>
      </c>
      <c r="Y96" s="125">
        <v>2.3009999999999999E-2</v>
      </c>
      <c r="Z96" s="126">
        <v>1.355E-2</v>
      </c>
      <c r="AA96" s="161"/>
    </row>
    <row r="97" spans="1:27" x14ac:dyDescent="0.2">
      <c r="A97" s="121" t="s">
        <v>1223</v>
      </c>
      <c r="B97" s="122" t="s">
        <v>1225</v>
      </c>
      <c r="C97" s="122" t="s">
        <v>1226</v>
      </c>
      <c r="D97" s="122" t="s">
        <v>1231</v>
      </c>
      <c r="E97" s="122" t="s">
        <v>1232</v>
      </c>
      <c r="F97" s="122" t="s">
        <v>223</v>
      </c>
      <c r="G97" s="122" t="s">
        <v>53</v>
      </c>
      <c r="H97" s="122" t="s">
        <v>53</v>
      </c>
      <c r="I97" s="122" t="s">
        <v>311</v>
      </c>
      <c r="J97" s="122" t="s">
        <v>1229</v>
      </c>
      <c r="K97" s="122" t="s">
        <v>78</v>
      </c>
      <c r="L97" s="122" t="s">
        <v>1216</v>
      </c>
      <c r="M97" s="123">
        <v>6.29</v>
      </c>
      <c r="N97" s="122" t="s">
        <v>1233</v>
      </c>
      <c r="O97" s="125">
        <v>1.2999999999999999E-2</v>
      </c>
      <c r="P97" s="125">
        <v>4.018E-2</v>
      </c>
      <c r="Q97" s="133"/>
      <c r="R97" s="123">
        <v>76574</v>
      </c>
      <c r="S97" s="123">
        <v>1</v>
      </c>
      <c r="T97" s="123">
        <v>85.09</v>
      </c>
      <c r="U97" s="123">
        <v>65.156999999999996</v>
      </c>
      <c r="V97" s="133"/>
      <c r="W97" s="133"/>
      <c r="X97" s="125">
        <v>0</v>
      </c>
      <c r="Y97" s="125">
        <v>1.0959999999999999E-2</v>
      </c>
      <c r="Z97" s="126">
        <v>6.4599999999999996E-3</v>
      </c>
      <c r="AA97" s="161"/>
    </row>
    <row r="98" spans="1:27" x14ac:dyDescent="0.2">
      <c r="A98" s="121" t="s">
        <v>1223</v>
      </c>
      <c r="B98" s="122" t="s">
        <v>1225</v>
      </c>
      <c r="C98" s="122" t="s">
        <v>1226</v>
      </c>
      <c r="D98" s="122" t="s">
        <v>1249</v>
      </c>
      <c r="E98" s="122" t="s">
        <v>1250</v>
      </c>
      <c r="F98" s="122" t="s">
        <v>223</v>
      </c>
      <c r="G98" s="122" t="s">
        <v>53</v>
      </c>
      <c r="H98" s="122" t="s">
        <v>53</v>
      </c>
      <c r="I98" s="122" t="s">
        <v>311</v>
      </c>
      <c r="J98" s="122" t="s">
        <v>1229</v>
      </c>
      <c r="K98" s="122" t="s">
        <v>78</v>
      </c>
      <c r="L98" s="122" t="s">
        <v>1216</v>
      </c>
      <c r="M98" s="123">
        <v>7.93</v>
      </c>
      <c r="N98" s="122" t="s">
        <v>1251</v>
      </c>
      <c r="O98" s="125">
        <v>0.04</v>
      </c>
      <c r="P98" s="125">
        <v>4.0960000000000003E-2</v>
      </c>
      <c r="Q98" s="133"/>
      <c r="R98" s="123">
        <v>54366</v>
      </c>
      <c r="S98" s="123">
        <v>1</v>
      </c>
      <c r="T98" s="123">
        <v>101.25</v>
      </c>
      <c r="U98" s="123">
        <v>55.045999999999999</v>
      </c>
      <c r="V98" s="133"/>
      <c r="W98" s="133"/>
      <c r="X98" s="125">
        <v>0</v>
      </c>
      <c r="Y98" s="125">
        <v>9.2599999999999991E-3</v>
      </c>
      <c r="Z98" s="126">
        <v>5.45E-3</v>
      </c>
      <c r="AA98" s="161"/>
    </row>
    <row r="99" spans="1:27" x14ac:dyDescent="0.2">
      <c r="A99" s="121" t="s">
        <v>1223</v>
      </c>
      <c r="B99" s="122" t="s">
        <v>1225</v>
      </c>
      <c r="C99" s="122" t="s">
        <v>1226</v>
      </c>
      <c r="D99" s="122" t="s">
        <v>1264</v>
      </c>
      <c r="E99" s="122" t="s">
        <v>1265</v>
      </c>
      <c r="F99" s="122" t="s">
        <v>223</v>
      </c>
      <c r="G99" s="122" t="s">
        <v>53</v>
      </c>
      <c r="H99" s="122" t="s">
        <v>53</v>
      </c>
      <c r="I99" s="122" t="s">
        <v>311</v>
      </c>
      <c r="J99" s="122" t="s">
        <v>1229</v>
      </c>
      <c r="K99" s="122" t="s">
        <v>78</v>
      </c>
      <c r="L99" s="122" t="s">
        <v>1216</v>
      </c>
      <c r="M99" s="123">
        <v>4.3899999999999997</v>
      </c>
      <c r="N99" s="122" t="s">
        <v>1266</v>
      </c>
      <c r="O99" s="125">
        <v>0.01</v>
      </c>
      <c r="P99" s="125">
        <v>3.9210000000000002E-2</v>
      </c>
      <c r="Q99" s="133"/>
      <c r="R99" s="123">
        <v>61521</v>
      </c>
      <c r="S99" s="123">
        <v>1</v>
      </c>
      <c r="T99" s="123">
        <v>88.66</v>
      </c>
      <c r="U99" s="123">
        <v>54.545000000000002</v>
      </c>
      <c r="V99" s="133"/>
      <c r="W99" s="133"/>
      <c r="X99" s="125">
        <v>0</v>
      </c>
      <c r="Y99" s="125">
        <v>9.1699999999999993E-3</v>
      </c>
      <c r="Z99" s="126">
        <v>5.4000000000000003E-3</v>
      </c>
      <c r="AA99" s="161"/>
    </row>
    <row r="100" spans="1:27" x14ac:dyDescent="0.2">
      <c r="A100" s="121" t="s">
        <v>1223</v>
      </c>
      <c r="B100" s="122" t="s">
        <v>1225</v>
      </c>
      <c r="C100" s="122" t="s">
        <v>1226</v>
      </c>
      <c r="D100" s="122" t="s">
        <v>1308</v>
      </c>
      <c r="E100" s="122" t="s">
        <v>1309</v>
      </c>
      <c r="F100" s="122" t="s">
        <v>223</v>
      </c>
      <c r="G100" s="122" t="s">
        <v>53</v>
      </c>
      <c r="H100" s="122" t="s">
        <v>53</v>
      </c>
      <c r="I100" s="122" t="s">
        <v>311</v>
      </c>
      <c r="J100" s="122" t="s">
        <v>1229</v>
      </c>
      <c r="K100" s="122" t="s">
        <v>78</v>
      </c>
      <c r="L100" s="122" t="s">
        <v>1216</v>
      </c>
      <c r="M100" s="123">
        <v>2.93</v>
      </c>
      <c r="N100" s="122" t="s">
        <v>1310</v>
      </c>
      <c r="O100" s="125">
        <v>2.2499999999999999E-2</v>
      </c>
      <c r="P100" s="125">
        <v>3.9210000000000002E-2</v>
      </c>
      <c r="Q100" s="133"/>
      <c r="R100" s="123">
        <v>51667</v>
      </c>
      <c r="S100" s="123">
        <v>1</v>
      </c>
      <c r="T100" s="123">
        <v>95.37</v>
      </c>
      <c r="U100" s="123">
        <v>49.274999999999999</v>
      </c>
      <c r="V100" s="133"/>
      <c r="W100" s="133"/>
      <c r="X100" s="125">
        <v>0</v>
      </c>
      <c r="Y100" s="125">
        <v>8.2900000000000005E-3</v>
      </c>
      <c r="Z100" s="126">
        <v>4.8799999999999998E-3</v>
      </c>
      <c r="AA100" s="161"/>
    </row>
    <row r="101" spans="1:27" x14ac:dyDescent="0.2">
      <c r="A101" s="121" t="s">
        <v>1223</v>
      </c>
      <c r="B101" s="122" t="s">
        <v>1225</v>
      </c>
      <c r="C101" s="122" t="s">
        <v>1226</v>
      </c>
      <c r="D101" s="122" t="s">
        <v>1270</v>
      </c>
      <c r="E101" s="122" t="s">
        <v>1271</v>
      </c>
      <c r="F101" s="122" t="s">
        <v>223</v>
      </c>
      <c r="G101" s="122" t="s">
        <v>53</v>
      </c>
      <c r="H101" s="122" t="s">
        <v>53</v>
      </c>
      <c r="I101" s="122" t="s">
        <v>311</v>
      </c>
      <c r="J101" s="122" t="s">
        <v>1229</v>
      </c>
      <c r="K101" s="122" t="s">
        <v>78</v>
      </c>
      <c r="L101" s="122" t="s">
        <v>1216</v>
      </c>
      <c r="M101" s="123">
        <v>3.66</v>
      </c>
      <c r="N101" s="122" t="s">
        <v>1272</v>
      </c>
      <c r="O101" s="125">
        <v>4.6190000000000002E-2</v>
      </c>
      <c r="P101" s="125">
        <v>3.934E-2</v>
      </c>
      <c r="Q101" s="133"/>
      <c r="R101" s="123">
        <v>43886</v>
      </c>
      <c r="S101" s="123">
        <v>1</v>
      </c>
      <c r="T101" s="123">
        <v>102.76</v>
      </c>
      <c r="U101" s="123">
        <v>45.097000000000001</v>
      </c>
      <c r="V101" s="133"/>
      <c r="W101" s="133"/>
      <c r="X101" s="125">
        <v>0</v>
      </c>
      <c r="Y101" s="125">
        <v>7.5900000000000004E-3</v>
      </c>
      <c r="Z101" s="126">
        <v>4.47E-3</v>
      </c>
      <c r="AA101" s="161"/>
    </row>
    <row r="102" spans="1:27" x14ac:dyDescent="0.2">
      <c r="A102" s="121" t="s">
        <v>1223</v>
      </c>
      <c r="B102" s="122" t="s">
        <v>1225</v>
      </c>
      <c r="C102" s="122" t="s">
        <v>1226</v>
      </c>
      <c r="D102" s="122" t="s">
        <v>1314</v>
      </c>
      <c r="E102" s="122" t="s">
        <v>1315</v>
      </c>
      <c r="F102" s="122" t="s">
        <v>223</v>
      </c>
      <c r="G102" s="122" t="s">
        <v>53</v>
      </c>
      <c r="H102" s="122" t="s">
        <v>53</v>
      </c>
      <c r="I102" s="122" t="s">
        <v>311</v>
      </c>
      <c r="J102" s="122" t="s">
        <v>1229</v>
      </c>
      <c r="K102" s="122" t="s">
        <v>78</v>
      </c>
      <c r="L102" s="122" t="s">
        <v>1216</v>
      </c>
      <c r="M102" s="123">
        <v>1.48</v>
      </c>
      <c r="N102" s="122" t="s">
        <v>1316</v>
      </c>
      <c r="O102" s="125">
        <v>0.02</v>
      </c>
      <c r="P102" s="125">
        <v>3.9489999999999997E-2</v>
      </c>
      <c r="Q102" s="133"/>
      <c r="R102" s="123">
        <v>12297</v>
      </c>
      <c r="S102" s="123">
        <v>1</v>
      </c>
      <c r="T102" s="123">
        <v>98.22</v>
      </c>
      <c r="U102" s="123">
        <v>12.077999999999999</v>
      </c>
      <c r="V102" s="133"/>
      <c r="W102" s="133"/>
      <c r="X102" s="125">
        <v>0</v>
      </c>
      <c r="Y102" s="125">
        <v>2.0300000000000001E-3</v>
      </c>
      <c r="Z102" s="126">
        <v>1.1999999999999999E-3</v>
      </c>
      <c r="AA102" s="161"/>
    </row>
    <row r="103" spans="1:27" x14ac:dyDescent="0.2">
      <c r="A103" s="121" t="s">
        <v>1223</v>
      </c>
      <c r="B103" s="122" t="s">
        <v>1225</v>
      </c>
      <c r="C103" s="122" t="s">
        <v>1285</v>
      </c>
      <c r="D103" s="122" t="s">
        <v>1290</v>
      </c>
      <c r="E103" s="122" t="s">
        <v>1291</v>
      </c>
      <c r="F103" s="122" t="s">
        <v>225</v>
      </c>
      <c r="G103" s="122" t="s">
        <v>61</v>
      </c>
      <c r="H103" s="122" t="s">
        <v>314</v>
      </c>
      <c r="I103" s="122" t="s">
        <v>476</v>
      </c>
      <c r="J103" s="122" t="s">
        <v>1288</v>
      </c>
      <c r="K103" s="122" t="s">
        <v>84</v>
      </c>
      <c r="L103" s="122" t="s">
        <v>1217</v>
      </c>
      <c r="M103" s="123">
        <v>6.6879999999999997</v>
      </c>
      <c r="N103" s="122" t="s">
        <v>1292</v>
      </c>
      <c r="O103" s="125">
        <v>3.875E-2</v>
      </c>
      <c r="P103" s="125">
        <v>3.9980000000000002E-2</v>
      </c>
      <c r="Q103" s="133"/>
      <c r="R103" s="123">
        <v>29900</v>
      </c>
      <c r="S103" s="123">
        <v>3.306</v>
      </c>
      <c r="T103" s="123">
        <v>99.667000000000002</v>
      </c>
      <c r="U103" s="123">
        <v>98.52</v>
      </c>
      <c r="V103" s="133"/>
      <c r="W103" s="133"/>
      <c r="X103" s="125">
        <v>0</v>
      </c>
      <c r="Y103" s="125">
        <v>1.6570000000000001E-2</v>
      </c>
      <c r="Z103" s="126">
        <v>9.7599999999999996E-3</v>
      </c>
      <c r="AA103" s="161"/>
    </row>
    <row r="104" spans="1:27" x14ac:dyDescent="0.2">
      <c r="A104" s="121" t="s">
        <v>1223</v>
      </c>
      <c r="B104" s="122" t="s">
        <v>1225</v>
      </c>
      <c r="C104" s="122" t="s">
        <v>1285</v>
      </c>
      <c r="D104" s="122" t="s">
        <v>1296</v>
      </c>
      <c r="E104" s="122" t="s">
        <v>1297</v>
      </c>
      <c r="F104" s="122" t="s">
        <v>225</v>
      </c>
      <c r="G104" s="122" t="s">
        <v>61</v>
      </c>
      <c r="H104" s="122" t="s">
        <v>314</v>
      </c>
      <c r="I104" s="122" t="s">
        <v>476</v>
      </c>
      <c r="J104" s="122" t="s">
        <v>1288</v>
      </c>
      <c r="K104" s="122" t="s">
        <v>84</v>
      </c>
      <c r="L104" s="122" t="s">
        <v>1217</v>
      </c>
      <c r="M104" s="123">
        <v>7.0179999999999998</v>
      </c>
      <c r="N104" s="122" t="s">
        <v>1298</v>
      </c>
      <c r="O104" s="125">
        <v>0.04</v>
      </c>
      <c r="P104" s="125">
        <v>4.0370000000000003E-2</v>
      </c>
      <c r="Q104" s="133"/>
      <c r="R104" s="123">
        <v>6500</v>
      </c>
      <c r="S104" s="123">
        <v>3.306</v>
      </c>
      <c r="T104" s="123">
        <v>100.245</v>
      </c>
      <c r="U104" s="123">
        <v>21.542000000000002</v>
      </c>
      <c r="V104" s="133"/>
      <c r="W104" s="133"/>
      <c r="X104" s="125">
        <v>0</v>
      </c>
      <c r="Y104" s="125">
        <v>3.62E-3</v>
      </c>
      <c r="Z104" s="126">
        <v>2.1299999999999999E-3</v>
      </c>
      <c r="AA104" s="161"/>
    </row>
    <row r="105" spans="1:27" x14ac:dyDescent="0.2">
      <c r="A105" s="121" t="s">
        <v>1223</v>
      </c>
      <c r="B105" s="122" t="s">
        <v>1223</v>
      </c>
      <c r="C105" s="122" t="s">
        <v>1226</v>
      </c>
      <c r="D105" s="122" t="s">
        <v>1227</v>
      </c>
      <c r="E105" s="122" t="s">
        <v>1228</v>
      </c>
      <c r="F105" s="122" t="s">
        <v>223</v>
      </c>
      <c r="G105" s="122" t="s">
        <v>53</v>
      </c>
      <c r="H105" s="122" t="s">
        <v>53</v>
      </c>
      <c r="I105" s="122" t="s">
        <v>311</v>
      </c>
      <c r="J105" s="122" t="s">
        <v>1229</v>
      </c>
      <c r="K105" s="122" t="s">
        <v>78</v>
      </c>
      <c r="L105" s="122" t="s">
        <v>1216</v>
      </c>
      <c r="M105" s="123">
        <v>10.56</v>
      </c>
      <c r="N105" s="122" t="s">
        <v>1230</v>
      </c>
      <c r="O105" s="125">
        <v>1.4959999999999999E-2</v>
      </c>
      <c r="P105" s="125">
        <v>4.2049999999999997E-2</v>
      </c>
      <c r="Q105" s="133"/>
      <c r="R105" s="123">
        <v>704957353</v>
      </c>
      <c r="S105" s="123">
        <v>1</v>
      </c>
      <c r="T105" s="123">
        <v>75.94</v>
      </c>
      <c r="U105" s="123">
        <v>535344.61399999994</v>
      </c>
      <c r="V105" s="133"/>
      <c r="W105" s="133"/>
      <c r="X105" s="125">
        <v>1.763E-2</v>
      </c>
      <c r="Y105" s="125">
        <v>0.13386000000000001</v>
      </c>
      <c r="Z105" s="126">
        <v>1.9609999999999999E-2</v>
      </c>
      <c r="AA105" s="161"/>
    </row>
    <row r="106" spans="1:27" x14ac:dyDescent="0.2">
      <c r="A106" s="121" t="s">
        <v>1223</v>
      </c>
      <c r="B106" s="122" t="s">
        <v>1223</v>
      </c>
      <c r="C106" s="122" t="s">
        <v>1226</v>
      </c>
      <c r="D106" s="122" t="s">
        <v>1234</v>
      </c>
      <c r="E106" s="122" t="s">
        <v>1235</v>
      </c>
      <c r="F106" s="122" t="s">
        <v>223</v>
      </c>
      <c r="G106" s="122" t="s">
        <v>53</v>
      </c>
      <c r="H106" s="122" t="s">
        <v>53</v>
      </c>
      <c r="I106" s="122" t="s">
        <v>311</v>
      </c>
      <c r="J106" s="122" t="s">
        <v>1229</v>
      </c>
      <c r="K106" s="122" t="s">
        <v>78</v>
      </c>
      <c r="L106" s="122" t="s">
        <v>1216</v>
      </c>
      <c r="M106" s="123">
        <v>11.18</v>
      </c>
      <c r="N106" s="122" t="s">
        <v>1236</v>
      </c>
      <c r="O106" s="125">
        <v>5.5149999999999998E-2</v>
      </c>
      <c r="P106" s="125">
        <v>4.3409999999999997E-2</v>
      </c>
      <c r="Q106" s="133"/>
      <c r="R106" s="123">
        <v>335292115</v>
      </c>
      <c r="S106" s="123">
        <v>1</v>
      </c>
      <c r="T106" s="123">
        <v>117</v>
      </c>
      <c r="U106" s="123">
        <v>392291.77500000002</v>
      </c>
      <c r="V106" s="133"/>
      <c r="W106" s="133"/>
      <c r="X106" s="125">
        <v>1.082E-2</v>
      </c>
      <c r="Y106" s="125">
        <v>9.8089999999999997E-2</v>
      </c>
      <c r="Z106" s="126">
        <v>1.4370000000000001E-2</v>
      </c>
      <c r="AA106" s="161"/>
    </row>
    <row r="107" spans="1:27" x14ac:dyDescent="0.2">
      <c r="A107" s="121" t="s">
        <v>1223</v>
      </c>
      <c r="B107" s="122" t="s">
        <v>1223</v>
      </c>
      <c r="C107" s="122" t="s">
        <v>1237</v>
      </c>
      <c r="D107" s="122" t="s">
        <v>1246</v>
      </c>
      <c r="E107" s="122" t="s">
        <v>1247</v>
      </c>
      <c r="F107" s="122" t="s">
        <v>221</v>
      </c>
      <c r="G107" s="122" t="s">
        <v>53</v>
      </c>
      <c r="H107" s="122" t="s">
        <v>53</v>
      </c>
      <c r="I107" s="122" t="s">
        <v>311</v>
      </c>
      <c r="J107" s="122" t="s">
        <v>1229</v>
      </c>
      <c r="K107" s="122" t="s">
        <v>78</v>
      </c>
      <c r="L107" s="122" t="s">
        <v>1216</v>
      </c>
      <c r="M107" s="123">
        <v>3.02</v>
      </c>
      <c r="N107" s="122" t="s">
        <v>1248</v>
      </c>
      <c r="O107" s="125">
        <v>1.103E-2</v>
      </c>
      <c r="P107" s="125">
        <v>1.9900000000000001E-2</v>
      </c>
      <c r="Q107" s="133"/>
      <c r="R107" s="123">
        <v>323210966</v>
      </c>
      <c r="S107" s="123">
        <v>1</v>
      </c>
      <c r="T107" s="123">
        <v>105.65</v>
      </c>
      <c r="U107" s="123">
        <v>341472.386</v>
      </c>
      <c r="V107" s="133"/>
      <c r="W107" s="133"/>
      <c r="X107" s="125">
        <v>9.5899999999999996E-3</v>
      </c>
      <c r="Y107" s="125">
        <v>8.5379999999999998E-2</v>
      </c>
      <c r="Z107" s="126">
        <v>1.251E-2</v>
      </c>
      <c r="AA107" s="161"/>
    </row>
    <row r="108" spans="1:27" x14ac:dyDescent="0.2">
      <c r="A108" s="121" t="s">
        <v>1223</v>
      </c>
      <c r="B108" s="122" t="s">
        <v>1223</v>
      </c>
      <c r="C108" s="122" t="s">
        <v>1237</v>
      </c>
      <c r="D108" s="122" t="s">
        <v>1238</v>
      </c>
      <c r="E108" s="122" t="s">
        <v>1239</v>
      </c>
      <c r="F108" s="122" t="s">
        <v>221</v>
      </c>
      <c r="G108" s="122" t="s">
        <v>53</v>
      </c>
      <c r="H108" s="122" t="s">
        <v>53</v>
      </c>
      <c r="I108" s="122" t="s">
        <v>311</v>
      </c>
      <c r="J108" s="122" t="s">
        <v>1229</v>
      </c>
      <c r="K108" s="122" t="s">
        <v>78</v>
      </c>
      <c r="L108" s="122" t="s">
        <v>1216</v>
      </c>
      <c r="M108" s="123">
        <v>6.14</v>
      </c>
      <c r="N108" s="122" t="s">
        <v>1240</v>
      </c>
      <c r="O108" s="125">
        <v>1E-3</v>
      </c>
      <c r="P108" s="125">
        <v>1.8970000000000001E-2</v>
      </c>
      <c r="Q108" s="133"/>
      <c r="R108" s="123">
        <v>303016795</v>
      </c>
      <c r="S108" s="123">
        <v>1</v>
      </c>
      <c r="T108" s="123">
        <v>106.54</v>
      </c>
      <c r="U108" s="123">
        <v>322834.09299999999</v>
      </c>
      <c r="V108" s="133"/>
      <c r="W108" s="133"/>
      <c r="X108" s="125">
        <v>8.8500000000000002E-3</v>
      </c>
      <c r="Y108" s="125">
        <v>8.072E-2</v>
      </c>
      <c r="Z108" s="126">
        <v>1.183E-2</v>
      </c>
      <c r="AA108" s="161"/>
    </row>
    <row r="109" spans="1:27" x14ac:dyDescent="0.2">
      <c r="A109" s="121" t="s">
        <v>1223</v>
      </c>
      <c r="B109" s="122" t="s">
        <v>1223</v>
      </c>
      <c r="C109" s="122" t="s">
        <v>1226</v>
      </c>
      <c r="D109" s="122" t="s">
        <v>1231</v>
      </c>
      <c r="E109" s="122" t="s">
        <v>1232</v>
      </c>
      <c r="F109" s="122" t="s">
        <v>223</v>
      </c>
      <c r="G109" s="122" t="s">
        <v>53</v>
      </c>
      <c r="H109" s="122" t="s">
        <v>53</v>
      </c>
      <c r="I109" s="122" t="s">
        <v>311</v>
      </c>
      <c r="J109" s="122" t="s">
        <v>1229</v>
      </c>
      <c r="K109" s="122" t="s">
        <v>78</v>
      </c>
      <c r="L109" s="122" t="s">
        <v>1216</v>
      </c>
      <c r="M109" s="123">
        <v>6.29</v>
      </c>
      <c r="N109" s="122" t="s">
        <v>1233</v>
      </c>
      <c r="O109" s="125">
        <v>1.2999999999999999E-2</v>
      </c>
      <c r="P109" s="125">
        <v>4.018E-2</v>
      </c>
      <c r="Q109" s="133"/>
      <c r="R109" s="123">
        <v>310999073</v>
      </c>
      <c r="S109" s="123">
        <v>1</v>
      </c>
      <c r="T109" s="123">
        <v>85.09</v>
      </c>
      <c r="U109" s="123">
        <v>264629.11099999998</v>
      </c>
      <c r="V109" s="133"/>
      <c r="W109" s="133"/>
      <c r="X109" s="125">
        <v>8.0400000000000003E-3</v>
      </c>
      <c r="Y109" s="125">
        <v>6.6170000000000007E-2</v>
      </c>
      <c r="Z109" s="126">
        <v>9.6900000000000007E-3</v>
      </c>
      <c r="AA109" s="161"/>
    </row>
    <row r="110" spans="1:27" x14ac:dyDescent="0.2">
      <c r="A110" s="121" t="s">
        <v>1223</v>
      </c>
      <c r="B110" s="122" t="s">
        <v>1223</v>
      </c>
      <c r="C110" s="122" t="s">
        <v>1226</v>
      </c>
      <c r="D110" s="122" t="s">
        <v>1252</v>
      </c>
      <c r="E110" s="122" t="s">
        <v>1253</v>
      </c>
      <c r="F110" s="122" t="s">
        <v>223</v>
      </c>
      <c r="G110" s="122" t="s">
        <v>53</v>
      </c>
      <c r="H110" s="122" t="s">
        <v>53</v>
      </c>
      <c r="I110" s="122" t="s">
        <v>311</v>
      </c>
      <c r="J110" s="122" t="s">
        <v>1229</v>
      </c>
      <c r="K110" s="122" t="s">
        <v>78</v>
      </c>
      <c r="L110" s="122" t="s">
        <v>1216</v>
      </c>
      <c r="M110" s="123">
        <v>14.45</v>
      </c>
      <c r="N110" s="122" t="s">
        <v>1254</v>
      </c>
      <c r="O110" s="125">
        <v>3.7499999999999999E-2</v>
      </c>
      <c r="P110" s="125">
        <v>4.4859999999999997E-2</v>
      </c>
      <c r="Q110" s="133"/>
      <c r="R110" s="123">
        <v>268466232</v>
      </c>
      <c r="S110" s="123">
        <v>1</v>
      </c>
      <c r="T110" s="123">
        <v>91.85</v>
      </c>
      <c r="U110" s="123">
        <v>246586.234</v>
      </c>
      <c r="V110" s="133"/>
      <c r="W110" s="133"/>
      <c r="X110" s="125">
        <v>1.023E-2</v>
      </c>
      <c r="Y110" s="125">
        <v>6.166E-2</v>
      </c>
      <c r="Z110" s="126">
        <v>9.0299999999999998E-3</v>
      </c>
      <c r="AA110" s="161"/>
    </row>
    <row r="111" spans="1:27" x14ac:dyDescent="0.2">
      <c r="A111" s="121" t="s">
        <v>1223</v>
      </c>
      <c r="B111" s="122" t="s">
        <v>1223</v>
      </c>
      <c r="C111" s="122" t="s">
        <v>1241</v>
      </c>
      <c r="D111" s="122" t="s">
        <v>1302</v>
      </c>
      <c r="E111" s="122" t="s">
        <v>1303</v>
      </c>
      <c r="F111" s="122" t="s">
        <v>223</v>
      </c>
      <c r="G111" s="122" t="s">
        <v>53</v>
      </c>
      <c r="H111" s="122" t="s">
        <v>53</v>
      </c>
      <c r="I111" s="122" t="s">
        <v>311</v>
      </c>
      <c r="J111" s="122" t="s">
        <v>1229</v>
      </c>
      <c r="K111" s="122" t="s">
        <v>78</v>
      </c>
      <c r="L111" s="122" t="s">
        <v>1216</v>
      </c>
      <c r="M111" s="123">
        <v>0.17</v>
      </c>
      <c r="N111" s="122" t="s">
        <v>1304</v>
      </c>
      <c r="O111" s="122" t="s">
        <v>1245</v>
      </c>
      <c r="P111" s="125">
        <v>4.0910000000000002E-2</v>
      </c>
      <c r="Q111" s="133"/>
      <c r="R111" s="123">
        <v>246863769</v>
      </c>
      <c r="S111" s="123">
        <v>1</v>
      </c>
      <c r="T111" s="123">
        <v>99.31</v>
      </c>
      <c r="U111" s="123">
        <v>245160.40900000001</v>
      </c>
      <c r="V111" s="133"/>
      <c r="W111" s="133"/>
      <c r="X111" s="125">
        <v>8.2299999999999995E-3</v>
      </c>
      <c r="Y111" s="125">
        <v>6.13E-2</v>
      </c>
      <c r="Z111" s="126">
        <v>8.9800000000000001E-3</v>
      </c>
      <c r="AA111" s="161"/>
    </row>
    <row r="112" spans="1:27" x14ac:dyDescent="0.2">
      <c r="A112" s="121" t="s">
        <v>1223</v>
      </c>
      <c r="B112" s="122" t="s">
        <v>1223</v>
      </c>
      <c r="C112" s="122" t="s">
        <v>1241</v>
      </c>
      <c r="D112" s="122" t="s">
        <v>1305</v>
      </c>
      <c r="E112" s="122" t="s">
        <v>1306</v>
      </c>
      <c r="F112" s="122" t="s">
        <v>223</v>
      </c>
      <c r="G112" s="122" t="s">
        <v>53</v>
      </c>
      <c r="H112" s="122" t="s">
        <v>53</v>
      </c>
      <c r="I112" s="122" t="s">
        <v>311</v>
      </c>
      <c r="J112" s="122" t="s">
        <v>1229</v>
      </c>
      <c r="K112" s="122" t="s">
        <v>78</v>
      </c>
      <c r="L112" s="122" t="s">
        <v>1216</v>
      </c>
      <c r="M112" s="123">
        <v>0.84</v>
      </c>
      <c r="N112" s="122" t="s">
        <v>1307</v>
      </c>
      <c r="O112" s="122" t="s">
        <v>1245</v>
      </c>
      <c r="P112" s="125">
        <v>4.0689999999999997E-2</v>
      </c>
      <c r="Q112" s="133"/>
      <c r="R112" s="123">
        <v>229191279</v>
      </c>
      <c r="S112" s="123">
        <v>1</v>
      </c>
      <c r="T112" s="123">
        <v>96.69</v>
      </c>
      <c r="U112" s="123">
        <v>221605.04800000001</v>
      </c>
      <c r="V112" s="133"/>
      <c r="W112" s="133"/>
      <c r="X112" s="125">
        <v>1.273E-2</v>
      </c>
      <c r="Y112" s="125">
        <v>5.5410000000000001E-2</v>
      </c>
      <c r="Z112" s="126">
        <v>8.1200000000000005E-3</v>
      </c>
      <c r="AA112" s="161"/>
    </row>
    <row r="113" spans="1:27" x14ac:dyDescent="0.2">
      <c r="A113" s="121" t="s">
        <v>1223</v>
      </c>
      <c r="B113" s="122" t="s">
        <v>1223</v>
      </c>
      <c r="C113" s="122" t="s">
        <v>1226</v>
      </c>
      <c r="D113" s="122" t="s">
        <v>1249</v>
      </c>
      <c r="E113" s="122" t="s">
        <v>1250</v>
      </c>
      <c r="F113" s="122" t="s">
        <v>223</v>
      </c>
      <c r="G113" s="122" t="s">
        <v>53</v>
      </c>
      <c r="H113" s="122" t="s">
        <v>53</v>
      </c>
      <c r="I113" s="122" t="s">
        <v>311</v>
      </c>
      <c r="J113" s="122" t="s">
        <v>1229</v>
      </c>
      <c r="K113" s="122" t="s">
        <v>78</v>
      </c>
      <c r="L113" s="122" t="s">
        <v>1216</v>
      </c>
      <c r="M113" s="123">
        <v>7.93</v>
      </c>
      <c r="N113" s="122" t="s">
        <v>1251</v>
      </c>
      <c r="O113" s="125">
        <v>0.04</v>
      </c>
      <c r="P113" s="125">
        <v>4.0960000000000003E-2</v>
      </c>
      <c r="Q113" s="133"/>
      <c r="R113" s="123">
        <v>206046474</v>
      </c>
      <c r="S113" s="123">
        <v>1</v>
      </c>
      <c r="T113" s="123">
        <v>101.25</v>
      </c>
      <c r="U113" s="123">
        <v>208622.05499999999</v>
      </c>
      <c r="V113" s="133"/>
      <c r="W113" s="133"/>
      <c r="X113" s="125">
        <v>5.79E-3</v>
      </c>
      <c r="Y113" s="125">
        <v>5.2159999999999998E-2</v>
      </c>
      <c r="Z113" s="126">
        <v>7.6400000000000001E-3</v>
      </c>
      <c r="AA113" s="161"/>
    </row>
    <row r="114" spans="1:27" x14ac:dyDescent="0.2">
      <c r="A114" s="121" t="s">
        <v>1223</v>
      </c>
      <c r="B114" s="122" t="s">
        <v>1223</v>
      </c>
      <c r="C114" s="122" t="s">
        <v>1226</v>
      </c>
      <c r="D114" s="122" t="s">
        <v>1264</v>
      </c>
      <c r="E114" s="122" t="s">
        <v>1265</v>
      </c>
      <c r="F114" s="122" t="s">
        <v>223</v>
      </c>
      <c r="G114" s="122" t="s">
        <v>53</v>
      </c>
      <c r="H114" s="122" t="s">
        <v>53</v>
      </c>
      <c r="I114" s="122" t="s">
        <v>311</v>
      </c>
      <c r="J114" s="122" t="s">
        <v>1229</v>
      </c>
      <c r="K114" s="122" t="s">
        <v>78</v>
      </c>
      <c r="L114" s="122" t="s">
        <v>1216</v>
      </c>
      <c r="M114" s="123">
        <v>4.3899999999999997</v>
      </c>
      <c r="N114" s="122" t="s">
        <v>1266</v>
      </c>
      <c r="O114" s="125">
        <v>0.01</v>
      </c>
      <c r="P114" s="125">
        <v>3.9210000000000002E-2</v>
      </c>
      <c r="Q114" s="133"/>
      <c r="R114" s="123">
        <v>232737317</v>
      </c>
      <c r="S114" s="123">
        <v>1</v>
      </c>
      <c r="T114" s="123">
        <v>88.66</v>
      </c>
      <c r="U114" s="123">
        <v>206344.905</v>
      </c>
      <c r="V114" s="133"/>
      <c r="W114" s="133"/>
      <c r="X114" s="125">
        <v>6.1599999999999997E-3</v>
      </c>
      <c r="Y114" s="125">
        <v>5.1589999999999997E-2</v>
      </c>
      <c r="Z114" s="126">
        <v>7.5599999999999999E-3</v>
      </c>
      <c r="AA114" s="161"/>
    </row>
    <row r="115" spans="1:27" x14ac:dyDescent="0.2">
      <c r="A115" s="121" t="s">
        <v>1223</v>
      </c>
      <c r="B115" s="122" t="s">
        <v>1223</v>
      </c>
      <c r="C115" s="122" t="s">
        <v>1237</v>
      </c>
      <c r="D115" s="122" t="s">
        <v>1261</v>
      </c>
      <c r="E115" s="122" t="s">
        <v>1262</v>
      </c>
      <c r="F115" s="122" t="s">
        <v>221</v>
      </c>
      <c r="G115" s="122" t="s">
        <v>53</v>
      </c>
      <c r="H115" s="122" t="s">
        <v>53</v>
      </c>
      <c r="I115" s="122" t="s">
        <v>311</v>
      </c>
      <c r="J115" s="122" t="s">
        <v>1229</v>
      </c>
      <c r="K115" s="122" t="s">
        <v>78</v>
      </c>
      <c r="L115" s="122" t="s">
        <v>1216</v>
      </c>
      <c r="M115" s="123">
        <v>0.83</v>
      </c>
      <c r="N115" s="122" t="s">
        <v>1263</v>
      </c>
      <c r="O115" s="125">
        <v>1E-3</v>
      </c>
      <c r="P115" s="125">
        <v>2.656E-2</v>
      </c>
      <c r="Q115" s="133"/>
      <c r="R115" s="123">
        <v>166294008</v>
      </c>
      <c r="S115" s="123">
        <v>1</v>
      </c>
      <c r="T115" s="123">
        <v>116.31</v>
      </c>
      <c r="U115" s="123">
        <v>193416.56099999999</v>
      </c>
      <c r="V115" s="133"/>
      <c r="W115" s="133"/>
      <c r="X115" s="125">
        <v>8.2299999999999995E-3</v>
      </c>
      <c r="Y115" s="125">
        <v>4.836E-2</v>
      </c>
      <c r="Z115" s="126">
        <v>7.0899999999999999E-3</v>
      </c>
      <c r="AA115" s="161"/>
    </row>
    <row r="116" spans="1:27" x14ac:dyDescent="0.2">
      <c r="A116" s="121" t="s">
        <v>1223</v>
      </c>
      <c r="B116" s="122" t="s">
        <v>1223</v>
      </c>
      <c r="C116" s="122" t="s">
        <v>1241</v>
      </c>
      <c r="D116" s="122" t="s">
        <v>1317</v>
      </c>
      <c r="E116" s="122" t="s">
        <v>1318</v>
      </c>
      <c r="F116" s="122" t="s">
        <v>223</v>
      </c>
      <c r="G116" s="122" t="s">
        <v>53</v>
      </c>
      <c r="H116" s="122" t="s">
        <v>53</v>
      </c>
      <c r="I116" s="122" t="s">
        <v>311</v>
      </c>
      <c r="J116" s="122" t="s">
        <v>1229</v>
      </c>
      <c r="K116" s="122" t="s">
        <v>78</v>
      </c>
      <c r="L116" s="122" t="s">
        <v>1216</v>
      </c>
      <c r="M116" s="123">
        <v>0.77</v>
      </c>
      <c r="N116" s="122" t="s">
        <v>1319</v>
      </c>
      <c r="O116" s="122" t="s">
        <v>1245</v>
      </c>
      <c r="P116" s="125">
        <v>4.1059999999999999E-2</v>
      </c>
      <c r="Q116" s="133"/>
      <c r="R116" s="123">
        <v>111837289</v>
      </c>
      <c r="S116" s="123">
        <v>1</v>
      </c>
      <c r="T116" s="123">
        <v>96.96</v>
      </c>
      <c r="U116" s="123">
        <v>108437.435</v>
      </c>
      <c r="V116" s="133"/>
      <c r="W116" s="133"/>
      <c r="X116" s="125">
        <v>6.2100000000000002E-3</v>
      </c>
      <c r="Y116" s="125">
        <v>2.7109999999999999E-2</v>
      </c>
      <c r="Z116" s="126">
        <v>3.9699999999999996E-3</v>
      </c>
      <c r="AA116" s="161"/>
    </row>
    <row r="117" spans="1:27" x14ac:dyDescent="0.2">
      <c r="A117" s="121" t="s">
        <v>1223</v>
      </c>
      <c r="B117" s="122" t="s">
        <v>1223</v>
      </c>
      <c r="C117" s="122" t="s">
        <v>1226</v>
      </c>
      <c r="D117" s="122" t="s">
        <v>1270</v>
      </c>
      <c r="E117" s="122" t="s">
        <v>1271</v>
      </c>
      <c r="F117" s="122" t="s">
        <v>223</v>
      </c>
      <c r="G117" s="122" t="s">
        <v>53</v>
      </c>
      <c r="H117" s="122" t="s">
        <v>53</v>
      </c>
      <c r="I117" s="122" t="s">
        <v>311</v>
      </c>
      <c r="J117" s="122" t="s">
        <v>1229</v>
      </c>
      <c r="K117" s="122" t="s">
        <v>78</v>
      </c>
      <c r="L117" s="122" t="s">
        <v>1216</v>
      </c>
      <c r="M117" s="123">
        <v>3.66</v>
      </c>
      <c r="N117" s="122" t="s">
        <v>1272</v>
      </c>
      <c r="O117" s="125">
        <v>4.6190000000000002E-2</v>
      </c>
      <c r="P117" s="125">
        <v>3.934E-2</v>
      </c>
      <c r="Q117" s="133"/>
      <c r="R117" s="123">
        <v>102373349</v>
      </c>
      <c r="S117" s="123">
        <v>1</v>
      </c>
      <c r="T117" s="123">
        <v>102.76</v>
      </c>
      <c r="U117" s="123">
        <v>105198.853</v>
      </c>
      <c r="V117" s="133"/>
      <c r="W117" s="133"/>
      <c r="X117" s="125">
        <v>5.4299999999999999E-3</v>
      </c>
      <c r="Y117" s="125">
        <v>2.63E-2</v>
      </c>
      <c r="Z117" s="126">
        <v>3.8500000000000001E-3</v>
      </c>
      <c r="AA117" s="161"/>
    </row>
    <row r="118" spans="1:27" x14ac:dyDescent="0.2">
      <c r="A118" s="121" t="s">
        <v>1223</v>
      </c>
      <c r="B118" s="122" t="s">
        <v>1223</v>
      </c>
      <c r="C118" s="122" t="s">
        <v>1237</v>
      </c>
      <c r="D118" s="122" t="s">
        <v>1267</v>
      </c>
      <c r="E118" s="122" t="s">
        <v>1268</v>
      </c>
      <c r="F118" s="122" t="s">
        <v>221</v>
      </c>
      <c r="G118" s="122" t="s">
        <v>53</v>
      </c>
      <c r="H118" s="122" t="s">
        <v>53</v>
      </c>
      <c r="I118" s="122" t="s">
        <v>311</v>
      </c>
      <c r="J118" s="122" t="s">
        <v>1229</v>
      </c>
      <c r="K118" s="122" t="s">
        <v>78</v>
      </c>
      <c r="L118" s="122" t="s">
        <v>1216</v>
      </c>
      <c r="M118" s="123">
        <v>3.63</v>
      </c>
      <c r="N118" s="122" t="s">
        <v>1269</v>
      </c>
      <c r="O118" s="125">
        <v>5.0000000000000001E-3</v>
      </c>
      <c r="P118" s="125">
        <v>1.9290000000000002E-2</v>
      </c>
      <c r="Q118" s="133"/>
      <c r="R118" s="123">
        <v>74017512</v>
      </c>
      <c r="S118" s="123">
        <v>1</v>
      </c>
      <c r="T118" s="123">
        <v>113</v>
      </c>
      <c r="U118" s="123">
        <v>83639.789000000004</v>
      </c>
      <c r="V118" s="133"/>
      <c r="W118" s="133"/>
      <c r="X118" s="125">
        <v>2.5100000000000001E-3</v>
      </c>
      <c r="Y118" s="125">
        <v>2.0910000000000002E-2</v>
      </c>
      <c r="Z118" s="126">
        <v>3.0599999999999998E-3</v>
      </c>
      <c r="AA118" s="161"/>
    </row>
    <row r="119" spans="1:27" x14ac:dyDescent="0.2">
      <c r="A119" s="121" t="s">
        <v>1223</v>
      </c>
      <c r="B119" s="122" t="s">
        <v>1223</v>
      </c>
      <c r="C119" s="122" t="s">
        <v>1226</v>
      </c>
      <c r="D119" s="122" t="s">
        <v>1279</v>
      </c>
      <c r="E119" s="122" t="s">
        <v>1280</v>
      </c>
      <c r="F119" s="122" t="s">
        <v>223</v>
      </c>
      <c r="G119" s="122" t="s">
        <v>53</v>
      </c>
      <c r="H119" s="122" t="s">
        <v>53</v>
      </c>
      <c r="I119" s="122" t="s">
        <v>311</v>
      </c>
      <c r="J119" s="122" t="s">
        <v>1229</v>
      </c>
      <c r="K119" s="122" t="s">
        <v>78</v>
      </c>
      <c r="L119" s="122" t="s">
        <v>1216</v>
      </c>
      <c r="M119" s="123">
        <v>3.2</v>
      </c>
      <c r="N119" s="122" t="s">
        <v>1281</v>
      </c>
      <c r="O119" s="125">
        <v>3.7499999999999999E-2</v>
      </c>
      <c r="P119" s="125">
        <v>3.9070000000000001E-2</v>
      </c>
      <c r="Q119" s="133"/>
      <c r="R119" s="123">
        <v>81801134</v>
      </c>
      <c r="S119" s="123">
        <v>1</v>
      </c>
      <c r="T119" s="123">
        <v>101.7</v>
      </c>
      <c r="U119" s="123">
        <v>83191.752999999997</v>
      </c>
      <c r="V119" s="133"/>
      <c r="W119" s="133"/>
      <c r="X119" s="125">
        <v>2.3400000000000001E-3</v>
      </c>
      <c r="Y119" s="125">
        <v>2.0799999999999999E-2</v>
      </c>
      <c r="Z119" s="126">
        <v>3.0500000000000002E-3</v>
      </c>
      <c r="AA119" s="161"/>
    </row>
    <row r="120" spans="1:27" x14ac:dyDescent="0.2">
      <c r="A120" s="121" t="s">
        <v>1223</v>
      </c>
      <c r="B120" s="122" t="s">
        <v>1223</v>
      </c>
      <c r="C120" s="122" t="s">
        <v>1237</v>
      </c>
      <c r="D120" s="122" t="s">
        <v>1273</v>
      </c>
      <c r="E120" s="122" t="s">
        <v>1274</v>
      </c>
      <c r="F120" s="122" t="s">
        <v>221</v>
      </c>
      <c r="G120" s="122" t="s">
        <v>53</v>
      </c>
      <c r="H120" s="122" t="s">
        <v>53</v>
      </c>
      <c r="I120" s="122" t="s">
        <v>311</v>
      </c>
      <c r="J120" s="122" t="s">
        <v>1229</v>
      </c>
      <c r="K120" s="122" t="s">
        <v>78</v>
      </c>
      <c r="L120" s="122" t="s">
        <v>1216</v>
      </c>
      <c r="M120" s="123">
        <v>1.66</v>
      </c>
      <c r="N120" s="122" t="s">
        <v>1275</v>
      </c>
      <c r="O120" s="125">
        <v>7.4999999999999997E-3</v>
      </c>
      <c r="P120" s="125">
        <v>2.0789999999999999E-2</v>
      </c>
      <c r="Q120" s="133"/>
      <c r="R120" s="123">
        <v>50042702</v>
      </c>
      <c r="S120" s="123">
        <v>1</v>
      </c>
      <c r="T120" s="123">
        <v>117.66</v>
      </c>
      <c r="U120" s="123">
        <v>58880.243000000002</v>
      </c>
      <c r="V120" s="133"/>
      <c r="W120" s="133"/>
      <c r="X120" s="125">
        <v>2.0500000000000002E-3</v>
      </c>
      <c r="Y120" s="125">
        <v>1.472E-2</v>
      </c>
      <c r="Z120" s="126">
        <v>2.16E-3</v>
      </c>
      <c r="AA120" s="161"/>
    </row>
    <row r="121" spans="1:27" x14ac:dyDescent="0.2">
      <c r="A121" s="121" t="s">
        <v>1223</v>
      </c>
      <c r="B121" s="122" t="s">
        <v>1223</v>
      </c>
      <c r="C121" s="122" t="s">
        <v>1241</v>
      </c>
      <c r="D121" s="122" t="s">
        <v>1258</v>
      </c>
      <c r="E121" s="122" t="s">
        <v>1259</v>
      </c>
      <c r="F121" s="122" t="s">
        <v>223</v>
      </c>
      <c r="G121" s="122" t="s">
        <v>53</v>
      </c>
      <c r="H121" s="122" t="s">
        <v>53</v>
      </c>
      <c r="I121" s="122" t="s">
        <v>311</v>
      </c>
      <c r="J121" s="122" t="s">
        <v>1229</v>
      </c>
      <c r="K121" s="122" t="s">
        <v>78</v>
      </c>
      <c r="L121" s="122" t="s">
        <v>1216</v>
      </c>
      <c r="M121" s="123">
        <v>0.67</v>
      </c>
      <c r="N121" s="122" t="s">
        <v>1260</v>
      </c>
      <c r="O121" s="122" t="s">
        <v>1245</v>
      </c>
      <c r="P121" s="125">
        <v>4.1619999999999997E-2</v>
      </c>
      <c r="Q121" s="133"/>
      <c r="R121" s="123">
        <v>43668339</v>
      </c>
      <c r="S121" s="123">
        <v>1</v>
      </c>
      <c r="T121" s="123">
        <v>97.3</v>
      </c>
      <c r="U121" s="123">
        <v>42489.294000000002</v>
      </c>
      <c r="V121" s="133"/>
      <c r="W121" s="133"/>
      <c r="X121" s="125">
        <v>2.4299999999999999E-3</v>
      </c>
      <c r="Y121" s="125">
        <v>1.0619999999999999E-2</v>
      </c>
      <c r="Z121" s="126">
        <v>1.56E-3</v>
      </c>
      <c r="AA121" s="161"/>
    </row>
    <row r="122" spans="1:27" x14ac:dyDescent="0.2">
      <c r="A122" s="121" t="s">
        <v>1223</v>
      </c>
      <c r="B122" s="122" t="s">
        <v>1223</v>
      </c>
      <c r="C122" s="122" t="s">
        <v>1226</v>
      </c>
      <c r="D122" s="122" t="s">
        <v>1282</v>
      </c>
      <c r="E122" s="122" t="s">
        <v>1283</v>
      </c>
      <c r="F122" s="122" t="s">
        <v>223</v>
      </c>
      <c r="G122" s="122" t="s">
        <v>53</v>
      </c>
      <c r="H122" s="122" t="s">
        <v>53</v>
      </c>
      <c r="I122" s="122" t="s">
        <v>311</v>
      </c>
      <c r="J122" s="122" t="s">
        <v>1229</v>
      </c>
      <c r="K122" s="122" t="s">
        <v>78</v>
      </c>
      <c r="L122" s="122" t="s">
        <v>1216</v>
      </c>
      <c r="M122" s="123">
        <v>17.25</v>
      </c>
      <c r="N122" s="122" t="s">
        <v>1284</v>
      </c>
      <c r="O122" s="125">
        <v>2.8080000000000001E-2</v>
      </c>
      <c r="P122" s="125">
        <v>4.6080000000000003E-2</v>
      </c>
      <c r="Q122" s="133"/>
      <c r="R122" s="123">
        <v>41390548</v>
      </c>
      <c r="S122" s="123">
        <v>1</v>
      </c>
      <c r="T122" s="123">
        <v>74.63</v>
      </c>
      <c r="U122" s="123">
        <v>30889.766</v>
      </c>
      <c r="V122" s="133"/>
      <c r="W122" s="133"/>
      <c r="X122" s="125">
        <v>1.5E-3</v>
      </c>
      <c r="Y122" s="125">
        <v>7.7200000000000003E-3</v>
      </c>
      <c r="Z122" s="126">
        <v>1.1299999999999999E-3</v>
      </c>
      <c r="AA122" s="161"/>
    </row>
    <row r="123" spans="1:27" x14ac:dyDescent="0.2">
      <c r="A123" s="121" t="s">
        <v>1223</v>
      </c>
      <c r="B123" s="122" t="s">
        <v>1223</v>
      </c>
      <c r="C123" s="122" t="s">
        <v>1226</v>
      </c>
      <c r="D123" s="122" t="s">
        <v>1314</v>
      </c>
      <c r="E123" s="122" t="s">
        <v>1315</v>
      </c>
      <c r="F123" s="122" t="s">
        <v>223</v>
      </c>
      <c r="G123" s="122" t="s">
        <v>53</v>
      </c>
      <c r="H123" s="122" t="s">
        <v>53</v>
      </c>
      <c r="I123" s="122" t="s">
        <v>311</v>
      </c>
      <c r="J123" s="122" t="s">
        <v>1229</v>
      </c>
      <c r="K123" s="122" t="s">
        <v>78</v>
      </c>
      <c r="L123" s="122" t="s">
        <v>1216</v>
      </c>
      <c r="M123" s="123">
        <v>1.48</v>
      </c>
      <c r="N123" s="122" t="s">
        <v>1316</v>
      </c>
      <c r="O123" s="125">
        <v>0.02</v>
      </c>
      <c r="P123" s="125">
        <v>3.9489999999999997E-2</v>
      </c>
      <c r="Q123" s="133"/>
      <c r="R123" s="123">
        <v>24448028</v>
      </c>
      <c r="S123" s="123">
        <v>1</v>
      </c>
      <c r="T123" s="123">
        <v>98.22</v>
      </c>
      <c r="U123" s="123">
        <v>24012.852999999999</v>
      </c>
      <c r="V123" s="133"/>
      <c r="W123" s="133"/>
      <c r="X123" s="125">
        <v>8.7000000000000001E-4</v>
      </c>
      <c r="Y123" s="125">
        <v>6.0000000000000001E-3</v>
      </c>
      <c r="Z123" s="126">
        <v>8.8000000000000003E-4</v>
      </c>
      <c r="AA123" s="161"/>
    </row>
    <row r="124" spans="1:27" x14ac:dyDescent="0.2">
      <c r="A124" s="121" t="s">
        <v>1223</v>
      </c>
      <c r="B124" s="122" t="s">
        <v>1223</v>
      </c>
      <c r="C124" s="122" t="s">
        <v>1237</v>
      </c>
      <c r="D124" s="122" t="s">
        <v>1276</v>
      </c>
      <c r="E124" s="122" t="s">
        <v>1277</v>
      </c>
      <c r="F124" s="122" t="s">
        <v>221</v>
      </c>
      <c r="G124" s="122" t="s">
        <v>53</v>
      </c>
      <c r="H124" s="122" t="s">
        <v>53</v>
      </c>
      <c r="I124" s="122" t="s">
        <v>311</v>
      </c>
      <c r="J124" s="122" t="s">
        <v>1229</v>
      </c>
      <c r="K124" s="122" t="s">
        <v>78</v>
      </c>
      <c r="L124" s="122" t="s">
        <v>1216</v>
      </c>
      <c r="M124" s="123">
        <v>8.9700000000000006</v>
      </c>
      <c r="N124" s="122" t="s">
        <v>1278</v>
      </c>
      <c r="O124" s="125">
        <v>3.9890000000000002E-2</v>
      </c>
      <c r="P124" s="125">
        <v>1.9349999999999999E-2</v>
      </c>
      <c r="Q124" s="133"/>
      <c r="R124" s="123">
        <v>12231606</v>
      </c>
      <c r="S124" s="123">
        <v>1</v>
      </c>
      <c r="T124" s="123">
        <v>170.85</v>
      </c>
      <c r="U124" s="123">
        <v>20897.699000000001</v>
      </c>
      <c r="V124" s="133"/>
      <c r="W124" s="133"/>
      <c r="X124" s="125">
        <v>7.6999999999999996E-4</v>
      </c>
      <c r="Y124" s="125">
        <v>5.2300000000000003E-3</v>
      </c>
      <c r="Z124" s="126">
        <v>7.6999999999999996E-4</v>
      </c>
      <c r="AA124" s="161"/>
    </row>
    <row r="125" spans="1:27" x14ac:dyDescent="0.2">
      <c r="A125" s="121" t="s">
        <v>1223</v>
      </c>
      <c r="B125" s="122" t="s">
        <v>1223</v>
      </c>
      <c r="C125" s="122" t="s">
        <v>1226</v>
      </c>
      <c r="D125" s="122" t="s">
        <v>1308</v>
      </c>
      <c r="E125" s="122" t="s">
        <v>1309</v>
      </c>
      <c r="F125" s="122" t="s">
        <v>223</v>
      </c>
      <c r="G125" s="122" t="s">
        <v>53</v>
      </c>
      <c r="H125" s="122" t="s">
        <v>53</v>
      </c>
      <c r="I125" s="122" t="s">
        <v>311</v>
      </c>
      <c r="J125" s="122" t="s">
        <v>1229</v>
      </c>
      <c r="K125" s="122" t="s">
        <v>78</v>
      </c>
      <c r="L125" s="122" t="s">
        <v>1216</v>
      </c>
      <c r="M125" s="123">
        <v>2.93</v>
      </c>
      <c r="N125" s="122" t="s">
        <v>1310</v>
      </c>
      <c r="O125" s="125">
        <v>2.2499999999999999E-2</v>
      </c>
      <c r="P125" s="125">
        <v>3.9210000000000002E-2</v>
      </c>
      <c r="Q125" s="133"/>
      <c r="R125" s="123">
        <v>702597</v>
      </c>
      <c r="S125" s="123">
        <v>1</v>
      </c>
      <c r="T125" s="123">
        <v>95.37</v>
      </c>
      <c r="U125" s="123">
        <v>670.06700000000001</v>
      </c>
      <c r="V125" s="133"/>
      <c r="W125" s="133"/>
      <c r="X125" s="125">
        <v>2.0000000000000002E-5</v>
      </c>
      <c r="Y125" s="125">
        <v>1.7000000000000001E-4</v>
      </c>
      <c r="Z125" s="126">
        <v>2.0000000000000002E-5</v>
      </c>
      <c r="AA125" s="161"/>
    </row>
    <row r="126" spans="1:27" x14ac:dyDescent="0.2">
      <c r="A126" s="121" t="s">
        <v>1223</v>
      </c>
      <c r="B126" s="122" t="s">
        <v>1223</v>
      </c>
      <c r="C126" s="122" t="s">
        <v>1285</v>
      </c>
      <c r="D126" s="122" t="s">
        <v>1293</v>
      </c>
      <c r="E126" s="122" t="s">
        <v>1294</v>
      </c>
      <c r="F126" s="122" t="s">
        <v>225</v>
      </c>
      <c r="G126" s="122" t="s">
        <v>61</v>
      </c>
      <c r="H126" s="122" t="s">
        <v>314</v>
      </c>
      <c r="I126" s="122" t="s">
        <v>476</v>
      </c>
      <c r="J126" s="122" t="s">
        <v>1288</v>
      </c>
      <c r="K126" s="122" t="s">
        <v>84</v>
      </c>
      <c r="L126" s="122" t="s">
        <v>1217</v>
      </c>
      <c r="M126" s="123">
        <v>7.3920000000000003</v>
      </c>
      <c r="N126" s="122" t="s">
        <v>1295</v>
      </c>
      <c r="O126" s="125">
        <v>3.875E-2</v>
      </c>
      <c r="P126" s="125">
        <v>4.0829999999999998E-2</v>
      </c>
      <c r="Q126" s="133"/>
      <c r="R126" s="123">
        <v>33861000</v>
      </c>
      <c r="S126" s="123">
        <v>3.306</v>
      </c>
      <c r="T126" s="123">
        <v>98.956000000000003</v>
      </c>
      <c r="U126" s="123">
        <v>110775.84299999999</v>
      </c>
      <c r="V126" s="133"/>
      <c r="W126" s="133"/>
      <c r="X126" s="125">
        <v>2.5999999999999998E-4</v>
      </c>
      <c r="Y126" s="125">
        <v>2.7699999999999999E-2</v>
      </c>
      <c r="Z126" s="126">
        <v>4.0600000000000002E-3</v>
      </c>
      <c r="AA126" s="161"/>
    </row>
    <row r="127" spans="1:27" x14ac:dyDescent="0.2">
      <c r="A127" s="121" t="s">
        <v>1223</v>
      </c>
      <c r="B127" s="122" t="s">
        <v>1223</v>
      </c>
      <c r="C127" s="122" t="s">
        <v>1285</v>
      </c>
      <c r="D127" s="122" t="s">
        <v>1290</v>
      </c>
      <c r="E127" s="122" t="s">
        <v>1291</v>
      </c>
      <c r="F127" s="122" t="s">
        <v>225</v>
      </c>
      <c r="G127" s="122" t="s">
        <v>61</v>
      </c>
      <c r="H127" s="122" t="s">
        <v>314</v>
      </c>
      <c r="I127" s="122" t="s">
        <v>476</v>
      </c>
      <c r="J127" s="122" t="s">
        <v>1288</v>
      </c>
      <c r="K127" s="122" t="s">
        <v>84</v>
      </c>
      <c r="L127" s="122" t="s">
        <v>1217</v>
      </c>
      <c r="M127" s="123">
        <v>6.6879999999999997</v>
      </c>
      <c r="N127" s="122" t="s">
        <v>1292</v>
      </c>
      <c r="O127" s="125">
        <v>3.875E-2</v>
      </c>
      <c r="P127" s="125">
        <v>3.9980000000000002E-2</v>
      </c>
      <c r="Q127" s="133"/>
      <c r="R127" s="123">
        <v>22133100</v>
      </c>
      <c r="S127" s="123">
        <v>3.306</v>
      </c>
      <c r="T127" s="123">
        <v>99.667000000000002</v>
      </c>
      <c r="U127" s="123">
        <v>72928.372000000003</v>
      </c>
      <c r="V127" s="133"/>
      <c r="W127" s="133"/>
      <c r="X127" s="125">
        <v>1.8000000000000001E-4</v>
      </c>
      <c r="Y127" s="125">
        <v>1.8239999999999999E-2</v>
      </c>
      <c r="Z127" s="126">
        <v>2.6700000000000001E-3</v>
      </c>
      <c r="AA127" s="161"/>
    </row>
    <row r="128" spans="1:27" x14ac:dyDescent="0.2">
      <c r="A128" s="121" t="s">
        <v>1223</v>
      </c>
      <c r="B128" s="122" t="s">
        <v>1223</v>
      </c>
      <c r="C128" s="122" t="s">
        <v>1285</v>
      </c>
      <c r="D128" s="122" t="s">
        <v>1286</v>
      </c>
      <c r="E128" s="122" t="s">
        <v>1287</v>
      </c>
      <c r="F128" s="122" t="s">
        <v>225</v>
      </c>
      <c r="G128" s="122" t="s">
        <v>61</v>
      </c>
      <c r="H128" s="122" t="s">
        <v>314</v>
      </c>
      <c r="I128" s="122" t="s">
        <v>476</v>
      </c>
      <c r="J128" s="122" t="s">
        <v>1288</v>
      </c>
      <c r="K128" s="122" t="s">
        <v>84</v>
      </c>
      <c r="L128" s="122" t="s">
        <v>1217</v>
      </c>
      <c r="M128" s="123">
        <v>7.3959999999999999</v>
      </c>
      <c r="N128" s="122" t="s">
        <v>1289</v>
      </c>
      <c r="O128" s="125">
        <v>4.2500000000000003E-2</v>
      </c>
      <c r="P128" s="125">
        <v>4.1000000000000002E-2</v>
      </c>
      <c r="Q128" s="133"/>
      <c r="R128" s="123">
        <v>13691000</v>
      </c>
      <c r="S128" s="123">
        <v>3.306</v>
      </c>
      <c r="T128" s="123">
        <v>102.72</v>
      </c>
      <c r="U128" s="123">
        <v>46493.678</v>
      </c>
      <c r="V128" s="133"/>
      <c r="W128" s="133"/>
      <c r="X128" s="125">
        <v>1.4999999999999999E-4</v>
      </c>
      <c r="Y128" s="125">
        <v>1.163E-2</v>
      </c>
      <c r="Z128" s="126">
        <v>1.6999999999999999E-3</v>
      </c>
      <c r="AA128" s="161"/>
    </row>
    <row r="129" spans="1:27" x14ac:dyDescent="0.2">
      <c r="A129" s="127" t="s">
        <v>1223</v>
      </c>
      <c r="B129" s="128" t="s">
        <v>1223</v>
      </c>
      <c r="C129" s="128" t="s">
        <v>1285</v>
      </c>
      <c r="D129" s="128" t="s">
        <v>1296</v>
      </c>
      <c r="E129" s="128" t="s">
        <v>1297</v>
      </c>
      <c r="F129" s="128" t="s">
        <v>225</v>
      </c>
      <c r="G129" s="128" t="s">
        <v>61</v>
      </c>
      <c r="H129" s="128" t="s">
        <v>314</v>
      </c>
      <c r="I129" s="128" t="s">
        <v>476</v>
      </c>
      <c r="J129" s="128" t="s">
        <v>1288</v>
      </c>
      <c r="K129" s="128" t="s">
        <v>84</v>
      </c>
      <c r="L129" s="128" t="s">
        <v>1217</v>
      </c>
      <c r="M129" s="129">
        <v>7.0179999999999998</v>
      </c>
      <c r="N129" s="128" t="s">
        <v>1298</v>
      </c>
      <c r="O129" s="130">
        <v>0.04</v>
      </c>
      <c r="P129" s="130">
        <v>4.0370000000000003E-2</v>
      </c>
      <c r="Q129" s="134"/>
      <c r="R129" s="129">
        <v>9818000</v>
      </c>
      <c r="S129" s="129">
        <v>3.306</v>
      </c>
      <c r="T129" s="129">
        <v>100.245</v>
      </c>
      <c r="U129" s="129">
        <v>32537.987000000001</v>
      </c>
      <c r="V129" s="134"/>
      <c r="W129" s="134"/>
      <c r="X129" s="130">
        <v>8.0000000000000007E-5</v>
      </c>
      <c r="Y129" s="130">
        <v>8.1399999999999997E-3</v>
      </c>
      <c r="Z129" s="131">
        <v>1.1900000000000001E-3</v>
      </c>
      <c r="AA129" s="161"/>
    </row>
    <row r="130" spans="1:27" x14ac:dyDescent="0.2">
      <c r="A130" s="161" t="s">
        <v>3483</v>
      </c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</row>
    <row r="131" spans="1:27" x14ac:dyDescent="0.2">
      <c r="A131" s="3" t="s">
        <v>3482</v>
      </c>
    </row>
    <row r="132" spans="1:27" x14ac:dyDescent="0.2">
      <c r="A132" s="156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  <pageSetup orientation="portrait"/>
    </customSheetView>
  </customSheetViews>
  <mergeCells count="2">
    <mergeCell ref="A130:Z130"/>
    <mergeCell ref="AA2:AA129"/>
  </mergeCells>
  <dataValidations count="5">
    <dataValidation type="list" allowBlank="1" showInputMessage="1" showErrorMessage="1" sqref="G3:G21" xr:uid="{00000000-0002-0000-0400-000000000000}">
      <formula1>israel_abroad</formula1>
    </dataValidation>
    <dataValidation type="list" allowBlank="1" showInputMessage="1" showErrorMessage="1" sqref="I3:I21" xr:uid="{00000000-0002-0000-0400-000001000000}">
      <formula1>Stock_Exchange_Gov_Bonds</formula1>
    </dataValidation>
    <dataValidation type="list" allowBlank="1" showInputMessage="1" showErrorMessage="1" sqref="K3:K21" xr:uid="{00000000-0002-0000-0400-000002000000}">
      <formula1>Rating_Agency</formula1>
    </dataValidation>
    <dataValidation type="list" allowBlank="1" showInputMessage="1" showErrorMessage="1" sqref="W3:W21" xr:uid="{00000000-0002-0000-0400-000003000000}">
      <formula1>In_the_books</formula1>
    </dataValidation>
    <dataValidation type="list" allowBlank="1" showInputMessage="1" showErrorMessage="1" sqref="H3:H21" xr:uid="{00000000-0002-0000-0400-000004000000}">
      <formula1>Country_list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5000000}">
          <x14:formula1>
            <xm:f>'אפשרויות בחירה'!$C$862:$C$869</xm:f>
          </x14:formula1>
          <xm:sqref>F3:F21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K11"/>
  <sheetViews>
    <sheetView rightToLeft="1" workbookViewId="0"/>
  </sheetViews>
  <sheetFormatPr defaultColWidth="0" defaultRowHeight="14.25" x14ac:dyDescent="0.2"/>
  <cols>
    <col min="1" max="1" width="29.375" style="3" customWidth="1"/>
    <col min="2" max="4" width="11.625" style="3" customWidth="1"/>
    <col min="5" max="5" width="18.125" style="3" customWidth="1"/>
    <col min="6" max="6" width="11.625" style="3" customWidth="1"/>
    <col min="7" max="7" width="12.75" style="3" customWidth="1"/>
    <col min="8" max="8" width="15.5" style="3" customWidth="1"/>
    <col min="9" max="10" width="11.625" style="3" customWidth="1"/>
    <col min="11" max="11" width="19.875" style="3" customWidth="1"/>
    <col min="12" max="13" width="11.625" style="3" customWidth="1"/>
    <col min="14" max="14" width="15.125" style="3" customWidth="1"/>
    <col min="15" max="16" width="11.625" style="3" customWidth="1"/>
    <col min="17" max="17" width="19" style="3" customWidth="1"/>
    <col min="18" max="18" width="11.75" style="3" customWidth="1"/>
    <col min="19" max="22" width="11.625" style="3" customWidth="1"/>
    <col min="23" max="23" width="12.25" style="3" customWidth="1"/>
    <col min="24" max="24" width="11.875" style="3" customWidth="1"/>
    <col min="25" max="25" width="17.5" style="3" customWidth="1"/>
    <col min="26" max="26" width="14.875" style="3" customWidth="1"/>
    <col min="27" max="27" width="11.625" style="3" customWidth="1"/>
    <col min="28" max="28" width="12.875" style="3" customWidth="1"/>
    <col min="29" max="29" width="22.25" style="3" customWidth="1"/>
    <col min="30" max="30" width="17.875" style="3" customWidth="1"/>
    <col min="31" max="31" width="21.375" style="3" customWidth="1"/>
    <col min="32" max="32" width="24.625" style="3" customWidth="1"/>
    <col min="33" max="33" width="22" style="3" customWidth="1"/>
    <col min="34" max="34" width="19" style="3" customWidth="1"/>
    <col min="35" max="35" width="21.75" style="3" customWidth="1"/>
    <col min="36" max="36" width="20.125" style="3" customWidth="1"/>
    <col min="37" max="16384" width="11.625" style="3" hidden="1"/>
  </cols>
  <sheetData>
    <row r="1" spans="1:37" x14ac:dyDescent="0.2">
      <c r="A1" s="3" t="s">
        <v>3489</v>
      </c>
    </row>
    <row r="2" spans="1:37" x14ac:dyDescent="0.2">
      <c r="A2" s="118" t="s">
        <v>651</v>
      </c>
      <c r="B2" s="119" t="s">
        <v>0</v>
      </c>
      <c r="C2" s="119" t="s">
        <v>724</v>
      </c>
      <c r="D2" s="119" t="s">
        <v>2</v>
      </c>
      <c r="E2" s="119" t="s">
        <v>740</v>
      </c>
      <c r="F2" s="119" t="s">
        <v>1145</v>
      </c>
      <c r="G2" s="119" t="s">
        <v>29</v>
      </c>
      <c r="H2" s="119" t="s">
        <v>28</v>
      </c>
      <c r="I2" s="119" t="s">
        <v>1</v>
      </c>
      <c r="J2" s="119" t="s">
        <v>604</v>
      </c>
      <c r="K2" s="119" t="s">
        <v>605</v>
      </c>
      <c r="L2" s="119" t="s">
        <v>5</v>
      </c>
      <c r="M2" s="119" t="s">
        <v>9</v>
      </c>
      <c r="N2" s="119" t="s">
        <v>606</v>
      </c>
      <c r="O2" s="119" t="s">
        <v>6</v>
      </c>
      <c r="P2" s="119" t="s">
        <v>8</v>
      </c>
      <c r="Q2" s="119" t="s">
        <v>1146</v>
      </c>
      <c r="R2" s="119" t="s">
        <v>396</v>
      </c>
      <c r="S2" s="119" t="s">
        <v>13</v>
      </c>
      <c r="T2" s="119" t="s">
        <v>309</v>
      </c>
      <c r="U2" s="119" t="s">
        <v>421</v>
      </c>
      <c r="V2" s="119" t="s">
        <v>14</v>
      </c>
      <c r="W2" s="119" t="s">
        <v>621</v>
      </c>
      <c r="X2" s="119" t="s">
        <v>925</v>
      </c>
      <c r="Y2" s="119" t="s">
        <v>669</v>
      </c>
      <c r="Z2" s="119" t="s">
        <v>773</v>
      </c>
      <c r="AA2" s="119" t="s">
        <v>11</v>
      </c>
      <c r="AB2" s="119" t="s">
        <v>15</v>
      </c>
      <c r="AC2" s="119" t="s">
        <v>938</v>
      </c>
      <c r="AD2" s="119" t="s">
        <v>1153</v>
      </c>
      <c r="AE2" s="119" t="s">
        <v>1154</v>
      </c>
      <c r="AF2" s="119" t="s">
        <v>788</v>
      </c>
      <c r="AG2" s="119" t="s">
        <v>26</v>
      </c>
      <c r="AH2" s="119" t="s">
        <v>18</v>
      </c>
      <c r="AI2" s="119" t="s">
        <v>19</v>
      </c>
      <c r="AJ2" s="120" t="s">
        <v>30</v>
      </c>
      <c r="AK2" s="161" t="s">
        <v>3484</v>
      </c>
    </row>
    <row r="3" spans="1:37" x14ac:dyDescent="0.2">
      <c r="A3" s="121" t="s">
        <v>1211</v>
      </c>
      <c r="B3" s="122" t="s">
        <v>1212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22"/>
      <c r="P3" s="132"/>
      <c r="Q3" s="132"/>
      <c r="R3" s="132"/>
      <c r="S3" s="132"/>
      <c r="T3" s="135"/>
      <c r="U3" s="132"/>
      <c r="V3" s="132"/>
      <c r="W3" s="133"/>
      <c r="X3" s="132"/>
      <c r="Y3" s="132"/>
      <c r="Z3" s="132"/>
      <c r="AA3" s="132"/>
      <c r="AB3" s="132"/>
      <c r="AC3" s="132"/>
      <c r="AD3" s="132"/>
      <c r="AE3" s="132"/>
      <c r="AF3" s="122"/>
      <c r="AG3" s="132"/>
      <c r="AH3" s="133"/>
      <c r="AI3" s="133"/>
      <c r="AJ3" s="136"/>
      <c r="AK3" s="161"/>
    </row>
    <row r="4" spans="1:37" x14ac:dyDescent="0.2">
      <c r="A4" s="121" t="s">
        <v>1211</v>
      </c>
      <c r="B4" s="122" t="s">
        <v>1220</v>
      </c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22"/>
      <c r="P4" s="132"/>
      <c r="Q4" s="132"/>
      <c r="R4" s="132"/>
      <c r="S4" s="132"/>
      <c r="T4" s="135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3"/>
      <c r="AG4" s="132"/>
      <c r="AH4" s="133"/>
      <c r="AI4" s="133"/>
      <c r="AJ4" s="136"/>
      <c r="AK4" s="161"/>
    </row>
    <row r="5" spans="1:37" x14ac:dyDescent="0.2">
      <c r="A5" s="121" t="s">
        <v>1211</v>
      </c>
      <c r="B5" s="122" t="s">
        <v>1211</v>
      </c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22"/>
      <c r="P5" s="132"/>
      <c r="Q5" s="132"/>
      <c r="R5" s="132"/>
      <c r="S5" s="132"/>
      <c r="T5" s="135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3"/>
      <c r="AG5" s="132"/>
      <c r="AH5" s="133"/>
      <c r="AI5" s="133"/>
      <c r="AJ5" s="136"/>
      <c r="AK5" s="161"/>
    </row>
    <row r="6" spans="1:37" x14ac:dyDescent="0.2">
      <c r="A6" s="121" t="s">
        <v>1223</v>
      </c>
      <c r="B6" s="122" t="s">
        <v>1224</v>
      </c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22"/>
      <c r="P6" s="132"/>
      <c r="Q6" s="132"/>
      <c r="R6" s="132"/>
      <c r="S6" s="132"/>
      <c r="T6" s="135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3"/>
      <c r="AG6" s="132"/>
      <c r="AH6" s="133"/>
      <c r="AI6" s="133"/>
      <c r="AJ6" s="136"/>
      <c r="AK6" s="161"/>
    </row>
    <row r="7" spans="1:37" x14ac:dyDescent="0.2">
      <c r="A7" s="121" t="s">
        <v>1223</v>
      </c>
      <c r="B7" s="122" t="s">
        <v>1225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22"/>
      <c r="P7" s="132"/>
      <c r="Q7" s="132"/>
      <c r="R7" s="132"/>
      <c r="S7" s="132"/>
      <c r="T7" s="135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3"/>
      <c r="AG7" s="132"/>
      <c r="AH7" s="133"/>
      <c r="AI7" s="133"/>
      <c r="AJ7" s="136"/>
      <c r="AK7" s="161"/>
    </row>
    <row r="8" spans="1:37" x14ac:dyDescent="0.2">
      <c r="A8" s="127" t="s">
        <v>1223</v>
      </c>
      <c r="B8" s="128" t="s">
        <v>1223</v>
      </c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28"/>
      <c r="P8" s="137"/>
      <c r="Q8" s="137"/>
      <c r="R8" s="137"/>
      <c r="S8" s="137"/>
      <c r="T8" s="138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4"/>
      <c r="AG8" s="128"/>
      <c r="AH8" s="134"/>
      <c r="AI8" s="134"/>
      <c r="AJ8" s="139"/>
      <c r="AK8" s="161"/>
    </row>
    <row r="9" spans="1:37" x14ac:dyDescent="0.2">
      <c r="A9" s="161" t="s">
        <v>3483</v>
      </c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</row>
    <row r="10" spans="1:37" x14ac:dyDescent="0.2">
      <c r="A10" s="3" t="s">
        <v>3482</v>
      </c>
    </row>
    <row r="11" spans="1:37" x14ac:dyDescent="0.2">
      <c r="A11" s="15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/>
    </customSheetView>
  </customSheetViews>
  <mergeCells count="2">
    <mergeCell ref="A9:AJ9"/>
    <mergeCell ref="AK2:AK8"/>
  </mergeCells>
  <dataValidations count="14">
    <dataValidation type="list" allowBlank="1" showInputMessage="1" showErrorMessage="1" sqref="J3:J8" xr:uid="{00000000-0002-0000-0500-000000000000}">
      <formula1>israel_abroad</formula1>
    </dataValidation>
    <dataValidation type="list" allowBlank="1" showInputMessage="1" showErrorMessage="1" sqref="N3:N8 N10:N1048576" xr:uid="{00000000-0002-0000-0500-000001000000}">
      <formula1>Holding_interest</formula1>
    </dataValidation>
    <dataValidation type="list" allowBlank="1" showInputMessage="1" showErrorMessage="1" sqref="P3:P8" xr:uid="{00000000-0002-0000-0500-000002000000}">
      <formula1>Rating_Agency</formula1>
    </dataValidation>
    <dataValidation type="list" allowBlank="1" showInputMessage="1" showErrorMessage="1" sqref="Q3:Q8" xr:uid="{00000000-0002-0000-0500-000003000000}">
      <formula1>What_is_rated</formula1>
    </dataValidation>
    <dataValidation type="list" allowBlank="1" showInputMessage="1" showErrorMessage="1" sqref="AG3:AG7" xr:uid="{00000000-0002-0000-0500-000004000000}">
      <formula1>In_the_books</formula1>
    </dataValidation>
    <dataValidation type="list" allowBlank="1" showInputMessage="1" showErrorMessage="1" sqref="K3:K8" xr:uid="{00000000-0002-0000-0500-000005000000}">
      <formula1>Country_list</formula1>
    </dataValidation>
    <dataValidation type="list" allowBlank="1" showInputMessage="1" showErrorMessage="1" sqref="T3:T8" xr:uid="{00000000-0002-0000-0500-000006000000}">
      <formula1>Underlying_Interest_Rates</formula1>
    </dataValidation>
    <dataValidation type="list" allowBlank="1" showInputMessage="1" showErrorMessage="1" sqref="Y3:Y8" xr:uid="{00000000-0002-0000-0500-000007000000}">
      <formula1>Yes_No_Bad_Debt</formula1>
    </dataValidation>
    <dataValidation type="list" allowBlank="1" showInputMessage="1" showErrorMessage="1" sqref="X3:X8" xr:uid="{00000000-0002-0000-0500-000008000000}">
      <formula1>Subordination_Risk</formula1>
    </dataValidation>
    <dataValidation type="list" allowBlank="1" showInputMessage="1" showErrorMessage="1" sqref="E3:E8" xr:uid="{00000000-0002-0000-0500-000009000000}">
      <formula1>Issuer_Number_Type_2</formula1>
    </dataValidation>
    <dataValidation type="list" allowBlank="1" showInputMessage="1" showErrorMessage="1" sqref="H4:H8" xr:uid="{00000000-0002-0000-0500-00000A000000}">
      <formula1>Type_of_Security_ID_Fund</formula1>
    </dataValidation>
    <dataValidation type="list" allowBlank="1" showInputMessage="1" showErrorMessage="1" sqref="H3" xr:uid="{00000000-0002-0000-0500-00000B000000}">
      <formula1>Security_ID_Number_Type</formula1>
    </dataValidation>
    <dataValidation type="list" allowBlank="1" showInputMessage="1" showErrorMessage="1" sqref="M3:M8" xr:uid="{00000000-0002-0000-0500-00000C000000}">
      <formula1>Industry_Sector</formula1>
    </dataValidation>
    <dataValidation type="list" allowBlank="1" showInputMessage="1" showErrorMessage="1" sqref="L3:L8" xr:uid="{00000000-0002-0000-0500-00000D000000}">
      <formula1>Stock_Exchange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בחירה'!$C$870:$C$873</xm:f>
          </x14:formula1>
          <xm:sqref>I3:I8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K517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7" width="11.625" customWidth="1"/>
    <col min="18" max="18" width="19" customWidth="1"/>
    <col min="19" max="19" width="11.75" customWidth="1"/>
    <col min="20" max="22" width="11.625" customWidth="1"/>
    <col min="23" max="23" width="12.25" customWidth="1"/>
    <col min="24" max="24" width="11.875" style="3" customWidth="1"/>
    <col min="25" max="25" width="17.5" style="3" customWidth="1"/>
    <col min="26" max="26" width="14.875" customWidth="1"/>
    <col min="27" max="27" width="11.625" customWidth="1"/>
    <col min="28" max="28" width="12.875" customWidth="1"/>
    <col min="29" max="29" width="22.25" customWidth="1"/>
    <col min="30" max="30" width="17.875" customWidth="1"/>
    <col min="31" max="31" width="21.375" customWidth="1"/>
    <col min="32" max="32" width="24.625" customWidth="1"/>
    <col min="33" max="33" width="22" customWidth="1"/>
    <col min="34" max="34" width="19" customWidth="1"/>
    <col min="35" max="35" width="21.75" customWidth="1"/>
    <col min="36" max="36" width="20.125" customWidth="1"/>
    <col min="37" max="16384" width="11.625" hidden="1"/>
  </cols>
  <sheetData>
    <row r="1" spans="1:37" x14ac:dyDescent="0.2">
      <c r="A1" t="s">
        <v>3490</v>
      </c>
    </row>
    <row r="2" spans="1:37" x14ac:dyDescent="0.2">
      <c r="A2" s="118" t="s">
        <v>651</v>
      </c>
      <c r="B2" s="119" t="s">
        <v>0</v>
      </c>
      <c r="C2" s="119" t="s">
        <v>724</v>
      </c>
      <c r="D2" s="119" t="s">
        <v>2</v>
      </c>
      <c r="E2" s="119" t="s">
        <v>740</v>
      </c>
      <c r="F2" s="119" t="s">
        <v>1145</v>
      </c>
      <c r="G2" s="119" t="s">
        <v>29</v>
      </c>
      <c r="H2" s="119" t="s">
        <v>28</v>
      </c>
      <c r="I2" s="119" t="s">
        <v>1</v>
      </c>
      <c r="J2" s="119" t="s">
        <v>604</v>
      </c>
      <c r="K2" s="119" t="s">
        <v>605</v>
      </c>
      <c r="L2" s="119" t="s">
        <v>609</v>
      </c>
      <c r="M2" s="119" t="s">
        <v>5</v>
      </c>
      <c r="N2" s="119" t="s">
        <v>9</v>
      </c>
      <c r="O2" s="119" t="s">
        <v>606</v>
      </c>
      <c r="P2" s="119" t="s">
        <v>6</v>
      </c>
      <c r="Q2" s="119" t="s">
        <v>8</v>
      </c>
      <c r="R2" s="119" t="s">
        <v>1146</v>
      </c>
      <c r="S2" s="119" t="s">
        <v>396</v>
      </c>
      <c r="T2" s="119" t="s">
        <v>13</v>
      </c>
      <c r="U2" s="119" t="s">
        <v>421</v>
      </c>
      <c r="V2" s="119" t="s">
        <v>14</v>
      </c>
      <c r="W2" s="119" t="s">
        <v>621</v>
      </c>
      <c r="X2" s="119" t="s">
        <v>925</v>
      </c>
      <c r="Y2" s="119" t="s">
        <v>669</v>
      </c>
      <c r="Z2" s="119" t="s">
        <v>773</v>
      </c>
      <c r="AA2" s="119" t="s">
        <v>11</v>
      </c>
      <c r="AB2" s="119" t="s">
        <v>15</v>
      </c>
      <c r="AC2" s="119" t="s">
        <v>938</v>
      </c>
      <c r="AD2" s="119" t="s">
        <v>1153</v>
      </c>
      <c r="AE2" s="119" t="s">
        <v>1154</v>
      </c>
      <c r="AF2" s="119" t="s">
        <v>788</v>
      </c>
      <c r="AG2" s="119" t="s">
        <v>26</v>
      </c>
      <c r="AH2" s="119" t="s">
        <v>18</v>
      </c>
      <c r="AI2" s="119" t="s">
        <v>19</v>
      </c>
      <c r="AJ2" s="120" t="s">
        <v>30</v>
      </c>
      <c r="AK2" s="159" t="s">
        <v>3484</v>
      </c>
    </row>
    <row r="3" spans="1:37" x14ac:dyDescent="0.2">
      <c r="A3" s="121" t="s">
        <v>1211</v>
      </c>
      <c r="B3" s="122" t="s">
        <v>1212</v>
      </c>
      <c r="C3" s="122" t="s">
        <v>1320</v>
      </c>
      <c r="D3" s="122" t="s">
        <v>1321</v>
      </c>
      <c r="E3" s="122" t="s">
        <v>429</v>
      </c>
      <c r="F3" s="122" t="s">
        <v>1322</v>
      </c>
      <c r="G3" s="122" t="s">
        <v>1323</v>
      </c>
      <c r="H3" s="122" t="s">
        <v>76</v>
      </c>
      <c r="I3" s="122" t="s">
        <v>228</v>
      </c>
      <c r="J3" s="122" t="s">
        <v>53</v>
      </c>
      <c r="K3" s="122" t="s">
        <v>53</v>
      </c>
      <c r="L3" s="122" t="s">
        <v>805</v>
      </c>
      <c r="M3" s="122" t="s">
        <v>311</v>
      </c>
      <c r="N3" s="122" t="s">
        <v>269</v>
      </c>
      <c r="O3" s="122" t="s">
        <v>62</v>
      </c>
      <c r="P3" s="122" t="s">
        <v>1324</v>
      </c>
      <c r="Q3" s="122" t="s">
        <v>65</v>
      </c>
      <c r="R3" s="122" t="s">
        <v>57</v>
      </c>
      <c r="S3" s="122" t="s">
        <v>1216</v>
      </c>
      <c r="T3" s="123">
        <v>5.2</v>
      </c>
      <c r="U3" s="122" t="s">
        <v>1325</v>
      </c>
      <c r="V3" s="125">
        <v>5.1499999999999997E-2</v>
      </c>
      <c r="W3" s="125">
        <v>4.6640000000000001E-2</v>
      </c>
      <c r="X3" s="122" t="s">
        <v>620</v>
      </c>
      <c r="Y3" s="132"/>
      <c r="Z3" s="123">
        <v>132000</v>
      </c>
      <c r="AA3" s="123">
        <v>1</v>
      </c>
      <c r="AB3" s="123">
        <v>105.19</v>
      </c>
      <c r="AC3" s="135"/>
      <c r="AD3" s="123">
        <v>138.851</v>
      </c>
      <c r="AE3" s="135"/>
      <c r="AF3" s="135"/>
      <c r="AG3" s="132"/>
      <c r="AH3" s="125">
        <v>1.2999999999999999E-4</v>
      </c>
      <c r="AI3" s="125">
        <v>6.1280000000000001E-2</v>
      </c>
      <c r="AJ3" s="126">
        <v>3.9500000000000004E-3</v>
      </c>
      <c r="AK3" s="159"/>
    </row>
    <row r="4" spans="1:37" x14ac:dyDescent="0.2">
      <c r="A4" s="121" t="s">
        <v>1211</v>
      </c>
      <c r="B4" s="122" t="s">
        <v>1212</v>
      </c>
      <c r="C4" s="122" t="s">
        <v>1326</v>
      </c>
      <c r="D4" s="122" t="s">
        <v>1327</v>
      </c>
      <c r="E4" s="122" t="s">
        <v>429</v>
      </c>
      <c r="F4" s="122" t="s">
        <v>1328</v>
      </c>
      <c r="G4" s="122" t="s">
        <v>1329</v>
      </c>
      <c r="H4" s="122" t="s">
        <v>76</v>
      </c>
      <c r="I4" s="122" t="s">
        <v>228</v>
      </c>
      <c r="J4" s="122" t="s">
        <v>53</v>
      </c>
      <c r="K4" s="122" t="s">
        <v>53</v>
      </c>
      <c r="L4" s="122" t="s">
        <v>805</v>
      </c>
      <c r="M4" s="122" t="s">
        <v>311</v>
      </c>
      <c r="N4" s="122" t="s">
        <v>256</v>
      </c>
      <c r="O4" s="122" t="s">
        <v>62</v>
      </c>
      <c r="P4" s="122" t="s">
        <v>1330</v>
      </c>
      <c r="Q4" s="122" t="s">
        <v>65</v>
      </c>
      <c r="R4" s="122" t="s">
        <v>57</v>
      </c>
      <c r="S4" s="122" t="s">
        <v>1216</v>
      </c>
      <c r="T4" s="123">
        <v>4.54</v>
      </c>
      <c r="U4" s="122" t="s">
        <v>1331</v>
      </c>
      <c r="V4" s="125">
        <v>4.8800000000000003E-2</v>
      </c>
      <c r="W4" s="125">
        <v>4.4420000000000001E-2</v>
      </c>
      <c r="X4" s="122" t="s">
        <v>620</v>
      </c>
      <c r="Y4" s="132"/>
      <c r="Z4" s="123">
        <v>130000</v>
      </c>
      <c r="AA4" s="123">
        <v>1</v>
      </c>
      <c r="AB4" s="123">
        <v>103.32</v>
      </c>
      <c r="AC4" s="135"/>
      <c r="AD4" s="123">
        <v>134.316</v>
      </c>
      <c r="AE4" s="135"/>
      <c r="AF4" s="122"/>
      <c r="AG4" s="132"/>
      <c r="AH4" s="125">
        <v>8.0000000000000007E-5</v>
      </c>
      <c r="AI4" s="125">
        <v>5.9279999999999999E-2</v>
      </c>
      <c r="AJ4" s="126">
        <v>3.8300000000000001E-3</v>
      </c>
      <c r="AK4" s="159"/>
    </row>
    <row r="5" spans="1:37" x14ac:dyDescent="0.2">
      <c r="A5" s="121" t="s">
        <v>1211</v>
      </c>
      <c r="B5" s="122" t="s">
        <v>1212</v>
      </c>
      <c r="C5" s="122" t="s">
        <v>1332</v>
      </c>
      <c r="D5" s="122" t="s">
        <v>1333</v>
      </c>
      <c r="E5" s="122" t="s">
        <v>430</v>
      </c>
      <c r="F5" s="122" t="s">
        <v>1334</v>
      </c>
      <c r="G5" s="122" t="s">
        <v>1335</v>
      </c>
      <c r="H5" s="122" t="s">
        <v>76</v>
      </c>
      <c r="I5" s="122" t="s">
        <v>229</v>
      </c>
      <c r="J5" s="122" t="s">
        <v>53</v>
      </c>
      <c r="K5" s="122" t="s">
        <v>53</v>
      </c>
      <c r="L5" s="122" t="s">
        <v>805</v>
      </c>
      <c r="M5" s="122" t="s">
        <v>311</v>
      </c>
      <c r="N5" s="122" t="s">
        <v>156</v>
      </c>
      <c r="O5" s="122" t="s">
        <v>62</v>
      </c>
      <c r="P5" s="122" t="s">
        <v>1215</v>
      </c>
      <c r="Q5" s="122" t="s">
        <v>70</v>
      </c>
      <c r="R5" s="122" t="s">
        <v>57</v>
      </c>
      <c r="S5" s="122" t="s">
        <v>1216</v>
      </c>
      <c r="T5" s="123">
        <v>9.81</v>
      </c>
      <c r="U5" s="122" t="s">
        <v>1336</v>
      </c>
      <c r="V5" s="125">
        <v>3.2000000000000001E-2</v>
      </c>
      <c r="W5" s="125">
        <v>2.8129999999999999E-2</v>
      </c>
      <c r="X5" s="122" t="s">
        <v>620</v>
      </c>
      <c r="Y5" s="132"/>
      <c r="Z5" s="123">
        <v>111000</v>
      </c>
      <c r="AA5" s="123">
        <v>1</v>
      </c>
      <c r="AB5" s="123">
        <v>112.97</v>
      </c>
      <c r="AC5" s="135"/>
      <c r="AD5" s="123">
        <v>125.39700000000001</v>
      </c>
      <c r="AE5" s="135"/>
      <c r="AF5" s="122"/>
      <c r="AG5" s="132"/>
      <c r="AH5" s="125">
        <v>2.0000000000000002E-5</v>
      </c>
      <c r="AI5" s="125">
        <v>5.534E-2</v>
      </c>
      <c r="AJ5" s="126">
        <v>3.5699999999999998E-3</v>
      </c>
      <c r="AK5" s="159"/>
    </row>
    <row r="6" spans="1:37" x14ac:dyDescent="0.2">
      <c r="A6" s="121" t="s">
        <v>1211</v>
      </c>
      <c r="B6" s="122" t="s">
        <v>1212</v>
      </c>
      <c r="C6" s="122" t="s">
        <v>1332</v>
      </c>
      <c r="D6" s="122" t="s">
        <v>1333</v>
      </c>
      <c r="E6" s="122" t="s">
        <v>430</v>
      </c>
      <c r="F6" s="122" t="s">
        <v>1337</v>
      </c>
      <c r="G6" s="122" t="s">
        <v>1338</v>
      </c>
      <c r="H6" s="122" t="s">
        <v>76</v>
      </c>
      <c r="I6" s="122" t="s">
        <v>229</v>
      </c>
      <c r="J6" s="122" t="s">
        <v>53</v>
      </c>
      <c r="K6" s="122" t="s">
        <v>53</v>
      </c>
      <c r="L6" s="122" t="s">
        <v>805</v>
      </c>
      <c r="M6" s="122" t="s">
        <v>311</v>
      </c>
      <c r="N6" s="122" t="s">
        <v>156</v>
      </c>
      <c r="O6" s="122" t="s">
        <v>62</v>
      </c>
      <c r="P6" s="122" t="s">
        <v>1215</v>
      </c>
      <c r="Q6" s="122" t="s">
        <v>70</v>
      </c>
      <c r="R6" s="122" t="s">
        <v>57</v>
      </c>
      <c r="S6" s="122" t="s">
        <v>1216</v>
      </c>
      <c r="T6" s="123">
        <v>6.89</v>
      </c>
      <c r="U6" s="122" t="s">
        <v>1339</v>
      </c>
      <c r="V6" s="125">
        <v>0.03</v>
      </c>
      <c r="W6" s="125">
        <v>2.6270000000000002E-2</v>
      </c>
      <c r="X6" s="122" t="s">
        <v>620</v>
      </c>
      <c r="Y6" s="132"/>
      <c r="Z6" s="123">
        <v>109000</v>
      </c>
      <c r="AA6" s="123">
        <v>1</v>
      </c>
      <c r="AB6" s="123">
        <v>111.48</v>
      </c>
      <c r="AC6" s="135"/>
      <c r="AD6" s="123">
        <v>121.51300000000001</v>
      </c>
      <c r="AE6" s="135"/>
      <c r="AF6" s="122"/>
      <c r="AG6" s="132"/>
      <c r="AH6" s="125">
        <v>3.0000000000000001E-5</v>
      </c>
      <c r="AI6" s="125">
        <v>5.3629999999999997E-2</v>
      </c>
      <c r="AJ6" s="126">
        <v>3.46E-3</v>
      </c>
      <c r="AK6" s="159"/>
    </row>
    <row r="7" spans="1:37" x14ac:dyDescent="0.2">
      <c r="A7" s="121" t="s">
        <v>1211</v>
      </c>
      <c r="B7" s="122" t="s">
        <v>1212</v>
      </c>
      <c r="C7" s="122" t="s">
        <v>1340</v>
      </c>
      <c r="D7" s="122" t="s">
        <v>1341</v>
      </c>
      <c r="E7" s="122" t="s">
        <v>429</v>
      </c>
      <c r="F7" s="122" t="s">
        <v>1342</v>
      </c>
      <c r="G7" s="122" t="s">
        <v>1343</v>
      </c>
      <c r="H7" s="122" t="s">
        <v>76</v>
      </c>
      <c r="I7" s="122" t="s">
        <v>229</v>
      </c>
      <c r="J7" s="122" t="s">
        <v>53</v>
      </c>
      <c r="K7" s="122" t="s">
        <v>53</v>
      </c>
      <c r="L7" s="122" t="s">
        <v>805</v>
      </c>
      <c r="M7" s="122" t="s">
        <v>311</v>
      </c>
      <c r="N7" s="122" t="s">
        <v>256</v>
      </c>
      <c r="O7" s="122" t="s">
        <v>62</v>
      </c>
      <c r="P7" s="122" t="s">
        <v>1330</v>
      </c>
      <c r="Q7" s="122" t="s">
        <v>65</v>
      </c>
      <c r="R7" s="122" t="s">
        <v>57</v>
      </c>
      <c r="S7" s="122" t="s">
        <v>1216</v>
      </c>
      <c r="T7" s="123">
        <v>4.7300000000000004</v>
      </c>
      <c r="U7" s="122" t="s">
        <v>1344</v>
      </c>
      <c r="V7" s="125">
        <v>2E-3</v>
      </c>
      <c r="W7" s="125">
        <v>2.5559999999999999E-2</v>
      </c>
      <c r="X7" s="122" t="s">
        <v>620</v>
      </c>
      <c r="Y7" s="132"/>
      <c r="Z7" s="123">
        <v>105239</v>
      </c>
      <c r="AA7" s="123">
        <v>1</v>
      </c>
      <c r="AB7" s="123">
        <v>106.44</v>
      </c>
      <c r="AC7" s="135"/>
      <c r="AD7" s="123">
        <v>112.01600000000001</v>
      </c>
      <c r="AE7" s="122"/>
      <c r="AF7" s="122"/>
      <c r="AG7" s="122"/>
      <c r="AH7" s="125">
        <v>3.0000000000000001E-5</v>
      </c>
      <c r="AI7" s="125">
        <v>4.9439999999999998E-2</v>
      </c>
      <c r="AJ7" s="126">
        <v>3.1900000000000001E-3</v>
      </c>
      <c r="AK7" s="159"/>
    </row>
    <row r="8" spans="1:37" x14ac:dyDescent="0.2">
      <c r="A8" s="121" t="s">
        <v>1211</v>
      </c>
      <c r="B8" s="122" t="s">
        <v>1212</v>
      </c>
      <c r="C8" s="122" t="s">
        <v>1340</v>
      </c>
      <c r="D8" s="122" t="s">
        <v>1341</v>
      </c>
      <c r="E8" s="122" t="s">
        <v>429</v>
      </c>
      <c r="F8" s="122" t="s">
        <v>1345</v>
      </c>
      <c r="G8" s="122" t="s">
        <v>1346</v>
      </c>
      <c r="H8" s="122" t="s">
        <v>76</v>
      </c>
      <c r="I8" s="122" t="s">
        <v>229</v>
      </c>
      <c r="J8" s="122" t="s">
        <v>53</v>
      </c>
      <c r="K8" s="122" t="s">
        <v>53</v>
      </c>
      <c r="L8" s="122" t="s">
        <v>805</v>
      </c>
      <c r="M8" s="122" t="s">
        <v>311</v>
      </c>
      <c r="N8" s="122" t="s">
        <v>256</v>
      </c>
      <c r="O8" s="122" t="s">
        <v>62</v>
      </c>
      <c r="P8" s="122" t="s">
        <v>1330</v>
      </c>
      <c r="Q8" s="122" t="s">
        <v>65</v>
      </c>
      <c r="R8" s="122" t="s">
        <v>57</v>
      </c>
      <c r="S8" s="122" t="s">
        <v>1216</v>
      </c>
      <c r="T8" s="123">
        <v>0.73</v>
      </c>
      <c r="U8" s="122" t="s">
        <v>1347</v>
      </c>
      <c r="V8" s="125">
        <v>3.8E-3</v>
      </c>
      <c r="W8" s="125">
        <v>3.2289999999999999E-2</v>
      </c>
      <c r="X8" s="122" t="s">
        <v>620</v>
      </c>
      <c r="Y8" s="132"/>
      <c r="Z8" s="123">
        <v>97447</v>
      </c>
      <c r="AA8" s="123">
        <v>1</v>
      </c>
      <c r="AB8" s="123">
        <v>114.65</v>
      </c>
      <c r="AC8" s="135"/>
      <c r="AD8" s="123">
        <v>111.723</v>
      </c>
      <c r="AE8" s="122"/>
      <c r="AF8" s="122"/>
      <c r="AG8" s="122"/>
      <c r="AH8" s="125">
        <v>3.0000000000000001E-5</v>
      </c>
      <c r="AI8" s="125">
        <v>4.931E-2</v>
      </c>
      <c r="AJ8" s="126">
        <v>3.1800000000000001E-3</v>
      </c>
      <c r="AK8" s="159"/>
    </row>
    <row r="9" spans="1:37" x14ac:dyDescent="0.2">
      <c r="A9" s="121" t="s">
        <v>1211</v>
      </c>
      <c r="B9" s="122" t="s">
        <v>1212</v>
      </c>
      <c r="C9" s="122" t="s">
        <v>1348</v>
      </c>
      <c r="D9" s="122" t="s">
        <v>1349</v>
      </c>
      <c r="E9" s="122" t="s">
        <v>429</v>
      </c>
      <c r="F9" s="122" t="s">
        <v>1350</v>
      </c>
      <c r="G9" s="122" t="s">
        <v>1351</v>
      </c>
      <c r="H9" s="122" t="s">
        <v>76</v>
      </c>
      <c r="I9" s="122" t="s">
        <v>229</v>
      </c>
      <c r="J9" s="122" t="s">
        <v>53</v>
      </c>
      <c r="K9" s="122" t="s">
        <v>53</v>
      </c>
      <c r="L9" s="122" t="s">
        <v>805</v>
      </c>
      <c r="M9" s="122" t="s">
        <v>311</v>
      </c>
      <c r="N9" s="122" t="s">
        <v>256</v>
      </c>
      <c r="O9" s="122" t="s">
        <v>62</v>
      </c>
      <c r="P9" s="122" t="s">
        <v>1215</v>
      </c>
      <c r="Q9" s="122" t="s">
        <v>70</v>
      </c>
      <c r="R9" s="122" t="s">
        <v>57</v>
      </c>
      <c r="S9" s="122" t="s">
        <v>1216</v>
      </c>
      <c r="T9" s="123">
        <v>4.1399999999999997</v>
      </c>
      <c r="U9" s="122" t="s">
        <v>1352</v>
      </c>
      <c r="V9" s="125">
        <v>1E-3</v>
      </c>
      <c r="W9" s="125">
        <v>2.5270000000000001E-2</v>
      </c>
      <c r="X9" s="122" t="s">
        <v>620</v>
      </c>
      <c r="Y9" s="132"/>
      <c r="Z9" s="123">
        <v>85820</v>
      </c>
      <c r="AA9" s="123">
        <v>1</v>
      </c>
      <c r="AB9" s="123">
        <v>104.89</v>
      </c>
      <c r="AC9" s="135"/>
      <c r="AD9" s="123">
        <v>90.016999999999996</v>
      </c>
      <c r="AE9" s="135"/>
      <c r="AF9" s="122"/>
      <c r="AG9" s="132"/>
      <c r="AH9" s="125">
        <v>2.0000000000000002E-5</v>
      </c>
      <c r="AI9" s="125">
        <v>3.9730000000000001E-2</v>
      </c>
      <c r="AJ9" s="126">
        <v>2.5600000000000002E-3</v>
      </c>
      <c r="AK9" s="159"/>
    </row>
    <row r="10" spans="1:37" x14ac:dyDescent="0.2">
      <c r="A10" s="121" t="s">
        <v>1211</v>
      </c>
      <c r="B10" s="122" t="s">
        <v>1212</v>
      </c>
      <c r="C10" s="122" t="s">
        <v>1340</v>
      </c>
      <c r="D10" s="122" t="s">
        <v>1341</v>
      </c>
      <c r="E10" s="122" t="s">
        <v>429</v>
      </c>
      <c r="F10" s="122" t="s">
        <v>1353</v>
      </c>
      <c r="G10" s="122" t="s">
        <v>1354</v>
      </c>
      <c r="H10" s="122" t="s">
        <v>76</v>
      </c>
      <c r="I10" s="122" t="s">
        <v>229</v>
      </c>
      <c r="J10" s="122" t="s">
        <v>53</v>
      </c>
      <c r="K10" s="122" t="s">
        <v>53</v>
      </c>
      <c r="L10" s="122" t="s">
        <v>805</v>
      </c>
      <c r="M10" s="122" t="s">
        <v>311</v>
      </c>
      <c r="N10" s="122" t="s">
        <v>256</v>
      </c>
      <c r="O10" s="122" t="s">
        <v>62</v>
      </c>
      <c r="P10" s="122" t="s">
        <v>1330</v>
      </c>
      <c r="Q10" s="122" t="s">
        <v>65</v>
      </c>
      <c r="R10" s="122" t="s">
        <v>57</v>
      </c>
      <c r="S10" s="122" t="s">
        <v>1216</v>
      </c>
      <c r="T10" s="123">
        <v>1.98</v>
      </c>
      <c r="U10" s="122" t="s">
        <v>1355</v>
      </c>
      <c r="V10" s="125">
        <v>1.2200000000000001E-2</v>
      </c>
      <c r="W10" s="125">
        <v>2.5819999999999999E-2</v>
      </c>
      <c r="X10" s="122" t="s">
        <v>620</v>
      </c>
      <c r="Y10" s="132"/>
      <c r="Z10" s="123">
        <v>67596</v>
      </c>
      <c r="AA10" s="123">
        <v>1</v>
      </c>
      <c r="AB10" s="123">
        <v>116.7</v>
      </c>
      <c r="AC10" s="135"/>
      <c r="AD10" s="123">
        <v>78.885000000000005</v>
      </c>
      <c r="AE10" s="135"/>
      <c r="AF10" s="122"/>
      <c r="AG10" s="132"/>
      <c r="AH10" s="125">
        <v>2.0000000000000002E-5</v>
      </c>
      <c r="AI10" s="125">
        <v>3.4810000000000001E-2</v>
      </c>
      <c r="AJ10" s="126">
        <v>2.2499999999999998E-3</v>
      </c>
      <c r="AK10" s="159"/>
    </row>
    <row r="11" spans="1:37" x14ac:dyDescent="0.2">
      <c r="A11" s="121" t="s">
        <v>1211</v>
      </c>
      <c r="B11" s="122" t="s">
        <v>1212</v>
      </c>
      <c r="C11" s="122" t="s">
        <v>1348</v>
      </c>
      <c r="D11" s="122" t="s">
        <v>1349</v>
      </c>
      <c r="E11" s="122" t="s">
        <v>429</v>
      </c>
      <c r="F11" s="122" t="s">
        <v>1356</v>
      </c>
      <c r="G11" s="122" t="s">
        <v>1357</v>
      </c>
      <c r="H11" s="122" t="s">
        <v>76</v>
      </c>
      <c r="I11" s="122" t="s">
        <v>229</v>
      </c>
      <c r="J11" s="122" t="s">
        <v>53</v>
      </c>
      <c r="K11" s="122" t="s">
        <v>53</v>
      </c>
      <c r="L11" s="122" t="s">
        <v>805</v>
      </c>
      <c r="M11" s="122" t="s">
        <v>311</v>
      </c>
      <c r="N11" s="122" t="s">
        <v>256</v>
      </c>
      <c r="O11" s="122" t="s">
        <v>62</v>
      </c>
      <c r="P11" s="122" t="s">
        <v>1215</v>
      </c>
      <c r="Q11" s="122" t="s">
        <v>70</v>
      </c>
      <c r="R11" s="122" t="s">
        <v>57</v>
      </c>
      <c r="S11" s="122" t="s">
        <v>1216</v>
      </c>
      <c r="T11" s="123">
        <v>6.71</v>
      </c>
      <c r="U11" s="122" t="s">
        <v>1358</v>
      </c>
      <c r="V11" s="125">
        <v>2.5999999999999999E-2</v>
      </c>
      <c r="W11" s="125">
        <v>2.5489999999999999E-2</v>
      </c>
      <c r="X11" s="122" t="s">
        <v>620</v>
      </c>
      <c r="Y11" s="132"/>
      <c r="Z11" s="123">
        <v>70000</v>
      </c>
      <c r="AA11" s="123">
        <v>1</v>
      </c>
      <c r="AB11" s="123">
        <v>101.17</v>
      </c>
      <c r="AC11" s="135"/>
      <c r="AD11" s="123">
        <v>70.819000000000003</v>
      </c>
      <c r="AE11" s="135"/>
      <c r="AF11" s="122"/>
      <c r="AG11" s="132"/>
      <c r="AH11" s="125">
        <v>4.0000000000000003E-5</v>
      </c>
      <c r="AI11" s="125">
        <v>3.125E-2</v>
      </c>
      <c r="AJ11" s="126">
        <v>2.0200000000000001E-3</v>
      </c>
      <c r="AK11" s="159"/>
    </row>
    <row r="12" spans="1:37" x14ac:dyDescent="0.2">
      <c r="A12" s="121" t="s">
        <v>1211</v>
      </c>
      <c r="B12" s="122" t="s">
        <v>1212</v>
      </c>
      <c r="C12" s="122" t="s">
        <v>1348</v>
      </c>
      <c r="D12" s="122" t="s">
        <v>1349</v>
      </c>
      <c r="E12" s="122" t="s">
        <v>429</v>
      </c>
      <c r="F12" s="122" t="s">
        <v>1359</v>
      </c>
      <c r="G12" s="122" t="s">
        <v>1360</v>
      </c>
      <c r="H12" s="122" t="s">
        <v>76</v>
      </c>
      <c r="I12" s="122" t="s">
        <v>228</v>
      </c>
      <c r="J12" s="122" t="s">
        <v>53</v>
      </c>
      <c r="K12" s="122" t="s">
        <v>53</v>
      </c>
      <c r="L12" s="122" t="s">
        <v>805</v>
      </c>
      <c r="M12" s="122" t="s">
        <v>311</v>
      </c>
      <c r="N12" s="122" t="s">
        <v>256</v>
      </c>
      <c r="O12" s="122" t="s">
        <v>62</v>
      </c>
      <c r="P12" s="122" t="s">
        <v>1215</v>
      </c>
      <c r="Q12" s="122" t="s">
        <v>70</v>
      </c>
      <c r="R12" s="122" t="s">
        <v>57</v>
      </c>
      <c r="S12" s="122" t="s">
        <v>1216</v>
      </c>
      <c r="T12" s="123">
        <v>5.78</v>
      </c>
      <c r="U12" s="122" t="s">
        <v>1361</v>
      </c>
      <c r="V12" s="125">
        <v>4.5900000000000003E-2</v>
      </c>
      <c r="W12" s="125">
        <v>4.5379999999999997E-2</v>
      </c>
      <c r="X12" s="122" t="s">
        <v>620</v>
      </c>
      <c r="Y12" s="132"/>
      <c r="Z12" s="123">
        <v>70000</v>
      </c>
      <c r="AA12" s="123">
        <v>1</v>
      </c>
      <c r="AB12" s="123">
        <v>100.58</v>
      </c>
      <c r="AC12" s="135"/>
      <c r="AD12" s="123">
        <v>70.406000000000006</v>
      </c>
      <c r="AE12" s="135"/>
      <c r="AF12" s="122"/>
      <c r="AG12" s="132"/>
      <c r="AH12" s="125">
        <v>4.0000000000000003E-5</v>
      </c>
      <c r="AI12" s="125">
        <v>3.107E-2</v>
      </c>
      <c r="AJ12" s="126">
        <v>2.0100000000000001E-3</v>
      </c>
      <c r="AK12" s="159"/>
    </row>
    <row r="13" spans="1:37" x14ac:dyDescent="0.2">
      <c r="A13" s="121" t="s">
        <v>1211</v>
      </c>
      <c r="B13" s="122" t="s">
        <v>1212</v>
      </c>
      <c r="C13" s="122" t="s">
        <v>1340</v>
      </c>
      <c r="D13" s="122" t="s">
        <v>1341</v>
      </c>
      <c r="E13" s="122" t="s">
        <v>429</v>
      </c>
      <c r="F13" s="122" t="s">
        <v>1362</v>
      </c>
      <c r="G13" s="122" t="s">
        <v>1363</v>
      </c>
      <c r="H13" s="122" t="s">
        <v>76</v>
      </c>
      <c r="I13" s="122" t="s">
        <v>229</v>
      </c>
      <c r="J13" s="122" t="s">
        <v>53</v>
      </c>
      <c r="K13" s="122" t="s">
        <v>53</v>
      </c>
      <c r="L13" s="122" t="s">
        <v>805</v>
      </c>
      <c r="M13" s="122" t="s">
        <v>311</v>
      </c>
      <c r="N13" s="122" t="s">
        <v>256</v>
      </c>
      <c r="O13" s="122" t="s">
        <v>62</v>
      </c>
      <c r="P13" s="122" t="s">
        <v>1215</v>
      </c>
      <c r="Q13" s="122" t="s">
        <v>70</v>
      </c>
      <c r="R13" s="122" t="s">
        <v>57</v>
      </c>
      <c r="S13" s="122" t="s">
        <v>1216</v>
      </c>
      <c r="T13" s="123">
        <v>1.17</v>
      </c>
      <c r="U13" s="122" t="s">
        <v>1364</v>
      </c>
      <c r="V13" s="125">
        <v>5.0000000000000001E-3</v>
      </c>
      <c r="W13" s="125">
        <v>2.9000000000000001E-2</v>
      </c>
      <c r="X13" s="122" t="s">
        <v>620</v>
      </c>
      <c r="Y13" s="132"/>
      <c r="Z13" s="123">
        <v>61199</v>
      </c>
      <c r="AA13" s="123">
        <v>1</v>
      </c>
      <c r="AB13" s="123">
        <v>114.73</v>
      </c>
      <c r="AC13" s="135"/>
      <c r="AD13" s="123">
        <v>70.213999999999999</v>
      </c>
      <c r="AE13" s="135"/>
      <c r="AF13" s="122"/>
      <c r="AG13" s="132"/>
      <c r="AH13" s="125">
        <v>8.0000000000000007E-5</v>
      </c>
      <c r="AI13" s="125">
        <v>3.099E-2</v>
      </c>
      <c r="AJ13" s="126">
        <v>2E-3</v>
      </c>
      <c r="AK13" s="159"/>
    </row>
    <row r="14" spans="1:37" x14ac:dyDescent="0.2">
      <c r="A14" s="121" t="s">
        <v>1211</v>
      </c>
      <c r="B14" s="122" t="s">
        <v>1212</v>
      </c>
      <c r="C14" s="122" t="s">
        <v>1365</v>
      </c>
      <c r="D14" s="122" t="s">
        <v>1366</v>
      </c>
      <c r="E14" s="122" t="s">
        <v>429</v>
      </c>
      <c r="F14" s="122" t="s">
        <v>1367</v>
      </c>
      <c r="G14" s="122" t="s">
        <v>1368</v>
      </c>
      <c r="H14" s="122" t="s">
        <v>76</v>
      </c>
      <c r="I14" s="122" t="s">
        <v>228</v>
      </c>
      <c r="J14" s="122" t="s">
        <v>53</v>
      </c>
      <c r="K14" s="122" t="s">
        <v>53</v>
      </c>
      <c r="L14" s="122" t="s">
        <v>805</v>
      </c>
      <c r="M14" s="122" t="s">
        <v>311</v>
      </c>
      <c r="N14" s="122" t="s">
        <v>269</v>
      </c>
      <c r="O14" s="122" t="s">
        <v>62</v>
      </c>
      <c r="P14" s="122" t="s">
        <v>1369</v>
      </c>
      <c r="Q14" s="122" t="s">
        <v>65</v>
      </c>
      <c r="R14" s="122" t="s">
        <v>57</v>
      </c>
      <c r="S14" s="122" t="s">
        <v>1216</v>
      </c>
      <c r="T14" s="123">
        <v>4.26</v>
      </c>
      <c r="U14" s="122" t="s">
        <v>1266</v>
      </c>
      <c r="V14" s="125">
        <v>2.64E-2</v>
      </c>
      <c r="W14" s="125">
        <v>4.6050000000000001E-2</v>
      </c>
      <c r="X14" s="122" t="s">
        <v>620</v>
      </c>
      <c r="Y14" s="132"/>
      <c r="Z14" s="123">
        <v>75266.25</v>
      </c>
      <c r="AA14" s="123">
        <v>1</v>
      </c>
      <c r="AB14" s="123">
        <v>92.3</v>
      </c>
      <c r="AC14" s="135"/>
      <c r="AD14" s="123">
        <v>69.471000000000004</v>
      </c>
      <c r="AE14" s="135"/>
      <c r="AF14" s="122"/>
      <c r="AG14" s="132"/>
      <c r="AH14" s="125">
        <v>5.0000000000000002E-5</v>
      </c>
      <c r="AI14" s="125">
        <v>3.066E-2</v>
      </c>
      <c r="AJ14" s="126">
        <v>1.98E-3</v>
      </c>
      <c r="AK14" s="159"/>
    </row>
    <row r="15" spans="1:37" x14ac:dyDescent="0.2">
      <c r="A15" s="121" t="s">
        <v>1211</v>
      </c>
      <c r="B15" s="122" t="s">
        <v>1212</v>
      </c>
      <c r="C15" s="122" t="s">
        <v>1365</v>
      </c>
      <c r="D15" s="122" t="s">
        <v>1366</v>
      </c>
      <c r="E15" s="122" t="s">
        <v>429</v>
      </c>
      <c r="F15" s="122" t="s">
        <v>1370</v>
      </c>
      <c r="G15" s="122" t="s">
        <v>1371</v>
      </c>
      <c r="H15" s="122" t="s">
        <v>76</v>
      </c>
      <c r="I15" s="122" t="s">
        <v>229</v>
      </c>
      <c r="J15" s="122" t="s">
        <v>53</v>
      </c>
      <c r="K15" s="122" t="s">
        <v>53</v>
      </c>
      <c r="L15" s="122" t="s">
        <v>805</v>
      </c>
      <c r="M15" s="122" t="s">
        <v>311</v>
      </c>
      <c r="N15" s="122" t="s">
        <v>269</v>
      </c>
      <c r="O15" s="122" t="s">
        <v>62</v>
      </c>
      <c r="P15" s="122" t="s">
        <v>1369</v>
      </c>
      <c r="Q15" s="122" t="s">
        <v>65</v>
      </c>
      <c r="R15" s="122" t="s">
        <v>57</v>
      </c>
      <c r="S15" s="122" t="s">
        <v>1216</v>
      </c>
      <c r="T15" s="123">
        <v>6</v>
      </c>
      <c r="U15" s="122" t="s">
        <v>1372</v>
      </c>
      <c r="V15" s="125">
        <v>2.5000000000000001E-2</v>
      </c>
      <c r="W15" s="125">
        <v>4.709E-2</v>
      </c>
      <c r="X15" s="122" t="s">
        <v>620</v>
      </c>
      <c r="Y15" s="132"/>
      <c r="Z15" s="123">
        <v>70000</v>
      </c>
      <c r="AA15" s="123">
        <v>1</v>
      </c>
      <c r="AB15" s="123">
        <v>88.03</v>
      </c>
      <c r="AC15" s="135"/>
      <c r="AD15" s="123">
        <v>61.621000000000002</v>
      </c>
      <c r="AE15" s="135"/>
      <c r="AF15" s="122"/>
      <c r="AG15" s="132"/>
      <c r="AH15" s="125">
        <v>5.0000000000000002E-5</v>
      </c>
      <c r="AI15" s="125">
        <v>2.7199999999999998E-2</v>
      </c>
      <c r="AJ15" s="126">
        <v>1.75E-3</v>
      </c>
      <c r="AK15" s="159"/>
    </row>
    <row r="16" spans="1:37" x14ac:dyDescent="0.2">
      <c r="A16" s="121" t="s">
        <v>1211</v>
      </c>
      <c r="B16" s="122" t="s">
        <v>1212</v>
      </c>
      <c r="C16" s="122" t="s">
        <v>1373</v>
      </c>
      <c r="D16" s="122" t="s">
        <v>1374</v>
      </c>
      <c r="E16" s="122" t="s">
        <v>429</v>
      </c>
      <c r="F16" s="122" t="s">
        <v>1375</v>
      </c>
      <c r="G16" s="122" t="s">
        <v>1376</v>
      </c>
      <c r="H16" s="122" t="s">
        <v>76</v>
      </c>
      <c r="I16" s="122" t="s">
        <v>229</v>
      </c>
      <c r="J16" s="122" t="s">
        <v>53</v>
      </c>
      <c r="K16" s="122" t="s">
        <v>53</v>
      </c>
      <c r="L16" s="122" t="s">
        <v>805</v>
      </c>
      <c r="M16" s="122" t="s">
        <v>311</v>
      </c>
      <c r="N16" s="122" t="s">
        <v>269</v>
      </c>
      <c r="O16" s="122" t="s">
        <v>62</v>
      </c>
      <c r="P16" s="122" t="s">
        <v>1377</v>
      </c>
      <c r="Q16" s="122" t="s">
        <v>70</v>
      </c>
      <c r="R16" s="122" t="s">
        <v>57</v>
      </c>
      <c r="S16" s="122" t="s">
        <v>1216</v>
      </c>
      <c r="T16" s="123">
        <v>6</v>
      </c>
      <c r="U16" s="122" t="s">
        <v>1378</v>
      </c>
      <c r="V16" s="125">
        <v>5.0529999999999999E-2</v>
      </c>
      <c r="W16" s="125">
        <v>4.7419999999999997E-2</v>
      </c>
      <c r="X16" s="122" t="s">
        <v>620</v>
      </c>
      <c r="Y16" s="132"/>
      <c r="Z16" s="123">
        <v>60000</v>
      </c>
      <c r="AA16" s="123">
        <v>1</v>
      </c>
      <c r="AB16" s="123">
        <v>101.96</v>
      </c>
      <c r="AC16" s="135"/>
      <c r="AD16" s="123">
        <v>61.176000000000002</v>
      </c>
      <c r="AE16" s="135"/>
      <c r="AF16" s="122"/>
      <c r="AG16" s="132"/>
      <c r="AH16" s="125">
        <v>1.4999999999999999E-4</v>
      </c>
      <c r="AI16" s="125">
        <v>2.7E-2</v>
      </c>
      <c r="AJ16" s="126">
        <v>1.74E-3</v>
      </c>
      <c r="AK16" s="159"/>
    </row>
    <row r="17" spans="1:37" x14ac:dyDescent="0.2">
      <c r="A17" s="121" t="s">
        <v>1211</v>
      </c>
      <c r="B17" s="122" t="s">
        <v>1212</v>
      </c>
      <c r="C17" s="122" t="s">
        <v>1326</v>
      </c>
      <c r="D17" s="122" t="s">
        <v>1327</v>
      </c>
      <c r="E17" s="122" t="s">
        <v>429</v>
      </c>
      <c r="F17" s="122" t="s">
        <v>1379</v>
      </c>
      <c r="G17" s="122" t="s">
        <v>1380</v>
      </c>
      <c r="H17" s="122" t="s">
        <v>76</v>
      </c>
      <c r="I17" s="122" t="s">
        <v>229</v>
      </c>
      <c r="J17" s="122" t="s">
        <v>53</v>
      </c>
      <c r="K17" s="122" t="s">
        <v>53</v>
      </c>
      <c r="L17" s="122" t="s">
        <v>805</v>
      </c>
      <c r="M17" s="122" t="s">
        <v>311</v>
      </c>
      <c r="N17" s="122" t="s">
        <v>256</v>
      </c>
      <c r="O17" s="122" t="s">
        <v>62</v>
      </c>
      <c r="P17" s="122" t="s">
        <v>1330</v>
      </c>
      <c r="Q17" s="122" t="s">
        <v>65</v>
      </c>
      <c r="R17" s="122" t="s">
        <v>57</v>
      </c>
      <c r="S17" s="122" t="s">
        <v>1216</v>
      </c>
      <c r="T17" s="123">
        <v>2.5499999999999998</v>
      </c>
      <c r="U17" s="122" t="s">
        <v>1381</v>
      </c>
      <c r="V17" s="125">
        <v>1.7500000000000002E-2</v>
      </c>
      <c r="W17" s="125">
        <v>2.563E-2</v>
      </c>
      <c r="X17" s="122" t="s">
        <v>620</v>
      </c>
      <c r="Y17" s="132"/>
      <c r="Z17" s="123">
        <v>52023.41</v>
      </c>
      <c r="AA17" s="123">
        <v>1</v>
      </c>
      <c r="AB17" s="123">
        <v>117.2</v>
      </c>
      <c r="AC17" s="135"/>
      <c r="AD17" s="123">
        <v>60.970999999999997</v>
      </c>
      <c r="AE17" s="135"/>
      <c r="AF17" s="122"/>
      <c r="AG17" s="132"/>
      <c r="AH17" s="125">
        <v>2.0000000000000002E-5</v>
      </c>
      <c r="AI17" s="125">
        <v>2.691E-2</v>
      </c>
      <c r="AJ17" s="126">
        <v>1.74E-3</v>
      </c>
      <c r="AK17" s="159"/>
    </row>
    <row r="18" spans="1:37" x14ac:dyDescent="0.2">
      <c r="A18" s="121" t="s">
        <v>1211</v>
      </c>
      <c r="B18" s="122" t="s">
        <v>1212</v>
      </c>
      <c r="C18" s="122" t="s">
        <v>1348</v>
      </c>
      <c r="D18" s="122" t="s">
        <v>1349</v>
      </c>
      <c r="E18" s="122" t="s">
        <v>429</v>
      </c>
      <c r="F18" s="122" t="s">
        <v>1382</v>
      </c>
      <c r="G18" s="122" t="s">
        <v>1383</v>
      </c>
      <c r="H18" s="122" t="s">
        <v>76</v>
      </c>
      <c r="I18" s="122" t="s">
        <v>229</v>
      </c>
      <c r="J18" s="122" t="s">
        <v>53</v>
      </c>
      <c r="K18" s="122" t="s">
        <v>53</v>
      </c>
      <c r="L18" s="122" t="s">
        <v>805</v>
      </c>
      <c r="M18" s="122" t="s">
        <v>311</v>
      </c>
      <c r="N18" s="122" t="s">
        <v>256</v>
      </c>
      <c r="O18" s="122" t="s">
        <v>62</v>
      </c>
      <c r="P18" s="122" t="s">
        <v>1330</v>
      </c>
      <c r="Q18" s="122" t="s">
        <v>65</v>
      </c>
      <c r="R18" s="122" t="s">
        <v>57</v>
      </c>
      <c r="S18" s="122" t="s">
        <v>1216</v>
      </c>
      <c r="T18" s="123">
        <v>4.1399999999999997</v>
      </c>
      <c r="U18" s="122" t="s">
        <v>1384</v>
      </c>
      <c r="V18" s="125">
        <v>2.0199999999999999E-2</v>
      </c>
      <c r="W18" s="125">
        <v>2.5350000000000001E-2</v>
      </c>
      <c r="X18" s="122" t="s">
        <v>620</v>
      </c>
      <c r="Y18" s="132"/>
      <c r="Z18" s="123">
        <v>54000</v>
      </c>
      <c r="AA18" s="123">
        <v>1</v>
      </c>
      <c r="AB18" s="123">
        <v>105.02</v>
      </c>
      <c r="AC18" s="135"/>
      <c r="AD18" s="123">
        <v>56.710999999999999</v>
      </c>
      <c r="AE18" s="135"/>
      <c r="AF18" s="122"/>
      <c r="AG18" s="132"/>
      <c r="AH18" s="125">
        <v>2.0000000000000002E-5</v>
      </c>
      <c r="AI18" s="125">
        <v>2.503E-2</v>
      </c>
      <c r="AJ18" s="126">
        <v>1.6199999999999999E-3</v>
      </c>
      <c r="AK18" s="159"/>
    </row>
    <row r="19" spans="1:37" x14ac:dyDescent="0.2">
      <c r="A19" s="121" t="s">
        <v>1211</v>
      </c>
      <c r="B19" s="122" t="s">
        <v>1212</v>
      </c>
      <c r="C19" s="122" t="s">
        <v>1332</v>
      </c>
      <c r="D19" s="122" t="s">
        <v>1333</v>
      </c>
      <c r="E19" s="122" t="s">
        <v>430</v>
      </c>
      <c r="F19" s="122" t="s">
        <v>1385</v>
      </c>
      <c r="G19" s="122" t="s">
        <v>1386</v>
      </c>
      <c r="H19" s="122" t="s">
        <v>76</v>
      </c>
      <c r="I19" s="122" t="s">
        <v>229</v>
      </c>
      <c r="J19" s="122" t="s">
        <v>53</v>
      </c>
      <c r="K19" s="122" t="s">
        <v>53</v>
      </c>
      <c r="L19" s="122" t="s">
        <v>805</v>
      </c>
      <c r="M19" s="122" t="s">
        <v>311</v>
      </c>
      <c r="N19" s="122" t="s">
        <v>156</v>
      </c>
      <c r="O19" s="122" t="s">
        <v>62</v>
      </c>
      <c r="P19" s="122" t="s">
        <v>1215</v>
      </c>
      <c r="Q19" s="122" t="s">
        <v>70</v>
      </c>
      <c r="R19" s="122" t="s">
        <v>57</v>
      </c>
      <c r="S19" s="122" t="s">
        <v>1216</v>
      </c>
      <c r="T19" s="123">
        <v>4.93</v>
      </c>
      <c r="U19" s="122" t="s">
        <v>1387</v>
      </c>
      <c r="V19" s="125">
        <v>2.3900000000000001E-2</v>
      </c>
      <c r="W19" s="125">
        <v>2.596E-2</v>
      </c>
      <c r="X19" s="122" t="s">
        <v>620</v>
      </c>
      <c r="Y19" s="132"/>
      <c r="Z19" s="123">
        <v>46000</v>
      </c>
      <c r="AA19" s="123">
        <v>1</v>
      </c>
      <c r="AB19" s="123">
        <v>117.27</v>
      </c>
      <c r="AC19" s="135"/>
      <c r="AD19" s="123">
        <v>53.944000000000003</v>
      </c>
      <c r="AE19" s="135"/>
      <c r="AF19" s="122"/>
      <c r="AG19" s="132"/>
      <c r="AH19" s="125">
        <v>1.0000000000000001E-5</v>
      </c>
      <c r="AI19" s="125">
        <v>2.3810000000000001E-2</v>
      </c>
      <c r="AJ19" s="126">
        <v>1.5399999999999999E-3</v>
      </c>
      <c r="AK19" s="159"/>
    </row>
    <row r="20" spans="1:37" x14ac:dyDescent="0.2">
      <c r="A20" s="121" t="s">
        <v>1211</v>
      </c>
      <c r="B20" s="122" t="s">
        <v>1212</v>
      </c>
      <c r="C20" s="122" t="s">
        <v>1388</v>
      </c>
      <c r="D20" s="122" t="s">
        <v>1389</v>
      </c>
      <c r="E20" s="122" t="s">
        <v>429</v>
      </c>
      <c r="F20" s="122" t="s">
        <v>1390</v>
      </c>
      <c r="G20" s="122" t="s">
        <v>1391</v>
      </c>
      <c r="H20" s="122" t="s">
        <v>76</v>
      </c>
      <c r="I20" s="122" t="s">
        <v>229</v>
      </c>
      <c r="J20" s="122" t="s">
        <v>53</v>
      </c>
      <c r="K20" s="122" t="s">
        <v>53</v>
      </c>
      <c r="L20" s="122" t="s">
        <v>805</v>
      </c>
      <c r="M20" s="122" t="s">
        <v>311</v>
      </c>
      <c r="N20" s="122" t="s">
        <v>635</v>
      </c>
      <c r="O20" s="122" t="s">
        <v>62</v>
      </c>
      <c r="P20" s="122" t="s">
        <v>1324</v>
      </c>
      <c r="Q20" s="122" t="s">
        <v>65</v>
      </c>
      <c r="R20" s="122" t="s">
        <v>57</v>
      </c>
      <c r="S20" s="122" t="s">
        <v>1216</v>
      </c>
      <c r="T20" s="123">
        <v>4.2</v>
      </c>
      <c r="U20" s="122" t="s">
        <v>1392</v>
      </c>
      <c r="V20" s="125">
        <v>5.8999999999999999E-3</v>
      </c>
      <c r="W20" s="125">
        <v>2.912E-2</v>
      </c>
      <c r="X20" s="122" t="s">
        <v>620</v>
      </c>
      <c r="Y20" s="132"/>
      <c r="Z20" s="123">
        <v>46000</v>
      </c>
      <c r="AA20" s="123">
        <v>1</v>
      </c>
      <c r="AB20" s="123">
        <v>104.71</v>
      </c>
      <c r="AC20" s="135"/>
      <c r="AD20" s="123">
        <v>48.167000000000002</v>
      </c>
      <c r="AE20" s="135"/>
      <c r="AF20" s="122"/>
      <c r="AG20" s="132"/>
      <c r="AH20" s="125">
        <v>3.0000000000000001E-5</v>
      </c>
      <c r="AI20" s="125">
        <v>2.1260000000000001E-2</v>
      </c>
      <c r="AJ20" s="126">
        <v>1.3699999999999999E-3</v>
      </c>
      <c r="AK20" s="159"/>
    </row>
    <row r="21" spans="1:37" x14ac:dyDescent="0.2">
      <c r="A21" s="121" t="s">
        <v>1211</v>
      </c>
      <c r="B21" s="122" t="s">
        <v>1212</v>
      </c>
      <c r="C21" s="122" t="s">
        <v>1393</v>
      </c>
      <c r="D21" s="122" t="s">
        <v>1394</v>
      </c>
      <c r="E21" s="122" t="s">
        <v>429</v>
      </c>
      <c r="F21" s="122" t="s">
        <v>1395</v>
      </c>
      <c r="G21" s="122" t="s">
        <v>1396</v>
      </c>
      <c r="H21" s="122" t="s">
        <v>76</v>
      </c>
      <c r="I21" s="122" t="s">
        <v>228</v>
      </c>
      <c r="J21" s="122" t="s">
        <v>53</v>
      </c>
      <c r="K21" s="122" t="s">
        <v>53</v>
      </c>
      <c r="L21" s="122" t="s">
        <v>805</v>
      </c>
      <c r="M21" s="122" t="s">
        <v>311</v>
      </c>
      <c r="N21" s="122" t="s">
        <v>269</v>
      </c>
      <c r="O21" s="122" t="s">
        <v>62</v>
      </c>
      <c r="P21" s="122" t="s">
        <v>1377</v>
      </c>
      <c r="Q21" s="122" t="s">
        <v>70</v>
      </c>
      <c r="R21" s="122" t="s">
        <v>57</v>
      </c>
      <c r="S21" s="122" t="s">
        <v>1216</v>
      </c>
      <c r="T21" s="123">
        <v>3.05</v>
      </c>
      <c r="U21" s="122" t="s">
        <v>1397</v>
      </c>
      <c r="V21" s="125">
        <v>3.95E-2</v>
      </c>
      <c r="W21" s="125">
        <v>4.3029999999999999E-2</v>
      </c>
      <c r="X21" s="122" t="s">
        <v>620</v>
      </c>
      <c r="Y21" s="132"/>
      <c r="Z21" s="123">
        <v>42734</v>
      </c>
      <c r="AA21" s="123">
        <v>1</v>
      </c>
      <c r="AB21" s="123">
        <v>100.05</v>
      </c>
      <c r="AC21" s="122"/>
      <c r="AD21" s="123">
        <v>42.755000000000003</v>
      </c>
      <c r="AE21" s="122"/>
      <c r="AF21" s="122"/>
      <c r="AG21" s="122"/>
      <c r="AH21" s="125">
        <v>1.8000000000000001E-4</v>
      </c>
      <c r="AI21" s="125">
        <v>1.8870000000000001E-2</v>
      </c>
      <c r="AJ21" s="126">
        <v>1.2199999999999999E-3</v>
      </c>
      <c r="AK21" s="159"/>
    </row>
    <row r="22" spans="1:37" x14ac:dyDescent="0.2">
      <c r="A22" s="121" t="s">
        <v>1211</v>
      </c>
      <c r="B22" s="122" t="s">
        <v>1212</v>
      </c>
      <c r="C22" s="122" t="s">
        <v>1398</v>
      </c>
      <c r="D22" s="122" t="s">
        <v>1399</v>
      </c>
      <c r="E22" s="122" t="s">
        <v>429</v>
      </c>
      <c r="F22" s="122" t="s">
        <v>1400</v>
      </c>
      <c r="G22" s="122" t="s">
        <v>1401</v>
      </c>
      <c r="H22" s="122" t="s">
        <v>76</v>
      </c>
      <c r="I22" s="122" t="s">
        <v>229</v>
      </c>
      <c r="J22" s="122" t="s">
        <v>53</v>
      </c>
      <c r="K22" s="122" t="s">
        <v>53</v>
      </c>
      <c r="L22" s="122" t="s">
        <v>805</v>
      </c>
      <c r="M22" s="122" t="s">
        <v>311</v>
      </c>
      <c r="N22" s="122" t="s">
        <v>636</v>
      </c>
      <c r="O22" s="122" t="s">
        <v>62</v>
      </c>
      <c r="P22" s="122" t="s">
        <v>1402</v>
      </c>
      <c r="Q22" s="122" t="s">
        <v>70</v>
      </c>
      <c r="R22" s="122" t="s">
        <v>57</v>
      </c>
      <c r="S22" s="122" t="s">
        <v>1216</v>
      </c>
      <c r="T22" s="123">
        <v>1.21</v>
      </c>
      <c r="U22" s="122" t="s">
        <v>1403</v>
      </c>
      <c r="V22" s="125">
        <v>0.04</v>
      </c>
      <c r="W22" s="125">
        <v>4.7050000000000002E-2</v>
      </c>
      <c r="X22" s="122" t="s">
        <v>620</v>
      </c>
      <c r="Y22" s="133"/>
      <c r="Z22" s="123">
        <v>34285.800000000003</v>
      </c>
      <c r="AA22" s="123">
        <v>1</v>
      </c>
      <c r="AB22" s="123">
        <v>118.67</v>
      </c>
      <c r="AC22" s="122"/>
      <c r="AD22" s="123">
        <v>40.686999999999998</v>
      </c>
      <c r="AE22" s="122"/>
      <c r="AF22" s="122"/>
      <c r="AG22" s="122"/>
      <c r="AH22" s="125">
        <v>2.0000000000000002E-5</v>
      </c>
      <c r="AI22" s="125">
        <v>1.796E-2</v>
      </c>
      <c r="AJ22" s="126">
        <v>1.16E-3</v>
      </c>
      <c r="AK22" s="159"/>
    </row>
    <row r="23" spans="1:37" x14ac:dyDescent="0.2">
      <c r="A23" s="121" t="s">
        <v>1211</v>
      </c>
      <c r="B23" s="122" t="s">
        <v>1212</v>
      </c>
      <c r="C23" s="122" t="s">
        <v>1365</v>
      </c>
      <c r="D23" s="122" t="s">
        <v>1366</v>
      </c>
      <c r="E23" s="122" t="s">
        <v>429</v>
      </c>
      <c r="F23" s="122" t="s">
        <v>1404</v>
      </c>
      <c r="G23" s="122" t="s">
        <v>1405</v>
      </c>
      <c r="H23" s="122" t="s">
        <v>76</v>
      </c>
      <c r="I23" s="122" t="s">
        <v>228</v>
      </c>
      <c r="J23" s="122" t="s">
        <v>53</v>
      </c>
      <c r="K23" s="122" t="s">
        <v>53</v>
      </c>
      <c r="L23" s="122" t="s">
        <v>805</v>
      </c>
      <c r="M23" s="122" t="s">
        <v>311</v>
      </c>
      <c r="N23" s="122" t="s">
        <v>269</v>
      </c>
      <c r="O23" s="122" t="s">
        <v>62</v>
      </c>
      <c r="P23" s="122" t="s">
        <v>1369</v>
      </c>
      <c r="Q23" s="122" t="s">
        <v>65</v>
      </c>
      <c r="R23" s="122" t="s">
        <v>57</v>
      </c>
      <c r="S23" s="122" t="s">
        <v>1216</v>
      </c>
      <c r="T23" s="123">
        <v>7.14</v>
      </c>
      <c r="U23" s="122" t="s">
        <v>1406</v>
      </c>
      <c r="V23" s="125">
        <v>5.3100000000000001E-2</v>
      </c>
      <c r="W23" s="125">
        <v>4.8640000000000003E-2</v>
      </c>
      <c r="X23" s="122" t="s">
        <v>620</v>
      </c>
      <c r="Y23" s="133"/>
      <c r="Z23" s="123">
        <v>38262.910000000003</v>
      </c>
      <c r="AA23" s="123">
        <v>1</v>
      </c>
      <c r="AB23" s="123">
        <v>104.46</v>
      </c>
      <c r="AC23" s="122"/>
      <c r="AD23" s="123">
        <v>39.969000000000001</v>
      </c>
      <c r="AE23" s="122"/>
      <c r="AF23" s="122"/>
      <c r="AG23" s="122"/>
      <c r="AH23" s="125">
        <v>3.0000000000000001E-5</v>
      </c>
      <c r="AI23" s="125">
        <v>1.7639999999999999E-2</v>
      </c>
      <c r="AJ23" s="126">
        <v>1.14E-3</v>
      </c>
      <c r="AK23" s="159"/>
    </row>
    <row r="24" spans="1:37" x14ac:dyDescent="0.2">
      <c r="A24" s="121" t="s">
        <v>1211</v>
      </c>
      <c r="B24" s="122" t="s">
        <v>1212</v>
      </c>
      <c r="C24" s="122" t="s">
        <v>1407</v>
      </c>
      <c r="D24" s="122" t="s">
        <v>1408</v>
      </c>
      <c r="E24" s="122" t="s">
        <v>429</v>
      </c>
      <c r="F24" s="122" t="s">
        <v>1409</v>
      </c>
      <c r="G24" s="122" t="s">
        <v>1410</v>
      </c>
      <c r="H24" s="122" t="s">
        <v>76</v>
      </c>
      <c r="I24" s="122" t="s">
        <v>229</v>
      </c>
      <c r="J24" s="122" t="s">
        <v>53</v>
      </c>
      <c r="K24" s="122" t="s">
        <v>53</v>
      </c>
      <c r="L24" s="122" t="s">
        <v>805</v>
      </c>
      <c r="M24" s="122" t="s">
        <v>311</v>
      </c>
      <c r="N24" s="122" t="s">
        <v>256</v>
      </c>
      <c r="O24" s="122" t="s">
        <v>62</v>
      </c>
      <c r="P24" s="122" t="s">
        <v>1369</v>
      </c>
      <c r="Q24" s="122" t="s">
        <v>65</v>
      </c>
      <c r="R24" s="122" t="s">
        <v>57</v>
      </c>
      <c r="S24" s="122" t="s">
        <v>1216</v>
      </c>
      <c r="T24" s="123">
        <v>3.63</v>
      </c>
      <c r="U24" s="122" t="s">
        <v>1411</v>
      </c>
      <c r="V24" s="125">
        <v>2.5899999999999999E-2</v>
      </c>
      <c r="W24" s="125">
        <v>2.6700000000000002E-2</v>
      </c>
      <c r="X24" s="122" t="s">
        <v>620</v>
      </c>
      <c r="Y24" s="133"/>
      <c r="Z24" s="123">
        <v>37000</v>
      </c>
      <c r="AA24" s="123">
        <v>1</v>
      </c>
      <c r="AB24" s="123">
        <v>107.69</v>
      </c>
      <c r="AC24" s="122"/>
      <c r="AD24" s="123">
        <v>39.844999999999999</v>
      </c>
      <c r="AE24" s="122"/>
      <c r="AF24" s="122"/>
      <c r="AG24" s="122"/>
      <c r="AH24" s="125">
        <v>5.0000000000000002E-5</v>
      </c>
      <c r="AI24" s="125">
        <v>1.7590000000000001E-2</v>
      </c>
      <c r="AJ24" s="126">
        <v>1.1299999999999999E-3</v>
      </c>
      <c r="AK24" s="159"/>
    </row>
    <row r="25" spans="1:37" x14ac:dyDescent="0.2">
      <c r="A25" s="121" t="s">
        <v>1211</v>
      </c>
      <c r="B25" s="122" t="s">
        <v>1212</v>
      </c>
      <c r="C25" s="122" t="s">
        <v>1326</v>
      </c>
      <c r="D25" s="122" t="s">
        <v>1327</v>
      </c>
      <c r="E25" s="122" t="s">
        <v>429</v>
      </c>
      <c r="F25" s="122" t="s">
        <v>1412</v>
      </c>
      <c r="G25" s="122" t="s">
        <v>1413</v>
      </c>
      <c r="H25" s="122" t="s">
        <v>76</v>
      </c>
      <c r="I25" s="122" t="s">
        <v>229</v>
      </c>
      <c r="J25" s="122" t="s">
        <v>53</v>
      </c>
      <c r="K25" s="122" t="s">
        <v>53</v>
      </c>
      <c r="L25" s="122" t="s">
        <v>805</v>
      </c>
      <c r="M25" s="122" t="s">
        <v>311</v>
      </c>
      <c r="N25" s="122" t="s">
        <v>256</v>
      </c>
      <c r="O25" s="122" t="s">
        <v>62</v>
      </c>
      <c r="P25" s="122" t="s">
        <v>1330</v>
      </c>
      <c r="Q25" s="122" t="s">
        <v>65</v>
      </c>
      <c r="R25" s="122" t="s">
        <v>57</v>
      </c>
      <c r="S25" s="122" t="s">
        <v>1216</v>
      </c>
      <c r="T25" s="123">
        <v>3.47</v>
      </c>
      <c r="U25" s="122" t="s">
        <v>1414</v>
      </c>
      <c r="V25" s="125">
        <v>1.3899999999999999E-2</v>
      </c>
      <c r="W25" s="125">
        <v>2.511E-2</v>
      </c>
      <c r="X25" s="122" t="s">
        <v>620</v>
      </c>
      <c r="Y25" s="133"/>
      <c r="Z25" s="123">
        <v>36800</v>
      </c>
      <c r="AA25" s="123">
        <v>1</v>
      </c>
      <c r="AB25" s="123">
        <v>107.22</v>
      </c>
      <c r="AC25" s="122"/>
      <c r="AD25" s="123">
        <v>39.457000000000001</v>
      </c>
      <c r="AE25" s="122"/>
      <c r="AF25" s="122"/>
      <c r="AG25" s="122"/>
      <c r="AH25" s="125">
        <v>2.0000000000000002E-5</v>
      </c>
      <c r="AI25" s="125">
        <v>1.7409999999999998E-2</v>
      </c>
      <c r="AJ25" s="126">
        <v>1.1199999999999999E-3</v>
      </c>
      <c r="AK25" s="159"/>
    </row>
    <row r="26" spans="1:37" x14ac:dyDescent="0.2">
      <c r="A26" s="121" t="s">
        <v>1211</v>
      </c>
      <c r="B26" s="122" t="s">
        <v>1212</v>
      </c>
      <c r="C26" s="122" t="s">
        <v>1415</v>
      </c>
      <c r="D26" s="122" t="s">
        <v>1416</v>
      </c>
      <c r="E26" s="122" t="s">
        <v>429</v>
      </c>
      <c r="F26" s="122" t="s">
        <v>1417</v>
      </c>
      <c r="G26" s="122" t="s">
        <v>1418</v>
      </c>
      <c r="H26" s="122" t="s">
        <v>76</v>
      </c>
      <c r="I26" s="122" t="s">
        <v>228</v>
      </c>
      <c r="J26" s="122" t="s">
        <v>53</v>
      </c>
      <c r="K26" s="122" t="s">
        <v>53</v>
      </c>
      <c r="L26" s="122" t="s">
        <v>805</v>
      </c>
      <c r="M26" s="122" t="s">
        <v>311</v>
      </c>
      <c r="N26" s="122" t="s">
        <v>269</v>
      </c>
      <c r="O26" s="122" t="s">
        <v>62</v>
      </c>
      <c r="P26" s="122" t="s">
        <v>1369</v>
      </c>
      <c r="Q26" s="122" t="s">
        <v>65</v>
      </c>
      <c r="R26" s="122" t="s">
        <v>57</v>
      </c>
      <c r="S26" s="122" t="s">
        <v>1216</v>
      </c>
      <c r="T26" s="123">
        <v>4.45</v>
      </c>
      <c r="U26" s="122" t="s">
        <v>1325</v>
      </c>
      <c r="V26" s="125">
        <v>5.2499999999999998E-2</v>
      </c>
      <c r="W26" s="125">
        <v>4.6359999999999998E-2</v>
      </c>
      <c r="X26" s="122" t="s">
        <v>620</v>
      </c>
      <c r="Y26" s="133"/>
      <c r="Z26" s="123">
        <v>37000</v>
      </c>
      <c r="AA26" s="123">
        <v>1</v>
      </c>
      <c r="AB26" s="123">
        <v>105.15</v>
      </c>
      <c r="AC26" s="122"/>
      <c r="AD26" s="123">
        <v>38.905999999999999</v>
      </c>
      <c r="AE26" s="122"/>
      <c r="AF26" s="122"/>
      <c r="AG26" s="122"/>
      <c r="AH26" s="125">
        <v>4.0000000000000003E-5</v>
      </c>
      <c r="AI26" s="125">
        <v>1.7170000000000001E-2</v>
      </c>
      <c r="AJ26" s="126">
        <v>1.1100000000000001E-3</v>
      </c>
      <c r="AK26" s="159"/>
    </row>
    <row r="27" spans="1:37" x14ac:dyDescent="0.2">
      <c r="A27" s="121" t="s">
        <v>1211</v>
      </c>
      <c r="B27" s="122" t="s">
        <v>1212</v>
      </c>
      <c r="C27" s="122" t="s">
        <v>1419</v>
      </c>
      <c r="D27" s="122" t="s">
        <v>1420</v>
      </c>
      <c r="E27" s="122" t="s">
        <v>429</v>
      </c>
      <c r="F27" s="122" t="s">
        <v>1421</v>
      </c>
      <c r="G27" s="122" t="s">
        <v>1422</v>
      </c>
      <c r="H27" s="122" t="s">
        <v>76</v>
      </c>
      <c r="I27" s="122" t="s">
        <v>228</v>
      </c>
      <c r="J27" s="122" t="s">
        <v>53</v>
      </c>
      <c r="K27" s="122" t="s">
        <v>53</v>
      </c>
      <c r="L27" s="122" t="s">
        <v>805</v>
      </c>
      <c r="M27" s="122" t="s">
        <v>311</v>
      </c>
      <c r="N27" s="122" t="s">
        <v>269</v>
      </c>
      <c r="O27" s="122" t="s">
        <v>62</v>
      </c>
      <c r="P27" s="122" t="s">
        <v>1423</v>
      </c>
      <c r="Q27" s="122" t="s">
        <v>70</v>
      </c>
      <c r="R27" s="122" t="s">
        <v>57</v>
      </c>
      <c r="S27" s="122" t="s">
        <v>1216</v>
      </c>
      <c r="T27" s="123">
        <v>7.48</v>
      </c>
      <c r="U27" s="122" t="s">
        <v>1424</v>
      </c>
      <c r="V27" s="125">
        <v>5.0200000000000002E-2</v>
      </c>
      <c r="W27" s="125">
        <v>5.0930000000000003E-2</v>
      </c>
      <c r="X27" s="122" t="s">
        <v>620</v>
      </c>
      <c r="Y27" s="133"/>
      <c r="Z27" s="123">
        <v>34500</v>
      </c>
      <c r="AA27" s="123">
        <v>1</v>
      </c>
      <c r="AB27" s="123">
        <v>100.3</v>
      </c>
      <c r="AC27" s="122"/>
      <c r="AD27" s="123">
        <v>34.603999999999999</v>
      </c>
      <c r="AE27" s="122"/>
      <c r="AF27" s="122"/>
      <c r="AG27" s="122"/>
      <c r="AH27" s="125">
        <v>1.2E-4</v>
      </c>
      <c r="AI27" s="125">
        <v>1.5270000000000001E-2</v>
      </c>
      <c r="AJ27" s="126">
        <v>9.8999999999999999E-4</v>
      </c>
      <c r="AK27" s="159"/>
    </row>
    <row r="28" spans="1:37" x14ac:dyDescent="0.2">
      <c r="A28" s="121" t="s">
        <v>1211</v>
      </c>
      <c r="B28" s="122" t="s">
        <v>1212</v>
      </c>
      <c r="C28" s="122" t="s">
        <v>1419</v>
      </c>
      <c r="D28" s="122" t="s">
        <v>1420</v>
      </c>
      <c r="E28" s="122" t="s">
        <v>429</v>
      </c>
      <c r="F28" s="122" t="s">
        <v>1425</v>
      </c>
      <c r="G28" s="122" t="s">
        <v>1426</v>
      </c>
      <c r="H28" s="122" t="s">
        <v>76</v>
      </c>
      <c r="I28" s="122" t="s">
        <v>228</v>
      </c>
      <c r="J28" s="122" t="s">
        <v>53</v>
      </c>
      <c r="K28" s="122" t="s">
        <v>53</v>
      </c>
      <c r="L28" s="122" t="s">
        <v>805</v>
      </c>
      <c r="M28" s="122" t="s">
        <v>311</v>
      </c>
      <c r="N28" s="122" t="s">
        <v>269</v>
      </c>
      <c r="O28" s="122" t="s">
        <v>62</v>
      </c>
      <c r="P28" s="122" t="s">
        <v>1423</v>
      </c>
      <c r="Q28" s="122" t="s">
        <v>70</v>
      </c>
      <c r="R28" s="122" t="s">
        <v>57</v>
      </c>
      <c r="S28" s="122" t="s">
        <v>1216</v>
      </c>
      <c r="T28" s="123">
        <v>8.1</v>
      </c>
      <c r="U28" s="122" t="s">
        <v>1427</v>
      </c>
      <c r="V28" s="125">
        <v>5.0200000000000002E-2</v>
      </c>
      <c r="W28" s="125">
        <v>5.1049999999999998E-2</v>
      </c>
      <c r="X28" s="122" t="s">
        <v>620</v>
      </c>
      <c r="Y28" s="133"/>
      <c r="Z28" s="123">
        <v>34500</v>
      </c>
      <c r="AA28" s="123">
        <v>1</v>
      </c>
      <c r="AB28" s="123">
        <v>100.2</v>
      </c>
      <c r="AC28" s="122"/>
      <c r="AD28" s="123">
        <v>34.569000000000003</v>
      </c>
      <c r="AE28" s="122"/>
      <c r="AF28" s="122"/>
      <c r="AG28" s="122"/>
      <c r="AH28" s="125">
        <v>1.2E-4</v>
      </c>
      <c r="AI28" s="125">
        <v>1.5259999999999999E-2</v>
      </c>
      <c r="AJ28" s="126">
        <v>9.7999999999999997E-4</v>
      </c>
      <c r="AK28" s="159"/>
    </row>
    <row r="29" spans="1:37" x14ac:dyDescent="0.2">
      <c r="A29" s="121" t="s">
        <v>1211</v>
      </c>
      <c r="B29" s="122" t="s">
        <v>1212</v>
      </c>
      <c r="C29" s="122" t="s">
        <v>1407</v>
      </c>
      <c r="D29" s="122" t="s">
        <v>1408</v>
      </c>
      <c r="E29" s="122" t="s">
        <v>429</v>
      </c>
      <c r="F29" s="122" t="s">
        <v>1428</v>
      </c>
      <c r="G29" s="122" t="s">
        <v>1429</v>
      </c>
      <c r="H29" s="122" t="s">
        <v>76</v>
      </c>
      <c r="I29" s="122" t="s">
        <v>229</v>
      </c>
      <c r="J29" s="122" t="s">
        <v>53</v>
      </c>
      <c r="K29" s="122" t="s">
        <v>53</v>
      </c>
      <c r="L29" s="122" t="s">
        <v>805</v>
      </c>
      <c r="M29" s="122" t="s">
        <v>311</v>
      </c>
      <c r="N29" s="122" t="s">
        <v>256</v>
      </c>
      <c r="O29" s="122" t="s">
        <v>62</v>
      </c>
      <c r="P29" s="122" t="s">
        <v>1369</v>
      </c>
      <c r="Q29" s="122" t="s">
        <v>65</v>
      </c>
      <c r="R29" s="122" t="s">
        <v>57</v>
      </c>
      <c r="S29" s="122" t="s">
        <v>1216</v>
      </c>
      <c r="T29" s="123">
        <v>0.74</v>
      </c>
      <c r="U29" s="122" t="s">
        <v>1430</v>
      </c>
      <c r="V29" s="125">
        <v>2E-3</v>
      </c>
      <c r="W29" s="125">
        <v>3.9070000000000001E-2</v>
      </c>
      <c r="X29" s="122" t="s">
        <v>620</v>
      </c>
      <c r="Y29" s="133"/>
      <c r="Z29" s="123">
        <v>30162.5</v>
      </c>
      <c r="AA29" s="123">
        <v>1</v>
      </c>
      <c r="AB29" s="123">
        <v>114.5</v>
      </c>
      <c r="AC29" s="122"/>
      <c r="AD29" s="123">
        <v>34.536000000000001</v>
      </c>
      <c r="AE29" s="122"/>
      <c r="AF29" s="122"/>
      <c r="AG29" s="122"/>
      <c r="AH29" s="125">
        <v>1.1E-4</v>
      </c>
      <c r="AI29" s="125">
        <v>1.524E-2</v>
      </c>
      <c r="AJ29" s="126">
        <v>9.7999999999999997E-4</v>
      </c>
      <c r="AK29" s="159"/>
    </row>
    <row r="30" spans="1:37" x14ac:dyDescent="0.2">
      <c r="A30" s="121" t="s">
        <v>1211</v>
      </c>
      <c r="B30" s="122" t="s">
        <v>1212</v>
      </c>
      <c r="C30" s="122" t="s">
        <v>1431</v>
      </c>
      <c r="D30" s="122" t="s">
        <v>1432</v>
      </c>
      <c r="E30" s="122" t="s">
        <v>429</v>
      </c>
      <c r="F30" s="122" t="s">
        <v>1433</v>
      </c>
      <c r="G30" s="122" t="s">
        <v>1434</v>
      </c>
      <c r="H30" s="122" t="s">
        <v>76</v>
      </c>
      <c r="I30" s="122" t="s">
        <v>229</v>
      </c>
      <c r="J30" s="122" t="s">
        <v>53</v>
      </c>
      <c r="K30" s="122" t="s">
        <v>53</v>
      </c>
      <c r="L30" s="122" t="s">
        <v>805</v>
      </c>
      <c r="M30" s="122" t="s">
        <v>311</v>
      </c>
      <c r="N30" s="122" t="s">
        <v>636</v>
      </c>
      <c r="O30" s="122" t="s">
        <v>62</v>
      </c>
      <c r="P30" s="122" t="s">
        <v>1423</v>
      </c>
      <c r="Q30" s="122" t="s">
        <v>70</v>
      </c>
      <c r="R30" s="122" t="s">
        <v>57</v>
      </c>
      <c r="S30" s="122" t="s">
        <v>1216</v>
      </c>
      <c r="T30" s="123">
        <v>0.81</v>
      </c>
      <c r="U30" s="122" t="s">
        <v>1435</v>
      </c>
      <c r="V30" s="125">
        <v>2.5700000000000001E-2</v>
      </c>
      <c r="W30" s="125">
        <v>3.9320000000000001E-2</v>
      </c>
      <c r="X30" s="122" t="s">
        <v>620</v>
      </c>
      <c r="Y30" s="133"/>
      <c r="Z30" s="123">
        <v>28356.59</v>
      </c>
      <c r="AA30" s="123">
        <v>1</v>
      </c>
      <c r="AB30" s="123">
        <v>119.85</v>
      </c>
      <c r="AC30" s="122"/>
      <c r="AD30" s="123">
        <v>33.984999999999999</v>
      </c>
      <c r="AE30" s="122"/>
      <c r="AF30" s="122"/>
      <c r="AG30" s="122"/>
      <c r="AH30" s="125">
        <v>3.0000000000000001E-5</v>
      </c>
      <c r="AI30" s="125">
        <v>1.4999999999999999E-2</v>
      </c>
      <c r="AJ30" s="126">
        <v>9.7000000000000005E-4</v>
      </c>
      <c r="AK30" s="159"/>
    </row>
    <row r="31" spans="1:37" x14ac:dyDescent="0.2">
      <c r="A31" s="121" t="s">
        <v>1211</v>
      </c>
      <c r="B31" s="122" t="s">
        <v>1212</v>
      </c>
      <c r="C31" s="122" t="s">
        <v>1398</v>
      </c>
      <c r="D31" s="122" t="s">
        <v>1399</v>
      </c>
      <c r="E31" s="122" t="s">
        <v>429</v>
      </c>
      <c r="F31" s="122" t="s">
        <v>1436</v>
      </c>
      <c r="G31" s="122" t="s">
        <v>1437</v>
      </c>
      <c r="H31" s="122" t="s">
        <v>76</v>
      </c>
      <c r="I31" s="122" t="s">
        <v>229</v>
      </c>
      <c r="J31" s="122" t="s">
        <v>53</v>
      </c>
      <c r="K31" s="122" t="s">
        <v>53</v>
      </c>
      <c r="L31" s="122" t="s">
        <v>805</v>
      </c>
      <c r="M31" s="122" t="s">
        <v>311</v>
      </c>
      <c r="N31" s="122" t="s">
        <v>636</v>
      </c>
      <c r="O31" s="122" t="s">
        <v>62</v>
      </c>
      <c r="P31" s="122" t="s">
        <v>1402</v>
      </c>
      <c r="Q31" s="122" t="s">
        <v>70</v>
      </c>
      <c r="R31" s="122" t="s">
        <v>57</v>
      </c>
      <c r="S31" s="122" t="s">
        <v>1216</v>
      </c>
      <c r="T31" s="123">
        <v>4.7</v>
      </c>
      <c r="U31" s="122" t="s">
        <v>1438</v>
      </c>
      <c r="V31" s="125">
        <v>1.7899999999999999E-2</v>
      </c>
      <c r="W31" s="125">
        <v>5.3999999999999999E-2</v>
      </c>
      <c r="X31" s="122" t="s">
        <v>620</v>
      </c>
      <c r="Y31" s="133"/>
      <c r="Z31" s="123">
        <v>33934.949999999997</v>
      </c>
      <c r="AA31" s="123">
        <v>1</v>
      </c>
      <c r="AB31" s="123">
        <v>100.05</v>
      </c>
      <c r="AC31" s="122"/>
      <c r="AD31" s="123">
        <v>33.951999999999998</v>
      </c>
      <c r="AE31" s="122"/>
      <c r="AF31" s="122"/>
      <c r="AG31" s="122"/>
      <c r="AH31" s="125">
        <v>2.0000000000000002E-5</v>
      </c>
      <c r="AI31" s="125">
        <v>1.498E-2</v>
      </c>
      <c r="AJ31" s="126">
        <v>9.7000000000000005E-4</v>
      </c>
      <c r="AK31" s="159"/>
    </row>
    <row r="32" spans="1:37" x14ac:dyDescent="0.2">
      <c r="A32" s="121" t="s">
        <v>1211</v>
      </c>
      <c r="B32" s="122" t="s">
        <v>1212</v>
      </c>
      <c r="C32" s="122" t="s">
        <v>1326</v>
      </c>
      <c r="D32" s="122" t="s">
        <v>1327</v>
      </c>
      <c r="E32" s="122" t="s">
        <v>429</v>
      </c>
      <c r="F32" s="122" t="s">
        <v>1439</v>
      </c>
      <c r="G32" s="122" t="s">
        <v>1440</v>
      </c>
      <c r="H32" s="122" t="s">
        <v>76</v>
      </c>
      <c r="I32" s="122" t="s">
        <v>229</v>
      </c>
      <c r="J32" s="122" t="s">
        <v>53</v>
      </c>
      <c r="K32" s="122" t="s">
        <v>53</v>
      </c>
      <c r="L32" s="122" t="s">
        <v>805</v>
      </c>
      <c r="M32" s="122" t="s">
        <v>311</v>
      </c>
      <c r="N32" s="122" t="s">
        <v>256</v>
      </c>
      <c r="O32" s="122" t="s">
        <v>62</v>
      </c>
      <c r="P32" s="122" t="s">
        <v>1330</v>
      </c>
      <c r="Q32" s="122" t="s">
        <v>65</v>
      </c>
      <c r="R32" s="122" t="s">
        <v>57</v>
      </c>
      <c r="S32" s="122" t="s">
        <v>1216</v>
      </c>
      <c r="T32" s="123">
        <v>3.09</v>
      </c>
      <c r="U32" s="122" t="s">
        <v>1441</v>
      </c>
      <c r="V32" s="125">
        <v>1E-3</v>
      </c>
      <c r="W32" s="125">
        <v>2.5270000000000001E-2</v>
      </c>
      <c r="X32" s="122" t="s">
        <v>620</v>
      </c>
      <c r="Y32" s="133"/>
      <c r="Z32" s="123">
        <v>28000</v>
      </c>
      <c r="AA32" s="123">
        <v>1</v>
      </c>
      <c r="AB32" s="123">
        <v>107.45</v>
      </c>
      <c r="AC32" s="122"/>
      <c r="AD32" s="123">
        <v>30.085999999999999</v>
      </c>
      <c r="AE32" s="122"/>
      <c r="AF32" s="122"/>
      <c r="AG32" s="122"/>
      <c r="AH32" s="125">
        <v>3.0000000000000001E-5</v>
      </c>
      <c r="AI32" s="125">
        <v>1.328E-2</v>
      </c>
      <c r="AJ32" s="126">
        <v>8.5999999999999998E-4</v>
      </c>
      <c r="AK32" s="159"/>
    </row>
    <row r="33" spans="1:37" x14ac:dyDescent="0.2">
      <c r="A33" s="121" t="s">
        <v>1211</v>
      </c>
      <c r="B33" s="122" t="s">
        <v>1212</v>
      </c>
      <c r="C33" s="122" t="s">
        <v>1442</v>
      </c>
      <c r="D33" s="122" t="s">
        <v>1443</v>
      </c>
      <c r="E33" s="122" t="s">
        <v>429</v>
      </c>
      <c r="F33" s="122" t="s">
        <v>1444</v>
      </c>
      <c r="G33" s="122" t="s">
        <v>1445</v>
      </c>
      <c r="H33" s="122" t="s">
        <v>76</v>
      </c>
      <c r="I33" s="122" t="s">
        <v>229</v>
      </c>
      <c r="J33" s="122" t="s">
        <v>53</v>
      </c>
      <c r="K33" s="122" t="s">
        <v>53</v>
      </c>
      <c r="L33" s="122" t="s">
        <v>805</v>
      </c>
      <c r="M33" s="122" t="s">
        <v>311</v>
      </c>
      <c r="N33" s="122" t="s">
        <v>635</v>
      </c>
      <c r="O33" s="122" t="s">
        <v>62</v>
      </c>
      <c r="P33" s="122" t="s">
        <v>1324</v>
      </c>
      <c r="Q33" s="122" t="s">
        <v>65</v>
      </c>
      <c r="R33" s="122" t="s">
        <v>57</v>
      </c>
      <c r="S33" s="122" t="s">
        <v>1216</v>
      </c>
      <c r="T33" s="123">
        <v>1.76</v>
      </c>
      <c r="U33" s="122" t="s">
        <v>1281</v>
      </c>
      <c r="V33" s="125">
        <v>2.3400000000000001E-2</v>
      </c>
      <c r="W33" s="125">
        <v>2.962E-2</v>
      </c>
      <c r="X33" s="122" t="s">
        <v>620</v>
      </c>
      <c r="Y33" s="133"/>
      <c r="Z33" s="123">
        <v>24664.57</v>
      </c>
      <c r="AA33" s="123">
        <v>1</v>
      </c>
      <c r="AB33" s="123">
        <v>118.73</v>
      </c>
      <c r="AC33" s="122"/>
      <c r="AD33" s="123">
        <v>29.283999999999999</v>
      </c>
      <c r="AE33" s="122"/>
      <c r="AF33" s="122"/>
      <c r="AG33" s="122"/>
      <c r="AH33" s="125">
        <v>2.0000000000000002E-5</v>
      </c>
      <c r="AI33" s="125">
        <v>1.2919999999999999E-2</v>
      </c>
      <c r="AJ33" s="126">
        <v>8.3000000000000001E-4</v>
      </c>
      <c r="AK33" s="159"/>
    </row>
    <row r="34" spans="1:37" x14ac:dyDescent="0.2">
      <c r="A34" s="121" t="s">
        <v>1211</v>
      </c>
      <c r="B34" s="122" t="s">
        <v>1212</v>
      </c>
      <c r="C34" s="122" t="s">
        <v>1446</v>
      </c>
      <c r="D34" s="122" t="s">
        <v>1447</v>
      </c>
      <c r="E34" s="122" t="s">
        <v>429</v>
      </c>
      <c r="F34" s="122" t="s">
        <v>1448</v>
      </c>
      <c r="G34" s="122" t="s">
        <v>1449</v>
      </c>
      <c r="H34" s="122" t="s">
        <v>76</v>
      </c>
      <c r="I34" s="122" t="s">
        <v>228</v>
      </c>
      <c r="J34" s="122" t="s">
        <v>53</v>
      </c>
      <c r="K34" s="122" t="s">
        <v>53</v>
      </c>
      <c r="L34" s="122" t="s">
        <v>805</v>
      </c>
      <c r="M34" s="122" t="s">
        <v>311</v>
      </c>
      <c r="N34" s="122" t="s">
        <v>156</v>
      </c>
      <c r="O34" s="122" t="s">
        <v>62</v>
      </c>
      <c r="P34" s="122" t="s">
        <v>1450</v>
      </c>
      <c r="Q34" s="122" t="s">
        <v>65</v>
      </c>
      <c r="R34" s="122" t="s">
        <v>57</v>
      </c>
      <c r="S34" s="122" t="s">
        <v>1216</v>
      </c>
      <c r="T34" s="123">
        <v>2.8</v>
      </c>
      <c r="U34" s="122" t="s">
        <v>1451</v>
      </c>
      <c r="V34" s="125">
        <v>2.5000000000000001E-2</v>
      </c>
      <c r="W34" s="125">
        <v>4.972E-2</v>
      </c>
      <c r="X34" s="122" t="s">
        <v>620</v>
      </c>
      <c r="Y34" s="133"/>
      <c r="Z34" s="123">
        <v>31200</v>
      </c>
      <c r="AA34" s="123">
        <v>1</v>
      </c>
      <c r="AB34" s="123">
        <v>93.71</v>
      </c>
      <c r="AC34" s="122"/>
      <c r="AD34" s="123">
        <v>29.238</v>
      </c>
      <c r="AE34" s="122"/>
      <c r="AF34" s="122"/>
      <c r="AG34" s="122"/>
      <c r="AH34" s="125">
        <v>5.0000000000000002E-5</v>
      </c>
      <c r="AI34" s="125">
        <v>1.29E-2</v>
      </c>
      <c r="AJ34" s="126">
        <v>8.3000000000000001E-4</v>
      </c>
      <c r="AK34" s="159"/>
    </row>
    <row r="35" spans="1:37" x14ac:dyDescent="0.2">
      <c r="A35" s="121" t="s">
        <v>1211</v>
      </c>
      <c r="B35" s="122" t="s">
        <v>1212</v>
      </c>
      <c r="C35" s="122" t="s">
        <v>1320</v>
      </c>
      <c r="D35" s="122" t="s">
        <v>1321</v>
      </c>
      <c r="E35" s="122" t="s">
        <v>429</v>
      </c>
      <c r="F35" s="122" t="s">
        <v>1452</v>
      </c>
      <c r="G35" s="122" t="s">
        <v>1453</v>
      </c>
      <c r="H35" s="122" t="s">
        <v>76</v>
      </c>
      <c r="I35" s="122" t="s">
        <v>229</v>
      </c>
      <c r="J35" s="122" t="s">
        <v>53</v>
      </c>
      <c r="K35" s="122" t="s">
        <v>53</v>
      </c>
      <c r="L35" s="122" t="s">
        <v>805</v>
      </c>
      <c r="M35" s="122" t="s">
        <v>311</v>
      </c>
      <c r="N35" s="122" t="s">
        <v>269</v>
      </c>
      <c r="O35" s="122" t="s">
        <v>62</v>
      </c>
      <c r="P35" s="122" t="s">
        <v>1454</v>
      </c>
      <c r="Q35" s="122" t="s">
        <v>70</v>
      </c>
      <c r="R35" s="122" t="s">
        <v>57</v>
      </c>
      <c r="S35" s="122" t="s">
        <v>1216</v>
      </c>
      <c r="T35" s="123">
        <v>4.29</v>
      </c>
      <c r="U35" s="122" t="s">
        <v>1455</v>
      </c>
      <c r="V35" s="125">
        <v>4.6899999999999997E-2</v>
      </c>
      <c r="W35" s="125">
        <v>4.6339999999999999E-2</v>
      </c>
      <c r="X35" s="122" t="s">
        <v>620</v>
      </c>
      <c r="Y35" s="133"/>
      <c r="Z35" s="123">
        <v>27000</v>
      </c>
      <c r="AA35" s="123">
        <v>1</v>
      </c>
      <c r="AB35" s="123">
        <v>100.58</v>
      </c>
      <c r="AC35" s="122"/>
      <c r="AD35" s="123">
        <v>27.157</v>
      </c>
      <c r="AE35" s="122"/>
      <c r="AF35" s="122"/>
      <c r="AG35" s="122"/>
      <c r="AH35" s="125">
        <v>5.0000000000000002E-5</v>
      </c>
      <c r="AI35" s="125">
        <v>1.1990000000000001E-2</v>
      </c>
      <c r="AJ35" s="126">
        <v>7.6999999999999996E-4</v>
      </c>
      <c r="AK35" s="159"/>
    </row>
    <row r="36" spans="1:37" x14ac:dyDescent="0.2">
      <c r="A36" s="121" t="s">
        <v>1211</v>
      </c>
      <c r="B36" s="122" t="s">
        <v>1212</v>
      </c>
      <c r="C36" s="122" t="s">
        <v>1398</v>
      </c>
      <c r="D36" s="122" t="s">
        <v>1399</v>
      </c>
      <c r="E36" s="122" t="s">
        <v>429</v>
      </c>
      <c r="F36" s="122" t="s">
        <v>1456</v>
      </c>
      <c r="G36" s="122" t="s">
        <v>1457</v>
      </c>
      <c r="H36" s="122" t="s">
        <v>76</v>
      </c>
      <c r="I36" s="122" t="s">
        <v>229</v>
      </c>
      <c r="J36" s="122" t="s">
        <v>53</v>
      </c>
      <c r="K36" s="122" t="s">
        <v>53</v>
      </c>
      <c r="L36" s="122" t="s">
        <v>805</v>
      </c>
      <c r="M36" s="122" t="s">
        <v>311</v>
      </c>
      <c r="N36" s="122" t="s">
        <v>636</v>
      </c>
      <c r="O36" s="122" t="s">
        <v>62</v>
      </c>
      <c r="P36" s="122" t="s">
        <v>1402</v>
      </c>
      <c r="Q36" s="122" t="s">
        <v>70</v>
      </c>
      <c r="R36" s="122" t="s">
        <v>57</v>
      </c>
      <c r="S36" s="122" t="s">
        <v>1216</v>
      </c>
      <c r="T36" s="123">
        <v>2.2400000000000002</v>
      </c>
      <c r="U36" s="122" t="s">
        <v>1458</v>
      </c>
      <c r="V36" s="125">
        <v>3.2800000000000003E-2</v>
      </c>
      <c r="W36" s="125">
        <v>4.6240000000000003E-2</v>
      </c>
      <c r="X36" s="122" t="s">
        <v>620</v>
      </c>
      <c r="Y36" s="133"/>
      <c r="Z36" s="123">
        <v>22853</v>
      </c>
      <c r="AA36" s="123">
        <v>1</v>
      </c>
      <c r="AB36" s="123">
        <v>117.77</v>
      </c>
      <c r="AC36" s="122"/>
      <c r="AD36" s="123">
        <v>26.914000000000001</v>
      </c>
      <c r="AE36" s="122"/>
      <c r="AF36" s="122"/>
      <c r="AG36" s="122"/>
      <c r="AH36" s="125">
        <v>2.0000000000000002E-5</v>
      </c>
      <c r="AI36" s="125">
        <v>1.188E-2</v>
      </c>
      <c r="AJ36" s="126">
        <v>7.6999999999999996E-4</v>
      </c>
      <c r="AK36" s="159"/>
    </row>
    <row r="37" spans="1:37" x14ac:dyDescent="0.2">
      <c r="A37" s="121" t="s">
        <v>1211</v>
      </c>
      <c r="B37" s="122" t="s">
        <v>1212</v>
      </c>
      <c r="C37" s="122" t="s">
        <v>1340</v>
      </c>
      <c r="D37" s="122" t="s">
        <v>1341</v>
      </c>
      <c r="E37" s="122" t="s">
        <v>429</v>
      </c>
      <c r="F37" s="122" t="s">
        <v>1459</v>
      </c>
      <c r="G37" s="122" t="s">
        <v>1460</v>
      </c>
      <c r="H37" s="122" t="s">
        <v>76</v>
      </c>
      <c r="I37" s="122" t="s">
        <v>229</v>
      </c>
      <c r="J37" s="122" t="s">
        <v>53</v>
      </c>
      <c r="K37" s="122" t="s">
        <v>53</v>
      </c>
      <c r="L37" s="122" t="s">
        <v>805</v>
      </c>
      <c r="M37" s="122" t="s">
        <v>311</v>
      </c>
      <c r="N37" s="122" t="s">
        <v>256</v>
      </c>
      <c r="O37" s="122" t="s">
        <v>62</v>
      </c>
      <c r="P37" s="122" t="s">
        <v>1330</v>
      </c>
      <c r="Q37" s="122" t="s">
        <v>65</v>
      </c>
      <c r="R37" s="122" t="s">
        <v>57</v>
      </c>
      <c r="S37" s="122" t="s">
        <v>1216</v>
      </c>
      <c r="T37" s="123">
        <v>3.95</v>
      </c>
      <c r="U37" s="122" t="s">
        <v>1461</v>
      </c>
      <c r="V37" s="125">
        <v>1.9900000000000001E-2</v>
      </c>
      <c r="W37" s="125">
        <v>2.537E-2</v>
      </c>
      <c r="X37" s="122" t="s">
        <v>620</v>
      </c>
      <c r="Y37" s="133"/>
      <c r="Z37" s="123">
        <v>24300</v>
      </c>
      <c r="AA37" s="123">
        <v>1</v>
      </c>
      <c r="AB37" s="123">
        <v>105.83</v>
      </c>
      <c r="AC37" s="122"/>
      <c r="AD37" s="123">
        <v>25.716999999999999</v>
      </c>
      <c r="AE37" s="122"/>
      <c r="AF37" s="122"/>
      <c r="AG37" s="122"/>
      <c r="AH37" s="125">
        <v>1.0000000000000001E-5</v>
      </c>
      <c r="AI37" s="125">
        <v>1.1350000000000001E-2</v>
      </c>
      <c r="AJ37" s="126">
        <v>7.2999999999999996E-4</v>
      </c>
      <c r="AK37" s="159"/>
    </row>
    <row r="38" spans="1:37" x14ac:dyDescent="0.2">
      <c r="A38" s="121" t="s">
        <v>1211</v>
      </c>
      <c r="B38" s="122" t="s">
        <v>1212</v>
      </c>
      <c r="C38" s="122" t="s">
        <v>1462</v>
      </c>
      <c r="D38" s="122" t="s">
        <v>1463</v>
      </c>
      <c r="E38" s="122" t="s">
        <v>429</v>
      </c>
      <c r="F38" s="122" t="s">
        <v>1464</v>
      </c>
      <c r="G38" s="122" t="s">
        <v>1465</v>
      </c>
      <c r="H38" s="122" t="s">
        <v>76</v>
      </c>
      <c r="I38" s="122" t="s">
        <v>229</v>
      </c>
      <c r="J38" s="122" t="s">
        <v>53</v>
      </c>
      <c r="K38" s="122" t="s">
        <v>53</v>
      </c>
      <c r="L38" s="122" t="s">
        <v>805</v>
      </c>
      <c r="M38" s="122" t="s">
        <v>311</v>
      </c>
      <c r="N38" s="122" t="s">
        <v>156</v>
      </c>
      <c r="O38" s="122" t="s">
        <v>62</v>
      </c>
      <c r="P38" s="122" t="s">
        <v>1369</v>
      </c>
      <c r="Q38" s="122" t="s">
        <v>65</v>
      </c>
      <c r="R38" s="122" t="s">
        <v>57</v>
      </c>
      <c r="S38" s="122" t="s">
        <v>1216</v>
      </c>
      <c r="T38" s="123">
        <v>1.62</v>
      </c>
      <c r="U38" s="122" t="s">
        <v>1466</v>
      </c>
      <c r="V38" s="125">
        <v>1.9400000000000001E-2</v>
      </c>
      <c r="W38" s="125">
        <v>2.6239999999999999E-2</v>
      </c>
      <c r="X38" s="122" t="s">
        <v>620</v>
      </c>
      <c r="Y38" s="133"/>
      <c r="Z38" s="123">
        <v>19048.39</v>
      </c>
      <c r="AA38" s="123">
        <v>1</v>
      </c>
      <c r="AB38" s="123">
        <v>119.07</v>
      </c>
      <c r="AC38" s="122"/>
      <c r="AD38" s="123">
        <v>22.681000000000001</v>
      </c>
      <c r="AE38" s="122"/>
      <c r="AF38" s="122"/>
      <c r="AG38" s="122"/>
      <c r="AH38" s="125">
        <v>8.0000000000000007E-5</v>
      </c>
      <c r="AI38" s="125">
        <v>1.001E-2</v>
      </c>
      <c r="AJ38" s="126">
        <v>6.4999999999999997E-4</v>
      </c>
      <c r="AK38" s="159"/>
    </row>
    <row r="39" spans="1:37" x14ac:dyDescent="0.2">
      <c r="A39" s="121" t="s">
        <v>1211</v>
      </c>
      <c r="B39" s="122" t="s">
        <v>1212</v>
      </c>
      <c r="C39" s="122" t="s">
        <v>1332</v>
      </c>
      <c r="D39" s="122" t="s">
        <v>1333</v>
      </c>
      <c r="E39" s="122" t="s">
        <v>430</v>
      </c>
      <c r="F39" s="122" t="s">
        <v>1467</v>
      </c>
      <c r="G39" s="122" t="s">
        <v>1468</v>
      </c>
      <c r="H39" s="122" t="s">
        <v>76</v>
      </c>
      <c r="I39" s="122" t="s">
        <v>229</v>
      </c>
      <c r="J39" s="122" t="s">
        <v>53</v>
      </c>
      <c r="K39" s="122" t="s">
        <v>53</v>
      </c>
      <c r="L39" s="122" t="s">
        <v>805</v>
      </c>
      <c r="M39" s="122" t="s">
        <v>311</v>
      </c>
      <c r="N39" s="122" t="s">
        <v>156</v>
      </c>
      <c r="O39" s="122" t="s">
        <v>62</v>
      </c>
      <c r="P39" s="122" t="s">
        <v>1215</v>
      </c>
      <c r="Q39" s="122" t="s">
        <v>70</v>
      </c>
      <c r="R39" s="122" t="s">
        <v>57</v>
      </c>
      <c r="S39" s="122" t="s">
        <v>1216</v>
      </c>
      <c r="T39" s="123">
        <v>0.41</v>
      </c>
      <c r="U39" s="122" t="s">
        <v>1469</v>
      </c>
      <c r="V39" s="125">
        <v>4.4999999999999998E-2</v>
      </c>
      <c r="W39" s="125">
        <v>5.2880000000000003E-2</v>
      </c>
      <c r="X39" s="122" t="s">
        <v>620</v>
      </c>
      <c r="Y39" s="133"/>
      <c r="Z39" s="123">
        <v>14548</v>
      </c>
      <c r="AA39" s="123">
        <v>1</v>
      </c>
      <c r="AB39" s="123">
        <v>120.41</v>
      </c>
      <c r="AC39" s="122"/>
      <c r="AD39" s="123">
        <v>17.516999999999999</v>
      </c>
      <c r="AE39" s="122"/>
      <c r="AF39" s="122"/>
      <c r="AG39" s="122"/>
      <c r="AH39" s="125">
        <v>1.0000000000000001E-5</v>
      </c>
      <c r="AI39" s="125">
        <v>7.7299999999999999E-3</v>
      </c>
      <c r="AJ39" s="126">
        <v>5.0000000000000001E-4</v>
      </c>
      <c r="AK39" s="159"/>
    </row>
    <row r="40" spans="1:37" x14ac:dyDescent="0.2">
      <c r="A40" s="121" t="s">
        <v>1211</v>
      </c>
      <c r="B40" s="122" t="s">
        <v>1212</v>
      </c>
      <c r="C40" s="122" t="s">
        <v>1393</v>
      </c>
      <c r="D40" s="122" t="s">
        <v>1394</v>
      </c>
      <c r="E40" s="122" t="s">
        <v>429</v>
      </c>
      <c r="F40" s="122" t="s">
        <v>1470</v>
      </c>
      <c r="G40" s="122" t="s">
        <v>1471</v>
      </c>
      <c r="H40" s="122" t="s">
        <v>76</v>
      </c>
      <c r="I40" s="122" t="s">
        <v>229</v>
      </c>
      <c r="J40" s="122" t="s">
        <v>53</v>
      </c>
      <c r="K40" s="122" t="s">
        <v>53</v>
      </c>
      <c r="L40" s="122" t="s">
        <v>805</v>
      </c>
      <c r="M40" s="122" t="s">
        <v>311</v>
      </c>
      <c r="N40" s="122" t="s">
        <v>269</v>
      </c>
      <c r="O40" s="122" t="s">
        <v>62</v>
      </c>
      <c r="P40" s="122" t="s">
        <v>1377</v>
      </c>
      <c r="Q40" s="122" t="s">
        <v>70</v>
      </c>
      <c r="R40" s="122" t="s">
        <v>57</v>
      </c>
      <c r="S40" s="122" t="s">
        <v>1216</v>
      </c>
      <c r="T40" s="123">
        <v>1.23</v>
      </c>
      <c r="U40" s="122" t="s">
        <v>1430</v>
      </c>
      <c r="V40" s="125">
        <v>2.4E-2</v>
      </c>
      <c r="W40" s="125">
        <v>2.9489999999999999E-2</v>
      </c>
      <c r="X40" s="122" t="s">
        <v>620</v>
      </c>
      <c r="Y40" s="133"/>
      <c r="Z40" s="123">
        <v>14090.79</v>
      </c>
      <c r="AA40" s="123">
        <v>1</v>
      </c>
      <c r="AB40" s="123">
        <v>118.57</v>
      </c>
      <c r="AC40" s="122"/>
      <c r="AD40" s="123">
        <v>16.707000000000001</v>
      </c>
      <c r="AE40" s="122"/>
      <c r="AF40" s="122"/>
      <c r="AG40" s="122"/>
      <c r="AH40" s="125">
        <v>5.0000000000000002E-5</v>
      </c>
      <c r="AI40" s="125">
        <v>7.3699999999999998E-3</v>
      </c>
      <c r="AJ40" s="126">
        <v>4.8000000000000001E-4</v>
      </c>
      <c r="AK40" s="159"/>
    </row>
    <row r="41" spans="1:37" x14ac:dyDescent="0.2">
      <c r="A41" s="121" t="s">
        <v>1211</v>
      </c>
      <c r="B41" s="122" t="s">
        <v>1212</v>
      </c>
      <c r="C41" s="122" t="s">
        <v>1472</v>
      </c>
      <c r="D41" s="122" t="s">
        <v>1473</v>
      </c>
      <c r="E41" s="122" t="s">
        <v>429</v>
      </c>
      <c r="F41" s="122" t="s">
        <v>1474</v>
      </c>
      <c r="G41" s="122" t="s">
        <v>1475</v>
      </c>
      <c r="H41" s="122" t="s">
        <v>76</v>
      </c>
      <c r="I41" s="122" t="s">
        <v>228</v>
      </c>
      <c r="J41" s="122" t="s">
        <v>53</v>
      </c>
      <c r="K41" s="122" t="s">
        <v>53</v>
      </c>
      <c r="L41" s="122" t="s">
        <v>805</v>
      </c>
      <c r="M41" s="122" t="s">
        <v>311</v>
      </c>
      <c r="N41" s="122" t="s">
        <v>260</v>
      </c>
      <c r="O41" s="122" t="s">
        <v>62</v>
      </c>
      <c r="P41" s="122" t="s">
        <v>1454</v>
      </c>
      <c r="Q41" s="122" t="s">
        <v>70</v>
      </c>
      <c r="R41" s="122" t="s">
        <v>57</v>
      </c>
      <c r="S41" s="122" t="s">
        <v>1216</v>
      </c>
      <c r="T41" s="123">
        <v>0.17</v>
      </c>
      <c r="U41" s="122" t="s">
        <v>1476</v>
      </c>
      <c r="V41" s="125">
        <v>3.6499999999999998E-2</v>
      </c>
      <c r="W41" s="125">
        <v>4.367E-2</v>
      </c>
      <c r="X41" s="122" t="s">
        <v>620</v>
      </c>
      <c r="Y41" s="133"/>
      <c r="Z41" s="123">
        <v>12647.39</v>
      </c>
      <c r="AA41" s="123">
        <v>1</v>
      </c>
      <c r="AB41" s="123">
        <v>101.1</v>
      </c>
      <c r="AC41" s="122"/>
      <c r="AD41" s="123">
        <v>12.787000000000001</v>
      </c>
      <c r="AE41" s="122"/>
      <c r="AF41" s="122"/>
      <c r="AG41" s="122"/>
      <c r="AH41" s="125">
        <v>2.0000000000000002E-5</v>
      </c>
      <c r="AI41" s="125">
        <v>5.64E-3</v>
      </c>
      <c r="AJ41" s="126">
        <v>3.6000000000000002E-4</v>
      </c>
      <c r="AK41" s="159"/>
    </row>
    <row r="42" spans="1:37" x14ac:dyDescent="0.2">
      <c r="A42" s="121" t="s">
        <v>1211</v>
      </c>
      <c r="B42" s="122" t="s">
        <v>1212</v>
      </c>
      <c r="C42" s="122" t="s">
        <v>1477</v>
      </c>
      <c r="D42" s="122" t="s">
        <v>1478</v>
      </c>
      <c r="E42" s="122" t="s">
        <v>429</v>
      </c>
      <c r="F42" s="122" t="s">
        <v>1479</v>
      </c>
      <c r="G42" s="122" t="s">
        <v>1480</v>
      </c>
      <c r="H42" s="122" t="s">
        <v>76</v>
      </c>
      <c r="I42" s="122" t="s">
        <v>228</v>
      </c>
      <c r="J42" s="122" t="s">
        <v>53</v>
      </c>
      <c r="K42" s="122" t="s">
        <v>53</v>
      </c>
      <c r="L42" s="122" t="s">
        <v>805</v>
      </c>
      <c r="M42" s="122" t="s">
        <v>311</v>
      </c>
      <c r="N42" s="122" t="s">
        <v>634</v>
      </c>
      <c r="O42" s="122" t="s">
        <v>62</v>
      </c>
      <c r="P42" s="122" t="s">
        <v>1324</v>
      </c>
      <c r="Q42" s="122" t="s">
        <v>65</v>
      </c>
      <c r="R42" s="122" t="s">
        <v>57</v>
      </c>
      <c r="S42" s="122" t="s">
        <v>1216</v>
      </c>
      <c r="T42" s="123">
        <v>2.41</v>
      </c>
      <c r="U42" s="122" t="s">
        <v>1481</v>
      </c>
      <c r="V42" s="125">
        <v>5.0900000000000001E-2</v>
      </c>
      <c r="W42" s="125">
        <v>4.582E-2</v>
      </c>
      <c r="X42" s="122" t="s">
        <v>620</v>
      </c>
      <c r="Y42" s="133"/>
      <c r="Z42" s="123">
        <v>8337.9</v>
      </c>
      <c r="AA42" s="123">
        <v>1</v>
      </c>
      <c r="AB42" s="123">
        <v>101.07</v>
      </c>
      <c r="AC42" s="123">
        <v>2.6150000000000002</v>
      </c>
      <c r="AD42" s="123">
        <v>11.042</v>
      </c>
      <c r="AE42" s="122"/>
      <c r="AF42" s="122"/>
      <c r="AG42" s="122"/>
      <c r="AH42" s="125">
        <v>2.0000000000000002E-5</v>
      </c>
      <c r="AI42" s="125">
        <v>6.0299999999999998E-3</v>
      </c>
      <c r="AJ42" s="126">
        <v>3.8999999999999999E-4</v>
      </c>
      <c r="AK42" s="159"/>
    </row>
    <row r="43" spans="1:37" x14ac:dyDescent="0.2">
      <c r="A43" s="121" t="s">
        <v>1211</v>
      </c>
      <c r="B43" s="122" t="s">
        <v>1212</v>
      </c>
      <c r="C43" s="122" t="s">
        <v>1320</v>
      </c>
      <c r="D43" s="122" t="s">
        <v>1321</v>
      </c>
      <c r="E43" s="122" t="s">
        <v>429</v>
      </c>
      <c r="F43" s="122" t="s">
        <v>1482</v>
      </c>
      <c r="G43" s="122" t="s">
        <v>1483</v>
      </c>
      <c r="H43" s="122" t="s">
        <v>76</v>
      </c>
      <c r="I43" s="122" t="s">
        <v>228</v>
      </c>
      <c r="J43" s="122" t="s">
        <v>53</v>
      </c>
      <c r="K43" s="122" t="s">
        <v>53</v>
      </c>
      <c r="L43" s="122" t="s">
        <v>805</v>
      </c>
      <c r="M43" s="122" t="s">
        <v>311</v>
      </c>
      <c r="N43" s="122" t="s">
        <v>269</v>
      </c>
      <c r="O43" s="122" t="s">
        <v>62</v>
      </c>
      <c r="P43" s="122" t="s">
        <v>1454</v>
      </c>
      <c r="Q43" s="122" t="s">
        <v>70</v>
      </c>
      <c r="R43" s="122" t="s">
        <v>57</v>
      </c>
      <c r="S43" s="122" t="s">
        <v>1216</v>
      </c>
      <c r="T43" s="123">
        <v>3.4</v>
      </c>
      <c r="U43" s="122" t="s">
        <v>1484</v>
      </c>
      <c r="V43" s="125">
        <v>2.6200000000000001E-2</v>
      </c>
      <c r="W43" s="125">
        <v>4.512E-2</v>
      </c>
      <c r="X43" s="122" t="s">
        <v>620</v>
      </c>
      <c r="Y43" s="133"/>
      <c r="Z43" s="123">
        <v>10590</v>
      </c>
      <c r="AA43" s="123">
        <v>1</v>
      </c>
      <c r="AB43" s="123">
        <v>95.06</v>
      </c>
      <c r="AC43" s="122"/>
      <c r="AD43" s="123">
        <v>10.067</v>
      </c>
      <c r="AE43" s="122"/>
      <c r="AF43" s="122"/>
      <c r="AG43" s="122"/>
      <c r="AH43" s="125">
        <v>1.0000000000000001E-5</v>
      </c>
      <c r="AI43" s="125">
        <v>4.4400000000000004E-3</v>
      </c>
      <c r="AJ43" s="126">
        <v>2.9E-4</v>
      </c>
      <c r="AK43" s="159"/>
    </row>
    <row r="44" spans="1:37" x14ac:dyDescent="0.2">
      <c r="A44" s="121" t="s">
        <v>1211</v>
      </c>
      <c r="B44" s="122" t="s">
        <v>1212</v>
      </c>
      <c r="C44" s="122" t="s">
        <v>1332</v>
      </c>
      <c r="D44" s="122" t="s">
        <v>1333</v>
      </c>
      <c r="E44" s="122" t="s">
        <v>430</v>
      </c>
      <c r="F44" s="122" t="s">
        <v>1485</v>
      </c>
      <c r="G44" s="122" t="s">
        <v>1486</v>
      </c>
      <c r="H44" s="122" t="s">
        <v>76</v>
      </c>
      <c r="I44" s="122" t="s">
        <v>229</v>
      </c>
      <c r="J44" s="122" t="s">
        <v>53</v>
      </c>
      <c r="K44" s="122" t="s">
        <v>53</v>
      </c>
      <c r="L44" s="122" t="s">
        <v>805</v>
      </c>
      <c r="M44" s="122" t="s">
        <v>311</v>
      </c>
      <c r="N44" s="122" t="s">
        <v>156</v>
      </c>
      <c r="O44" s="122" t="s">
        <v>62</v>
      </c>
      <c r="P44" s="122" t="s">
        <v>1330</v>
      </c>
      <c r="Q44" s="122" t="s">
        <v>65</v>
      </c>
      <c r="R44" s="122" t="s">
        <v>57</v>
      </c>
      <c r="S44" s="122" t="s">
        <v>1216</v>
      </c>
      <c r="T44" s="123">
        <v>7.58</v>
      </c>
      <c r="U44" s="122" t="s">
        <v>1487</v>
      </c>
      <c r="V44" s="125">
        <v>2.9899999999999999E-2</v>
      </c>
      <c r="W44" s="125">
        <v>2.7470000000000001E-2</v>
      </c>
      <c r="X44" s="122" t="s">
        <v>620</v>
      </c>
      <c r="Y44" s="133"/>
      <c r="Z44" s="123">
        <v>9000</v>
      </c>
      <c r="AA44" s="123">
        <v>1</v>
      </c>
      <c r="AB44" s="123">
        <v>105.38</v>
      </c>
      <c r="AC44" s="122"/>
      <c r="AD44" s="123">
        <v>9.484</v>
      </c>
      <c r="AE44" s="122"/>
      <c r="AF44" s="122"/>
      <c r="AG44" s="122"/>
      <c r="AH44" s="125">
        <v>2.0000000000000002E-5</v>
      </c>
      <c r="AI44" s="125">
        <v>4.1900000000000001E-3</v>
      </c>
      <c r="AJ44" s="126">
        <v>2.7E-4</v>
      </c>
      <c r="AK44" s="159"/>
    </row>
    <row r="45" spans="1:37" x14ac:dyDescent="0.2">
      <c r="A45" s="121" t="s">
        <v>1211</v>
      </c>
      <c r="B45" s="122" t="s">
        <v>1212</v>
      </c>
      <c r="C45" s="122" t="s">
        <v>1419</v>
      </c>
      <c r="D45" s="122" t="s">
        <v>1420</v>
      </c>
      <c r="E45" s="122" t="s">
        <v>429</v>
      </c>
      <c r="F45" s="122" t="s">
        <v>1488</v>
      </c>
      <c r="G45" s="122" t="s">
        <v>1489</v>
      </c>
      <c r="H45" s="122" t="s">
        <v>76</v>
      </c>
      <c r="I45" s="122" t="s">
        <v>229</v>
      </c>
      <c r="J45" s="122" t="s">
        <v>53</v>
      </c>
      <c r="K45" s="122" t="s">
        <v>53</v>
      </c>
      <c r="L45" s="122" t="s">
        <v>805</v>
      </c>
      <c r="M45" s="122" t="s">
        <v>311</v>
      </c>
      <c r="N45" s="122" t="s">
        <v>269</v>
      </c>
      <c r="O45" s="122" t="s">
        <v>62</v>
      </c>
      <c r="P45" s="122" t="s">
        <v>1423</v>
      </c>
      <c r="Q45" s="122" t="s">
        <v>70</v>
      </c>
      <c r="R45" s="122" t="s">
        <v>57</v>
      </c>
      <c r="S45" s="122" t="s">
        <v>1216</v>
      </c>
      <c r="T45" s="123">
        <v>3.74</v>
      </c>
      <c r="U45" s="122" t="s">
        <v>1490</v>
      </c>
      <c r="V45" s="125">
        <v>5.1700000000000003E-2</v>
      </c>
      <c r="W45" s="125">
        <v>4.6330000000000003E-2</v>
      </c>
      <c r="X45" s="122" t="s">
        <v>620</v>
      </c>
      <c r="Y45" s="133"/>
      <c r="Z45" s="123">
        <v>7725</v>
      </c>
      <c r="AA45" s="123">
        <v>1</v>
      </c>
      <c r="AB45" s="123">
        <v>103.93</v>
      </c>
      <c r="AC45" s="122"/>
      <c r="AD45" s="123">
        <v>8.0289999999999999</v>
      </c>
      <c r="AE45" s="122"/>
      <c r="AF45" s="122"/>
      <c r="AG45" s="122"/>
      <c r="AH45" s="125">
        <v>1.0000000000000001E-5</v>
      </c>
      <c r="AI45" s="125">
        <v>3.5400000000000002E-3</v>
      </c>
      <c r="AJ45" s="126">
        <v>2.3000000000000001E-4</v>
      </c>
      <c r="AK45" s="159"/>
    </row>
    <row r="46" spans="1:37" x14ac:dyDescent="0.2">
      <c r="A46" s="121" t="s">
        <v>1211</v>
      </c>
      <c r="B46" s="122" t="s">
        <v>1212</v>
      </c>
      <c r="C46" s="122" t="s">
        <v>1393</v>
      </c>
      <c r="D46" s="122" t="s">
        <v>1394</v>
      </c>
      <c r="E46" s="122" t="s">
        <v>429</v>
      </c>
      <c r="F46" s="122" t="s">
        <v>1491</v>
      </c>
      <c r="G46" s="122" t="s">
        <v>1492</v>
      </c>
      <c r="H46" s="122" t="s">
        <v>76</v>
      </c>
      <c r="I46" s="122" t="s">
        <v>228</v>
      </c>
      <c r="J46" s="122" t="s">
        <v>53</v>
      </c>
      <c r="K46" s="122" t="s">
        <v>53</v>
      </c>
      <c r="L46" s="122" t="s">
        <v>805</v>
      </c>
      <c r="M46" s="122" t="s">
        <v>311</v>
      </c>
      <c r="N46" s="122" t="s">
        <v>269</v>
      </c>
      <c r="O46" s="122" t="s">
        <v>62</v>
      </c>
      <c r="P46" s="122" t="s">
        <v>1377</v>
      </c>
      <c r="Q46" s="122" t="s">
        <v>70</v>
      </c>
      <c r="R46" s="122" t="s">
        <v>57</v>
      </c>
      <c r="S46" s="122" t="s">
        <v>1216</v>
      </c>
      <c r="T46" s="123">
        <v>2.14</v>
      </c>
      <c r="U46" s="122" t="s">
        <v>1493</v>
      </c>
      <c r="V46" s="125">
        <v>4.36E-2</v>
      </c>
      <c r="W46" s="125">
        <v>4.4060000000000002E-2</v>
      </c>
      <c r="X46" s="122" t="s">
        <v>620</v>
      </c>
      <c r="Y46" s="133"/>
      <c r="Z46" s="123">
        <v>7345</v>
      </c>
      <c r="AA46" s="123">
        <v>1</v>
      </c>
      <c r="AB46" s="123">
        <v>101.09</v>
      </c>
      <c r="AC46" s="122"/>
      <c r="AD46" s="123">
        <v>7.4249999999999998</v>
      </c>
      <c r="AE46" s="122"/>
      <c r="AF46" s="122"/>
      <c r="AG46" s="122"/>
      <c r="AH46" s="125">
        <v>2.0000000000000002E-5</v>
      </c>
      <c r="AI46" s="125">
        <v>3.2799999999999999E-3</v>
      </c>
      <c r="AJ46" s="126">
        <v>2.1000000000000001E-4</v>
      </c>
      <c r="AK46" s="159"/>
    </row>
    <row r="47" spans="1:37" x14ac:dyDescent="0.2">
      <c r="A47" s="121" t="s">
        <v>1211</v>
      </c>
      <c r="B47" s="122" t="s">
        <v>1212</v>
      </c>
      <c r="C47" s="122" t="s">
        <v>1494</v>
      </c>
      <c r="D47" s="122" t="s">
        <v>1495</v>
      </c>
      <c r="E47" s="122" t="s">
        <v>429</v>
      </c>
      <c r="F47" s="122" t="s">
        <v>1496</v>
      </c>
      <c r="G47" s="122" t="s">
        <v>1497</v>
      </c>
      <c r="H47" s="122" t="s">
        <v>76</v>
      </c>
      <c r="I47" s="122" t="s">
        <v>229</v>
      </c>
      <c r="J47" s="122" t="s">
        <v>53</v>
      </c>
      <c r="K47" s="122" t="s">
        <v>53</v>
      </c>
      <c r="L47" s="122" t="s">
        <v>805</v>
      </c>
      <c r="M47" s="122" t="s">
        <v>311</v>
      </c>
      <c r="N47" s="122" t="s">
        <v>256</v>
      </c>
      <c r="O47" s="122" t="s">
        <v>62</v>
      </c>
      <c r="P47" s="122" t="s">
        <v>1330</v>
      </c>
      <c r="Q47" s="122" t="s">
        <v>65</v>
      </c>
      <c r="R47" s="122" t="s">
        <v>57</v>
      </c>
      <c r="S47" s="122" t="s">
        <v>1216</v>
      </c>
      <c r="T47" s="123">
        <v>2.2599999999999998</v>
      </c>
      <c r="U47" s="122" t="s">
        <v>1498</v>
      </c>
      <c r="V47" s="125">
        <v>1.4999999999999999E-2</v>
      </c>
      <c r="W47" s="125">
        <v>2.5770000000000001E-2</v>
      </c>
      <c r="X47" s="122" t="s">
        <v>620</v>
      </c>
      <c r="Y47" s="133"/>
      <c r="Z47" s="123">
        <v>5682.84</v>
      </c>
      <c r="AA47" s="123">
        <v>1</v>
      </c>
      <c r="AB47" s="123">
        <v>116.97</v>
      </c>
      <c r="AC47" s="122"/>
      <c r="AD47" s="123">
        <v>6.6470000000000002</v>
      </c>
      <c r="AE47" s="122"/>
      <c r="AF47" s="122"/>
      <c r="AG47" s="122"/>
      <c r="AH47" s="125">
        <v>2.0000000000000002E-5</v>
      </c>
      <c r="AI47" s="125">
        <v>2.9299999999999999E-3</v>
      </c>
      <c r="AJ47" s="126">
        <v>1.9000000000000001E-4</v>
      </c>
      <c r="AK47" s="159"/>
    </row>
    <row r="48" spans="1:37" x14ac:dyDescent="0.2">
      <c r="A48" s="121" t="s">
        <v>1211</v>
      </c>
      <c r="B48" s="122" t="s">
        <v>1212</v>
      </c>
      <c r="C48" s="122" t="s">
        <v>1499</v>
      </c>
      <c r="D48" s="122" t="s">
        <v>1500</v>
      </c>
      <c r="E48" s="122" t="s">
        <v>429</v>
      </c>
      <c r="F48" s="122" t="s">
        <v>1501</v>
      </c>
      <c r="G48" s="122" t="s">
        <v>1502</v>
      </c>
      <c r="H48" s="122" t="s">
        <v>76</v>
      </c>
      <c r="I48" s="122" t="s">
        <v>228</v>
      </c>
      <c r="J48" s="122" t="s">
        <v>53</v>
      </c>
      <c r="K48" s="122" t="s">
        <v>53</v>
      </c>
      <c r="L48" s="122" t="s">
        <v>805</v>
      </c>
      <c r="M48" s="122" t="s">
        <v>311</v>
      </c>
      <c r="N48" s="122" t="s">
        <v>692</v>
      </c>
      <c r="O48" s="122" t="s">
        <v>62</v>
      </c>
      <c r="P48" s="122" t="s">
        <v>1450</v>
      </c>
      <c r="Q48" s="122" t="s">
        <v>65</v>
      </c>
      <c r="R48" s="122" t="s">
        <v>57</v>
      </c>
      <c r="S48" s="122" t="s">
        <v>1216</v>
      </c>
      <c r="T48" s="123">
        <v>0.74</v>
      </c>
      <c r="U48" s="122" t="s">
        <v>1503</v>
      </c>
      <c r="V48" s="125">
        <v>0.04</v>
      </c>
      <c r="W48" s="125">
        <v>5.1470000000000002E-2</v>
      </c>
      <c r="X48" s="122" t="s">
        <v>620</v>
      </c>
      <c r="Y48" s="133"/>
      <c r="Z48" s="123">
        <v>6571.92</v>
      </c>
      <c r="AA48" s="123">
        <v>1</v>
      </c>
      <c r="AB48" s="123">
        <v>100.23</v>
      </c>
      <c r="AC48" s="122"/>
      <c r="AD48" s="123">
        <v>6.5869999999999997</v>
      </c>
      <c r="AE48" s="122"/>
      <c r="AF48" s="122"/>
      <c r="AG48" s="122"/>
      <c r="AH48" s="125">
        <v>1E-4</v>
      </c>
      <c r="AI48" s="125">
        <v>2.9099999999999998E-3</v>
      </c>
      <c r="AJ48" s="126">
        <v>1.9000000000000001E-4</v>
      </c>
      <c r="AK48" s="159"/>
    </row>
    <row r="49" spans="1:37" x14ac:dyDescent="0.2">
      <c r="A49" s="121" t="s">
        <v>1211</v>
      </c>
      <c r="B49" s="122" t="s">
        <v>1212</v>
      </c>
      <c r="C49" s="122" t="s">
        <v>1504</v>
      </c>
      <c r="D49" s="122" t="s">
        <v>1505</v>
      </c>
      <c r="E49" s="122" t="s">
        <v>429</v>
      </c>
      <c r="F49" s="122" t="s">
        <v>1506</v>
      </c>
      <c r="G49" s="122" t="s">
        <v>1507</v>
      </c>
      <c r="H49" s="122" t="s">
        <v>76</v>
      </c>
      <c r="I49" s="122" t="s">
        <v>229</v>
      </c>
      <c r="J49" s="122" t="s">
        <v>53</v>
      </c>
      <c r="K49" s="122" t="s">
        <v>53</v>
      </c>
      <c r="L49" s="122" t="s">
        <v>805</v>
      </c>
      <c r="M49" s="122" t="s">
        <v>311</v>
      </c>
      <c r="N49" s="122" t="s">
        <v>269</v>
      </c>
      <c r="O49" s="122" t="s">
        <v>62</v>
      </c>
      <c r="P49" s="122" t="s">
        <v>1324</v>
      </c>
      <c r="Q49" s="122" t="s">
        <v>65</v>
      </c>
      <c r="R49" s="122" t="s">
        <v>57</v>
      </c>
      <c r="S49" s="122" t="s">
        <v>1216</v>
      </c>
      <c r="T49" s="123">
        <v>3.56</v>
      </c>
      <c r="U49" s="122" t="s">
        <v>1508</v>
      </c>
      <c r="V49" s="125">
        <v>4.4000000000000003E-3</v>
      </c>
      <c r="W49" s="125">
        <v>2.683E-2</v>
      </c>
      <c r="X49" s="122" t="s">
        <v>620</v>
      </c>
      <c r="Y49" s="133"/>
      <c r="Z49" s="123">
        <v>4748.4799999999996</v>
      </c>
      <c r="AA49" s="123">
        <v>1</v>
      </c>
      <c r="AB49" s="123">
        <v>109.63</v>
      </c>
      <c r="AC49" s="122"/>
      <c r="AD49" s="123">
        <v>5.2060000000000004</v>
      </c>
      <c r="AE49" s="122"/>
      <c r="AF49" s="122"/>
      <c r="AG49" s="122"/>
      <c r="AH49" s="125">
        <v>0</v>
      </c>
      <c r="AI49" s="125">
        <v>2.3E-3</v>
      </c>
      <c r="AJ49" s="126">
        <v>1.4999999999999999E-4</v>
      </c>
      <c r="AK49" s="159"/>
    </row>
    <row r="50" spans="1:37" x14ac:dyDescent="0.2">
      <c r="A50" s="121" t="s">
        <v>1211</v>
      </c>
      <c r="B50" s="122" t="s">
        <v>1212</v>
      </c>
      <c r="C50" s="122" t="s">
        <v>1419</v>
      </c>
      <c r="D50" s="122" t="s">
        <v>1420</v>
      </c>
      <c r="E50" s="122" t="s">
        <v>429</v>
      </c>
      <c r="F50" s="122" t="s">
        <v>1509</v>
      </c>
      <c r="G50" s="122" t="s">
        <v>1510</v>
      </c>
      <c r="H50" s="122" t="s">
        <v>76</v>
      </c>
      <c r="I50" s="122" t="s">
        <v>229</v>
      </c>
      <c r="J50" s="122" t="s">
        <v>53</v>
      </c>
      <c r="K50" s="122" t="s">
        <v>53</v>
      </c>
      <c r="L50" s="122" t="s">
        <v>805</v>
      </c>
      <c r="M50" s="122" t="s">
        <v>311</v>
      </c>
      <c r="N50" s="122" t="s">
        <v>269</v>
      </c>
      <c r="O50" s="122" t="s">
        <v>62</v>
      </c>
      <c r="P50" s="122" t="s">
        <v>1423</v>
      </c>
      <c r="Q50" s="122" t="s">
        <v>70</v>
      </c>
      <c r="R50" s="122" t="s">
        <v>57</v>
      </c>
      <c r="S50" s="122" t="s">
        <v>1216</v>
      </c>
      <c r="T50" s="123">
        <v>4.5999999999999996</v>
      </c>
      <c r="U50" s="122" t="s">
        <v>1511</v>
      </c>
      <c r="V50" s="125">
        <v>5.3999999999999999E-2</v>
      </c>
      <c r="W50" s="125">
        <v>4.7530000000000003E-2</v>
      </c>
      <c r="X50" s="122" t="s">
        <v>620</v>
      </c>
      <c r="Y50" s="133"/>
      <c r="Z50" s="123">
        <v>4187</v>
      </c>
      <c r="AA50" s="123">
        <v>1</v>
      </c>
      <c r="AB50" s="123">
        <v>104.57</v>
      </c>
      <c r="AC50" s="122"/>
      <c r="AD50" s="123">
        <v>4.3780000000000001</v>
      </c>
      <c r="AE50" s="122"/>
      <c r="AF50" s="122"/>
      <c r="AG50" s="122"/>
      <c r="AH50" s="125">
        <v>1.0000000000000001E-5</v>
      </c>
      <c r="AI50" s="125">
        <v>1.9300000000000001E-3</v>
      </c>
      <c r="AJ50" s="126">
        <v>1.2E-4</v>
      </c>
      <c r="AK50" s="159"/>
    </row>
    <row r="51" spans="1:37" x14ac:dyDescent="0.2">
      <c r="A51" s="121" t="s">
        <v>1211</v>
      </c>
      <c r="B51" s="122" t="s">
        <v>1212</v>
      </c>
      <c r="C51" s="122" t="s">
        <v>1462</v>
      </c>
      <c r="D51" s="122" t="s">
        <v>1463</v>
      </c>
      <c r="E51" s="122" t="s">
        <v>429</v>
      </c>
      <c r="F51" s="122" t="s">
        <v>1512</v>
      </c>
      <c r="G51" s="122" t="s">
        <v>1513</v>
      </c>
      <c r="H51" s="122" t="s">
        <v>76</v>
      </c>
      <c r="I51" s="122" t="s">
        <v>229</v>
      </c>
      <c r="J51" s="122" t="s">
        <v>53</v>
      </c>
      <c r="K51" s="122" t="s">
        <v>53</v>
      </c>
      <c r="L51" s="122" t="s">
        <v>805</v>
      </c>
      <c r="M51" s="122" t="s">
        <v>311</v>
      </c>
      <c r="N51" s="122" t="s">
        <v>156</v>
      </c>
      <c r="O51" s="122" t="s">
        <v>62</v>
      </c>
      <c r="P51" s="122" t="s">
        <v>1369</v>
      </c>
      <c r="Q51" s="122" t="s">
        <v>65</v>
      </c>
      <c r="R51" s="122" t="s">
        <v>57</v>
      </c>
      <c r="S51" s="122" t="s">
        <v>1216</v>
      </c>
      <c r="T51" s="123">
        <v>2.61</v>
      </c>
      <c r="U51" s="122" t="s">
        <v>1514</v>
      </c>
      <c r="V51" s="125">
        <v>1.23E-2</v>
      </c>
      <c r="W51" s="125">
        <v>2.6530000000000001E-2</v>
      </c>
      <c r="X51" s="122" t="s">
        <v>620</v>
      </c>
      <c r="Y51" s="133"/>
      <c r="Z51" s="123">
        <v>2228.39</v>
      </c>
      <c r="AA51" s="123">
        <v>1</v>
      </c>
      <c r="AB51" s="123">
        <v>115.53</v>
      </c>
      <c r="AC51" s="122"/>
      <c r="AD51" s="123">
        <v>2.5739999999999998</v>
      </c>
      <c r="AE51" s="122"/>
      <c r="AF51" s="122"/>
      <c r="AG51" s="122"/>
      <c r="AH51" s="125">
        <v>0</v>
      </c>
      <c r="AI51" s="125">
        <v>1.14E-3</v>
      </c>
      <c r="AJ51" s="126">
        <v>6.9999999999999994E-5</v>
      </c>
      <c r="AK51" s="159"/>
    </row>
    <row r="52" spans="1:37" x14ac:dyDescent="0.2">
      <c r="A52" s="121" t="s">
        <v>1211</v>
      </c>
      <c r="B52" s="122" t="s">
        <v>1212</v>
      </c>
      <c r="C52" s="122" t="s">
        <v>1515</v>
      </c>
      <c r="D52" s="122" t="s">
        <v>1516</v>
      </c>
      <c r="E52" s="122" t="s">
        <v>429</v>
      </c>
      <c r="F52" s="122" t="s">
        <v>1517</v>
      </c>
      <c r="G52" s="122" t="s">
        <v>1518</v>
      </c>
      <c r="H52" s="122" t="s">
        <v>76</v>
      </c>
      <c r="I52" s="122" t="s">
        <v>229</v>
      </c>
      <c r="J52" s="122" t="s">
        <v>53</v>
      </c>
      <c r="K52" s="122" t="s">
        <v>53</v>
      </c>
      <c r="L52" s="122" t="s">
        <v>805</v>
      </c>
      <c r="M52" s="122" t="s">
        <v>311</v>
      </c>
      <c r="N52" s="122" t="s">
        <v>635</v>
      </c>
      <c r="O52" s="122" t="s">
        <v>62</v>
      </c>
      <c r="P52" s="122" t="s">
        <v>1377</v>
      </c>
      <c r="Q52" s="122" t="s">
        <v>70</v>
      </c>
      <c r="R52" s="122" t="s">
        <v>57</v>
      </c>
      <c r="S52" s="122" t="s">
        <v>1216</v>
      </c>
      <c r="T52" s="123">
        <v>1.96</v>
      </c>
      <c r="U52" s="122" t="s">
        <v>1519</v>
      </c>
      <c r="V52" s="125">
        <v>1.9599999999999999E-2</v>
      </c>
      <c r="W52" s="125">
        <v>2.981E-2</v>
      </c>
      <c r="X52" s="122" t="s">
        <v>620</v>
      </c>
      <c r="Y52" s="133"/>
      <c r="Z52" s="123">
        <v>1899</v>
      </c>
      <c r="AA52" s="123">
        <v>1</v>
      </c>
      <c r="AB52" s="123">
        <v>118.11</v>
      </c>
      <c r="AC52" s="122"/>
      <c r="AD52" s="123">
        <v>2.2429999999999999</v>
      </c>
      <c r="AE52" s="122"/>
      <c r="AF52" s="122"/>
      <c r="AG52" s="122"/>
      <c r="AH52" s="125">
        <v>0</v>
      </c>
      <c r="AI52" s="125">
        <v>9.8999999999999999E-4</v>
      </c>
      <c r="AJ52" s="126">
        <v>6.0000000000000002E-5</v>
      </c>
      <c r="AK52" s="159"/>
    </row>
    <row r="53" spans="1:37" x14ac:dyDescent="0.2">
      <c r="A53" s="121" t="s">
        <v>1211</v>
      </c>
      <c r="B53" s="122" t="s">
        <v>1212</v>
      </c>
      <c r="C53" s="122" t="s">
        <v>1520</v>
      </c>
      <c r="D53" s="122" t="s">
        <v>1521</v>
      </c>
      <c r="E53" s="122" t="s">
        <v>429</v>
      </c>
      <c r="F53" s="122" t="s">
        <v>1522</v>
      </c>
      <c r="G53" s="122" t="s">
        <v>1523</v>
      </c>
      <c r="H53" s="122" t="s">
        <v>76</v>
      </c>
      <c r="I53" s="122" t="s">
        <v>228</v>
      </c>
      <c r="J53" s="122" t="s">
        <v>53</v>
      </c>
      <c r="K53" s="122" t="s">
        <v>53</v>
      </c>
      <c r="L53" s="122" t="s">
        <v>805</v>
      </c>
      <c r="M53" s="122" t="s">
        <v>311</v>
      </c>
      <c r="N53" s="122" t="s">
        <v>269</v>
      </c>
      <c r="O53" s="122" t="s">
        <v>62</v>
      </c>
      <c r="P53" s="122" t="s">
        <v>1454</v>
      </c>
      <c r="Q53" s="122" t="s">
        <v>70</v>
      </c>
      <c r="R53" s="122" t="s">
        <v>57</v>
      </c>
      <c r="S53" s="122" t="s">
        <v>1216</v>
      </c>
      <c r="T53" s="123">
        <v>1</v>
      </c>
      <c r="U53" s="122" t="s">
        <v>1524</v>
      </c>
      <c r="V53" s="125">
        <v>2.9399999999999999E-2</v>
      </c>
      <c r="W53" s="125">
        <v>4.4350000000000001E-2</v>
      </c>
      <c r="X53" s="122" t="s">
        <v>620</v>
      </c>
      <c r="Y53" s="133"/>
      <c r="Z53" s="123">
        <v>2235.17</v>
      </c>
      <c r="AA53" s="123">
        <v>1</v>
      </c>
      <c r="AB53" s="123">
        <v>98.58</v>
      </c>
      <c r="AC53" s="122"/>
      <c r="AD53" s="123">
        <v>2.2029999999999998</v>
      </c>
      <c r="AE53" s="122"/>
      <c r="AF53" s="122"/>
      <c r="AG53" s="122"/>
      <c r="AH53" s="125">
        <v>4.0000000000000003E-5</v>
      </c>
      <c r="AI53" s="125">
        <v>9.7000000000000005E-4</v>
      </c>
      <c r="AJ53" s="126">
        <v>6.0000000000000002E-5</v>
      </c>
      <c r="AK53" s="159"/>
    </row>
    <row r="54" spans="1:37" x14ac:dyDescent="0.2">
      <c r="A54" s="121" t="s">
        <v>1211</v>
      </c>
      <c r="B54" s="122" t="s">
        <v>1212</v>
      </c>
      <c r="C54" s="122" t="s">
        <v>1393</v>
      </c>
      <c r="D54" s="122" t="s">
        <v>1394</v>
      </c>
      <c r="E54" s="122" t="s">
        <v>429</v>
      </c>
      <c r="F54" s="122" t="s">
        <v>1525</v>
      </c>
      <c r="G54" s="122" t="s">
        <v>1526</v>
      </c>
      <c r="H54" s="122" t="s">
        <v>76</v>
      </c>
      <c r="I54" s="122" t="s">
        <v>228</v>
      </c>
      <c r="J54" s="122" t="s">
        <v>53</v>
      </c>
      <c r="K54" s="122" t="s">
        <v>53</v>
      </c>
      <c r="L54" s="122" t="s">
        <v>805</v>
      </c>
      <c r="M54" s="122" t="s">
        <v>311</v>
      </c>
      <c r="N54" s="122" t="s">
        <v>269</v>
      </c>
      <c r="O54" s="122" t="s">
        <v>62</v>
      </c>
      <c r="P54" s="122" t="s">
        <v>1377</v>
      </c>
      <c r="Q54" s="122" t="s">
        <v>70</v>
      </c>
      <c r="R54" s="122" t="s">
        <v>57</v>
      </c>
      <c r="S54" s="122" t="s">
        <v>1216</v>
      </c>
      <c r="T54" s="123">
        <v>3.91</v>
      </c>
      <c r="U54" s="122" t="s">
        <v>1527</v>
      </c>
      <c r="V54" s="125">
        <v>3.95E-2</v>
      </c>
      <c r="W54" s="125">
        <v>4.3999999999999997E-2</v>
      </c>
      <c r="X54" s="122" t="s">
        <v>620</v>
      </c>
      <c r="Y54" s="133"/>
      <c r="Z54" s="123">
        <v>1670</v>
      </c>
      <c r="AA54" s="123">
        <v>1</v>
      </c>
      <c r="AB54" s="123">
        <v>99.43</v>
      </c>
      <c r="AC54" s="122"/>
      <c r="AD54" s="123">
        <v>1.66</v>
      </c>
      <c r="AE54" s="122"/>
      <c r="AF54" s="122"/>
      <c r="AG54" s="122"/>
      <c r="AH54" s="125">
        <v>1.0000000000000001E-5</v>
      </c>
      <c r="AI54" s="125">
        <v>7.2999999999999996E-4</v>
      </c>
      <c r="AJ54" s="126">
        <v>5.0000000000000002E-5</v>
      </c>
      <c r="AK54" s="159"/>
    </row>
    <row r="55" spans="1:37" x14ac:dyDescent="0.2">
      <c r="A55" s="121" t="s">
        <v>1211</v>
      </c>
      <c r="B55" s="122" t="s">
        <v>1212</v>
      </c>
      <c r="C55" s="122" t="s">
        <v>1388</v>
      </c>
      <c r="D55" s="122" t="s">
        <v>1389</v>
      </c>
      <c r="E55" s="122" t="s">
        <v>429</v>
      </c>
      <c r="F55" s="122" t="s">
        <v>1528</v>
      </c>
      <c r="G55" s="122" t="s">
        <v>1529</v>
      </c>
      <c r="H55" s="122" t="s">
        <v>76</v>
      </c>
      <c r="I55" s="122" t="s">
        <v>228</v>
      </c>
      <c r="J55" s="122" t="s">
        <v>53</v>
      </c>
      <c r="K55" s="122" t="s">
        <v>53</v>
      </c>
      <c r="L55" s="122" t="s">
        <v>805</v>
      </c>
      <c r="M55" s="122" t="s">
        <v>311</v>
      </c>
      <c r="N55" s="122" t="s">
        <v>635</v>
      </c>
      <c r="O55" s="122" t="s">
        <v>62</v>
      </c>
      <c r="P55" s="122" t="s">
        <v>1324</v>
      </c>
      <c r="Q55" s="122" t="s">
        <v>65</v>
      </c>
      <c r="R55" s="122" t="s">
        <v>57</v>
      </c>
      <c r="S55" s="122" t="s">
        <v>1216</v>
      </c>
      <c r="T55" s="123">
        <v>4.5599999999999996</v>
      </c>
      <c r="U55" s="122" t="s">
        <v>1530</v>
      </c>
      <c r="V55" s="125">
        <v>2.5499999999999998E-2</v>
      </c>
      <c r="W55" s="125">
        <v>4.9169999999999998E-2</v>
      </c>
      <c r="X55" s="122" t="s">
        <v>620</v>
      </c>
      <c r="Y55" s="133"/>
      <c r="Z55" s="123">
        <v>806.88</v>
      </c>
      <c r="AA55" s="123">
        <v>1</v>
      </c>
      <c r="AB55" s="123">
        <v>90.63</v>
      </c>
      <c r="AC55" s="122"/>
      <c r="AD55" s="123">
        <v>0.73099999999999998</v>
      </c>
      <c r="AE55" s="122"/>
      <c r="AF55" s="122"/>
      <c r="AG55" s="122"/>
      <c r="AH55" s="125">
        <v>0</v>
      </c>
      <c r="AI55" s="125">
        <v>3.2000000000000003E-4</v>
      </c>
      <c r="AJ55" s="126">
        <v>2.0000000000000002E-5</v>
      </c>
      <c r="AK55" s="159"/>
    </row>
    <row r="56" spans="1:37" x14ac:dyDescent="0.2">
      <c r="A56" s="121" t="s">
        <v>1211</v>
      </c>
      <c r="B56" s="122" t="s">
        <v>1212</v>
      </c>
      <c r="C56" s="122" t="s">
        <v>1531</v>
      </c>
      <c r="D56" s="122" t="s">
        <v>1532</v>
      </c>
      <c r="E56" s="122" t="s">
        <v>429</v>
      </c>
      <c r="F56" s="122" t="s">
        <v>1533</v>
      </c>
      <c r="G56" s="122" t="s">
        <v>1534</v>
      </c>
      <c r="H56" s="122" t="s">
        <v>76</v>
      </c>
      <c r="I56" s="122" t="s">
        <v>230</v>
      </c>
      <c r="J56" s="122" t="s">
        <v>53</v>
      </c>
      <c r="K56" s="122" t="s">
        <v>53</v>
      </c>
      <c r="L56" s="122" t="s">
        <v>805</v>
      </c>
      <c r="M56" s="122" t="s">
        <v>311</v>
      </c>
      <c r="N56" s="122" t="s">
        <v>267</v>
      </c>
      <c r="O56" s="122" t="s">
        <v>62</v>
      </c>
      <c r="P56" s="122" t="s">
        <v>1423</v>
      </c>
      <c r="Q56" s="122" t="s">
        <v>70</v>
      </c>
      <c r="R56" s="122" t="s">
        <v>57</v>
      </c>
      <c r="S56" s="122" t="s">
        <v>1216</v>
      </c>
      <c r="T56" s="123">
        <v>2.5099999999999998</v>
      </c>
      <c r="U56" s="122" t="s">
        <v>1535</v>
      </c>
      <c r="V56" s="125">
        <v>4.6899999999999997E-2</v>
      </c>
      <c r="W56" s="125">
        <v>6.105E-2</v>
      </c>
      <c r="X56" s="122" t="s">
        <v>620</v>
      </c>
      <c r="Y56" s="133"/>
      <c r="Z56" s="123">
        <v>0.68</v>
      </c>
      <c r="AA56" s="123">
        <v>1</v>
      </c>
      <c r="AB56" s="123">
        <v>92.95</v>
      </c>
      <c r="AC56" s="122"/>
      <c r="AD56" s="123">
        <v>1E-3</v>
      </c>
      <c r="AE56" s="122"/>
      <c r="AF56" s="122"/>
      <c r="AG56" s="122"/>
      <c r="AH56" s="125">
        <v>0</v>
      </c>
      <c r="AI56" s="125">
        <v>0</v>
      </c>
      <c r="AJ56" s="126">
        <v>0</v>
      </c>
      <c r="AK56" s="159"/>
    </row>
    <row r="57" spans="1:37" x14ac:dyDescent="0.2">
      <c r="A57" s="121" t="s">
        <v>1211</v>
      </c>
      <c r="B57" s="122" t="s">
        <v>1212</v>
      </c>
      <c r="C57" s="122" t="s">
        <v>1536</v>
      </c>
      <c r="D57" s="122" t="s">
        <v>1537</v>
      </c>
      <c r="E57" s="122" t="s">
        <v>429</v>
      </c>
      <c r="F57" s="122" t="s">
        <v>1538</v>
      </c>
      <c r="G57" s="122" t="s">
        <v>1539</v>
      </c>
      <c r="H57" s="122" t="s">
        <v>76</v>
      </c>
      <c r="I57" s="122" t="s">
        <v>228</v>
      </c>
      <c r="J57" s="122" t="s">
        <v>53</v>
      </c>
      <c r="K57" s="122" t="s">
        <v>53</v>
      </c>
      <c r="L57" s="122" t="s">
        <v>805</v>
      </c>
      <c r="M57" s="122" t="s">
        <v>311</v>
      </c>
      <c r="N57" s="122" t="s">
        <v>259</v>
      </c>
      <c r="O57" s="122" t="s">
        <v>62</v>
      </c>
      <c r="P57" s="122" t="s">
        <v>1540</v>
      </c>
      <c r="Q57" s="122" t="s">
        <v>70</v>
      </c>
      <c r="R57" s="122" t="s">
        <v>57</v>
      </c>
      <c r="S57" s="122" t="s">
        <v>1216</v>
      </c>
      <c r="T57" s="123">
        <v>3</v>
      </c>
      <c r="U57" s="122" t="s">
        <v>1541</v>
      </c>
      <c r="V57" s="125">
        <v>2.6599999999999999E-2</v>
      </c>
      <c r="W57" s="125">
        <v>5.0650000000000001E-2</v>
      </c>
      <c r="X57" s="122" t="s">
        <v>620</v>
      </c>
      <c r="Y57" s="133"/>
      <c r="Z57" s="123">
        <v>0.39</v>
      </c>
      <c r="AA57" s="123">
        <v>1</v>
      </c>
      <c r="AB57" s="123">
        <v>92.03</v>
      </c>
      <c r="AC57" s="122"/>
      <c r="AD57" s="123">
        <v>0</v>
      </c>
      <c r="AE57" s="122"/>
      <c r="AF57" s="122"/>
      <c r="AG57" s="122"/>
      <c r="AH57" s="125">
        <v>0</v>
      </c>
      <c r="AI57" s="125">
        <v>0</v>
      </c>
      <c r="AJ57" s="126">
        <v>0</v>
      </c>
      <c r="AK57" s="159"/>
    </row>
    <row r="58" spans="1:37" x14ac:dyDescent="0.2">
      <c r="A58" s="121" t="s">
        <v>1211</v>
      </c>
      <c r="B58" s="122" t="s">
        <v>1220</v>
      </c>
      <c r="C58" s="122" t="s">
        <v>1542</v>
      </c>
      <c r="D58" s="122" t="s">
        <v>1543</v>
      </c>
      <c r="E58" s="122" t="s">
        <v>429</v>
      </c>
      <c r="F58" s="122" t="s">
        <v>1544</v>
      </c>
      <c r="G58" s="122" t="s">
        <v>1545</v>
      </c>
      <c r="H58" s="122" t="s">
        <v>76</v>
      </c>
      <c r="I58" s="122" t="s">
        <v>229</v>
      </c>
      <c r="J58" s="122" t="s">
        <v>53</v>
      </c>
      <c r="K58" s="122" t="s">
        <v>53</v>
      </c>
      <c r="L58" s="122" t="s">
        <v>805</v>
      </c>
      <c r="M58" s="122" t="s">
        <v>311</v>
      </c>
      <c r="N58" s="122" t="s">
        <v>635</v>
      </c>
      <c r="O58" s="122" t="s">
        <v>62</v>
      </c>
      <c r="P58" s="122" t="s">
        <v>1546</v>
      </c>
      <c r="Q58" s="122" t="s">
        <v>65</v>
      </c>
      <c r="R58" s="122" t="s">
        <v>57</v>
      </c>
      <c r="S58" s="122" t="s">
        <v>1216</v>
      </c>
      <c r="T58" s="123">
        <v>6.17</v>
      </c>
      <c r="U58" s="122" t="s">
        <v>1547</v>
      </c>
      <c r="V58" s="125">
        <v>8.9999999999999993E-3</v>
      </c>
      <c r="W58" s="125">
        <v>2.775E-2</v>
      </c>
      <c r="X58" s="122" t="s">
        <v>620</v>
      </c>
      <c r="Y58" s="133"/>
      <c r="Z58" s="123">
        <v>26276.57</v>
      </c>
      <c r="AA58" s="123">
        <v>1</v>
      </c>
      <c r="AB58" s="123">
        <v>104.46</v>
      </c>
      <c r="AC58" s="122"/>
      <c r="AD58" s="123">
        <v>27.449000000000002</v>
      </c>
      <c r="AE58" s="122"/>
      <c r="AF58" s="122"/>
      <c r="AG58" s="122"/>
      <c r="AH58" s="125">
        <v>1.0000000000000001E-5</v>
      </c>
      <c r="AI58" s="125">
        <v>0.12049</v>
      </c>
      <c r="AJ58" s="126">
        <v>1.239E-2</v>
      </c>
      <c r="AK58" s="159"/>
    </row>
    <row r="59" spans="1:37" x14ac:dyDescent="0.2">
      <c r="A59" s="121" t="s">
        <v>1211</v>
      </c>
      <c r="B59" s="122" t="s">
        <v>1220</v>
      </c>
      <c r="C59" s="122" t="s">
        <v>1419</v>
      </c>
      <c r="D59" s="122" t="s">
        <v>1420</v>
      </c>
      <c r="E59" s="122" t="s">
        <v>429</v>
      </c>
      <c r="F59" s="122" t="s">
        <v>1548</v>
      </c>
      <c r="G59" s="122" t="s">
        <v>1549</v>
      </c>
      <c r="H59" s="122" t="s">
        <v>76</v>
      </c>
      <c r="I59" s="122" t="s">
        <v>228</v>
      </c>
      <c r="J59" s="122" t="s">
        <v>53</v>
      </c>
      <c r="K59" s="122" t="s">
        <v>53</v>
      </c>
      <c r="L59" s="122" t="s">
        <v>805</v>
      </c>
      <c r="M59" s="122" t="s">
        <v>311</v>
      </c>
      <c r="N59" s="122" t="s">
        <v>269</v>
      </c>
      <c r="O59" s="122" t="s">
        <v>62</v>
      </c>
      <c r="P59" s="122" t="s">
        <v>1423</v>
      </c>
      <c r="Q59" s="122" t="s">
        <v>70</v>
      </c>
      <c r="R59" s="122" t="s">
        <v>57</v>
      </c>
      <c r="S59" s="122" t="s">
        <v>1216</v>
      </c>
      <c r="T59" s="123">
        <v>5.94</v>
      </c>
      <c r="U59" s="122" t="s">
        <v>1550</v>
      </c>
      <c r="V59" s="125">
        <v>6.0699999999999997E-2</v>
      </c>
      <c r="W59" s="125">
        <v>4.9180000000000001E-2</v>
      </c>
      <c r="X59" s="122" t="s">
        <v>620</v>
      </c>
      <c r="Y59" s="133"/>
      <c r="Z59" s="123">
        <v>24945</v>
      </c>
      <c r="AA59" s="123">
        <v>1</v>
      </c>
      <c r="AB59" s="123">
        <v>108.82</v>
      </c>
      <c r="AC59" s="122"/>
      <c r="AD59" s="123">
        <v>27.145</v>
      </c>
      <c r="AE59" s="122"/>
      <c r="AF59" s="122"/>
      <c r="AG59" s="122"/>
      <c r="AH59" s="125">
        <v>4.0000000000000003E-5</v>
      </c>
      <c r="AI59" s="125">
        <v>0.11916</v>
      </c>
      <c r="AJ59" s="126">
        <v>1.225E-2</v>
      </c>
      <c r="AK59" s="159"/>
    </row>
    <row r="60" spans="1:37" x14ac:dyDescent="0.2">
      <c r="A60" s="121" t="s">
        <v>1211</v>
      </c>
      <c r="B60" s="122" t="s">
        <v>1220</v>
      </c>
      <c r="C60" s="122" t="s">
        <v>1365</v>
      </c>
      <c r="D60" s="122" t="s">
        <v>1366</v>
      </c>
      <c r="E60" s="122" t="s">
        <v>429</v>
      </c>
      <c r="F60" s="122" t="s">
        <v>1367</v>
      </c>
      <c r="G60" s="122" t="s">
        <v>1368</v>
      </c>
      <c r="H60" s="122" t="s">
        <v>76</v>
      </c>
      <c r="I60" s="122" t="s">
        <v>228</v>
      </c>
      <c r="J60" s="122" t="s">
        <v>53</v>
      </c>
      <c r="K60" s="122" t="s">
        <v>53</v>
      </c>
      <c r="L60" s="122" t="s">
        <v>805</v>
      </c>
      <c r="M60" s="122" t="s">
        <v>311</v>
      </c>
      <c r="N60" s="122" t="s">
        <v>269</v>
      </c>
      <c r="O60" s="122" t="s">
        <v>62</v>
      </c>
      <c r="P60" s="122" t="s">
        <v>1369</v>
      </c>
      <c r="Q60" s="122" t="s">
        <v>65</v>
      </c>
      <c r="R60" s="122" t="s">
        <v>57</v>
      </c>
      <c r="S60" s="122" t="s">
        <v>1216</v>
      </c>
      <c r="T60" s="123">
        <v>4.26</v>
      </c>
      <c r="U60" s="122" t="s">
        <v>1266</v>
      </c>
      <c r="V60" s="125">
        <v>2.64E-2</v>
      </c>
      <c r="W60" s="125">
        <v>4.6050000000000001E-2</v>
      </c>
      <c r="X60" s="122" t="s">
        <v>620</v>
      </c>
      <c r="Y60" s="133"/>
      <c r="Z60" s="123">
        <v>14440.75</v>
      </c>
      <c r="AA60" s="123">
        <v>1</v>
      </c>
      <c r="AB60" s="123">
        <v>92.3</v>
      </c>
      <c r="AC60" s="122"/>
      <c r="AD60" s="123">
        <v>13.329000000000001</v>
      </c>
      <c r="AE60" s="122"/>
      <c r="AF60" s="122"/>
      <c r="AG60" s="122"/>
      <c r="AH60" s="125">
        <v>1.0000000000000001E-5</v>
      </c>
      <c r="AI60" s="125">
        <v>5.851E-2</v>
      </c>
      <c r="AJ60" s="126">
        <v>6.0099999999999997E-3</v>
      </c>
      <c r="AK60" s="159"/>
    </row>
    <row r="61" spans="1:37" x14ac:dyDescent="0.2">
      <c r="A61" s="121" t="s">
        <v>1211</v>
      </c>
      <c r="B61" s="122" t="s">
        <v>1220</v>
      </c>
      <c r="C61" s="122" t="s">
        <v>1431</v>
      </c>
      <c r="D61" s="122" t="s">
        <v>1432</v>
      </c>
      <c r="E61" s="122" t="s">
        <v>429</v>
      </c>
      <c r="F61" s="122" t="s">
        <v>1551</v>
      </c>
      <c r="G61" s="122" t="s">
        <v>1552</v>
      </c>
      <c r="H61" s="122" t="s">
        <v>76</v>
      </c>
      <c r="I61" s="122" t="s">
        <v>229</v>
      </c>
      <c r="J61" s="122" t="s">
        <v>53</v>
      </c>
      <c r="K61" s="122" t="s">
        <v>313</v>
      </c>
      <c r="L61" s="122" t="s">
        <v>805</v>
      </c>
      <c r="M61" s="122" t="s">
        <v>311</v>
      </c>
      <c r="N61" s="122" t="s">
        <v>636</v>
      </c>
      <c r="O61" s="122" t="s">
        <v>62</v>
      </c>
      <c r="P61" s="122" t="s">
        <v>1423</v>
      </c>
      <c r="Q61" s="122" t="s">
        <v>70</v>
      </c>
      <c r="R61" s="122" t="s">
        <v>57</v>
      </c>
      <c r="S61" s="122" t="s">
        <v>1216</v>
      </c>
      <c r="T61" s="123">
        <v>4.24</v>
      </c>
      <c r="U61" s="122" t="s">
        <v>1553</v>
      </c>
      <c r="V61" s="125">
        <v>1.54E-2</v>
      </c>
      <c r="W61" s="125">
        <v>3.066E-2</v>
      </c>
      <c r="X61" s="122" t="s">
        <v>620</v>
      </c>
      <c r="Y61" s="133"/>
      <c r="Z61" s="123">
        <v>12000</v>
      </c>
      <c r="AA61" s="123">
        <v>1</v>
      </c>
      <c r="AB61" s="123">
        <v>108.24</v>
      </c>
      <c r="AC61" s="122"/>
      <c r="AD61" s="123">
        <v>12.989000000000001</v>
      </c>
      <c r="AE61" s="122"/>
      <c r="AF61" s="122"/>
      <c r="AG61" s="122"/>
      <c r="AH61" s="125">
        <v>2.0000000000000002E-5</v>
      </c>
      <c r="AI61" s="125">
        <v>5.7020000000000001E-2</v>
      </c>
      <c r="AJ61" s="126">
        <v>5.8599999999999998E-3</v>
      </c>
      <c r="AK61" s="159"/>
    </row>
    <row r="62" spans="1:37" x14ac:dyDescent="0.2">
      <c r="A62" s="121" t="s">
        <v>1211</v>
      </c>
      <c r="B62" s="122" t="s">
        <v>1220</v>
      </c>
      <c r="C62" s="122" t="s">
        <v>1332</v>
      </c>
      <c r="D62" s="122" t="s">
        <v>1333</v>
      </c>
      <c r="E62" s="122" t="s">
        <v>430</v>
      </c>
      <c r="F62" s="122" t="s">
        <v>1334</v>
      </c>
      <c r="G62" s="122" t="s">
        <v>1335</v>
      </c>
      <c r="H62" s="122" t="s">
        <v>76</v>
      </c>
      <c r="I62" s="122" t="s">
        <v>229</v>
      </c>
      <c r="J62" s="122" t="s">
        <v>53</v>
      </c>
      <c r="K62" s="122" t="s">
        <v>53</v>
      </c>
      <c r="L62" s="122" t="s">
        <v>805</v>
      </c>
      <c r="M62" s="122" t="s">
        <v>311</v>
      </c>
      <c r="N62" s="122" t="s">
        <v>156</v>
      </c>
      <c r="O62" s="122" t="s">
        <v>62</v>
      </c>
      <c r="P62" s="122" t="s">
        <v>1215</v>
      </c>
      <c r="Q62" s="122" t="s">
        <v>70</v>
      </c>
      <c r="R62" s="122" t="s">
        <v>57</v>
      </c>
      <c r="S62" s="122" t="s">
        <v>1216</v>
      </c>
      <c r="T62" s="123">
        <v>9.81</v>
      </c>
      <c r="U62" s="122" t="s">
        <v>1336</v>
      </c>
      <c r="V62" s="125">
        <v>3.2000000000000001E-2</v>
      </c>
      <c r="W62" s="125">
        <v>2.8129999999999999E-2</v>
      </c>
      <c r="X62" s="122" t="s">
        <v>620</v>
      </c>
      <c r="Y62" s="133"/>
      <c r="Z62" s="123">
        <v>10304</v>
      </c>
      <c r="AA62" s="123">
        <v>1</v>
      </c>
      <c r="AB62" s="123">
        <v>112.97</v>
      </c>
      <c r="AC62" s="122"/>
      <c r="AD62" s="123">
        <v>11.64</v>
      </c>
      <c r="AE62" s="122"/>
      <c r="AF62" s="122"/>
      <c r="AG62" s="122"/>
      <c r="AH62" s="125">
        <v>0</v>
      </c>
      <c r="AI62" s="125">
        <v>5.11E-2</v>
      </c>
      <c r="AJ62" s="126">
        <v>5.2500000000000003E-3</v>
      </c>
      <c r="AK62" s="159"/>
    </row>
    <row r="63" spans="1:37" x14ac:dyDescent="0.2">
      <c r="A63" s="121" t="s">
        <v>1211</v>
      </c>
      <c r="B63" s="122" t="s">
        <v>1220</v>
      </c>
      <c r="C63" s="122" t="s">
        <v>1340</v>
      </c>
      <c r="D63" s="122" t="s">
        <v>1341</v>
      </c>
      <c r="E63" s="122" t="s">
        <v>429</v>
      </c>
      <c r="F63" s="122" t="s">
        <v>1353</v>
      </c>
      <c r="G63" s="122" t="s">
        <v>1354</v>
      </c>
      <c r="H63" s="122" t="s">
        <v>76</v>
      </c>
      <c r="I63" s="122" t="s">
        <v>229</v>
      </c>
      <c r="J63" s="122" t="s">
        <v>53</v>
      </c>
      <c r="K63" s="122" t="s">
        <v>53</v>
      </c>
      <c r="L63" s="122" t="s">
        <v>805</v>
      </c>
      <c r="M63" s="122" t="s">
        <v>311</v>
      </c>
      <c r="N63" s="122" t="s">
        <v>256</v>
      </c>
      <c r="O63" s="122" t="s">
        <v>62</v>
      </c>
      <c r="P63" s="122" t="s">
        <v>1330</v>
      </c>
      <c r="Q63" s="122" t="s">
        <v>65</v>
      </c>
      <c r="R63" s="122" t="s">
        <v>57</v>
      </c>
      <c r="S63" s="122" t="s">
        <v>1216</v>
      </c>
      <c r="T63" s="123">
        <v>1.98</v>
      </c>
      <c r="U63" s="122" t="s">
        <v>1355</v>
      </c>
      <c r="V63" s="125">
        <v>1.2200000000000001E-2</v>
      </c>
      <c r="W63" s="125">
        <v>2.5819999999999999E-2</v>
      </c>
      <c r="X63" s="122" t="s">
        <v>620</v>
      </c>
      <c r="Y63" s="133"/>
      <c r="Z63" s="123">
        <v>9441</v>
      </c>
      <c r="AA63" s="123">
        <v>1</v>
      </c>
      <c r="AB63" s="123">
        <v>116.7</v>
      </c>
      <c r="AC63" s="122"/>
      <c r="AD63" s="123">
        <v>11.018000000000001</v>
      </c>
      <c r="AE63" s="122"/>
      <c r="AF63" s="122"/>
      <c r="AG63" s="122"/>
      <c r="AH63" s="125">
        <v>0</v>
      </c>
      <c r="AI63" s="125">
        <v>4.836E-2</v>
      </c>
      <c r="AJ63" s="126">
        <v>4.9699999999999996E-3</v>
      </c>
      <c r="AK63" s="159"/>
    </row>
    <row r="64" spans="1:37" x14ac:dyDescent="0.2">
      <c r="A64" s="121" t="s">
        <v>1211</v>
      </c>
      <c r="B64" s="122" t="s">
        <v>1220</v>
      </c>
      <c r="C64" s="122" t="s">
        <v>1407</v>
      </c>
      <c r="D64" s="122" t="s">
        <v>1408</v>
      </c>
      <c r="E64" s="122" t="s">
        <v>429</v>
      </c>
      <c r="F64" s="122" t="s">
        <v>1409</v>
      </c>
      <c r="G64" s="122" t="s">
        <v>1410</v>
      </c>
      <c r="H64" s="122" t="s">
        <v>76</v>
      </c>
      <c r="I64" s="122" t="s">
        <v>229</v>
      </c>
      <c r="J64" s="122" t="s">
        <v>53</v>
      </c>
      <c r="K64" s="122" t="s">
        <v>53</v>
      </c>
      <c r="L64" s="122" t="s">
        <v>805</v>
      </c>
      <c r="M64" s="122" t="s">
        <v>311</v>
      </c>
      <c r="N64" s="122" t="s">
        <v>256</v>
      </c>
      <c r="O64" s="122" t="s">
        <v>62</v>
      </c>
      <c r="P64" s="122" t="s">
        <v>1369</v>
      </c>
      <c r="Q64" s="122" t="s">
        <v>65</v>
      </c>
      <c r="R64" s="122" t="s">
        <v>57</v>
      </c>
      <c r="S64" s="122" t="s">
        <v>1216</v>
      </c>
      <c r="T64" s="123">
        <v>3.63</v>
      </c>
      <c r="U64" s="122" t="s">
        <v>1411</v>
      </c>
      <c r="V64" s="125">
        <v>2.5899999999999999E-2</v>
      </c>
      <c r="W64" s="125">
        <v>2.6700000000000002E-2</v>
      </c>
      <c r="X64" s="122" t="s">
        <v>620</v>
      </c>
      <c r="Y64" s="133"/>
      <c r="Z64" s="123">
        <v>7000</v>
      </c>
      <c r="AA64" s="123">
        <v>1</v>
      </c>
      <c r="AB64" s="123">
        <v>107.69</v>
      </c>
      <c r="AC64" s="122"/>
      <c r="AD64" s="123">
        <v>7.5380000000000003</v>
      </c>
      <c r="AE64" s="122"/>
      <c r="AF64" s="122"/>
      <c r="AG64" s="122"/>
      <c r="AH64" s="125">
        <v>1.0000000000000001E-5</v>
      </c>
      <c r="AI64" s="125">
        <v>3.3090000000000001E-2</v>
      </c>
      <c r="AJ64" s="126">
        <v>3.3999999999999998E-3</v>
      </c>
      <c r="AK64" s="159"/>
    </row>
    <row r="65" spans="1:37" x14ac:dyDescent="0.2">
      <c r="A65" s="121" t="s">
        <v>1211</v>
      </c>
      <c r="B65" s="122" t="s">
        <v>1220</v>
      </c>
      <c r="C65" s="122" t="s">
        <v>1415</v>
      </c>
      <c r="D65" s="122" t="s">
        <v>1416</v>
      </c>
      <c r="E65" s="122" t="s">
        <v>429</v>
      </c>
      <c r="F65" s="122" t="s">
        <v>1417</v>
      </c>
      <c r="G65" s="122" t="s">
        <v>1418</v>
      </c>
      <c r="H65" s="122" t="s">
        <v>76</v>
      </c>
      <c r="I65" s="122" t="s">
        <v>228</v>
      </c>
      <c r="J65" s="122" t="s">
        <v>53</v>
      </c>
      <c r="K65" s="122" t="s">
        <v>53</v>
      </c>
      <c r="L65" s="122" t="s">
        <v>805</v>
      </c>
      <c r="M65" s="122" t="s">
        <v>311</v>
      </c>
      <c r="N65" s="122" t="s">
        <v>269</v>
      </c>
      <c r="O65" s="122" t="s">
        <v>62</v>
      </c>
      <c r="P65" s="122" t="s">
        <v>1369</v>
      </c>
      <c r="Q65" s="122" t="s">
        <v>65</v>
      </c>
      <c r="R65" s="122" t="s">
        <v>57</v>
      </c>
      <c r="S65" s="122" t="s">
        <v>1216</v>
      </c>
      <c r="T65" s="123">
        <v>4.45</v>
      </c>
      <c r="U65" s="122" t="s">
        <v>1325</v>
      </c>
      <c r="V65" s="125">
        <v>5.2499999999999998E-2</v>
      </c>
      <c r="W65" s="125">
        <v>4.6359999999999998E-2</v>
      </c>
      <c r="X65" s="122" t="s">
        <v>620</v>
      </c>
      <c r="Y65" s="133"/>
      <c r="Z65" s="123">
        <v>7000</v>
      </c>
      <c r="AA65" s="123">
        <v>1</v>
      </c>
      <c r="AB65" s="123">
        <v>105.15</v>
      </c>
      <c r="AC65" s="122"/>
      <c r="AD65" s="123">
        <v>7.3609999999999998</v>
      </c>
      <c r="AE65" s="122"/>
      <c r="AF65" s="122"/>
      <c r="AG65" s="122"/>
      <c r="AH65" s="125">
        <v>1.0000000000000001E-5</v>
      </c>
      <c r="AI65" s="125">
        <v>3.2309999999999998E-2</v>
      </c>
      <c r="AJ65" s="126">
        <v>3.32E-3</v>
      </c>
      <c r="AK65" s="159"/>
    </row>
    <row r="66" spans="1:37" x14ac:dyDescent="0.2">
      <c r="A66" s="121" t="s">
        <v>1211</v>
      </c>
      <c r="B66" s="122" t="s">
        <v>1220</v>
      </c>
      <c r="C66" s="122" t="s">
        <v>1542</v>
      </c>
      <c r="D66" s="122" t="s">
        <v>1543</v>
      </c>
      <c r="E66" s="122" t="s">
        <v>429</v>
      </c>
      <c r="F66" s="122" t="s">
        <v>1554</v>
      </c>
      <c r="G66" s="122" t="s">
        <v>1555</v>
      </c>
      <c r="H66" s="122" t="s">
        <v>76</v>
      </c>
      <c r="I66" s="122" t="s">
        <v>229</v>
      </c>
      <c r="J66" s="122" t="s">
        <v>53</v>
      </c>
      <c r="K66" s="122" t="s">
        <v>53</v>
      </c>
      <c r="L66" s="122" t="s">
        <v>805</v>
      </c>
      <c r="M66" s="122" t="s">
        <v>311</v>
      </c>
      <c r="N66" s="122" t="s">
        <v>635</v>
      </c>
      <c r="O66" s="122" t="s">
        <v>62</v>
      </c>
      <c r="P66" s="122" t="s">
        <v>1546</v>
      </c>
      <c r="Q66" s="122" t="s">
        <v>65</v>
      </c>
      <c r="R66" s="122" t="s">
        <v>57</v>
      </c>
      <c r="S66" s="122" t="s">
        <v>1216</v>
      </c>
      <c r="T66" s="123">
        <v>9.6300000000000008</v>
      </c>
      <c r="U66" s="122" t="s">
        <v>1556</v>
      </c>
      <c r="V66" s="125">
        <v>1.6899999999999998E-2</v>
      </c>
      <c r="W66" s="125">
        <v>2.9389999999999999E-2</v>
      </c>
      <c r="X66" s="122" t="s">
        <v>620</v>
      </c>
      <c r="Y66" s="133"/>
      <c r="Z66" s="123">
        <v>6642</v>
      </c>
      <c r="AA66" s="123">
        <v>1</v>
      </c>
      <c r="AB66" s="123">
        <v>104.3</v>
      </c>
      <c r="AC66" s="122"/>
      <c r="AD66" s="123">
        <v>6.9279999999999999</v>
      </c>
      <c r="AE66" s="122"/>
      <c r="AF66" s="122"/>
      <c r="AG66" s="122"/>
      <c r="AH66" s="125">
        <v>0</v>
      </c>
      <c r="AI66" s="125">
        <v>3.041E-2</v>
      </c>
      <c r="AJ66" s="126">
        <v>3.13E-3</v>
      </c>
      <c r="AK66" s="159"/>
    </row>
    <row r="67" spans="1:37" x14ac:dyDescent="0.2">
      <c r="A67" s="121" t="s">
        <v>1211</v>
      </c>
      <c r="B67" s="122" t="s">
        <v>1220</v>
      </c>
      <c r="C67" s="122" t="s">
        <v>1446</v>
      </c>
      <c r="D67" s="122" t="s">
        <v>1447</v>
      </c>
      <c r="E67" s="122" t="s">
        <v>429</v>
      </c>
      <c r="F67" s="122" t="s">
        <v>1448</v>
      </c>
      <c r="G67" s="122" t="s">
        <v>1449</v>
      </c>
      <c r="H67" s="122" t="s">
        <v>76</v>
      </c>
      <c r="I67" s="122" t="s">
        <v>228</v>
      </c>
      <c r="J67" s="122" t="s">
        <v>53</v>
      </c>
      <c r="K67" s="122" t="s">
        <v>53</v>
      </c>
      <c r="L67" s="122" t="s">
        <v>805</v>
      </c>
      <c r="M67" s="122" t="s">
        <v>311</v>
      </c>
      <c r="N67" s="122" t="s">
        <v>156</v>
      </c>
      <c r="O67" s="122" t="s">
        <v>62</v>
      </c>
      <c r="P67" s="122" t="s">
        <v>1450</v>
      </c>
      <c r="Q67" s="122" t="s">
        <v>65</v>
      </c>
      <c r="R67" s="122" t="s">
        <v>57</v>
      </c>
      <c r="S67" s="122" t="s">
        <v>1216</v>
      </c>
      <c r="T67" s="123">
        <v>2.8</v>
      </c>
      <c r="U67" s="122" t="s">
        <v>1451</v>
      </c>
      <c r="V67" s="125">
        <v>2.5000000000000001E-2</v>
      </c>
      <c r="W67" s="125">
        <v>4.972E-2</v>
      </c>
      <c r="X67" s="122" t="s">
        <v>620</v>
      </c>
      <c r="Y67" s="133"/>
      <c r="Z67" s="123">
        <v>7020</v>
      </c>
      <c r="AA67" s="123">
        <v>1</v>
      </c>
      <c r="AB67" s="123">
        <v>93.71</v>
      </c>
      <c r="AC67" s="122"/>
      <c r="AD67" s="123">
        <v>6.5780000000000003</v>
      </c>
      <c r="AE67" s="122"/>
      <c r="AF67" s="122"/>
      <c r="AG67" s="122"/>
      <c r="AH67" s="125">
        <v>1.0000000000000001E-5</v>
      </c>
      <c r="AI67" s="125">
        <v>2.8879999999999999E-2</v>
      </c>
      <c r="AJ67" s="126">
        <v>2.97E-3</v>
      </c>
      <c r="AK67" s="159"/>
    </row>
    <row r="68" spans="1:37" x14ac:dyDescent="0.2">
      <c r="A68" s="121" t="s">
        <v>1211</v>
      </c>
      <c r="B68" s="122" t="s">
        <v>1220</v>
      </c>
      <c r="C68" s="122" t="s">
        <v>1326</v>
      </c>
      <c r="D68" s="122" t="s">
        <v>1327</v>
      </c>
      <c r="E68" s="122" t="s">
        <v>429</v>
      </c>
      <c r="F68" s="122" t="s">
        <v>1379</v>
      </c>
      <c r="G68" s="122" t="s">
        <v>1380</v>
      </c>
      <c r="H68" s="122" t="s">
        <v>76</v>
      </c>
      <c r="I68" s="122" t="s">
        <v>229</v>
      </c>
      <c r="J68" s="122" t="s">
        <v>53</v>
      </c>
      <c r="K68" s="122" t="s">
        <v>53</v>
      </c>
      <c r="L68" s="122" t="s">
        <v>805</v>
      </c>
      <c r="M68" s="122" t="s">
        <v>311</v>
      </c>
      <c r="N68" s="122" t="s">
        <v>256</v>
      </c>
      <c r="O68" s="122" t="s">
        <v>62</v>
      </c>
      <c r="P68" s="122" t="s">
        <v>1330</v>
      </c>
      <c r="Q68" s="122" t="s">
        <v>65</v>
      </c>
      <c r="R68" s="122" t="s">
        <v>57</v>
      </c>
      <c r="S68" s="122" t="s">
        <v>1216</v>
      </c>
      <c r="T68" s="123">
        <v>2.5499999999999998</v>
      </c>
      <c r="U68" s="122" t="s">
        <v>1381</v>
      </c>
      <c r="V68" s="125">
        <v>1.7500000000000002E-2</v>
      </c>
      <c r="W68" s="125">
        <v>2.563E-2</v>
      </c>
      <c r="X68" s="122" t="s">
        <v>620</v>
      </c>
      <c r="Y68" s="133"/>
      <c r="Z68" s="123">
        <v>5303.91</v>
      </c>
      <c r="AA68" s="123">
        <v>1</v>
      </c>
      <c r="AB68" s="123">
        <v>117.2</v>
      </c>
      <c r="AC68" s="122"/>
      <c r="AD68" s="123">
        <v>6.2160000000000002</v>
      </c>
      <c r="AE68" s="122"/>
      <c r="AF68" s="122"/>
      <c r="AG68" s="122"/>
      <c r="AH68" s="125">
        <v>0</v>
      </c>
      <c r="AI68" s="125">
        <v>2.7289999999999998E-2</v>
      </c>
      <c r="AJ68" s="126">
        <v>2.8E-3</v>
      </c>
      <c r="AK68" s="159"/>
    </row>
    <row r="69" spans="1:37" x14ac:dyDescent="0.2">
      <c r="A69" s="121" t="s">
        <v>1211</v>
      </c>
      <c r="B69" s="122" t="s">
        <v>1220</v>
      </c>
      <c r="C69" s="122" t="s">
        <v>1557</v>
      </c>
      <c r="D69" s="122" t="s">
        <v>1558</v>
      </c>
      <c r="E69" s="122" t="s">
        <v>429</v>
      </c>
      <c r="F69" s="122" t="s">
        <v>1559</v>
      </c>
      <c r="G69" s="122" t="s">
        <v>1560</v>
      </c>
      <c r="H69" s="122" t="s">
        <v>76</v>
      </c>
      <c r="I69" s="122" t="s">
        <v>229</v>
      </c>
      <c r="J69" s="122" t="s">
        <v>53</v>
      </c>
      <c r="K69" s="122" t="s">
        <v>53</v>
      </c>
      <c r="L69" s="122" t="s">
        <v>805</v>
      </c>
      <c r="M69" s="122" t="s">
        <v>311</v>
      </c>
      <c r="N69" s="122" t="s">
        <v>635</v>
      </c>
      <c r="O69" s="122" t="s">
        <v>62</v>
      </c>
      <c r="P69" s="122" t="s">
        <v>1561</v>
      </c>
      <c r="Q69" s="122" t="s">
        <v>65</v>
      </c>
      <c r="R69" s="122" t="s">
        <v>57</v>
      </c>
      <c r="S69" s="122" t="s">
        <v>1216</v>
      </c>
      <c r="T69" s="123">
        <v>2.0099999999999998</v>
      </c>
      <c r="U69" s="122" t="s">
        <v>1493</v>
      </c>
      <c r="V69" s="125">
        <v>1.7999999999999999E-2</v>
      </c>
      <c r="W69" s="125">
        <v>0.03</v>
      </c>
      <c r="X69" s="122" t="s">
        <v>620</v>
      </c>
      <c r="Y69" s="133"/>
      <c r="Z69" s="123">
        <v>4945.5</v>
      </c>
      <c r="AA69" s="123">
        <v>1</v>
      </c>
      <c r="AB69" s="123">
        <v>116.94</v>
      </c>
      <c r="AC69" s="122"/>
      <c r="AD69" s="123">
        <v>5.7830000000000004</v>
      </c>
      <c r="AE69" s="122"/>
      <c r="AF69" s="122"/>
      <c r="AG69" s="122"/>
      <c r="AH69" s="125">
        <v>1.0000000000000001E-5</v>
      </c>
      <c r="AI69" s="125">
        <v>2.5389999999999999E-2</v>
      </c>
      <c r="AJ69" s="126">
        <v>2.6099999999999999E-3</v>
      </c>
      <c r="AK69" s="159"/>
    </row>
    <row r="70" spans="1:37" x14ac:dyDescent="0.2">
      <c r="A70" s="121" t="s">
        <v>1211</v>
      </c>
      <c r="B70" s="122" t="s">
        <v>1220</v>
      </c>
      <c r="C70" s="122" t="s">
        <v>1393</v>
      </c>
      <c r="D70" s="122" t="s">
        <v>1394</v>
      </c>
      <c r="E70" s="122" t="s">
        <v>429</v>
      </c>
      <c r="F70" s="122" t="s">
        <v>1470</v>
      </c>
      <c r="G70" s="122" t="s">
        <v>1471</v>
      </c>
      <c r="H70" s="122" t="s">
        <v>76</v>
      </c>
      <c r="I70" s="122" t="s">
        <v>229</v>
      </c>
      <c r="J70" s="122" t="s">
        <v>53</v>
      </c>
      <c r="K70" s="122" t="s">
        <v>53</v>
      </c>
      <c r="L70" s="122" t="s">
        <v>805</v>
      </c>
      <c r="M70" s="122" t="s">
        <v>311</v>
      </c>
      <c r="N70" s="122" t="s">
        <v>269</v>
      </c>
      <c r="O70" s="122" t="s">
        <v>62</v>
      </c>
      <c r="P70" s="122" t="s">
        <v>1377</v>
      </c>
      <c r="Q70" s="122" t="s">
        <v>70</v>
      </c>
      <c r="R70" s="122" t="s">
        <v>57</v>
      </c>
      <c r="S70" s="122" t="s">
        <v>1216</v>
      </c>
      <c r="T70" s="123">
        <v>1.23</v>
      </c>
      <c r="U70" s="122" t="s">
        <v>1430</v>
      </c>
      <c r="V70" s="125">
        <v>2.4E-2</v>
      </c>
      <c r="W70" s="125">
        <v>2.9489999999999999E-2</v>
      </c>
      <c r="X70" s="122" t="s">
        <v>620</v>
      </c>
      <c r="Y70" s="133"/>
      <c r="Z70" s="123">
        <v>4726.51</v>
      </c>
      <c r="AA70" s="123">
        <v>1</v>
      </c>
      <c r="AB70" s="123">
        <v>118.57</v>
      </c>
      <c r="AC70" s="122"/>
      <c r="AD70" s="123">
        <v>5.6040000000000001</v>
      </c>
      <c r="AE70" s="122"/>
      <c r="AF70" s="122"/>
      <c r="AG70" s="122"/>
      <c r="AH70" s="125">
        <v>2.0000000000000002E-5</v>
      </c>
      <c r="AI70" s="125">
        <v>2.46E-2</v>
      </c>
      <c r="AJ70" s="126">
        <v>2.5300000000000001E-3</v>
      </c>
      <c r="AK70" s="159"/>
    </row>
    <row r="71" spans="1:37" x14ac:dyDescent="0.2">
      <c r="A71" s="121" t="s">
        <v>1211</v>
      </c>
      <c r="B71" s="122" t="s">
        <v>1220</v>
      </c>
      <c r="C71" s="122" t="s">
        <v>1332</v>
      </c>
      <c r="D71" s="122" t="s">
        <v>1333</v>
      </c>
      <c r="E71" s="122" t="s">
        <v>430</v>
      </c>
      <c r="F71" s="122" t="s">
        <v>1337</v>
      </c>
      <c r="G71" s="122" t="s">
        <v>1338</v>
      </c>
      <c r="H71" s="122" t="s">
        <v>76</v>
      </c>
      <c r="I71" s="122" t="s">
        <v>229</v>
      </c>
      <c r="J71" s="122" t="s">
        <v>53</v>
      </c>
      <c r="K71" s="122" t="s">
        <v>53</v>
      </c>
      <c r="L71" s="122" t="s">
        <v>805</v>
      </c>
      <c r="M71" s="122" t="s">
        <v>311</v>
      </c>
      <c r="N71" s="122" t="s">
        <v>156</v>
      </c>
      <c r="O71" s="122" t="s">
        <v>62</v>
      </c>
      <c r="P71" s="122" t="s">
        <v>1215</v>
      </c>
      <c r="Q71" s="122" t="s">
        <v>70</v>
      </c>
      <c r="R71" s="122" t="s">
        <v>57</v>
      </c>
      <c r="S71" s="122" t="s">
        <v>1216</v>
      </c>
      <c r="T71" s="123">
        <v>6.89</v>
      </c>
      <c r="U71" s="122" t="s">
        <v>1339</v>
      </c>
      <c r="V71" s="125">
        <v>0.03</v>
      </c>
      <c r="W71" s="125">
        <v>2.6270000000000002E-2</v>
      </c>
      <c r="X71" s="122" t="s">
        <v>620</v>
      </c>
      <c r="Y71" s="133"/>
      <c r="Z71" s="123">
        <v>5000</v>
      </c>
      <c r="AA71" s="123">
        <v>1</v>
      </c>
      <c r="AB71" s="123">
        <v>111.48</v>
      </c>
      <c r="AC71" s="122"/>
      <c r="AD71" s="123">
        <v>5.5739999999999998</v>
      </c>
      <c r="AE71" s="122"/>
      <c r="AF71" s="122"/>
      <c r="AG71" s="122"/>
      <c r="AH71" s="125">
        <v>0</v>
      </c>
      <c r="AI71" s="125">
        <v>2.4469999999999999E-2</v>
      </c>
      <c r="AJ71" s="126">
        <v>2.5200000000000001E-3</v>
      </c>
      <c r="AK71" s="159"/>
    </row>
    <row r="72" spans="1:37" x14ac:dyDescent="0.2">
      <c r="A72" s="121" t="s">
        <v>1211</v>
      </c>
      <c r="B72" s="122" t="s">
        <v>1220</v>
      </c>
      <c r="C72" s="122" t="s">
        <v>1562</v>
      </c>
      <c r="D72" s="122" t="s">
        <v>1563</v>
      </c>
      <c r="E72" s="122" t="s">
        <v>429</v>
      </c>
      <c r="F72" s="122" t="s">
        <v>1564</v>
      </c>
      <c r="G72" s="122" t="s">
        <v>1565</v>
      </c>
      <c r="H72" s="122" t="s">
        <v>76</v>
      </c>
      <c r="I72" s="122" t="s">
        <v>228</v>
      </c>
      <c r="J72" s="122" t="s">
        <v>53</v>
      </c>
      <c r="K72" s="122" t="s">
        <v>53</v>
      </c>
      <c r="L72" s="122" t="s">
        <v>805</v>
      </c>
      <c r="M72" s="122" t="s">
        <v>311</v>
      </c>
      <c r="N72" s="122" t="s">
        <v>140</v>
      </c>
      <c r="O72" s="122" t="s">
        <v>62</v>
      </c>
      <c r="P72" s="122" t="s">
        <v>1402</v>
      </c>
      <c r="Q72" s="122" t="s">
        <v>70</v>
      </c>
      <c r="R72" s="122" t="s">
        <v>57</v>
      </c>
      <c r="S72" s="122" t="s">
        <v>1216</v>
      </c>
      <c r="T72" s="123">
        <v>1.57</v>
      </c>
      <c r="U72" s="122" t="s">
        <v>1493</v>
      </c>
      <c r="V72" s="125">
        <v>4.53E-2</v>
      </c>
      <c r="W72" s="125">
        <v>5.2519999999999997E-2</v>
      </c>
      <c r="X72" s="122" t="s">
        <v>620</v>
      </c>
      <c r="Y72" s="133"/>
      <c r="Z72" s="123">
        <v>5480.1</v>
      </c>
      <c r="AA72" s="123">
        <v>1</v>
      </c>
      <c r="AB72" s="123">
        <v>100.12</v>
      </c>
      <c r="AC72" s="122"/>
      <c r="AD72" s="123">
        <v>5.4870000000000001</v>
      </c>
      <c r="AE72" s="122"/>
      <c r="AF72" s="122"/>
      <c r="AG72" s="122"/>
      <c r="AH72" s="125">
        <v>1.0000000000000001E-5</v>
      </c>
      <c r="AI72" s="125">
        <v>2.4080000000000001E-2</v>
      </c>
      <c r="AJ72" s="126">
        <v>2.48E-3</v>
      </c>
      <c r="AK72" s="159"/>
    </row>
    <row r="73" spans="1:37" x14ac:dyDescent="0.2">
      <c r="A73" s="121" t="s">
        <v>1211</v>
      </c>
      <c r="B73" s="122" t="s">
        <v>1220</v>
      </c>
      <c r="C73" s="122" t="s">
        <v>1340</v>
      </c>
      <c r="D73" s="122" t="s">
        <v>1341</v>
      </c>
      <c r="E73" s="122" t="s">
        <v>429</v>
      </c>
      <c r="F73" s="122" t="s">
        <v>1362</v>
      </c>
      <c r="G73" s="122" t="s">
        <v>1363</v>
      </c>
      <c r="H73" s="122" t="s">
        <v>76</v>
      </c>
      <c r="I73" s="122" t="s">
        <v>229</v>
      </c>
      <c r="J73" s="122" t="s">
        <v>53</v>
      </c>
      <c r="K73" s="122" t="s">
        <v>53</v>
      </c>
      <c r="L73" s="122" t="s">
        <v>805</v>
      </c>
      <c r="M73" s="122" t="s">
        <v>311</v>
      </c>
      <c r="N73" s="122" t="s">
        <v>256</v>
      </c>
      <c r="O73" s="122" t="s">
        <v>62</v>
      </c>
      <c r="P73" s="122" t="s">
        <v>1215</v>
      </c>
      <c r="Q73" s="122" t="s">
        <v>70</v>
      </c>
      <c r="R73" s="122" t="s">
        <v>57</v>
      </c>
      <c r="S73" s="122" t="s">
        <v>1216</v>
      </c>
      <c r="T73" s="123">
        <v>1.17</v>
      </c>
      <c r="U73" s="122" t="s">
        <v>1364</v>
      </c>
      <c r="V73" s="125">
        <v>5.0000000000000001E-3</v>
      </c>
      <c r="W73" s="125">
        <v>2.9000000000000001E-2</v>
      </c>
      <c r="X73" s="122" t="s">
        <v>620</v>
      </c>
      <c r="Y73" s="133"/>
      <c r="Z73" s="123">
        <v>4526</v>
      </c>
      <c r="AA73" s="123">
        <v>1</v>
      </c>
      <c r="AB73" s="123">
        <v>114.73</v>
      </c>
      <c r="AC73" s="122"/>
      <c r="AD73" s="123">
        <v>5.1929999999999996</v>
      </c>
      <c r="AE73" s="122"/>
      <c r="AF73" s="122"/>
      <c r="AG73" s="122"/>
      <c r="AH73" s="125">
        <v>1.0000000000000001E-5</v>
      </c>
      <c r="AI73" s="125">
        <v>2.2790000000000001E-2</v>
      </c>
      <c r="AJ73" s="126">
        <v>2.3400000000000001E-3</v>
      </c>
      <c r="AK73" s="159"/>
    </row>
    <row r="74" spans="1:37" x14ac:dyDescent="0.2">
      <c r="A74" s="121" t="s">
        <v>1211</v>
      </c>
      <c r="B74" s="122" t="s">
        <v>1220</v>
      </c>
      <c r="C74" s="122" t="s">
        <v>1340</v>
      </c>
      <c r="D74" s="122" t="s">
        <v>1341</v>
      </c>
      <c r="E74" s="122" t="s">
        <v>429</v>
      </c>
      <c r="F74" s="122" t="s">
        <v>1345</v>
      </c>
      <c r="G74" s="122" t="s">
        <v>1346</v>
      </c>
      <c r="H74" s="122" t="s">
        <v>76</v>
      </c>
      <c r="I74" s="122" t="s">
        <v>229</v>
      </c>
      <c r="J74" s="122" t="s">
        <v>53</v>
      </c>
      <c r="K74" s="122" t="s">
        <v>53</v>
      </c>
      <c r="L74" s="122" t="s">
        <v>805</v>
      </c>
      <c r="M74" s="122" t="s">
        <v>311</v>
      </c>
      <c r="N74" s="122" t="s">
        <v>256</v>
      </c>
      <c r="O74" s="122" t="s">
        <v>62</v>
      </c>
      <c r="P74" s="122" t="s">
        <v>1330</v>
      </c>
      <c r="Q74" s="122" t="s">
        <v>65</v>
      </c>
      <c r="R74" s="122" t="s">
        <v>57</v>
      </c>
      <c r="S74" s="122" t="s">
        <v>1216</v>
      </c>
      <c r="T74" s="123">
        <v>0.73</v>
      </c>
      <c r="U74" s="122" t="s">
        <v>1347</v>
      </c>
      <c r="V74" s="125">
        <v>3.8E-3</v>
      </c>
      <c r="W74" s="125">
        <v>3.2289999999999999E-2</v>
      </c>
      <c r="X74" s="122" t="s">
        <v>620</v>
      </c>
      <c r="Y74" s="133"/>
      <c r="Z74" s="123">
        <v>4177</v>
      </c>
      <c r="AA74" s="123">
        <v>1</v>
      </c>
      <c r="AB74" s="123">
        <v>114.65</v>
      </c>
      <c r="AC74" s="122"/>
      <c r="AD74" s="123">
        <v>4.7889999999999997</v>
      </c>
      <c r="AE74" s="122"/>
      <c r="AF74" s="122"/>
      <c r="AG74" s="122"/>
      <c r="AH74" s="125">
        <v>0</v>
      </c>
      <c r="AI74" s="125">
        <v>2.102E-2</v>
      </c>
      <c r="AJ74" s="126">
        <v>2.16E-3</v>
      </c>
      <c r="AK74" s="159"/>
    </row>
    <row r="75" spans="1:37" x14ac:dyDescent="0.2">
      <c r="A75" s="121" t="s">
        <v>1211</v>
      </c>
      <c r="B75" s="122" t="s">
        <v>1220</v>
      </c>
      <c r="C75" s="122" t="s">
        <v>1348</v>
      </c>
      <c r="D75" s="122" t="s">
        <v>1349</v>
      </c>
      <c r="E75" s="122" t="s">
        <v>429</v>
      </c>
      <c r="F75" s="122" t="s">
        <v>1382</v>
      </c>
      <c r="G75" s="122" t="s">
        <v>1383</v>
      </c>
      <c r="H75" s="122" t="s">
        <v>76</v>
      </c>
      <c r="I75" s="122" t="s">
        <v>229</v>
      </c>
      <c r="J75" s="122" t="s">
        <v>53</v>
      </c>
      <c r="K75" s="122" t="s">
        <v>53</v>
      </c>
      <c r="L75" s="122" t="s">
        <v>805</v>
      </c>
      <c r="M75" s="122" t="s">
        <v>311</v>
      </c>
      <c r="N75" s="122" t="s">
        <v>256</v>
      </c>
      <c r="O75" s="122" t="s">
        <v>62</v>
      </c>
      <c r="P75" s="122" t="s">
        <v>1330</v>
      </c>
      <c r="Q75" s="122" t="s">
        <v>65</v>
      </c>
      <c r="R75" s="122" t="s">
        <v>57</v>
      </c>
      <c r="S75" s="122" t="s">
        <v>1216</v>
      </c>
      <c r="T75" s="123">
        <v>4.1399999999999997</v>
      </c>
      <c r="U75" s="122" t="s">
        <v>1384</v>
      </c>
      <c r="V75" s="125">
        <v>2.0199999999999999E-2</v>
      </c>
      <c r="W75" s="125">
        <v>2.5350000000000001E-2</v>
      </c>
      <c r="X75" s="122" t="s">
        <v>620</v>
      </c>
      <c r="Y75" s="133"/>
      <c r="Z75" s="123">
        <v>4000</v>
      </c>
      <c r="AA75" s="123">
        <v>1</v>
      </c>
      <c r="AB75" s="123">
        <v>105.02</v>
      </c>
      <c r="AC75" s="122"/>
      <c r="AD75" s="123">
        <v>4.2009999999999996</v>
      </c>
      <c r="AE75" s="122"/>
      <c r="AF75" s="122"/>
      <c r="AG75" s="122"/>
      <c r="AH75" s="125">
        <v>0</v>
      </c>
      <c r="AI75" s="125">
        <v>1.8440000000000002E-2</v>
      </c>
      <c r="AJ75" s="126">
        <v>1.9E-3</v>
      </c>
      <c r="AK75" s="159"/>
    </row>
    <row r="76" spans="1:37" x14ac:dyDescent="0.2">
      <c r="A76" s="121" t="s">
        <v>1211</v>
      </c>
      <c r="B76" s="122" t="s">
        <v>1220</v>
      </c>
      <c r="C76" s="122" t="s">
        <v>1320</v>
      </c>
      <c r="D76" s="122" t="s">
        <v>1321</v>
      </c>
      <c r="E76" s="122" t="s">
        <v>429</v>
      </c>
      <c r="F76" s="122" t="s">
        <v>1452</v>
      </c>
      <c r="G76" s="122" t="s">
        <v>1453</v>
      </c>
      <c r="H76" s="122" t="s">
        <v>76</v>
      </c>
      <c r="I76" s="122" t="s">
        <v>229</v>
      </c>
      <c r="J76" s="122" t="s">
        <v>53</v>
      </c>
      <c r="K76" s="122" t="s">
        <v>53</v>
      </c>
      <c r="L76" s="122" t="s">
        <v>805</v>
      </c>
      <c r="M76" s="122" t="s">
        <v>311</v>
      </c>
      <c r="N76" s="122" t="s">
        <v>269</v>
      </c>
      <c r="O76" s="122" t="s">
        <v>62</v>
      </c>
      <c r="P76" s="122" t="s">
        <v>1454</v>
      </c>
      <c r="Q76" s="122" t="s">
        <v>70</v>
      </c>
      <c r="R76" s="122" t="s">
        <v>57</v>
      </c>
      <c r="S76" s="122" t="s">
        <v>1216</v>
      </c>
      <c r="T76" s="123">
        <v>4.29</v>
      </c>
      <c r="U76" s="122" t="s">
        <v>1455</v>
      </c>
      <c r="V76" s="125">
        <v>4.6899999999999997E-2</v>
      </c>
      <c r="W76" s="125">
        <v>4.6339999999999999E-2</v>
      </c>
      <c r="X76" s="122" t="s">
        <v>620</v>
      </c>
      <c r="Y76" s="133"/>
      <c r="Z76" s="123">
        <v>4000</v>
      </c>
      <c r="AA76" s="123">
        <v>1</v>
      </c>
      <c r="AB76" s="123">
        <v>100.58</v>
      </c>
      <c r="AC76" s="122"/>
      <c r="AD76" s="123">
        <v>4.0229999999999997</v>
      </c>
      <c r="AE76" s="122"/>
      <c r="AF76" s="122"/>
      <c r="AG76" s="122"/>
      <c r="AH76" s="125">
        <v>1.0000000000000001E-5</v>
      </c>
      <c r="AI76" s="125">
        <v>1.7659999999999999E-2</v>
      </c>
      <c r="AJ76" s="126">
        <v>1.82E-3</v>
      </c>
      <c r="AK76" s="159"/>
    </row>
    <row r="77" spans="1:37" x14ac:dyDescent="0.2">
      <c r="A77" s="121" t="s">
        <v>1211</v>
      </c>
      <c r="B77" s="122" t="s">
        <v>1220</v>
      </c>
      <c r="C77" s="122" t="s">
        <v>1477</v>
      </c>
      <c r="D77" s="122" t="s">
        <v>1478</v>
      </c>
      <c r="E77" s="122" t="s">
        <v>429</v>
      </c>
      <c r="F77" s="122" t="s">
        <v>1479</v>
      </c>
      <c r="G77" s="122" t="s">
        <v>1480</v>
      </c>
      <c r="H77" s="122" t="s">
        <v>76</v>
      </c>
      <c r="I77" s="122" t="s">
        <v>228</v>
      </c>
      <c r="J77" s="122" t="s">
        <v>53</v>
      </c>
      <c r="K77" s="122" t="s">
        <v>53</v>
      </c>
      <c r="L77" s="122" t="s">
        <v>805</v>
      </c>
      <c r="M77" s="122" t="s">
        <v>311</v>
      </c>
      <c r="N77" s="122" t="s">
        <v>634</v>
      </c>
      <c r="O77" s="122" t="s">
        <v>62</v>
      </c>
      <c r="P77" s="122" t="s">
        <v>1324</v>
      </c>
      <c r="Q77" s="122" t="s">
        <v>65</v>
      </c>
      <c r="R77" s="122" t="s">
        <v>57</v>
      </c>
      <c r="S77" s="122" t="s">
        <v>1216</v>
      </c>
      <c r="T77" s="123">
        <v>2.41</v>
      </c>
      <c r="U77" s="122" t="s">
        <v>1481</v>
      </c>
      <c r="V77" s="125">
        <v>5.0900000000000001E-2</v>
      </c>
      <c r="W77" s="125">
        <v>4.582E-2</v>
      </c>
      <c r="X77" s="122" t="s">
        <v>620</v>
      </c>
      <c r="Y77" s="133"/>
      <c r="Z77" s="123">
        <v>2931.38</v>
      </c>
      <c r="AA77" s="123">
        <v>1</v>
      </c>
      <c r="AB77" s="123">
        <v>101.07</v>
      </c>
      <c r="AC77" s="123">
        <v>0.91900000000000004</v>
      </c>
      <c r="AD77" s="123">
        <v>3.8820000000000001</v>
      </c>
      <c r="AE77" s="122"/>
      <c r="AF77" s="122"/>
      <c r="AG77" s="122"/>
      <c r="AH77" s="125">
        <v>1.0000000000000001E-5</v>
      </c>
      <c r="AI77" s="125">
        <v>2.1080000000000002E-2</v>
      </c>
      <c r="AJ77" s="126">
        <v>2.1700000000000001E-3</v>
      </c>
      <c r="AK77" s="159"/>
    </row>
    <row r="78" spans="1:37" x14ac:dyDescent="0.2">
      <c r="A78" s="121" t="s">
        <v>1211</v>
      </c>
      <c r="B78" s="122" t="s">
        <v>1220</v>
      </c>
      <c r="C78" s="122" t="s">
        <v>1340</v>
      </c>
      <c r="D78" s="122" t="s">
        <v>1341</v>
      </c>
      <c r="E78" s="122" t="s">
        <v>429</v>
      </c>
      <c r="F78" s="122" t="s">
        <v>1459</v>
      </c>
      <c r="G78" s="122" t="s">
        <v>1460</v>
      </c>
      <c r="H78" s="122" t="s">
        <v>76</v>
      </c>
      <c r="I78" s="122" t="s">
        <v>229</v>
      </c>
      <c r="J78" s="122" t="s">
        <v>53</v>
      </c>
      <c r="K78" s="122" t="s">
        <v>53</v>
      </c>
      <c r="L78" s="122" t="s">
        <v>805</v>
      </c>
      <c r="M78" s="122" t="s">
        <v>311</v>
      </c>
      <c r="N78" s="122" t="s">
        <v>256</v>
      </c>
      <c r="O78" s="122" t="s">
        <v>62</v>
      </c>
      <c r="P78" s="122" t="s">
        <v>1330</v>
      </c>
      <c r="Q78" s="122" t="s">
        <v>65</v>
      </c>
      <c r="R78" s="122" t="s">
        <v>57</v>
      </c>
      <c r="S78" s="122" t="s">
        <v>1216</v>
      </c>
      <c r="T78" s="123">
        <v>3.95</v>
      </c>
      <c r="U78" s="122" t="s">
        <v>1461</v>
      </c>
      <c r="V78" s="125">
        <v>1.9900000000000001E-2</v>
      </c>
      <c r="W78" s="125">
        <v>2.537E-2</v>
      </c>
      <c r="X78" s="122" t="s">
        <v>620</v>
      </c>
      <c r="Y78" s="133"/>
      <c r="Z78" s="123">
        <v>3600</v>
      </c>
      <c r="AA78" s="123">
        <v>1</v>
      </c>
      <c r="AB78" s="123">
        <v>105.83</v>
      </c>
      <c r="AC78" s="122"/>
      <c r="AD78" s="123">
        <v>3.81</v>
      </c>
      <c r="AE78" s="122"/>
      <c r="AF78" s="122"/>
      <c r="AG78" s="122"/>
      <c r="AH78" s="125">
        <v>0</v>
      </c>
      <c r="AI78" s="125">
        <v>1.6719999999999999E-2</v>
      </c>
      <c r="AJ78" s="126">
        <v>1.72E-3</v>
      </c>
      <c r="AK78" s="159"/>
    </row>
    <row r="79" spans="1:37" x14ac:dyDescent="0.2">
      <c r="A79" s="121" t="s">
        <v>1211</v>
      </c>
      <c r="B79" s="122" t="s">
        <v>1220</v>
      </c>
      <c r="C79" s="122" t="s">
        <v>1332</v>
      </c>
      <c r="D79" s="122" t="s">
        <v>1333</v>
      </c>
      <c r="E79" s="122" t="s">
        <v>430</v>
      </c>
      <c r="F79" s="122" t="s">
        <v>1467</v>
      </c>
      <c r="G79" s="122" t="s">
        <v>1468</v>
      </c>
      <c r="H79" s="122" t="s">
        <v>76</v>
      </c>
      <c r="I79" s="122" t="s">
        <v>229</v>
      </c>
      <c r="J79" s="122" t="s">
        <v>53</v>
      </c>
      <c r="K79" s="122" t="s">
        <v>53</v>
      </c>
      <c r="L79" s="122" t="s">
        <v>805</v>
      </c>
      <c r="M79" s="122" t="s">
        <v>311</v>
      </c>
      <c r="N79" s="122" t="s">
        <v>156</v>
      </c>
      <c r="O79" s="122" t="s">
        <v>62</v>
      </c>
      <c r="P79" s="122" t="s">
        <v>1215</v>
      </c>
      <c r="Q79" s="122" t="s">
        <v>70</v>
      </c>
      <c r="R79" s="122" t="s">
        <v>57</v>
      </c>
      <c r="S79" s="122" t="s">
        <v>1216</v>
      </c>
      <c r="T79" s="123">
        <v>0.41</v>
      </c>
      <c r="U79" s="122" t="s">
        <v>1469</v>
      </c>
      <c r="V79" s="125">
        <v>4.4999999999999998E-2</v>
      </c>
      <c r="W79" s="125">
        <v>5.2880000000000003E-2</v>
      </c>
      <c r="X79" s="122" t="s">
        <v>620</v>
      </c>
      <c r="Y79" s="133"/>
      <c r="Z79" s="123">
        <v>3034</v>
      </c>
      <c r="AA79" s="123">
        <v>1</v>
      </c>
      <c r="AB79" s="123">
        <v>120.41</v>
      </c>
      <c r="AC79" s="122"/>
      <c r="AD79" s="123">
        <v>3.653</v>
      </c>
      <c r="AE79" s="122"/>
      <c r="AF79" s="122"/>
      <c r="AG79" s="122"/>
      <c r="AH79" s="125">
        <v>0</v>
      </c>
      <c r="AI79" s="125">
        <v>1.6039999999999999E-2</v>
      </c>
      <c r="AJ79" s="126">
        <v>1.65E-3</v>
      </c>
      <c r="AK79" s="159"/>
    </row>
    <row r="80" spans="1:37" x14ac:dyDescent="0.2">
      <c r="A80" s="121" t="s">
        <v>1211</v>
      </c>
      <c r="B80" s="122" t="s">
        <v>1220</v>
      </c>
      <c r="C80" s="122" t="s">
        <v>1566</v>
      </c>
      <c r="D80" s="122" t="s">
        <v>1567</v>
      </c>
      <c r="E80" s="122" t="s">
        <v>429</v>
      </c>
      <c r="F80" s="122" t="s">
        <v>1568</v>
      </c>
      <c r="G80" s="122" t="s">
        <v>1569</v>
      </c>
      <c r="H80" s="122" t="s">
        <v>76</v>
      </c>
      <c r="I80" s="122" t="s">
        <v>229</v>
      </c>
      <c r="J80" s="122" t="s">
        <v>53</v>
      </c>
      <c r="K80" s="122" t="s">
        <v>53</v>
      </c>
      <c r="L80" s="122" t="s">
        <v>805</v>
      </c>
      <c r="M80" s="122" t="s">
        <v>311</v>
      </c>
      <c r="N80" s="122" t="s">
        <v>156</v>
      </c>
      <c r="O80" s="122" t="s">
        <v>62</v>
      </c>
      <c r="P80" s="122" t="s">
        <v>1402</v>
      </c>
      <c r="Q80" s="122" t="s">
        <v>70</v>
      </c>
      <c r="R80" s="122" t="s">
        <v>57</v>
      </c>
      <c r="S80" s="122" t="s">
        <v>1216</v>
      </c>
      <c r="T80" s="123">
        <v>3.22</v>
      </c>
      <c r="U80" s="122" t="s">
        <v>1438</v>
      </c>
      <c r="V80" s="125">
        <v>1.7999999999999999E-2</v>
      </c>
      <c r="W80" s="125">
        <v>3.1859999999999999E-2</v>
      </c>
      <c r="X80" s="122" t="s">
        <v>620</v>
      </c>
      <c r="Y80" s="133"/>
      <c r="Z80" s="123">
        <v>2600</v>
      </c>
      <c r="AA80" s="123">
        <v>1</v>
      </c>
      <c r="AB80" s="123">
        <v>113.57</v>
      </c>
      <c r="AC80" s="122"/>
      <c r="AD80" s="123">
        <v>2.9529999999999998</v>
      </c>
      <c r="AE80" s="122"/>
      <c r="AF80" s="122"/>
      <c r="AG80" s="122"/>
      <c r="AH80" s="125">
        <v>0</v>
      </c>
      <c r="AI80" s="125">
        <v>1.2959999999999999E-2</v>
      </c>
      <c r="AJ80" s="126">
        <v>1.33E-3</v>
      </c>
      <c r="AK80" s="159"/>
    </row>
    <row r="81" spans="1:37" x14ac:dyDescent="0.2">
      <c r="A81" s="121" t="s">
        <v>1211</v>
      </c>
      <c r="B81" s="122" t="s">
        <v>1220</v>
      </c>
      <c r="C81" s="122" t="s">
        <v>1570</v>
      </c>
      <c r="D81" s="122" t="s">
        <v>1571</v>
      </c>
      <c r="E81" s="122" t="s">
        <v>429</v>
      </c>
      <c r="F81" s="122" t="s">
        <v>1572</v>
      </c>
      <c r="G81" s="122" t="s">
        <v>1573</v>
      </c>
      <c r="H81" s="122" t="s">
        <v>76</v>
      </c>
      <c r="I81" s="122" t="s">
        <v>228</v>
      </c>
      <c r="J81" s="122" t="s">
        <v>53</v>
      </c>
      <c r="K81" s="122" t="s">
        <v>53</v>
      </c>
      <c r="L81" s="122" t="s">
        <v>805</v>
      </c>
      <c r="M81" s="122" t="s">
        <v>311</v>
      </c>
      <c r="N81" s="122" t="s">
        <v>635</v>
      </c>
      <c r="O81" s="122" t="s">
        <v>62</v>
      </c>
      <c r="P81" s="122" t="s">
        <v>1369</v>
      </c>
      <c r="Q81" s="122" t="s">
        <v>65</v>
      </c>
      <c r="R81" s="122" t="s">
        <v>57</v>
      </c>
      <c r="S81" s="122" t="s">
        <v>1216</v>
      </c>
      <c r="T81" s="123">
        <v>5.7</v>
      </c>
      <c r="U81" s="122" t="s">
        <v>1574</v>
      </c>
      <c r="V81" s="125">
        <v>4.9399999999999999E-2</v>
      </c>
      <c r="W81" s="125">
        <v>5.1290000000000002E-2</v>
      </c>
      <c r="X81" s="122" t="s">
        <v>620</v>
      </c>
      <c r="Y81" s="133"/>
      <c r="Z81" s="123">
        <v>2531.11</v>
      </c>
      <c r="AA81" s="123">
        <v>1</v>
      </c>
      <c r="AB81" s="123">
        <v>101.81</v>
      </c>
      <c r="AC81" s="122"/>
      <c r="AD81" s="123">
        <v>2.577</v>
      </c>
      <c r="AE81" s="122"/>
      <c r="AF81" s="122"/>
      <c r="AG81" s="122"/>
      <c r="AH81" s="125">
        <v>0</v>
      </c>
      <c r="AI81" s="125">
        <v>1.1310000000000001E-2</v>
      </c>
      <c r="AJ81" s="126">
        <v>1.16E-3</v>
      </c>
      <c r="AK81" s="159"/>
    </row>
    <row r="82" spans="1:37" x14ac:dyDescent="0.2">
      <c r="A82" s="121" t="s">
        <v>1211</v>
      </c>
      <c r="B82" s="122" t="s">
        <v>1220</v>
      </c>
      <c r="C82" s="122" t="s">
        <v>1365</v>
      </c>
      <c r="D82" s="122" t="s">
        <v>1366</v>
      </c>
      <c r="E82" s="122" t="s">
        <v>429</v>
      </c>
      <c r="F82" s="122" t="s">
        <v>1404</v>
      </c>
      <c r="G82" s="122" t="s">
        <v>1405</v>
      </c>
      <c r="H82" s="122" t="s">
        <v>76</v>
      </c>
      <c r="I82" s="122" t="s">
        <v>228</v>
      </c>
      <c r="J82" s="122" t="s">
        <v>53</v>
      </c>
      <c r="K82" s="122" t="s">
        <v>53</v>
      </c>
      <c r="L82" s="122" t="s">
        <v>805</v>
      </c>
      <c r="M82" s="122" t="s">
        <v>311</v>
      </c>
      <c r="N82" s="122" t="s">
        <v>269</v>
      </c>
      <c r="O82" s="122" t="s">
        <v>62</v>
      </c>
      <c r="P82" s="122" t="s">
        <v>1369</v>
      </c>
      <c r="Q82" s="122" t="s">
        <v>65</v>
      </c>
      <c r="R82" s="122" t="s">
        <v>57</v>
      </c>
      <c r="S82" s="122" t="s">
        <v>1216</v>
      </c>
      <c r="T82" s="123">
        <v>7.14</v>
      </c>
      <c r="U82" s="122" t="s">
        <v>1406</v>
      </c>
      <c r="V82" s="125">
        <v>5.3100000000000001E-2</v>
      </c>
      <c r="W82" s="125">
        <v>4.8640000000000003E-2</v>
      </c>
      <c r="X82" s="122" t="s">
        <v>620</v>
      </c>
      <c r="Y82" s="133"/>
      <c r="Z82" s="123">
        <v>2283.81</v>
      </c>
      <c r="AA82" s="123">
        <v>1</v>
      </c>
      <c r="AB82" s="123">
        <v>104.46</v>
      </c>
      <c r="AC82" s="122"/>
      <c r="AD82" s="123">
        <v>2.3860000000000001</v>
      </c>
      <c r="AE82" s="122"/>
      <c r="AF82" s="122"/>
      <c r="AG82" s="122"/>
      <c r="AH82" s="125">
        <v>0</v>
      </c>
      <c r="AI82" s="125">
        <v>1.047E-2</v>
      </c>
      <c r="AJ82" s="126">
        <v>1.08E-3</v>
      </c>
      <c r="AK82" s="159"/>
    </row>
    <row r="83" spans="1:37" x14ac:dyDescent="0.2">
      <c r="A83" s="121" t="s">
        <v>1211</v>
      </c>
      <c r="B83" s="122" t="s">
        <v>1220</v>
      </c>
      <c r="C83" s="122" t="s">
        <v>1575</v>
      </c>
      <c r="D83" s="122" t="s">
        <v>1576</v>
      </c>
      <c r="E83" s="122" t="s">
        <v>429</v>
      </c>
      <c r="F83" s="122" t="s">
        <v>1577</v>
      </c>
      <c r="G83" s="122" t="s">
        <v>1578</v>
      </c>
      <c r="H83" s="122" t="s">
        <v>76</v>
      </c>
      <c r="I83" s="122" t="s">
        <v>229</v>
      </c>
      <c r="J83" s="122" t="s">
        <v>53</v>
      </c>
      <c r="K83" s="122" t="s">
        <v>53</v>
      </c>
      <c r="L83" s="122" t="s">
        <v>805</v>
      </c>
      <c r="M83" s="122" t="s">
        <v>311</v>
      </c>
      <c r="N83" s="122" t="s">
        <v>635</v>
      </c>
      <c r="O83" s="122" t="s">
        <v>62</v>
      </c>
      <c r="P83" s="122" t="s">
        <v>1377</v>
      </c>
      <c r="Q83" s="122" t="s">
        <v>70</v>
      </c>
      <c r="R83" s="122" t="s">
        <v>57</v>
      </c>
      <c r="S83" s="122" t="s">
        <v>1216</v>
      </c>
      <c r="T83" s="123">
        <v>3.52</v>
      </c>
      <c r="U83" s="122" t="s">
        <v>1579</v>
      </c>
      <c r="V83" s="125">
        <v>1.17E-2</v>
      </c>
      <c r="W83" s="125">
        <v>2.8369999999999999E-2</v>
      </c>
      <c r="X83" s="122" t="s">
        <v>620</v>
      </c>
      <c r="Y83" s="133"/>
      <c r="Z83" s="123">
        <v>2135.2800000000002</v>
      </c>
      <c r="AA83" s="123">
        <v>1</v>
      </c>
      <c r="AB83" s="123">
        <v>111.54</v>
      </c>
      <c r="AC83" s="122"/>
      <c r="AD83" s="123">
        <v>2.3820000000000001</v>
      </c>
      <c r="AE83" s="122"/>
      <c r="AF83" s="122"/>
      <c r="AG83" s="122"/>
      <c r="AH83" s="125">
        <v>0</v>
      </c>
      <c r="AI83" s="125">
        <v>1.0449999999999999E-2</v>
      </c>
      <c r="AJ83" s="126">
        <v>1.07E-3</v>
      </c>
      <c r="AK83" s="159"/>
    </row>
    <row r="84" spans="1:37" x14ac:dyDescent="0.2">
      <c r="A84" s="121" t="s">
        <v>1211</v>
      </c>
      <c r="B84" s="122" t="s">
        <v>1220</v>
      </c>
      <c r="C84" s="122" t="s">
        <v>1373</v>
      </c>
      <c r="D84" s="122" t="s">
        <v>1374</v>
      </c>
      <c r="E84" s="122" t="s">
        <v>429</v>
      </c>
      <c r="F84" s="122" t="s">
        <v>1580</v>
      </c>
      <c r="G84" s="122" t="s">
        <v>1581</v>
      </c>
      <c r="H84" s="122" t="s">
        <v>76</v>
      </c>
      <c r="I84" s="122" t="s">
        <v>228</v>
      </c>
      <c r="J84" s="122" t="s">
        <v>53</v>
      </c>
      <c r="K84" s="122" t="s">
        <v>53</v>
      </c>
      <c r="L84" s="122" t="s">
        <v>805</v>
      </c>
      <c r="M84" s="122" t="s">
        <v>311</v>
      </c>
      <c r="N84" s="122" t="s">
        <v>269</v>
      </c>
      <c r="O84" s="122" t="s">
        <v>62</v>
      </c>
      <c r="P84" s="122" t="s">
        <v>1377</v>
      </c>
      <c r="Q84" s="122" t="s">
        <v>70</v>
      </c>
      <c r="R84" s="122" t="s">
        <v>57</v>
      </c>
      <c r="S84" s="122" t="s">
        <v>1216</v>
      </c>
      <c r="T84" s="123">
        <v>0.99</v>
      </c>
      <c r="U84" s="122" t="s">
        <v>1524</v>
      </c>
      <c r="V84" s="125">
        <v>1.84E-2</v>
      </c>
      <c r="W84" s="125">
        <v>4.7879999999999999E-2</v>
      </c>
      <c r="X84" s="122" t="s">
        <v>620</v>
      </c>
      <c r="Y84" s="133"/>
      <c r="Z84" s="123">
        <v>2389</v>
      </c>
      <c r="AA84" s="123">
        <v>1</v>
      </c>
      <c r="AB84" s="123">
        <v>97.22</v>
      </c>
      <c r="AC84" s="122"/>
      <c r="AD84" s="123">
        <v>2.323</v>
      </c>
      <c r="AE84" s="122"/>
      <c r="AF84" s="122"/>
      <c r="AG84" s="122"/>
      <c r="AH84" s="125">
        <v>1.0000000000000001E-5</v>
      </c>
      <c r="AI84" s="125">
        <v>1.0200000000000001E-2</v>
      </c>
      <c r="AJ84" s="126">
        <v>1.0499999999999999E-3</v>
      </c>
      <c r="AK84" s="159"/>
    </row>
    <row r="85" spans="1:37" x14ac:dyDescent="0.2">
      <c r="A85" s="121" t="s">
        <v>1211</v>
      </c>
      <c r="B85" s="122" t="s">
        <v>1220</v>
      </c>
      <c r="C85" s="122" t="s">
        <v>1348</v>
      </c>
      <c r="D85" s="122" t="s">
        <v>1349</v>
      </c>
      <c r="E85" s="122" t="s">
        <v>429</v>
      </c>
      <c r="F85" s="122" t="s">
        <v>1350</v>
      </c>
      <c r="G85" s="122" t="s">
        <v>1351</v>
      </c>
      <c r="H85" s="122" t="s">
        <v>76</v>
      </c>
      <c r="I85" s="122" t="s">
        <v>229</v>
      </c>
      <c r="J85" s="122" t="s">
        <v>53</v>
      </c>
      <c r="K85" s="122" t="s">
        <v>53</v>
      </c>
      <c r="L85" s="122" t="s">
        <v>805</v>
      </c>
      <c r="M85" s="122" t="s">
        <v>311</v>
      </c>
      <c r="N85" s="122" t="s">
        <v>256</v>
      </c>
      <c r="O85" s="122" t="s">
        <v>62</v>
      </c>
      <c r="P85" s="122" t="s">
        <v>1215</v>
      </c>
      <c r="Q85" s="122" t="s">
        <v>70</v>
      </c>
      <c r="R85" s="122" t="s">
        <v>57</v>
      </c>
      <c r="S85" s="122" t="s">
        <v>1216</v>
      </c>
      <c r="T85" s="123">
        <v>4.1399999999999997</v>
      </c>
      <c r="U85" s="122" t="s">
        <v>1352</v>
      </c>
      <c r="V85" s="125">
        <v>1E-3</v>
      </c>
      <c r="W85" s="125">
        <v>2.5270000000000001E-2</v>
      </c>
      <c r="X85" s="122" t="s">
        <v>620</v>
      </c>
      <c r="Y85" s="133"/>
      <c r="Z85" s="123">
        <v>2137</v>
      </c>
      <c r="AA85" s="123">
        <v>1</v>
      </c>
      <c r="AB85" s="123">
        <v>104.89</v>
      </c>
      <c r="AC85" s="122"/>
      <c r="AD85" s="123">
        <v>2.2410000000000001</v>
      </c>
      <c r="AE85" s="122"/>
      <c r="AF85" s="122"/>
      <c r="AG85" s="122"/>
      <c r="AH85" s="125">
        <v>0</v>
      </c>
      <c r="AI85" s="125">
        <v>9.8399999999999998E-3</v>
      </c>
      <c r="AJ85" s="126">
        <v>1.01E-3</v>
      </c>
      <c r="AK85" s="159"/>
    </row>
    <row r="86" spans="1:37" x14ac:dyDescent="0.2">
      <c r="A86" s="121" t="s">
        <v>1211</v>
      </c>
      <c r="B86" s="122" t="s">
        <v>1220</v>
      </c>
      <c r="C86" s="122" t="s">
        <v>1393</v>
      </c>
      <c r="D86" s="122" t="s">
        <v>1394</v>
      </c>
      <c r="E86" s="122" t="s">
        <v>429</v>
      </c>
      <c r="F86" s="122" t="s">
        <v>1491</v>
      </c>
      <c r="G86" s="122" t="s">
        <v>1492</v>
      </c>
      <c r="H86" s="122" t="s">
        <v>76</v>
      </c>
      <c r="I86" s="122" t="s">
        <v>228</v>
      </c>
      <c r="J86" s="122" t="s">
        <v>53</v>
      </c>
      <c r="K86" s="122" t="s">
        <v>53</v>
      </c>
      <c r="L86" s="122" t="s">
        <v>805</v>
      </c>
      <c r="M86" s="122" t="s">
        <v>311</v>
      </c>
      <c r="N86" s="122" t="s">
        <v>269</v>
      </c>
      <c r="O86" s="122" t="s">
        <v>62</v>
      </c>
      <c r="P86" s="122" t="s">
        <v>1377</v>
      </c>
      <c r="Q86" s="122" t="s">
        <v>70</v>
      </c>
      <c r="R86" s="122" t="s">
        <v>57</v>
      </c>
      <c r="S86" s="122" t="s">
        <v>1216</v>
      </c>
      <c r="T86" s="123">
        <v>2.14</v>
      </c>
      <c r="U86" s="122" t="s">
        <v>1493</v>
      </c>
      <c r="V86" s="125">
        <v>4.36E-2</v>
      </c>
      <c r="W86" s="125">
        <v>4.4060000000000002E-2</v>
      </c>
      <c r="X86" s="122" t="s">
        <v>620</v>
      </c>
      <c r="Y86" s="133"/>
      <c r="Z86" s="123">
        <v>2000</v>
      </c>
      <c r="AA86" s="123">
        <v>1</v>
      </c>
      <c r="AB86" s="123">
        <v>101.09</v>
      </c>
      <c r="AC86" s="122"/>
      <c r="AD86" s="123">
        <v>2.0219999999999998</v>
      </c>
      <c r="AE86" s="122"/>
      <c r="AF86" s="122"/>
      <c r="AG86" s="122"/>
      <c r="AH86" s="125">
        <v>1.0000000000000001E-5</v>
      </c>
      <c r="AI86" s="125">
        <v>8.8800000000000007E-3</v>
      </c>
      <c r="AJ86" s="126">
        <v>9.1E-4</v>
      </c>
      <c r="AK86" s="159"/>
    </row>
    <row r="87" spans="1:37" x14ac:dyDescent="0.2">
      <c r="A87" s="121" t="s">
        <v>1211</v>
      </c>
      <c r="B87" s="122" t="s">
        <v>1220</v>
      </c>
      <c r="C87" s="122" t="s">
        <v>1494</v>
      </c>
      <c r="D87" s="122" t="s">
        <v>1495</v>
      </c>
      <c r="E87" s="122" t="s">
        <v>429</v>
      </c>
      <c r="F87" s="122" t="s">
        <v>1496</v>
      </c>
      <c r="G87" s="122" t="s">
        <v>1497</v>
      </c>
      <c r="H87" s="122" t="s">
        <v>76</v>
      </c>
      <c r="I87" s="122" t="s">
        <v>229</v>
      </c>
      <c r="J87" s="122" t="s">
        <v>53</v>
      </c>
      <c r="K87" s="122" t="s">
        <v>53</v>
      </c>
      <c r="L87" s="122" t="s">
        <v>805</v>
      </c>
      <c r="M87" s="122" t="s">
        <v>311</v>
      </c>
      <c r="N87" s="122" t="s">
        <v>256</v>
      </c>
      <c r="O87" s="122" t="s">
        <v>62</v>
      </c>
      <c r="P87" s="122" t="s">
        <v>1330</v>
      </c>
      <c r="Q87" s="122" t="s">
        <v>65</v>
      </c>
      <c r="R87" s="122" t="s">
        <v>57</v>
      </c>
      <c r="S87" s="122" t="s">
        <v>1216</v>
      </c>
      <c r="T87" s="123">
        <v>2.2599999999999998</v>
      </c>
      <c r="U87" s="122" t="s">
        <v>1498</v>
      </c>
      <c r="V87" s="125">
        <v>1.4999999999999999E-2</v>
      </c>
      <c r="W87" s="125">
        <v>2.5770000000000001E-2</v>
      </c>
      <c r="X87" s="122" t="s">
        <v>620</v>
      </c>
      <c r="Y87" s="133"/>
      <c r="Z87" s="123">
        <v>1580.41</v>
      </c>
      <c r="AA87" s="123">
        <v>1</v>
      </c>
      <c r="AB87" s="123">
        <v>116.97</v>
      </c>
      <c r="AC87" s="122"/>
      <c r="AD87" s="123">
        <v>1.849</v>
      </c>
      <c r="AE87" s="122"/>
      <c r="AF87" s="122"/>
      <c r="AG87" s="122"/>
      <c r="AH87" s="125">
        <v>1.0000000000000001E-5</v>
      </c>
      <c r="AI87" s="125">
        <v>8.1099999999999992E-3</v>
      </c>
      <c r="AJ87" s="126">
        <v>8.3000000000000001E-4</v>
      </c>
      <c r="AK87" s="159"/>
    </row>
    <row r="88" spans="1:37" x14ac:dyDescent="0.2">
      <c r="A88" s="121" t="s">
        <v>1211</v>
      </c>
      <c r="B88" s="122" t="s">
        <v>1220</v>
      </c>
      <c r="C88" s="122" t="s">
        <v>1542</v>
      </c>
      <c r="D88" s="122" t="s">
        <v>1543</v>
      </c>
      <c r="E88" s="122" t="s">
        <v>429</v>
      </c>
      <c r="F88" s="122" t="s">
        <v>1582</v>
      </c>
      <c r="G88" s="122" t="s">
        <v>1583</v>
      </c>
      <c r="H88" s="122" t="s">
        <v>76</v>
      </c>
      <c r="I88" s="122" t="s">
        <v>229</v>
      </c>
      <c r="J88" s="122" t="s">
        <v>53</v>
      </c>
      <c r="K88" s="122" t="s">
        <v>53</v>
      </c>
      <c r="L88" s="122" t="s">
        <v>805</v>
      </c>
      <c r="M88" s="122" t="s">
        <v>311</v>
      </c>
      <c r="N88" s="122" t="s">
        <v>635</v>
      </c>
      <c r="O88" s="122" t="s">
        <v>62</v>
      </c>
      <c r="P88" s="122" t="s">
        <v>1584</v>
      </c>
      <c r="Q88" s="122" t="s">
        <v>70</v>
      </c>
      <c r="R88" s="122" t="s">
        <v>57</v>
      </c>
      <c r="S88" s="122" t="s">
        <v>1216</v>
      </c>
      <c r="T88" s="123">
        <v>1.71</v>
      </c>
      <c r="U88" s="122" t="s">
        <v>1458</v>
      </c>
      <c r="V88" s="125">
        <v>1.77E-2</v>
      </c>
      <c r="W88" s="125">
        <v>2.9059999999999999E-2</v>
      </c>
      <c r="X88" s="122" t="s">
        <v>620</v>
      </c>
      <c r="Y88" s="133"/>
      <c r="Z88" s="123">
        <v>1500</v>
      </c>
      <c r="AA88" s="123">
        <v>1</v>
      </c>
      <c r="AB88" s="123">
        <v>116.94</v>
      </c>
      <c r="AC88" s="122"/>
      <c r="AD88" s="123">
        <v>1.754</v>
      </c>
      <c r="AE88" s="122"/>
      <c r="AF88" s="122"/>
      <c r="AG88" s="122"/>
      <c r="AH88" s="125">
        <v>0</v>
      </c>
      <c r="AI88" s="125">
        <v>7.7000000000000002E-3</v>
      </c>
      <c r="AJ88" s="126">
        <v>7.9000000000000001E-4</v>
      </c>
      <c r="AK88" s="159"/>
    </row>
    <row r="89" spans="1:37" x14ac:dyDescent="0.2">
      <c r="A89" s="121" t="s">
        <v>1211</v>
      </c>
      <c r="B89" s="122" t="s">
        <v>1220</v>
      </c>
      <c r="C89" s="122" t="s">
        <v>1585</v>
      </c>
      <c r="D89" s="122" t="s">
        <v>1586</v>
      </c>
      <c r="E89" s="122" t="s">
        <v>429</v>
      </c>
      <c r="F89" s="122" t="s">
        <v>1587</v>
      </c>
      <c r="G89" s="122" t="s">
        <v>1588</v>
      </c>
      <c r="H89" s="122" t="s">
        <v>76</v>
      </c>
      <c r="I89" s="122" t="s">
        <v>228</v>
      </c>
      <c r="J89" s="122" t="s">
        <v>53</v>
      </c>
      <c r="K89" s="122" t="s">
        <v>53</v>
      </c>
      <c r="L89" s="122" t="s">
        <v>805</v>
      </c>
      <c r="M89" s="122" t="s">
        <v>311</v>
      </c>
      <c r="N89" s="122" t="s">
        <v>265</v>
      </c>
      <c r="O89" s="122" t="s">
        <v>62</v>
      </c>
      <c r="P89" s="122" t="s">
        <v>1450</v>
      </c>
      <c r="Q89" s="122" t="s">
        <v>65</v>
      </c>
      <c r="R89" s="122" t="s">
        <v>57</v>
      </c>
      <c r="S89" s="122" t="s">
        <v>1216</v>
      </c>
      <c r="T89" s="123">
        <v>1.81</v>
      </c>
      <c r="U89" s="122" t="s">
        <v>1458</v>
      </c>
      <c r="V89" s="125">
        <v>2.1999999999999999E-2</v>
      </c>
      <c r="W89" s="125">
        <v>4.8329999999999998E-2</v>
      </c>
      <c r="X89" s="122" t="s">
        <v>620</v>
      </c>
      <c r="Y89" s="133"/>
      <c r="Z89" s="123">
        <v>1596.6</v>
      </c>
      <c r="AA89" s="123">
        <v>1</v>
      </c>
      <c r="AB89" s="123">
        <v>96.03</v>
      </c>
      <c r="AC89" s="122"/>
      <c r="AD89" s="123">
        <v>1.5329999999999999</v>
      </c>
      <c r="AE89" s="122"/>
      <c r="AF89" s="122"/>
      <c r="AG89" s="122"/>
      <c r="AH89" s="125">
        <v>0</v>
      </c>
      <c r="AI89" s="125">
        <v>6.7299999999999999E-3</v>
      </c>
      <c r="AJ89" s="126">
        <v>6.8999999999999997E-4</v>
      </c>
      <c r="AK89" s="159"/>
    </row>
    <row r="90" spans="1:37" x14ac:dyDescent="0.2">
      <c r="A90" s="121" t="s">
        <v>1211</v>
      </c>
      <c r="B90" s="122" t="s">
        <v>1220</v>
      </c>
      <c r="C90" s="122" t="s">
        <v>1589</v>
      </c>
      <c r="D90" s="122" t="s">
        <v>1590</v>
      </c>
      <c r="E90" s="122" t="s">
        <v>429</v>
      </c>
      <c r="F90" s="122" t="s">
        <v>1591</v>
      </c>
      <c r="G90" s="122" t="s">
        <v>1592</v>
      </c>
      <c r="H90" s="122" t="s">
        <v>76</v>
      </c>
      <c r="I90" s="122" t="s">
        <v>228</v>
      </c>
      <c r="J90" s="122" t="s">
        <v>53</v>
      </c>
      <c r="K90" s="122" t="s">
        <v>314</v>
      </c>
      <c r="L90" s="122" t="s">
        <v>805</v>
      </c>
      <c r="M90" s="122" t="s">
        <v>311</v>
      </c>
      <c r="N90" s="122" t="s">
        <v>636</v>
      </c>
      <c r="O90" s="122" t="s">
        <v>62</v>
      </c>
      <c r="P90" s="122" t="s">
        <v>1450</v>
      </c>
      <c r="Q90" s="122" t="s">
        <v>65</v>
      </c>
      <c r="R90" s="122" t="s">
        <v>57</v>
      </c>
      <c r="S90" s="122" t="s">
        <v>1216</v>
      </c>
      <c r="T90" s="123">
        <v>0.16</v>
      </c>
      <c r="U90" s="122" t="s">
        <v>1593</v>
      </c>
      <c r="V90" s="125">
        <v>3.95E-2</v>
      </c>
      <c r="W90" s="125">
        <v>5.3809999999999997E-2</v>
      </c>
      <c r="X90" s="122" t="s">
        <v>620</v>
      </c>
      <c r="Y90" s="133"/>
      <c r="Z90" s="123">
        <v>1500</v>
      </c>
      <c r="AA90" s="123">
        <v>1</v>
      </c>
      <c r="AB90" s="123">
        <v>101.1</v>
      </c>
      <c r="AC90" s="122"/>
      <c r="AD90" s="123">
        <v>1.5169999999999999</v>
      </c>
      <c r="AE90" s="122"/>
      <c r="AF90" s="122"/>
      <c r="AG90" s="122"/>
      <c r="AH90" s="125">
        <v>0</v>
      </c>
      <c r="AI90" s="125">
        <v>6.6600000000000001E-3</v>
      </c>
      <c r="AJ90" s="126">
        <v>6.8000000000000005E-4</v>
      </c>
      <c r="AK90" s="159"/>
    </row>
    <row r="91" spans="1:37" x14ac:dyDescent="0.2">
      <c r="A91" s="121" t="s">
        <v>1211</v>
      </c>
      <c r="B91" s="122" t="s">
        <v>1220</v>
      </c>
      <c r="C91" s="122" t="s">
        <v>1472</v>
      </c>
      <c r="D91" s="122" t="s">
        <v>1473</v>
      </c>
      <c r="E91" s="122" t="s">
        <v>429</v>
      </c>
      <c r="F91" s="122" t="s">
        <v>1474</v>
      </c>
      <c r="G91" s="122" t="s">
        <v>1475</v>
      </c>
      <c r="H91" s="122" t="s">
        <v>76</v>
      </c>
      <c r="I91" s="122" t="s">
        <v>228</v>
      </c>
      <c r="J91" s="122" t="s">
        <v>53</v>
      </c>
      <c r="K91" s="122" t="s">
        <v>53</v>
      </c>
      <c r="L91" s="122" t="s">
        <v>805</v>
      </c>
      <c r="M91" s="122" t="s">
        <v>311</v>
      </c>
      <c r="N91" s="122" t="s">
        <v>260</v>
      </c>
      <c r="O91" s="122" t="s">
        <v>62</v>
      </c>
      <c r="P91" s="122" t="s">
        <v>1454</v>
      </c>
      <c r="Q91" s="122" t="s">
        <v>70</v>
      </c>
      <c r="R91" s="122" t="s">
        <v>57</v>
      </c>
      <c r="S91" s="122" t="s">
        <v>1216</v>
      </c>
      <c r="T91" s="123">
        <v>0.17</v>
      </c>
      <c r="U91" s="122" t="s">
        <v>1476</v>
      </c>
      <c r="V91" s="125">
        <v>3.6499999999999998E-2</v>
      </c>
      <c r="W91" s="125">
        <v>4.367E-2</v>
      </c>
      <c r="X91" s="122" t="s">
        <v>620</v>
      </c>
      <c r="Y91" s="133"/>
      <c r="Z91" s="123">
        <v>1435.88</v>
      </c>
      <c r="AA91" s="123">
        <v>1</v>
      </c>
      <c r="AB91" s="123">
        <v>101.1</v>
      </c>
      <c r="AC91" s="122"/>
      <c r="AD91" s="123">
        <v>1.452</v>
      </c>
      <c r="AE91" s="122"/>
      <c r="AF91" s="122"/>
      <c r="AG91" s="122"/>
      <c r="AH91" s="125">
        <v>0</v>
      </c>
      <c r="AI91" s="125">
        <v>6.3699999999999998E-3</v>
      </c>
      <c r="AJ91" s="126">
        <v>6.6E-4</v>
      </c>
      <c r="AK91" s="159"/>
    </row>
    <row r="92" spans="1:37" x14ac:dyDescent="0.2">
      <c r="A92" s="121" t="s">
        <v>1211</v>
      </c>
      <c r="B92" s="122" t="s">
        <v>1220</v>
      </c>
      <c r="C92" s="122" t="s">
        <v>1419</v>
      </c>
      <c r="D92" s="122" t="s">
        <v>1420</v>
      </c>
      <c r="E92" s="122" t="s">
        <v>429</v>
      </c>
      <c r="F92" s="122" t="s">
        <v>1488</v>
      </c>
      <c r="G92" s="122" t="s">
        <v>1489</v>
      </c>
      <c r="H92" s="122" t="s">
        <v>76</v>
      </c>
      <c r="I92" s="122" t="s">
        <v>229</v>
      </c>
      <c r="J92" s="122" t="s">
        <v>53</v>
      </c>
      <c r="K92" s="122" t="s">
        <v>53</v>
      </c>
      <c r="L92" s="122" t="s">
        <v>805</v>
      </c>
      <c r="M92" s="122" t="s">
        <v>311</v>
      </c>
      <c r="N92" s="122" t="s">
        <v>269</v>
      </c>
      <c r="O92" s="122" t="s">
        <v>62</v>
      </c>
      <c r="P92" s="122" t="s">
        <v>1423</v>
      </c>
      <c r="Q92" s="122" t="s">
        <v>70</v>
      </c>
      <c r="R92" s="122" t="s">
        <v>57</v>
      </c>
      <c r="S92" s="122" t="s">
        <v>1216</v>
      </c>
      <c r="T92" s="123">
        <v>3.74</v>
      </c>
      <c r="U92" s="122" t="s">
        <v>1490</v>
      </c>
      <c r="V92" s="125">
        <v>5.1700000000000003E-2</v>
      </c>
      <c r="W92" s="125">
        <v>4.6330000000000003E-2</v>
      </c>
      <c r="X92" s="122" t="s">
        <v>620</v>
      </c>
      <c r="Y92" s="133"/>
      <c r="Z92" s="123">
        <v>1379</v>
      </c>
      <c r="AA92" s="123">
        <v>1</v>
      </c>
      <c r="AB92" s="123">
        <v>103.93</v>
      </c>
      <c r="AC92" s="122"/>
      <c r="AD92" s="123">
        <v>1.4330000000000001</v>
      </c>
      <c r="AE92" s="122"/>
      <c r="AF92" s="122"/>
      <c r="AG92" s="122"/>
      <c r="AH92" s="125">
        <v>0</v>
      </c>
      <c r="AI92" s="125">
        <v>6.2899999999999996E-3</v>
      </c>
      <c r="AJ92" s="126">
        <v>6.4999999999999997E-4</v>
      </c>
      <c r="AK92" s="159"/>
    </row>
    <row r="93" spans="1:37" x14ac:dyDescent="0.2">
      <c r="A93" s="121" t="s">
        <v>1211</v>
      </c>
      <c r="B93" s="122" t="s">
        <v>1220</v>
      </c>
      <c r="C93" s="122" t="s">
        <v>1442</v>
      </c>
      <c r="D93" s="122" t="s">
        <v>1443</v>
      </c>
      <c r="E93" s="122" t="s">
        <v>429</v>
      </c>
      <c r="F93" s="122" t="s">
        <v>1444</v>
      </c>
      <c r="G93" s="122" t="s">
        <v>1445</v>
      </c>
      <c r="H93" s="122" t="s">
        <v>76</v>
      </c>
      <c r="I93" s="122" t="s">
        <v>229</v>
      </c>
      <c r="J93" s="122" t="s">
        <v>53</v>
      </c>
      <c r="K93" s="122" t="s">
        <v>53</v>
      </c>
      <c r="L93" s="122" t="s">
        <v>805</v>
      </c>
      <c r="M93" s="122" t="s">
        <v>311</v>
      </c>
      <c r="N93" s="122" t="s">
        <v>635</v>
      </c>
      <c r="O93" s="122" t="s">
        <v>62</v>
      </c>
      <c r="P93" s="122" t="s">
        <v>1324</v>
      </c>
      <c r="Q93" s="122" t="s">
        <v>65</v>
      </c>
      <c r="R93" s="122" t="s">
        <v>57</v>
      </c>
      <c r="S93" s="122" t="s">
        <v>1216</v>
      </c>
      <c r="T93" s="123">
        <v>1.76</v>
      </c>
      <c r="U93" s="122" t="s">
        <v>1281</v>
      </c>
      <c r="V93" s="125">
        <v>2.3400000000000001E-2</v>
      </c>
      <c r="W93" s="125">
        <v>2.962E-2</v>
      </c>
      <c r="X93" s="122" t="s">
        <v>620</v>
      </c>
      <c r="Y93" s="133"/>
      <c r="Z93" s="123">
        <v>1180.9100000000001</v>
      </c>
      <c r="AA93" s="123">
        <v>1</v>
      </c>
      <c r="AB93" s="123">
        <v>118.73</v>
      </c>
      <c r="AC93" s="122"/>
      <c r="AD93" s="123">
        <v>1.4019999999999999</v>
      </c>
      <c r="AE93" s="122"/>
      <c r="AF93" s="122"/>
      <c r="AG93" s="122"/>
      <c r="AH93" s="125">
        <v>0</v>
      </c>
      <c r="AI93" s="125">
        <v>6.1500000000000001E-3</v>
      </c>
      <c r="AJ93" s="126">
        <v>6.3000000000000003E-4</v>
      </c>
      <c r="AK93" s="159"/>
    </row>
    <row r="94" spans="1:37" x14ac:dyDescent="0.2">
      <c r="A94" s="121" t="s">
        <v>1211</v>
      </c>
      <c r="B94" s="122" t="s">
        <v>1220</v>
      </c>
      <c r="C94" s="122" t="s">
        <v>1398</v>
      </c>
      <c r="D94" s="122" t="s">
        <v>1399</v>
      </c>
      <c r="E94" s="122" t="s">
        <v>429</v>
      </c>
      <c r="F94" s="122" t="s">
        <v>1436</v>
      </c>
      <c r="G94" s="122" t="s">
        <v>1437</v>
      </c>
      <c r="H94" s="122" t="s">
        <v>76</v>
      </c>
      <c r="I94" s="122" t="s">
        <v>229</v>
      </c>
      <c r="J94" s="122" t="s">
        <v>53</v>
      </c>
      <c r="K94" s="122" t="s">
        <v>53</v>
      </c>
      <c r="L94" s="122" t="s">
        <v>805</v>
      </c>
      <c r="M94" s="122" t="s">
        <v>311</v>
      </c>
      <c r="N94" s="122" t="s">
        <v>636</v>
      </c>
      <c r="O94" s="122" t="s">
        <v>62</v>
      </c>
      <c r="P94" s="122" t="s">
        <v>1402</v>
      </c>
      <c r="Q94" s="122" t="s">
        <v>70</v>
      </c>
      <c r="R94" s="122" t="s">
        <v>57</v>
      </c>
      <c r="S94" s="122" t="s">
        <v>1216</v>
      </c>
      <c r="T94" s="123">
        <v>4.7</v>
      </c>
      <c r="U94" s="122" t="s">
        <v>1438</v>
      </c>
      <c r="V94" s="125">
        <v>1.7899999999999999E-2</v>
      </c>
      <c r="W94" s="125">
        <v>5.3999999999999999E-2</v>
      </c>
      <c r="X94" s="122" t="s">
        <v>620</v>
      </c>
      <c r="Y94" s="133"/>
      <c r="Z94" s="123">
        <v>1317.22</v>
      </c>
      <c r="AA94" s="123">
        <v>1</v>
      </c>
      <c r="AB94" s="123">
        <v>100.05</v>
      </c>
      <c r="AC94" s="122"/>
      <c r="AD94" s="123">
        <v>1.3180000000000001</v>
      </c>
      <c r="AE94" s="122"/>
      <c r="AF94" s="122"/>
      <c r="AG94" s="122"/>
      <c r="AH94" s="125">
        <v>0</v>
      </c>
      <c r="AI94" s="125">
        <v>5.79E-3</v>
      </c>
      <c r="AJ94" s="126">
        <v>5.9000000000000003E-4</v>
      </c>
      <c r="AK94" s="159"/>
    </row>
    <row r="95" spans="1:37" x14ac:dyDescent="0.2">
      <c r="A95" s="121" t="s">
        <v>1211</v>
      </c>
      <c r="B95" s="122" t="s">
        <v>1220</v>
      </c>
      <c r="C95" s="122" t="s">
        <v>1575</v>
      </c>
      <c r="D95" s="122" t="s">
        <v>1576</v>
      </c>
      <c r="E95" s="122" t="s">
        <v>429</v>
      </c>
      <c r="F95" s="122" t="s">
        <v>1594</v>
      </c>
      <c r="G95" s="122" t="s">
        <v>1595</v>
      </c>
      <c r="H95" s="122" t="s">
        <v>76</v>
      </c>
      <c r="I95" s="122" t="s">
        <v>229</v>
      </c>
      <c r="J95" s="122" t="s">
        <v>53</v>
      </c>
      <c r="K95" s="122" t="s">
        <v>53</v>
      </c>
      <c r="L95" s="122" t="s">
        <v>805</v>
      </c>
      <c r="M95" s="122" t="s">
        <v>311</v>
      </c>
      <c r="N95" s="122" t="s">
        <v>635</v>
      </c>
      <c r="O95" s="122" t="s">
        <v>62</v>
      </c>
      <c r="P95" s="122" t="s">
        <v>1377</v>
      </c>
      <c r="Q95" s="122" t="s">
        <v>70</v>
      </c>
      <c r="R95" s="122" t="s">
        <v>57</v>
      </c>
      <c r="S95" s="122" t="s">
        <v>1216</v>
      </c>
      <c r="T95" s="123">
        <v>3.54</v>
      </c>
      <c r="U95" s="122" t="s">
        <v>1553</v>
      </c>
      <c r="V95" s="125">
        <v>1.3299999999999999E-2</v>
      </c>
      <c r="W95" s="125">
        <v>2.8760000000000001E-2</v>
      </c>
      <c r="X95" s="122" t="s">
        <v>620</v>
      </c>
      <c r="Y95" s="133"/>
      <c r="Z95" s="123">
        <v>1080</v>
      </c>
      <c r="AA95" s="123">
        <v>1</v>
      </c>
      <c r="AB95" s="123">
        <v>112.31</v>
      </c>
      <c r="AC95" s="122"/>
      <c r="AD95" s="123">
        <v>1.2130000000000001</v>
      </c>
      <c r="AE95" s="122"/>
      <c r="AF95" s="122"/>
      <c r="AG95" s="122"/>
      <c r="AH95" s="125">
        <v>0</v>
      </c>
      <c r="AI95" s="125">
        <v>5.3200000000000001E-3</v>
      </c>
      <c r="AJ95" s="126">
        <v>5.5000000000000003E-4</v>
      </c>
      <c r="AK95" s="159"/>
    </row>
    <row r="96" spans="1:37" x14ac:dyDescent="0.2">
      <c r="A96" s="121" t="s">
        <v>1211</v>
      </c>
      <c r="B96" s="122" t="s">
        <v>1220</v>
      </c>
      <c r="C96" s="122" t="s">
        <v>1398</v>
      </c>
      <c r="D96" s="122" t="s">
        <v>1399</v>
      </c>
      <c r="E96" s="122" t="s">
        <v>429</v>
      </c>
      <c r="F96" s="122" t="s">
        <v>1400</v>
      </c>
      <c r="G96" s="122" t="s">
        <v>1401</v>
      </c>
      <c r="H96" s="122" t="s">
        <v>76</v>
      </c>
      <c r="I96" s="122" t="s">
        <v>229</v>
      </c>
      <c r="J96" s="122" t="s">
        <v>53</v>
      </c>
      <c r="K96" s="122" t="s">
        <v>53</v>
      </c>
      <c r="L96" s="122" t="s">
        <v>805</v>
      </c>
      <c r="M96" s="122" t="s">
        <v>311</v>
      </c>
      <c r="N96" s="122" t="s">
        <v>636</v>
      </c>
      <c r="O96" s="122" t="s">
        <v>62</v>
      </c>
      <c r="P96" s="122" t="s">
        <v>1402</v>
      </c>
      <c r="Q96" s="122" t="s">
        <v>70</v>
      </c>
      <c r="R96" s="122" t="s">
        <v>57</v>
      </c>
      <c r="S96" s="122" t="s">
        <v>1216</v>
      </c>
      <c r="T96" s="123">
        <v>1.21</v>
      </c>
      <c r="U96" s="122" t="s">
        <v>1403</v>
      </c>
      <c r="V96" s="125">
        <v>0.04</v>
      </c>
      <c r="W96" s="125">
        <v>4.7050000000000002E-2</v>
      </c>
      <c r="X96" s="122" t="s">
        <v>620</v>
      </c>
      <c r="Y96" s="133"/>
      <c r="Z96" s="123">
        <v>1010.4</v>
      </c>
      <c r="AA96" s="123">
        <v>1</v>
      </c>
      <c r="AB96" s="123">
        <v>118.67</v>
      </c>
      <c r="AC96" s="122"/>
      <c r="AD96" s="123">
        <v>1.1990000000000001</v>
      </c>
      <c r="AE96" s="122"/>
      <c r="AF96" s="122"/>
      <c r="AG96" s="122"/>
      <c r="AH96" s="125">
        <v>0</v>
      </c>
      <c r="AI96" s="125">
        <v>5.2599999999999999E-3</v>
      </c>
      <c r="AJ96" s="126">
        <v>5.4000000000000001E-4</v>
      </c>
      <c r="AK96" s="159"/>
    </row>
    <row r="97" spans="1:37" x14ac:dyDescent="0.2">
      <c r="A97" s="121" t="s">
        <v>1211</v>
      </c>
      <c r="B97" s="122" t="s">
        <v>1220</v>
      </c>
      <c r="C97" s="122" t="s">
        <v>1596</v>
      </c>
      <c r="D97" s="122" t="s">
        <v>1597</v>
      </c>
      <c r="E97" s="122" t="s">
        <v>429</v>
      </c>
      <c r="F97" s="122" t="s">
        <v>1598</v>
      </c>
      <c r="G97" s="122" t="s">
        <v>1599</v>
      </c>
      <c r="H97" s="122" t="s">
        <v>76</v>
      </c>
      <c r="I97" s="122" t="s">
        <v>228</v>
      </c>
      <c r="J97" s="122" t="s">
        <v>53</v>
      </c>
      <c r="K97" s="122" t="s">
        <v>53</v>
      </c>
      <c r="L97" s="122" t="s">
        <v>805</v>
      </c>
      <c r="M97" s="122" t="s">
        <v>311</v>
      </c>
      <c r="N97" s="122" t="s">
        <v>635</v>
      </c>
      <c r="O97" s="122" t="s">
        <v>62</v>
      </c>
      <c r="P97" s="122" t="s">
        <v>1540</v>
      </c>
      <c r="Q97" s="122" t="s">
        <v>70</v>
      </c>
      <c r="R97" s="122" t="s">
        <v>57</v>
      </c>
      <c r="S97" s="122" t="s">
        <v>1216</v>
      </c>
      <c r="T97" s="123">
        <v>2.5</v>
      </c>
      <c r="U97" s="122" t="s">
        <v>1600</v>
      </c>
      <c r="V97" s="125">
        <v>3.04E-2</v>
      </c>
      <c r="W97" s="125">
        <v>4.7640000000000002E-2</v>
      </c>
      <c r="X97" s="122" t="s">
        <v>620</v>
      </c>
      <c r="Y97" s="133"/>
      <c r="Z97" s="123">
        <v>1177.82</v>
      </c>
      <c r="AA97" s="123">
        <v>1</v>
      </c>
      <c r="AB97" s="123">
        <v>96.71</v>
      </c>
      <c r="AC97" s="122"/>
      <c r="AD97" s="123">
        <v>1.139</v>
      </c>
      <c r="AE97" s="122"/>
      <c r="AF97" s="122"/>
      <c r="AG97" s="122"/>
      <c r="AH97" s="125">
        <v>0</v>
      </c>
      <c r="AI97" s="125">
        <v>5.0000000000000001E-3</v>
      </c>
      <c r="AJ97" s="126">
        <v>5.1000000000000004E-4</v>
      </c>
      <c r="AK97" s="159"/>
    </row>
    <row r="98" spans="1:37" x14ac:dyDescent="0.2">
      <c r="A98" s="121" t="s">
        <v>1211</v>
      </c>
      <c r="B98" s="122" t="s">
        <v>1220</v>
      </c>
      <c r="C98" s="122" t="s">
        <v>1499</v>
      </c>
      <c r="D98" s="122" t="s">
        <v>1500</v>
      </c>
      <c r="E98" s="122" t="s">
        <v>429</v>
      </c>
      <c r="F98" s="122" t="s">
        <v>1501</v>
      </c>
      <c r="G98" s="122" t="s">
        <v>1502</v>
      </c>
      <c r="H98" s="122" t="s">
        <v>76</v>
      </c>
      <c r="I98" s="122" t="s">
        <v>228</v>
      </c>
      <c r="J98" s="122" t="s">
        <v>53</v>
      </c>
      <c r="K98" s="122" t="s">
        <v>53</v>
      </c>
      <c r="L98" s="122" t="s">
        <v>805</v>
      </c>
      <c r="M98" s="122" t="s">
        <v>311</v>
      </c>
      <c r="N98" s="122" t="s">
        <v>692</v>
      </c>
      <c r="O98" s="122" t="s">
        <v>62</v>
      </c>
      <c r="P98" s="122" t="s">
        <v>1450</v>
      </c>
      <c r="Q98" s="122" t="s">
        <v>65</v>
      </c>
      <c r="R98" s="122" t="s">
        <v>57</v>
      </c>
      <c r="S98" s="122" t="s">
        <v>1216</v>
      </c>
      <c r="T98" s="123">
        <v>0.74</v>
      </c>
      <c r="U98" s="122" t="s">
        <v>1503</v>
      </c>
      <c r="V98" s="125">
        <v>0.04</v>
      </c>
      <c r="W98" s="125">
        <v>5.1470000000000002E-2</v>
      </c>
      <c r="X98" s="122" t="s">
        <v>620</v>
      </c>
      <c r="Y98" s="133"/>
      <c r="Z98" s="123">
        <v>785.54</v>
      </c>
      <c r="AA98" s="123">
        <v>1</v>
      </c>
      <c r="AB98" s="123">
        <v>100.23</v>
      </c>
      <c r="AC98" s="122"/>
      <c r="AD98" s="123">
        <v>0.78700000000000003</v>
      </c>
      <c r="AE98" s="122"/>
      <c r="AF98" s="122"/>
      <c r="AG98" s="122"/>
      <c r="AH98" s="125">
        <v>1.0000000000000001E-5</v>
      </c>
      <c r="AI98" s="125">
        <v>3.46E-3</v>
      </c>
      <c r="AJ98" s="126">
        <v>3.6000000000000002E-4</v>
      </c>
      <c r="AK98" s="159"/>
    </row>
    <row r="99" spans="1:37" x14ac:dyDescent="0.2">
      <c r="A99" s="121" t="s">
        <v>1211</v>
      </c>
      <c r="B99" s="122" t="s">
        <v>1220</v>
      </c>
      <c r="C99" s="122" t="s">
        <v>1419</v>
      </c>
      <c r="D99" s="122" t="s">
        <v>1420</v>
      </c>
      <c r="E99" s="122" t="s">
        <v>429</v>
      </c>
      <c r="F99" s="122" t="s">
        <v>1509</v>
      </c>
      <c r="G99" s="122" t="s">
        <v>1510</v>
      </c>
      <c r="H99" s="122" t="s">
        <v>76</v>
      </c>
      <c r="I99" s="122" t="s">
        <v>229</v>
      </c>
      <c r="J99" s="122" t="s">
        <v>53</v>
      </c>
      <c r="K99" s="122" t="s">
        <v>53</v>
      </c>
      <c r="L99" s="122" t="s">
        <v>805</v>
      </c>
      <c r="M99" s="122" t="s">
        <v>311</v>
      </c>
      <c r="N99" s="122" t="s">
        <v>269</v>
      </c>
      <c r="O99" s="122" t="s">
        <v>62</v>
      </c>
      <c r="P99" s="122" t="s">
        <v>1423</v>
      </c>
      <c r="Q99" s="122" t="s">
        <v>70</v>
      </c>
      <c r="R99" s="122" t="s">
        <v>57</v>
      </c>
      <c r="S99" s="122" t="s">
        <v>1216</v>
      </c>
      <c r="T99" s="123">
        <v>4.5999999999999996</v>
      </c>
      <c r="U99" s="122" t="s">
        <v>1511</v>
      </c>
      <c r="V99" s="125">
        <v>5.3999999999999999E-2</v>
      </c>
      <c r="W99" s="125">
        <v>4.7530000000000003E-2</v>
      </c>
      <c r="X99" s="122" t="s">
        <v>620</v>
      </c>
      <c r="Y99" s="133"/>
      <c r="Z99" s="123">
        <v>747</v>
      </c>
      <c r="AA99" s="123">
        <v>1</v>
      </c>
      <c r="AB99" s="123">
        <v>104.57</v>
      </c>
      <c r="AC99" s="122"/>
      <c r="AD99" s="123">
        <v>0.78100000000000003</v>
      </c>
      <c r="AE99" s="122"/>
      <c r="AF99" s="122"/>
      <c r="AG99" s="122"/>
      <c r="AH99" s="125">
        <v>0</v>
      </c>
      <c r="AI99" s="125">
        <v>3.4299999999999999E-3</v>
      </c>
      <c r="AJ99" s="126">
        <v>3.5E-4</v>
      </c>
      <c r="AK99" s="159"/>
    </row>
    <row r="100" spans="1:37" x14ac:dyDescent="0.2">
      <c r="A100" s="121" t="s">
        <v>1211</v>
      </c>
      <c r="B100" s="122" t="s">
        <v>1220</v>
      </c>
      <c r="C100" s="122" t="s">
        <v>1462</v>
      </c>
      <c r="D100" s="122" t="s">
        <v>1463</v>
      </c>
      <c r="E100" s="122" t="s">
        <v>429</v>
      </c>
      <c r="F100" s="122" t="s">
        <v>1464</v>
      </c>
      <c r="G100" s="122" t="s">
        <v>1465</v>
      </c>
      <c r="H100" s="122" t="s">
        <v>76</v>
      </c>
      <c r="I100" s="122" t="s">
        <v>229</v>
      </c>
      <c r="J100" s="122" t="s">
        <v>53</v>
      </c>
      <c r="K100" s="122" t="s">
        <v>53</v>
      </c>
      <c r="L100" s="122" t="s">
        <v>805</v>
      </c>
      <c r="M100" s="122" t="s">
        <v>311</v>
      </c>
      <c r="N100" s="122" t="s">
        <v>156</v>
      </c>
      <c r="O100" s="122" t="s">
        <v>62</v>
      </c>
      <c r="P100" s="122" t="s">
        <v>1369</v>
      </c>
      <c r="Q100" s="122" t="s">
        <v>65</v>
      </c>
      <c r="R100" s="122" t="s">
        <v>57</v>
      </c>
      <c r="S100" s="122" t="s">
        <v>1216</v>
      </c>
      <c r="T100" s="123">
        <v>1.62</v>
      </c>
      <c r="U100" s="122" t="s">
        <v>1466</v>
      </c>
      <c r="V100" s="125">
        <v>1.9400000000000001E-2</v>
      </c>
      <c r="W100" s="125">
        <v>2.6239999999999999E-2</v>
      </c>
      <c r="X100" s="122" t="s">
        <v>620</v>
      </c>
      <c r="Y100" s="133"/>
      <c r="Z100" s="123">
        <v>615.13</v>
      </c>
      <c r="AA100" s="123">
        <v>1</v>
      </c>
      <c r="AB100" s="123">
        <v>119.07</v>
      </c>
      <c r="AC100" s="122"/>
      <c r="AD100" s="123">
        <v>0.73199999999999998</v>
      </c>
      <c r="AE100" s="122"/>
      <c r="AF100" s="122"/>
      <c r="AG100" s="122"/>
      <c r="AH100" s="125">
        <v>0</v>
      </c>
      <c r="AI100" s="125">
        <v>3.2200000000000002E-3</v>
      </c>
      <c r="AJ100" s="126">
        <v>3.3E-4</v>
      </c>
      <c r="AK100" s="159"/>
    </row>
    <row r="101" spans="1:37" x14ac:dyDescent="0.2">
      <c r="A101" s="121" t="s">
        <v>1211</v>
      </c>
      <c r="B101" s="122" t="s">
        <v>1220</v>
      </c>
      <c r="C101" s="122" t="s">
        <v>1398</v>
      </c>
      <c r="D101" s="122" t="s">
        <v>1399</v>
      </c>
      <c r="E101" s="122" t="s">
        <v>429</v>
      </c>
      <c r="F101" s="122" t="s">
        <v>1456</v>
      </c>
      <c r="G101" s="122" t="s">
        <v>1457</v>
      </c>
      <c r="H101" s="122" t="s">
        <v>76</v>
      </c>
      <c r="I101" s="122" t="s">
        <v>229</v>
      </c>
      <c r="J101" s="122" t="s">
        <v>53</v>
      </c>
      <c r="K101" s="122" t="s">
        <v>53</v>
      </c>
      <c r="L101" s="122" t="s">
        <v>805</v>
      </c>
      <c r="M101" s="122" t="s">
        <v>311</v>
      </c>
      <c r="N101" s="122" t="s">
        <v>636</v>
      </c>
      <c r="O101" s="122" t="s">
        <v>62</v>
      </c>
      <c r="P101" s="122" t="s">
        <v>1402</v>
      </c>
      <c r="Q101" s="122" t="s">
        <v>70</v>
      </c>
      <c r="R101" s="122" t="s">
        <v>57</v>
      </c>
      <c r="S101" s="122" t="s">
        <v>1216</v>
      </c>
      <c r="T101" s="123">
        <v>2.2400000000000002</v>
      </c>
      <c r="U101" s="122" t="s">
        <v>1458</v>
      </c>
      <c r="V101" s="125">
        <v>3.2800000000000003E-2</v>
      </c>
      <c r="W101" s="125">
        <v>4.6240000000000003E-2</v>
      </c>
      <c r="X101" s="122" t="s">
        <v>620</v>
      </c>
      <c r="Y101" s="133"/>
      <c r="Z101" s="123">
        <v>617</v>
      </c>
      <c r="AA101" s="123">
        <v>1</v>
      </c>
      <c r="AB101" s="123">
        <v>117.77</v>
      </c>
      <c r="AC101" s="122"/>
      <c r="AD101" s="123">
        <v>0.72699999999999998</v>
      </c>
      <c r="AE101" s="122"/>
      <c r="AF101" s="122"/>
      <c r="AG101" s="122"/>
      <c r="AH101" s="125">
        <v>0</v>
      </c>
      <c r="AI101" s="125">
        <v>3.1900000000000001E-3</v>
      </c>
      <c r="AJ101" s="126">
        <v>3.3E-4</v>
      </c>
      <c r="AK101" s="159"/>
    </row>
    <row r="102" spans="1:37" x14ac:dyDescent="0.2">
      <c r="A102" s="121" t="s">
        <v>1211</v>
      </c>
      <c r="B102" s="122" t="s">
        <v>1220</v>
      </c>
      <c r="C102" s="122" t="s">
        <v>1601</v>
      </c>
      <c r="D102" s="122" t="s">
        <v>1602</v>
      </c>
      <c r="E102" s="122" t="s">
        <v>429</v>
      </c>
      <c r="F102" s="122" t="s">
        <v>1603</v>
      </c>
      <c r="G102" s="122" t="s">
        <v>1604</v>
      </c>
      <c r="H102" s="122" t="s">
        <v>76</v>
      </c>
      <c r="I102" s="122" t="s">
        <v>229</v>
      </c>
      <c r="J102" s="122" t="s">
        <v>53</v>
      </c>
      <c r="K102" s="122" t="s">
        <v>53</v>
      </c>
      <c r="L102" s="122" t="s">
        <v>805</v>
      </c>
      <c r="M102" s="122" t="s">
        <v>311</v>
      </c>
      <c r="N102" s="122" t="s">
        <v>633</v>
      </c>
      <c r="O102" s="122" t="s">
        <v>62</v>
      </c>
      <c r="P102" s="122" t="s">
        <v>1423</v>
      </c>
      <c r="Q102" s="122" t="s">
        <v>70</v>
      </c>
      <c r="R102" s="122" t="s">
        <v>57</v>
      </c>
      <c r="S102" s="122" t="s">
        <v>1216</v>
      </c>
      <c r="T102" s="123">
        <v>0.25</v>
      </c>
      <c r="U102" s="122" t="s">
        <v>1605</v>
      </c>
      <c r="V102" s="125">
        <v>1.8499999999999999E-2</v>
      </c>
      <c r="W102" s="125">
        <v>5.8279999999999998E-2</v>
      </c>
      <c r="X102" s="122" t="s">
        <v>620</v>
      </c>
      <c r="Y102" s="133"/>
      <c r="Z102" s="123">
        <v>595.52</v>
      </c>
      <c r="AA102" s="123">
        <v>1</v>
      </c>
      <c r="AB102" s="123">
        <v>118.05</v>
      </c>
      <c r="AC102" s="122"/>
      <c r="AD102" s="123">
        <v>0.70299999999999996</v>
      </c>
      <c r="AE102" s="122"/>
      <c r="AF102" s="122"/>
      <c r="AG102" s="122"/>
      <c r="AH102" s="125">
        <v>0</v>
      </c>
      <c r="AI102" s="125">
        <v>3.0899999999999999E-3</v>
      </c>
      <c r="AJ102" s="126">
        <v>3.2000000000000003E-4</v>
      </c>
      <c r="AK102" s="159"/>
    </row>
    <row r="103" spans="1:37" x14ac:dyDescent="0.2">
      <c r="A103" s="121" t="s">
        <v>1211</v>
      </c>
      <c r="B103" s="122" t="s">
        <v>1220</v>
      </c>
      <c r="C103" s="122" t="s">
        <v>1606</v>
      </c>
      <c r="D103" s="122" t="s">
        <v>1607</v>
      </c>
      <c r="E103" s="122" t="s">
        <v>429</v>
      </c>
      <c r="F103" s="122" t="s">
        <v>1608</v>
      </c>
      <c r="G103" s="122" t="s">
        <v>1609</v>
      </c>
      <c r="H103" s="122" t="s">
        <v>76</v>
      </c>
      <c r="I103" s="122" t="s">
        <v>228</v>
      </c>
      <c r="J103" s="122" t="s">
        <v>53</v>
      </c>
      <c r="K103" s="122" t="s">
        <v>53</v>
      </c>
      <c r="L103" s="122" t="s">
        <v>805</v>
      </c>
      <c r="M103" s="122" t="s">
        <v>311</v>
      </c>
      <c r="N103" s="122" t="s">
        <v>635</v>
      </c>
      <c r="O103" s="122" t="s">
        <v>62</v>
      </c>
      <c r="P103" s="122" t="s">
        <v>1610</v>
      </c>
      <c r="Q103" s="122" t="s">
        <v>65</v>
      </c>
      <c r="R103" s="122" t="s">
        <v>57</v>
      </c>
      <c r="S103" s="122" t="s">
        <v>1216</v>
      </c>
      <c r="T103" s="123">
        <v>0.73</v>
      </c>
      <c r="U103" s="122" t="s">
        <v>1611</v>
      </c>
      <c r="V103" s="125">
        <v>4.8000000000000001E-2</v>
      </c>
      <c r="W103" s="125">
        <v>5.4850000000000003E-2</v>
      </c>
      <c r="X103" s="122" t="s">
        <v>620</v>
      </c>
      <c r="Y103" s="133"/>
      <c r="Z103" s="123">
        <v>667.2</v>
      </c>
      <c r="AA103" s="123">
        <v>1</v>
      </c>
      <c r="AB103" s="123">
        <v>100.77</v>
      </c>
      <c r="AC103" s="122"/>
      <c r="AD103" s="123">
        <v>0.67200000000000004</v>
      </c>
      <c r="AE103" s="122"/>
      <c r="AF103" s="122"/>
      <c r="AG103" s="122"/>
      <c r="AH103" s="125">
        <v>0</v>
      </c>
      <c r="AI103" s="125">
        <v>2.9499999999999999E-3</v>
      </c>
      <c r="AJ103" s="126">
        <v>2.9999999999999997E-4</v>
      </c>
      <c r="AK103" s="159"/>
    </row>
    <row r="104" spans="1:37" x14ac:dyDescent="0.2">
      <c r="A104" s="121" t="s">
        <v>1211</v>
      </c>
      <c r="B104" s="122" t="s">
        <v>1220</v>
      </c>
      <c r="C104" s="122" t="s">
        <v>1520</v>
      </c>
      <c r="D104" s="122" t="s">
        <v>1521</v>
      </c>
      <c r="E104" s="122" t="s">
        <v>429</v>
      </c>
      <c r="F104" s="122" t="s">
        <v>1522</v>
      </c>
      <c r="G104" s="122" t="s">
        <v>1523</v>
      </c>
      <c r="H104" s="122" t="s">
        <v>76</v>
      </c>
      <c r="I104" s="122" t="s">
        <v>228</v>
      </c>
      <c r="J104" s="122" t="s">
        <v>53</v>
      </c>
      <c r="K104" s="122" t="s">
        <v>53</v>
      </c>
      <c r="L104" s="122" t="s">
        <v>805</v>
      </c>
      <c r="M104" s="122" t="s">
        <v>311</v>
      </c>
      <c r="N104" s="122" t="s">
        <v>269</v>
      </c>
      <c r="O104" s="122" t="s">
        <v>62</v>
      </c>
      <c r="P104" s="122" t="s">
        <v>1454</v>
      </c>
      <c r="Q104" s="122" t="s">
        <v>70</v>
      </c>
      <c r="R104" s="122" t="s">
        <v>57</v>
      </c>
      <c r="S104" s="122" t="s">
        <v>1216</v>
      </c>
      <c r="T104" s="123">
        <v>1</v>
      </c>
      <c r="U104" s="122" t="s">
        <v>1524</v>
      </c>
      <c r="V104" s="125">
        <v>2.9399999999999999E-2</v>
      </c>
      <c r="W104" s="125">
        <v>4.4350000000000001E-2</v>
      </c>
      <c r="X104" s="122" t="s">
        <v>620</v>
      </c>
      <c r="Y104" s="133"/>
      <c r="Z104" s="123">
        <v>528.48</v>
      </c>
      <c r="AA104" s="123">
        <v>1</v>
      </c>
      <c r="AB104" s="123">
        <v>98.58</v>
      </c>
      <c r="AC104" s="122"/>
      <c r="AD104" s="123">
        <v>0.52100000000000002</v>
      </c>
      <c r="AE104" s="122"/>
      <c r="AF104" s="122"/>
      <c r="AG104" s="122"/>
      <c r="AH104" s="125">
        <v>1.0000000000000001E-5</v>
      </c>
      <c r="AI104" s="125">
        <v>2.2899999999999999E-3</v>
      </c>
      <c r="AJ104" s="126">
        <v>2.4000000000000001E-4</v>
      </c>
      <c r="AK104" s="159"/>
    </row>
    <row r="105" spans="1:37" x14ac:dyDescent="0.2">
      <c r="A105" s="121" t="s">
        <v>1211</v>
      </c>
      <c r="B105" s="122" t="s">
        <v>1220</v>
      </c>
      <c r="C105" s="122" t="s">
        <v>1612</v>
      </c>
      <c r="D105" s="122" t="s">
        <v>1613</v>
      </c>
      <c r="E105" s="122" t="s">
        <v>429</v>
      </c>
      <c r="F105" s="122" t="s">
        <v>1614</v>
      </c>
      <c r="G105" s="122" t="s">
        <v>1615</v>
      </c>
      <c r="H105" s="122" t="s">
        <v>76</v>
      </c>
      <c r="I105" s="122" t="s">
        <v>229</v>
      </c>
      <c r="J105" s="122" t="s">
        <v>53</v>
      </c>
      <c r="K105" s="122" t="s">
        <v>53</v>
      </c>
      <c r="L105" s="122" t="s">
        <v>805</v>
      </c>
      <c r="M105" s="122" t="s">
        <v>311</v>
      </c>
      <c r="N105" s="122" t="s">
        <v>635</v>
      </c>
      <c r="O105" s="122" t="s">
        <v>62</v>
      </c>
      <c r="P105" s="122" t="s">
        <v>1450</v>
      </c>
      <c r="Q105" s="122" t="s">
        <v>65</v>
      </c>
      <c r="R105" s="122" t="s">
        <v>57</v>
      </c>
      <c r="S105" s="122" t="s">
        <v>1216</v>
      </c>
      <c r="T105" s="123">
        <v>1.39</v>
      </c>
      <c r="U105" s="122" t="s">
        <v>1616</v>
      </c>
      <c r="V105" s="125">
        <v>2.0500000000000001E-2</v>
      </c>
      <c r="W105" s="125">
        <v>2.9909999999999999E-2</v>
      </c>
      <c r="X105" s="122" t="s">
        <v>620</v>
      </c>
      <c r="Y105" s="133"/>
      <c r="Z105" s="123">
        <v>0.34</v>
      </c>
      <c r="AA105" s="123">
        <v>1</v>
      </c>
      <c r="AB105" s="123">
        <v>118.88</v>
      </c>
      <c r="AC105" s="122"/>
      <c r="AD105" s="123">
        <v>0</v>
      </c>
      <c r="AE105" s="122"/>
      <c r="AF105" s="122"/>
      <c r="AG105" s="122"/>
      <c r="AH105" s="125">
        <v>0</v>
      </c>
      <c r="AI105" s="125">
        <v>0</v>
      </c>
      <c r="AJ105" s="126">
        <v>0</v>
      </c>
      <c r="AK105" s="159"/>
    </row>
    <row r="106" spans="1:37" x14ac:dyDescent="0.2">
      <c r="A106" s="121" t="s">
        <v>1211</v>
      </c>
      <c r="B106" s="122" t="s">
        <v>1211</v>
      </c>
      <c r="C106" s="122" t="s">
        <v>1348</v>
      </c>
      <c r="D106" s="122" t="s">
        <v>1349</v>
      </c>
      <c r="E106" s="122" t="s">
        <v>429</v>
      </c>
      <c r="F106" s="122" t="s">
        <v>1382</v>
      </c>
      <c r="G106" s="122" t="s">
        <v>1383</v>
      </c>
      <c r="H106" s="122" t="s">
        <v>76</v>
      </c>
      <c r="I106" s="122" t="s">
        <v>229</v>
      </c>
      <c r="J106" s="122" t="s">
        <v>53</v>
      </c>
      <c r="K106" s="122" t="s">
        <v>53</v>
      </c>
      <c r="L106" s="122" t="s">
        <v>805</v>
      </c>
      <c r="M106" s="122" t="s">
        <v>311</v>
      </c>
      <c r="N106" s="122" t="s">
        <v>256</v>
      </c>
      <c r="O106" s="122" t="s">
        <v>62</v>
      </c>
      <c r="P106" s="122" t="s">
        <v>1330</v>
      </c>
      <c r="Q106" s="122" t="s">
        <v>65</v>
      </c>
      <c r="R106" s="122" t="s">
        <v>57</v>
      </c>
      <c r="S106" s="122" t="s">
        <v>1216</v>
      </c>
      <c r="T106" s="123">
        <v>4.1399999999999997</v>
      </c>
      <c r="U106" s="122" t="s">
        <v>1384</v>
      </c>
      <c r="V106" s="125">
        <v>2.0199999999999999E-2</v>
      </c>
      <c r="W106" s="125">
        <v>2.5350000000000001E-2</v>
      </c>
      <c r="X106" s="122" t="s">
        <v>620</v>
      </c>
      <c r="Y106" s="133"/>
      <c r="Z106" s="123">
        <v>4870000</v>
      </c>
      <c r="AA106" s="123">
        <v>1</v>
      </c>
      <c r="AB106" s="123">
        <v>105.02</v>
      </c>
      <c r="AC106" s="122"/>
      <c r="AD106" s="123">
        <v>5114.4740000000002</v>
      </c>
      <c r="AE106" s="122"/>
      <c r="AF106" s="122"/>
      <c r="AG106" s="122"/>
      <c r="AH106" s="125">
        <v>1.3600000000000001E-3</v>
      </c>
      <c r="AI106" s="125">
        <v>3.0720000000000001E-2</v>
      </c>
      <c r="AJ106" s="126">
        <v>4.3600000000000002E-3</v>
      </c>
      <c r="AK106" s="159"/>
    </row>
    <row r="107" spans="1:37" x14ac:dyDescent="0.2">
      <c r="A107" s="121" t="s">
        <v>1211</v>
      </c>
      <c r="B107" s="122" t="s">
        <v>1211</v>
      </c>
      <c r="C107" s="122" t="s">
        <v>1617</v>
      </c>
      <c r="D107" s="122" t="s">
        <v>1618</v>
      </c>
      <c r="E107" s="122" t="s">
        <v>429</v>
      </c>
      <c r="F107" s="122" t="s">
        <v>1619</v>
      </c>
      <c r="G107" s="122" t="s">
        <v>1620</v>
      </c>
      <c r="H107" s="122" t="s">
        <v>76</v>
      </c>
      <c r="I107" s="122" t="s">
        <v>229</v>
      </c>
      <c r="J107" s="122" t="s">
        <v>53</v>
      </c>
      <c r="K107" s="122" t="s">
        <v>53</v>
      </c>
      <c r="L107" s="122" t="s">
        <v>805</v>
      </c>
      <c r="M107" s="122" t="s">
        <v>311</v>
      </c>
      <c r="N107" s="122" t="s">
        <v>256</v>
      </c>
      <c r="O107" s="122" t="s">
        <v>62</v>
      </c>
      <c r="P107" s="122" t="s">
        <v>1330</v>
      </c>
      <c r="Q107" s="122" t="s">
        <v>65</v>
      </c>
      <c r="R107" s="122" t="s">
        <v>57</v>
      </c>
      <c r="S107" s="122" t="s">
        <v>1216</v>
      </c>
      <c r="T107" s="123">
        <v>4.6500000000000004</v>
      </c>
      <c r="U107" s="122" t="s">
        <v>1621</v>
      </c>
      <c r="V107" s="125">
        <v>2.1090000000000001E-2</v>
      </c>
      <c r="W107" s="125">
        <v>2.5829999999999999E-2</v>
      </c>
      <c r="X107" s="122" t="s">
        <v>620</v>
      </c>
      <c r="Y107" s="133"/>
      <c r="Z107" s="123">
        <v>4459000</v>
      </c>
      <c r="AA107" s="123">
        <v>1</v>
      </c>
      <c r="AB107" s="123">
        <v>105.47</v>
      </c>
      <c r="AC107" s="122"/>
      <c r="AD107" s="123">
        <v>4702.9070000000002</v>
      </c>
      <c r="AE107" s="122"/>
      <c r="AF107" s="122"/>
      <c r="AG107" s="122"/>
      <c r="AH107" s="125">
        <v>1.7099999999999999E-3</v>
      </c>
      <c r="AI107" s="125">
        <v>2.8240000000000001E-2</v>
      </c>
      <c r="AJ107" s="126">
        <v>4.0099999999999997E-3</v>
      </c>
      <c r="AK107" s="159"/>
    </row>
    <row r="108" spans="1:37" x14ac:dyDescent="0.2">
      <c r="A108" s="121" t="s">
        <v>1211</v>
      </c>
      <c r="B108" s="122" t="s">
        <v>1211</v>
      </c>
      <c r="C108" s="122" t="s">
        <v>1320</v>
      </c>
      <c r="D108" s="122" t="s">
        <v>1321</v>
      </c>
      <c r="E108" s="122" t="s">
        <v>429</v>
      </c>
      <c r="F108" s="122" t="s">
        <v>1322</v>
      </c>
      <c r="G108" s="122" t="s">
        <v>1323</v>
      </c>
      <c r="H108" s="122" t="s">
        <v>76</v>
      </c>
      <c r="I108" s="122" t="s">
        <v>228</v>
      </c>
      <c r="J108" s="122" t="s">
        <v>53</v>
      </c>
      <c r="K108" s="122" t="s">
        <v>53</v>
      </c>
      <c r="L108" s="122" t="s">
        <v>805</v>
      </c>
      <c r="M108" s="122" t="s">
        <v>311</v>
      </c>
      <c r="N108" s="122" t="s">
        <v>269</v>
      </c>
      <c r="O108" s="122" t="s">
        <v>62</v>
      </c>
      <c r="P108" s="122" t="s">
        <v>1324</v>
      </c>
      <c r="Q108" s="122" t="s">
        <v>65</v>
      </c>
      <c r="R108" s="122" t="s">
        <v>57</v>
      </c>
      <c r="S108" s="122" t="s">
        <v>1216</v>
      </c>
      <c r="T108" s="123">
        <v>5.2</v>
      </c>
      <c r="U108" s="122" t="s">
        <v>1325</v>
      </c>
      <c r="V108" s="125">
        <v>5.1499999999999997E-2</v>
      </c>
      <c r="W108" s="125">
        <v>4.6640000000000001E-2</v>
      </c>
      <c r="X108" s="122" t="s">
        <v>620</v>
      </c>
      <c r="Y108" s="133"/>
      <c r="Z108" s="123">
        <v>4400000</v>
      </c>
      <c r="AA108" s="123">
        <v>1</v>
      </c>
      <c r="AB108" s="123">
        <v>105.19</v>
      </c>
      <c r="AC108" s="122"/>
      <c r="AD108" s="123">
        <v>4628.3599999999997</v>
      </c>
      <c r="AE108" s="122"/>
      <c r="AF108" s="122"/>
      <c r="AG108" s="122"/>
      <c r="AH108" s="125">
        <v>4.4099999999999999E-3</v>
      </c>
      <c r="AI108" s="125">
        <v>2.7799999999999998E-2</v>
      </c>
      <c r="AJ108" s="126">
        <v>3.9500000000000004E-3</v>
      </c>
      <c r="AK108" s="159"/>
    </row>
    <row r="109" spans="1:37" x14ac:dyDescent="0.2">
      <c r="A109" s="121" t="s">
        <v>1211</v>
      </c>
      <c r="B109" s="122" t="s">
        <v>1211</v>
      </c>
      <c r="C109" s="122" t="s">
        <v>1348</v>
      </c>
      <c r="D109" s="122" t="s">
        <v>1349</v>
      </c>
      <c r="E109" s="122" t="s">
        <v>429</v>
      </c>
      <c r="F109" s="122" t="s">
        <v>1350</v>
      </c>
      <c r="G109" s="122" t="s">
        <v>1351</v>
      </c>
      <c r="H109" s="122" t="s">
        <v>76</v>
      </c>
      <c r="I109" s="122" t="s">
        <v>229</v>
      </c>
      <c r="J109" s="122" t="s">
        <v>53</v>
      </c>
      <c r="K109" s="122" t="s">
        <v>53</v>
      </c>
      <c r="L109" s="122" t="s">
        <v>805</v>
      </c>
      <c r="M109" s="122" t="s">
        <v>311</v>
      </c>
      <c r="N109" s="122" t="s">
        <v>256</v>
      </c>
      <c r="O109" s="122" t="s">
        <v>62</v>
      </c>
      <c r="P109" s="122" t="s">
        <v>1215</v>
      </c>
      <c r="Q109" s="122" t="s">
        <v>70</v>
      </c>
      <c r="R109" s="122" t="s">
        <v>57</v>
      </c>
      <c r="S109" s="122" t="s">
        <v>1216</v>
      </c>
      <c r="T109" s="123">
        <v>4.1399999999999997</v>
      </c>
      <c r="U109" s="122" t="s">
        <v>1352</v>
      </c>
      <c r="V109" s="125">
        <v>1E-3</v>
      </c>
      <c r="W109" s="125">
        <v>2.5270000000000001E-2</v>
      </c>
      <c r="X109" s="122" t="s">
        <v>620</v>
      </c>
      <c r="Y109" s="133"/>
      <c r="Z109" s="123">
        <v>4184746</v>
      </c>
      <c r="AA109" s="123">
        <v>1</v>
      </c>
      <c r="AB109" s="123">
        <v>104.89</v>
      </c>
      <c r="AC109" s="122"/>
      <c r="AD109" s="123">
        <v>4389.38</v>
      </c>
      <c r="AE109" s="122"/>
      <c r="AF109" s="122"/>
      <c r="AG109" s="122"/>
      <c r="AH109" s="125">
        <v>9.7999999999999997E-4</v>
      </c>
      <c r="AI109" s="125">
        <v>2.6360000000000001E-2</v>
      </c>
      <c r="AJ109" s="126">
        <v>3.7399999999999998E-3</v>
      </c>
      <c r="AK109" s="159"/>
    </row>
    <row r="110" spans="1:37" x14ac:dyDescent="0.2">
      <c r="A110" s="121" t="s">
        <v>1211</v>
      </c>
      <c r="B110" s="122" t="s">
        <v>1211</v>
      </c>
      <c r="C110" s="122" t="s">
        <v>1332</v>
      </c>
      <c r="D110" s="122" t="s">
        <v>1333</v>
      </c>
      <c r="E110" s="122" t="s">
        <v>430</v>
      </c>
      <c r="F110" s="122" t="s">
        <v>1334</v>
      </c>
      <c r="G110" s="122" t="s">
        <v>1335</v>
      </c>
      <c r="H110" s="122" t="s">
        <v>76</v>
      </c>
      <c r="I110" s="122" t="s">
        <v>229</v>
      </c>
      <c r="J110" s="122" t="s">
        <v>53</v>
      </c>
      <c r="K110" s="122" t="s">
        <v>53</v>
      </c>
      <c r="L110" s="122" t="s">
        <v>805</v>
      </c>
      <c r="M110" s="122" t="s">
        <v>311</v>
      </c>
      <c r="N110" s="122" t="s">
        <v>156</v>
      </c>
      <c r="O110" s="122" t="s">
        <v>62</v>
      </c>
      <c r="P110" s="122" t="s">
        <v>1215</v>
      </c>
      <c r="Q110" s="122" t="s">
        <v>70</v>
      </c>
      <c r="R110" s="122" t="s">
        <v>57</v>
      </c>
      <c r="S110" s="122" t="s">
        <v>1216</v>
      </c>
      <c r="T110" s="123">
        <v>9.81</v>
      </c>
      <c r="U110" s="122" t="s">
        <v>1336</v>
      </c>
      <c r="V110" s="125">
        <v>3.2000000000000001E-2</v>
      </c>
      <c r="W110" s="125">
        <v>2.8129999999999999E-2</v>
      </c>
      <c r="X110" s="122" t="s">
        <v>620</v>
      </c>
      <c r="Y110" s="133"/>
      <c r="Z110" s="123">
        <v>3855389</v>
      </c>
      <c r="AA110" s="123">
        <v>1</v>
      </c>
      <c r="AB110" s="123">
        <v>112.97</v>
      </c>
      <c r="AC110" s="122"/>
      <c r="AD110" s="123">
        <v>4355.433</v>
      </c>
      <c r="AE110" s="122"/>
      <c r="AF110" s="122"/>
      <c r="AG110" s="122"/>
      <c r="AH110" s="125">
        <v>7.7999999999999999E-4</v>
      </c>
      <c r="AI110" s="125">
        <v>2.6159999999999999E-2</v>
      </c>
      <c r="AJ110" s="126">
        <v>3.7100000000000002E-3</v>
      </c>
      <c r="AK110" s="159"/>
    </row>
    <row r="111" spans="1:37" x14ac:dyDescent="0.2">
      <c r="A111" s="121" t="s">
        <v>1211</v>
      </c>
      <c r="B111" s="122" t="s">
        <v>1211</v>
      </c>
      <c r="C111" s="122" t="s">
        <v>1332</v>
      </c>
      <c r="D111" s="122" t="s">
        <v>1333</v>
      </c>
      <c r="E111" s="122" t="s">
        <v>430</v>
      </c>
      <c r="F111" s="122" t="s">
        <v>1337</v>
      </c>
      <c r="G111" s="122" t="s">
        <v>1338</v>
      </c>
      <c r="H111" s="122" t="s">
        <v>76</v>
      </c>
      <c r="I111" s="122" t="s">
        <v>229</v>
      </c>
      <c r="J111" s="122" t="s">
        <v>53</v>
      </c>
      <c r="K111" s="122" t="s">
        <v>53</v>
      </c>
      <c r="L111" s="122" t="s">
        <v>805</v>
      </c>
      <c r="M111" s="122" t="s">
        <v>311</v>
      </c>
      <c r="N111" s="122" t="s">
        <v>156</v>
      </c>
      <c r="O111" s="122" t="s">
        <v>62</v>
      </c>
      <c r="P111" s="122" t="s">
        <v>1215</v>
      </c>
      <c r="Q111" s="122" t="s">
        <v>70</v>
      </c>
      <c r="R111" s="122" t="s">
        <v>57</v>
      </c>
      <c r="S111" s="122" t="s">
        <v>1216</v>
      </c>
      <c r="T111" s="123">
        <v>6.89</v>
      </c>
      <c r="U111" s="122" t="s">
        <v>1339</v>
      </c>
      <c r="V111" s="125">
        <v>0.03</v>
      </c>
      <c r="W111" s="125">
        <v>2.6270000000000002E-2</v>
      </c>
      <c r="X111" s="122" t="s">
        <v>620</v>
      </c>
      <c r="Y111" s="133"/>
      <c r="Z111" s="123">
        <v>3828000</v>
      </c>
      <c r="AA111" s="123">
        <v>1</v>
      </c>
      <c r="AB111" s="123">
        <v>111.48</v>
      </c>
      <c r="AC111" s="122"/>
      <c r="AD111" s="123">
        <v>4267.4539999999997</v>
      </c>
      <c r="AE111" s="122"/>
      <c r="AF111" s="122"/>
      <c r="AG111" s="122"/>
      <c r="AH111" s="125">
        <v>9.3999999999999997E-4</v>
      </c>
      <c r="AI111" s="125">
        <v>2.563E-2</v>
      </c>
      <c r="AJ111" s="126">
        <v>3.64E-3</v>
      </c>
      <c r="AK111" s="159"/>
    </row>
    <row r="112" spans="1:37" x14ac:dyDescent="0.2">
      <c r="A112" s="121" t="s">
        <v>1211</v>
      </c>
      <c r="B112" s="122" t="s">
        <v>1211</v>
      </c>
      <c r="C112" s="122" t="s">
        <v>1340</v>
      </c>
      <c r="D112" s="122" t="s">
        <v>1341</v>
      </c>
      <c r="E112" s="122" t="s">
        <v>429</v>
      </c>
      <c r="F112" s="122" t="s">
        <v>1342</v>
      </c>
      <c r="G112" s="122" t="s">
        <v>1343</v>
      </c>
      <c r="H112" s="122" t="s">
        <v>76</v>
      </c>
      <c r="I112" s="122" t="s">
        <v>229</v>
      </c>
      <c r="J112" s="122" t="s">
        <v>53</v>
      </c>
      <c r="K112" s="122" t="s">
        <v>53</v>
      </c>
      <c r="L112" s="122" t="s">
        <v>805</v>
      </c>
      <c r="M112" s="122" t="s">
        <v>311</v>
      </c>
      <c r="N112" s="122" t="s">
        <v>256</v>
      </c>
      <c r="O112" s="122" t="s">
        <v>62</v>
      </c>
      <c r="P112" s="122" t="s">
        <v>1330</v>
      </c>
      <c r="Q112" s="122" t="s">
        <v>65</v>
      </c>
      <c r="R112" s="122" t="s">
        <v>57</v>
      </c>
      <c r="S112" s="122" t="s">
        <v>1216</v>
      </c>
      <c r="T112" s="123">
        <v>4.7300000000000004</v>
      </c>
      <c r="U112" s="122" t="s">
        <v>1344</v>
      </c>
      <c r="V112" s="125">
        <v>2E-3</v>
      </c>
      <c r="W112" s="125">
        <v>2.5559999999999999E-2</v>
      </c>
      <c r="X112" s="122" t="s">
        <v>620</v>
      </c>
      <c r="Y112" s="133"/>
      <c r="Z112" s="123">
        <v>3510320</v>
      </c>
      <c r="AA112" s="123">
        <v>1</v>
      </c>
      <c r="AB112" s="123">
        <v>106.44</v>
      </c>
      <c r="AC112" s="122"/>
      <c r="AD112" s="123">
        <v>3736.3850000000002</v>
      </c>
      <c r="AE112" s="122"/>
      <c r="AF112" s="122"/>
      <c r="AG112" s="122"/>
      <c r="AH112" s="125">
        <v>1.0200000000000001E-3</v>
      </c>
      <c r="AI112" s="125">
        <v>2.2440000000000002E-2</v>
      </c>
      <c r="AJ112" s="126">
        <v>3.1900000000000001E-3</v>
      </c>
      <c r="AK112" s="159"/>
    </row>
    <row r="113" spans="1:37" x14ac:dyDescent="0.2">
      <c r="A113" s="121" t="s">
        <v>1211</v>
      </c>
      <c r="B113" s="122" t="s">
        <v>1211</v>
      </c>
      <c r="C113" s="122" t="s">
        <v>1617</v>
      </c>
      <c r="D113" s="122" t="s">
        <v>1618</v>
      </c>
      <c r="E113" s="122" t="s">
        <v>429</v>
      </c>
      <c r="F113" s="122" t="s">
        <v>1622</v>
      </c>
      <c r="G113" s="122" t="s">
        <v>1623</v>
      </c>
      <c r="H113" s="122" t="s">
        <v>76</v>
      </c>
      <c r="I113" s="122" t="s">
        <v>229</v>
      </c>
      <c r="J113" s="122" t="s">
        <v>53</v>
      </c>
      <c r="K113" s="122" t="s">
        <v>53</v>
      </c>
      <c r="L113" s="122" t="s">
        <v>805</v>
      </c>
      <c r="M113" s="122" t="s">
        <v>311</v>
      </c>
      <c r="N113" s="122" t="s">
        <v>256</v>
      </c>
      <c r="O113" s="122" t="s">
        <v>62</v>
      </c>
      <c r="P113" s="122" t="s">
        <v>1330</v>
      </c>
      <c r="Q113" s="122" t="s">
        <v>65</v>
      </c>
      <c r="R113" s="122" t="s">
        <v>57</v>
      </c>
      <c r="S113" s="122" t="s">
        <v>1216</v>
      </c>
      <c r="T113" s="123">
        <v>4.57</v>
      </c>
      <c r="U113" s="122" t="s">
        <v>1621</v>
      </c>
      <c r="V113" s="125">
        <v>2.4E-2</v>
      </c>
      <c r="W113" s="125">
        <v>2.537E-2</v>
      </c>
      <c r="X113" s="122" t="s">
        <v>620</v>
      </c>
      <c r="Y113" s="133"/>
      <c r="Z113" s="123">
        <v>3240000</v>
      </c>
      <c r="AA113" s="123">
        <v>1</v>
      </c>
      <c r="AB113" s="123">
        <v>104.06</v>
      </c>
      <c r="AC113" s="122"/>
      <c r="AD113" s="123">
        <v>3371.5439999999999</v>
      </c>
      <c r="AE113" s="122"/>
      <c r="AF113" s="122"/>
      <c r="AG113" s="122"/>
      <c r="AH113" s="125">
        <v>1.47E-3</v>
      </c>
      <c r="AI113" s="125">
        <v>2.0250000000000001E-2</v>
      </c>
      <c r="AJ113" s="126">
        <v>2.8700000000000002E-3</v>
      </c>
      <c r="AK113" s="159"/>
    </row>
    <row r="114" spans="1:37" x14ac:dyDescent="0.2">
      <c r="A114" s="121" t="s">
        <v>1211</v>
      </c>
      <c r="B114" s="122" t="s">
        <v>1211</v>
      </c>
      <c r="C114" s="122" t="s">
        <v>1365</v>
      </c>
      <c r="D114" s="122" t="s">
        <v>1366</v>
      </c>
      <c r="E114" s="122" t="s">
        <v>429</v>
      </c>
      <c r="F114" s="122" t="s">
        <v>1367</v>
      </c>
      <c r="G114" s="122" t="s">
        <v>1368</v>
      </c>
      <c r="H114" s="122" t="s">
        <v>76</v>
      </c>
      <c r="I114" s="122" t="s">
        <v>228</v>
      </c>
      <c r="J114" s="122" t="s">
        <v>53</v>
      </c>
      <c r="K114" s="122" t="s">
        <v>53</v>
      </c>
      <c r="L114" s="122" t="s">
        <v>805</v>
      </c>
      <c r="M114" s="122" t="s">
        <v>311</v>
      </c>
      <c r="N114" s="122" t="s">
        <v>269</v>
      </c>
      <c r="O114" s="122" t="s">
        <v>62</v>
      </c>
      <c r="P114" s="122" t="s">
        <v>1369</v>
      </c>
      <c r="Q114" s="122" t="s">
        <v>65</v>
      </c>
      <c r="R114" s="122" t="s">
        <v>57</v>
      </c>
      <c r="S114" s="122" t="s">
        <v>1216</v>
      </c>
      <c r="T114" s="123">
        <v>4.26</v>
      </c>
      <c r="U114" s="122" t="s">
        <v>1266</v>
      </c>
      <c r="V114" s="125">
        <v>2.64E-2</v>
      </c>
      <c r="W114" s="125">
        <v>4.6050000000000001E-2</v>
      </c>
      <c r="X114" s="122" t="s">
        <v>620</v>
      </c>
      <c r="Y114" s="133"/>
      <c r="Z114" s="123">
        <v>2977636.18</v>
      </c>
      <c r="AA114" s="123">
        <v>1</v>
      </c>
      <c r="AB114" s="123">
        <v>92.3</v>
      </c>
      <c r="AC114" s="122"/>
      <c r="AD114" s="123">
        <v>2748.3580000000002</v>
      </c>
      <c r="AE114" s="122"/>
      <c r="AF114" s="122"/>
      <c r="AG114" s="122"/>
      <c r="AH114" s="125">
        <v>1.82E-3</v>
      </c>
      <c r="AI114" s="125">
        <v>1.651E-2</v>
      </c>
      <c r="AJ114" s="126">
        <v>2.3400000000000001E-3</v>
      </c>
      <c r="AK114" s="159"/>
    </row>
    <row r="115" spans="1:37" x14ac:dyDescent="0.2">
      <c r="A115" s="121" t="s">
        <v>1211</v>
      </c>
      <c r="B115" s="122" t="s">
        <v>1211</v>
      </c>
      <c r="C115" s="122" t="s">
        <v>1472</v>
      </c>
      <c r="D115" s="122" t="s">
        <v>1473</v>
      </c>
      <c r="E115" s="122" t="s">
        <v>429</v>
      </c>
      <c r="F115" s="122" t="s">
        <v>1624</v>
      </c>
      <c r="G115" s="122" t="s">
        <v>1625</v>
      </c>
      <c r="H115" s="122" t="s">
        <v>76</v>
      </c>
      <c r="I115" s="122" t="s">
        <v>228</v>
      </c>
      <c r="J115" s="122" t="s">
        <v>53</v>
      </c>
      <c r="K115" s="122" t="s">
        <v>53</v>
      </c>
      <c r="L115" s="122" t="s">
        <v>805</v>
      </c>
      <c r="M115" s="122" t="s">
        <v>311</v>
      </c>
      <c r="N115" s="122" t="s">
        <v>260</v>
      </c>
      <c r="O115" s="122" t="s">
        <v>62</v>
      </c>
      <c r="P115" s="122" t="s">
        <v>1454</v>
      </c>
      <c r="Q115" s="122" t="s">
        <v>70</v>
      </c>
      <c r="R115" s="122" t="s">
        <v>57</v>
      </c>
      <c r="S115" s="122" t="s">
        <v>1216</v>
      </c>
      <c r="T115" s="123">
        <v>7.17</v>
      </c>
      <c r="U115" s="122" t="s">
        <v>1626</v>
      </c>
      <c r="V115" s="125">
        <v>2.7900000000000001E-2</v>
      </c>
      <c r="W115" s="125">
        <v>4.6719999999999998E-2</v>
      </c>
      <c r="X115" s="122" t="s">
        <v>620</v>
      </c>
      <c r="Y115" s="133"/>
      <c r="Z115" s="123">
        <v>3070000</v>
      </c>
      <c r="AA115" s="123">
        <v>1</v>
      </c>
      <c r="AB115" s="123">
        <v>88.64</v>
      </c>
      <c r="AC115" s="122"/>
      <c r="AD115" s="123">
        <v>2721.248</v>
      </c>
      <c r="AE115" s="122"/>
      <c r="AF115" s="122"/>
      <c r="AG115" s="122"/>
      <c r="AH115" s="125">
        <v>2.1900000000000001E-3</v>
      </c>
      <c r="AI115" s="125">
        <v>1.634E-2</v>
      </c>
      <c r="AJ115" s="126">
        <v>2.32E-3</v>
      </c>
      <c r="AK115" s="159"/>
    </row>
    <row r="116" spans="1:37" x14ac:dyDescent="0.2">
      <c r="A116" s="121" t="s">
        <v>1211</v>
      </c>
      <c r="B116" s="122" t="s">
        <v>1211</v>
      </c>
      <c r="C116" s="122" t="s">
        <v>1365</v>
      </c>
      <c r="D116" s="122" t="s">
        <v>1366</v>
      </c>
      <c r="E116" s="122" t="s">
        <v>429</v>
      </c>
      <c r="F116" s="122" t="s">
        <v>1370</v>
      </c>
      <c r="G116" s="122" t="s">
        <v>1371</v>
      </c>
      <c r="H116" s="122" t="s">
        <v>76</v>
      </c>
      <c r="I116" s="122" t="s">
        <v>229</v>
      </c>
      <c r="J116" s="122" t="s">
        <v>53</v>
      </c>
      <c r="K116" s="122" t="s">
        <v>53</v>
      </c>
      <c r="L116" s="122" t="s">
        <v>805</v>
      </c>
      <c r="M116" s="122" t="s">
        <v>311</v>
      </c>
      <c r="N116" s="122" t="s">
        <v>269</v>
      </c>
      <c r="O116" s="122" t="s">
        <v>62</v>
      </c>
      <c r="P116" s="122" t="s">
        <v>1369</v>
      </c>
      <c r="Q116" s="122" t="s">
        <v>65</v>
      </c>
      <c r="R116" s="122" t="s">
        <v>57</v>
      </c>
      <c r="S116" s="122" t="s">
        <v>1216</v>
      </c>
      <c r="T116" s="123">
        <v>6</v>
      </c>
      <c r="U116" s="122" t="s">
        <v>1372</v>
      </c>
      <c r="V116" s="125">
        <v>2.5000000000000001E-2</v>
      </c>
      <c r="W116" s="125">
        <v>4.709E-2</v>
      </c>
      <c r="X116" s="122" t="s">
        <v>620</v>
      </c>
      <c r="Y116" s="133"/>
      <c r="Z116" s="123">
        <v>3055228</v>
      </c>
      <c r="AA116" s="123">
        <v>1</v>
      </c>
      <c r="AB116" s="123">
        <v>88.03</v>
      </c>
      <c r="AC116" s="122"/>
      <c r="AD116" s="123">
        <v>2689.5169999999998</v>
      </c>
      <c r="AE116" s="122"/>
      <c r="AF116" s="122"/>
      <c r="AG116" s="122"/>
      <c r="AH116" s="125">
        <v>2.2899999999999999E-3</v>
      </c>
      <c r="AI116" s="125">
        <v>1.6150000000000001E-2</v>
      </c>
      <c r="AJ116" s="126">
        <v>2.2899999999999999E-3</v>
      </c>
      <c r="AK116" s="159"/>
    </row>
    <row r="117" spans="1:37" x14ac:dyDescent="0.2">
      <c r="A117" s="121" t="s">
        <v>1211</v>
      </c>
      <c r="B117" s="122" t="s">
        <v>1211</v>
      </c>
      <c r="C117" s="122" t="s">
        <v>1340</v>
      </c>
      <c r="D117" s="122" t="s">
        <v>1341</v>
      </c>
      <c r="E117" s="122" t="s">
        <v>429</v>
      </c>
      <c r="F117" s="122" t="s">
        <v>1353</v>
      </c>
      <c r="G117" s="122" t="s">
        <v>1354</v>
      </c>
      <c r="H117" s="122" t="s">
        <v>76</v>
      </c>
      <c r="I117" s="122" t="s">
        <v>229</v>
      </c>
      <c r="J117" s="122" t="s">
        <v>53</v>
      </c>
      <c r="K117" s="122" t="s">
        <v>53</v>
      </c>
      <c r="L117" s="122" t="s">
        <v>805</v>
      </c>
      <c r="M117" s="122" t="s">
        <v>311</v>
      </c>
      <c r="N117" s="122" t="s">
        <v>256</v>
      </c>
      <c r="O117" s="122" t="s">
        <v>62</v>
      </c>
      <c r="P117" s="122" t="s">
        <v>1330</v>
      </c>
      <c r="Q117" s="122" t="s">
        <v>65</v>
      </c>
      <c r="R117" s="122" t="s">
        <v>57</v>
      </c>
      <c r="S117" s="122" t="s">
        <v>1216</v>
      </c>
      <c r="T117" s="123">
        <v>1.98</v>
      </c>
      <c r="U117" s="122" t="s">
        <v>1355</v>
      </c>
      <c r="V117" s="125">
        <v>1.2200000000000001E-2</v>
      </c>
      <c r="W117" s="125">
        <v>2.5819999999999999E-2</v>
      </c>
      <c r="X117" s="122" t="s">
        <v>620</v>
      </c>
      <c r="Y117" s="133"/>
      <c r="Z117" s="123">
        <v>2246325</v>
      </c>
      <c r="AA117" s="123">
        <v>1</v>
      </c>
      <c r="AB117" s="123">
        <v>116.7</v>
      </c>
      <c r="AC117" s="122"/>
      <c r="AD117" s="123">
        <v>2621.4609999999998</v>
      </c>
      <c r="AE117" s="122"/>
      <c r="AF117" s="122"/>
      <c r="AG117" s="122"/>
      <c r="AH117" s="125">
        <v>7.3999999999999999E-4</v>
      </c>
      <c r="AI117" s="125">
        <v>1.5740000000000001E-2</v>
      </c>
      <c r="AJ117" s="126">
        <v>2.2300000000000002E-3</v>
      </c>
      <c r="AK117" s="159"/>
    </row>
    <row r="118" spans="1:37" x14ac:dyDescent="0.2">
      <c r="A118" s="121" t="s">
        <v>1211</v>
      </c>
      <c r="B118" s="122" t="s">
        <v>1211</v>
      </c>
      <c r="C118" s="122" t="s">
        <v>1575</v>
      </c>
      <c r="D118" s="122" t="s">
        <v>1576</v>
      </c>
      <c r="E118" s="122" t="s">
        <v>429</v>
      </c>
      <c r="F118" s="122" t="s">
        <v>1627</v>
      </c>
      <c r="G118" s="122" t="s">
        <v>1628</v>
      </c>
      <c r="H118" s="122" t="s">
        <v>76</v>
      </c>
      <c r="I118" s="122" t="s">
        <v>229</v>
      </c>
      <c r="J118" s="122" t="s">
        <v>53</v>
      </c>
      <c r="K118" s="122" t="s">
        <v>53</v>
      </c>
      <c r="L118" s="122" t="s">
        <v>805</v>
      </c>
      <c r="M118" s="122" t="s">
        <v>311</v>
      </c>
      <c r="N118" s="122" t="s">
        <v>635</v>
      </c>
      <c r="O118" s="122" t="s">
        <v>62</v>
      </c>
      <c r="P118" s="122" t="s">
        <v>1377</v>
      </c>
      <c r="Q118" s="122" t="s">
        <v>70</v>
      </c>
      <c r="R118" s="122" t="s">
        <v>57</v>
      </c>
      <c r="S118" s="122" t="s">
        <v>1216</v>
      </c>
      <c r="T118" s="123">
        <v>4.68</v>
      </c>
      <c r="U118" s="122" t="s">
        <v>1629</v>
      </c>
      <c r="V118" s="125">
        <v>1.8700000000000001E-2</v>
      </c>
      <c r="W118" s="125">
        <v>2.937E-2</v>
      </c>
      <c r="X118" s="122" t="s">
        <v>620</v>
      </c>
      <c r="Y118" s="133"/>
      <c r="Z118" s="123">
        <v>2220272.8199999998</v>
      </c>
      <c r="AA118" s="123">
        <v>1</v>
      </c>
      <c r="AB118" s="123">
        <v>109.28</v>
      </c>
      <c r="AC118" s="122"/>
      <c r="AD118" s="123">
        <v>2426.3139999999999</v>
      </c>
      <c r="AE118" s="122"/>
      <c r="AF118" s="122"/>
      <c r="AG118" s="122"/>
      <c r="AH118" s="125">
        <v>2.2699999999999999E-3</v>
      </c>
      <c r="AI118" s="125">
        <v>1.457E-2</v>
      </c>
      <c r="AJ118" s="126">
        <v>2.0699999999999998E-3</v>
      </c>
      <c r="AK118" s="159"/>
    </row>
    <row r="119" spans="1:37" x14ac:dyDescent="0.2">
      <c r="A119" s="121" t="s">
        <v>1211</v>
      </c>
      <c r="B119" s="122" t="s">
        <v>1211</v>
      </c>
      <c r="C119" s="122" t="s">
        <v>1542</v>
      </c>
      <c r="D119" s="122" t="s">
        <v>1543</v>
      </c>
      <c r="E119" s="122" t="s">
        <v>429</v>
      </c>
      <c r="F119" s="122" t="s">
        <v>1630</v>
      </c>
      <c r="G119" s="122" t="s">
        <v>1631</v>
      </c>
      <c r="H119" s="122" t="s">
        <v>76</v>
      </c>
      <c r="I119" s="122" t="s">
        <v>229</v>
      </c>
      <c r="J119" s="122" t="s">
        <v>53</v>
      </c>
      <c r="K119" s="122" t="s">
        <v>53</v>
      </c>
      <c r="L119" s="122" t="s">
        <v>805</v>
      </c>
      <c r="M119" s="122" t="s">
        <v>311</v>
      </c>
      <c r="N119" s="122" t="s">
        <v>635</v>
      </c>
      <c r="O119" s="122" t="s">
        <v>62</v>
      </c>
      <c r="P119" s="122" t="s">
        <v>1584</v>
      </c>
      <c r="Q119" s="122" t="s">
        <v>70</v>
      </c>
      <c r="R119" s="122" t="s">
        <v>57</v>
      </c>
      <c r="S119" s="122" t="s">
        <v>1216</v>
      </c>
      <c r="T119" s="123">
        <v>11.71</v>
      </c>
      <c r="U119" s="122" t="s">
        <v>1632</v>
      </c>
      <c r="V119" s="125">
        <v>3.6700000000000003E-2</v>
      </c>
      <c r="W119" s="125">
        <v>3.0810000000000001E-2</v>
      </c>
      <c r="X119" s="122" t="s">
        <v>620</v>
      </c>
      <c r="Y119" s="133"/>
      <c r="Z119" s="123">
        <v>2140000</v>
      </c>
      <c r="AA119" s="123">
        <v>1</v>
      </c>
      <c r="AB119" s="123">
        <v>112.94</v>
      </c>
      <c r="AC119" s="122"/>
      <c r="AD119" s="123">
        <v>2416.9160000000002</v>
      </c>
      <c r="AE119" s="122"/>
      <c r="AF119" s="122"/>
      <c r="AG119" s="122"/>
      <c r="AH119" s="125">
        <v>4.2000000000000002E-4</v>
      </c>
      <c r="AI119" s="125">
        <v>1.452E-2</v>
      </c>
      <c r="AJ119" s="126">
        <v>2.0600000000000002E-3</v>
      </c>
      <c r="AK119" s="159"/>
    </row>
    <row r="120" spans="1:37" x14ac:dyDescent="0.2">
      <c r="A120" s="121" t="s">
        <v>1211</v>
      </c>
      <c r="B120" s="122" t="s">
        <v>1211</v>
      </c>
      <c r="C120" s="122" t="s">
        <v>1596</v>
      </c>
      <c r="D120" s="122" t="s">
        <v>1597</v>
      </c>
      <c r="E120" s="122" t="s">
        <v>429</v>
      </c>
      <c r="F120" s="122" t="s">
        <v>1633</v>
      </c>
      <c r="G120" s="122" t="s">
        <v>1634</v>
      </c>
      <c r="H120" s="122" t="s">
        <v>76</v>
      </c>
      <c r="I120" s="122" t="s">
        <v>228</v>
      </c>
      <c r="J120" s="122" t="s">
        <v>53</v>
      </c>
      <c r="K120" s="122" t="s">
        <v>53</v>
      </c>
      <c r="L120" s="122" t="s">
        <v>805</v>
      </c>
      <c r="M120" s="122" t="s">
        <v>311</v>
      </c>
      <c r="N120" s="122" t="s">
        <v>635</v>
      </c>
      <c r="O120" s="122" t="s">
        <v>62</v>
      </c>
      <c r="P120" s="122" t="s">
        <v>1540</v>
      </c>
      <c r="Q120" s="122" t="s">
        <v>70</v>
      </c>
      <c r="R120" s="122" t="s">
        <v>57</v>
      </c>
      <c r="S120" s="122" t="s">
        <v>1216</v>
      </c>
      <c r="T120" s="123">
        <v>6.31</v>
      </c>
      <c r="U120" s="122" t="s">
        <v>1392</v>
      </c>
      <c r="V120" s="125">
        <v>5.2900000000000003E-2</v>
      </c>
      <c r="W120" s="125">
        <v>5.0959999999999998E-2</v>
      </c>
      <c r="X120" s="122" t="s">
        <v>620</v>
      </c>
      <c r="Y120" s="133"/>
      <c r="Z120" s="123">
        <v>2302625</v>
      </c>
      <c r="AA120" s="123">
        <v>1</v>
      </c>
      <c r="AB120" s="123">
        <v>102.93</v>
      </c>
      <c r="AC120" s="122"/>
      <c r="AD120" s="123">
        <v>2370.0920000000001</v>
      </c>
      <c r="AE120" s="122"/>
      <c r="AF120" s="122"/>
      <c r="AG120" s="122"/>
      <c r="AH120" s="125">
        <v>4.1900000000000001E-3</v>
      </c>
      <c r="AI120" s="125">
        <v>1.423E-2</v>
      </c>
      <c r="AJ120" s="126">
        <v>2.0200000000000001E-3</v>
      </c>
      <c r="AK120" s="159"/>
    </row>
    <row r="121" spans="1:37" x14ac:dyDescent="0.2">
      <c r="A121" s="121" t="s">
        <v>1211</v>
      </c>
      <c r="B121" s="122" t="s">
        <v>1211</v>
      </c>
      <c r="C121" s="122" t="s">
        <v>1635</v>
      </c>
      <c r="D121" s="122" t="s">
        <v>1636</v>
      </c>
      <c r="E121" s="122" t="s">
        <v>429</v>
      </c>
      <c r="F121" s="122" t="s">
        <v>1637</v>
      </c>
      <c r="G121" s="122" t="s">
        <v>1638</v>
      </c>
      <c r="H121" s="122" t="s">
        <v>76</v>
      </c>
      <c r="I121" s="122" t="s">
        <v>229</v>
      </c>
      <c r="J121" s="122" t="s">
        <v>53</v>
      </c>
      <c r="K121" s="122" t="s">
        <v>53</v>
      </c>
      <c r="L121" s="122" t="s">
        <v>805</v>
      </c>
      <c r="M121" s="122" t="s">
        <v>311</v>
      </c>
      <c r="N121" s="122" t="s">
        <v>635</v>
      </c>
      <c r="O121" s="122" t="s">
        <v>62</v>
      </c>
      <c r="P121" s="122" t="s">
        <v>1324</v>
      </c>
      <c r="Q121" s="122" t="s">
        <v>65</v>
      </c>
      <c r="R121" s="122" t="s">
        <v>57</v>
      </c>
      <c r="S121" s="122" t="s">
        <v>1216</v>
      </c>
      <c r="T121" s="123">
        <v>5.35</v>
      </c>
      <c r="U121" s="122" t="s">
        <v>1639</v>
      </c>
      <c r="V121" s="125">
        <v>3.61E-2</v>
      </c>
      <c r="W121" s="125">
        <v>2.9260000000000001E-2</v>
      </c>
      <c r="X121" s="122" t="s">
        <v>620</v>
      </c>
      <c r="Y121" s="133"/>
      <c r="Z121" s="123">
        <v>2000147.02</v>
      </c>
      <c r="AA121" s="123">
        <v>1</v>
      </c>
      <c r="AB121" s="123">
        <v>113.95</v>
      </c>
      <c r="AC121" s="122"/>
      <c r="AD121" s="123">
        <v>2279.1680000000001</v>
      </c>
      <c r="AE121" s="122"/>
      <c r="AF121" s="122"/>
      <c r="AG121" s="122"/>
      <c r="AH121" s="125">
        <v>9.1E-4</v>
      </c>
      <c r="AI121" s="125">
        <v>1.3690000000000001E-2</v>
      </c>
      <c r="AJ121" s="126">
        <v>1.9400000000000001E-3</v>
      </c>
      <c r="AK121" s="159"/>
    </row>
    <row r="122" spans="1:37" x14ac:dyDescent="0.2">
      <c r="A122" s="121" t="s">
        <v>1211</v>
      </c>
      <c r="B122" s="122" t="s">
        <v>1211</v>
      </c>
      <c r="C122" s="122" t="s">
        <v>1326</v>
      </c>
      <c r="D122" s="122" t="s">
        <v>1327</v>
      </c>
      <c r="E122" s="122" t="s">
        <v>429</v>
      </c>
      <c r="F122" s="122" t="s">
        <v>1328</v>
      </c>
      <c r="G122" s="122" t="s">
        <v>1329</v>
      </c>
      <c r="H122" s="122" t="s">
        <v>76</v>
      </c>
      <c r="I122" s="122" t="s">
        <v>228</v>
      </c>
      <c r="J122" s="122" t="s">
        <v>53</v>
      </c>
      <c r="K122" s="122" t="s">
        <v>53</v>
      </c>
      <c r="L122" s="122" t="s">
        <v>805</v>
      </c>
      <c r="M122" s="122" t="s">
        <v>311</v>
      </c>
      <c r="N122" s="122" t="s">
        <v>256</v>
      </c>
      <c r="O122" s="122" t="s">
        <v>62</v>
      </c>
      <c r="P122" s="122" t="s">
        <v>1330</v>
      </c>
      <c r="Q122" s="122" t="s">
        <v>65</v>
      </c>
      <c r="R122" s="122" t="s">
        <v>57</v>
      </c>
      <c r="S122" s="122" t="s">
        <v>1216</v>
      </c>
      <c r="T122" s="123">
        <v>4.54</v>
      </c>
      <c r="U122" s="122" t="s">
        <v>1331</v>
      </c>
      <c r="V122" s="125">
        <v>4.8800000000000003E-2</v>
      </c>
      <c r="W122" s="125">
        <v>4.4420000000000001E-2</v>
      </c>
      <c r="X122" s="122" t="s">
        <v>620</v>
      </c>
      <c r="Y122" s="133"/>
      <c r="Z122" s="123">
        <v>2200000</v>
      </c>
      <c r="AA122" s="123">
        <v>1</v>
      </c>
      <c r="AB122" s="123">
        <v>103.32</v>
      </c>
      <c r="AC122" s="122"/>
      <c r="AD122" s="123">
        <v>2273.04</v>
      </c>
      <c r="AE122" s="122"/>
      <c r="AF122" s="122"/>
      <c r="AG122" s="122"/>
      <c r="AH122" s="125">
        <v>1.4E-3</v>
      </c>
      <c r="AI122" s="125">
        <v>1.3650000000000001E-2</v>
      </c>
      <c r="AJ122" s="126">
        <v>1.9400000000000001E-3</v>
      </c>
      <c r="AK122" s="159"/>
    </row>
    <row r="123" spans="1:37" x14ac:dyDescent="0.2">
      <c r="A123" s="121" t="s">
        <v>1211</v>
      </c>
      <c r="B123" s="122" t="s">
        <v>1211</v>
      </c>
      <c r="C123" s="122" t="s">
        <v>1542</v>
      </c>
      <c r="D123" s="122" t="s">
        <v>1543</v>
      </c>
      <c r="E123" s="122" t="s">
        <v>429</v>
      </c>
      <c r="F123" s="122" t="s">
        <v>1554</v>
      </c>
      <c r="G123" s="122" t="s">
        <v>1555</v>
      </c>
      <c r="H123" s="122" t="s">
        <v>76</v>
      </c>
      <c r="I123" s="122" t="s">
        <v>229</v>
      </c>
      <c r="J123" s="122" t="s">
        <v>53</v>
      </c>
      <c r="K123" s="122" t="s">
        <v>53</v>
      </c>
      <c r="L123" s="122" t="s">
        <v>805</v>
      </c>
      <c r="M123" s="122" t="s">
        <v>311</v>
      </c>
      <c r="N123" s="122" t="s">
        <v>635</v>
      </c>
      <c r="O123" s="122" t="s">
        <v>62</v>
      </c>
      <c r="P123" s="122" t="s">
        <v>1546</v>
      </c>
      <c r="Q123" s="122" t="s">
        <v>65</v>
      </c>
      <c r="R123" s="122" t="s">
        <v>57</v>
      </c>
      <c r="S123" s="122" t="s">
        <v>1216</v>
      </c>
      <c r="T123" s="123">
        <v>9.6300000000000008</v>
      </c>
      <c r="U123" s="122" t="s">
        <v>1556</v>
      </c>
      <c r="V123" s="125">
        <v>1.6899999999999998E-2</v>
      </c>
      <c r="W123" s="125">
        <v>2.9389999999999999E-2</v>
      </c>
      <c r="X123" s="122" t="s">
        <v>620</v>
      </c>
      <c r="Y123" s="133"/>
      <c r="Z123" s="123">
        <v>2029893</v>
      </c>
      <c r="AA123" s="123">
        <v>1</v>
      </c>
      <c r="AB123" s="123">
        <v>104.3</v>
      </c>
      <c r="AC123" s="122"/>
      <c r="AD123" s="123">
        <v>2117.1779999999999</v>
      </c>
      <c r="AE123" s="122"/>
      <c r="AF123" s="122"/>
      <c r="AG123" s="122"/>
      <c r="AH123" s="125">
        <v>4.6999999999999999E-4</v>
      </c>
      <c r="AI123" s="125">
        <v>1.272E-2</v>
      </c>
      <c r="AJ123" s="126">
        <v>1.81E-3</v>
      </c>
      <c r="AK123" s="159"/>
    </row>
    <row r="124" spans="1:37" x14ac:dyDescent="0.2">
      <c r="A124" s="121" t="s">
        <v>1211</v>
      </c>
      <c r="B124" s="122" t="s">
        <v>1211</v>
      </c>
      <c r="C124" s="122" t="s">
        <v>1332</v>
      </c>
      <c r="D124" s="122" t="s">
        <v>1333</v>
      </c>
      <c r="E124" s="122" t="s">
        <v>430</v>
      </c>
      <c r="F124" s="122" t="s">
        <v>1385</v>
      </c>
      <c r="G124" s="122" t="s">
        <v>1386</v>
      </c>
      <c r="H124" s="122" t="s">
        <v>76</v>
      </c>
      <c r="I124" s="122" t="s">
        <v>229</v>
      </c>
      <c r="J124" s="122" t="s">
        <v>53</v>
      </c>
      <c r="K124" s="122" t="s">
        <v>53</v>
      </c>
      <c r="L124" s="122" t="s">
        <v>805</v>
      </c>
      <c r="M124" s="122" t="s">
        <v>311</v>
      </c>
      <c r="N124" s="122" t="s">
        <v>156</v>
      </c>
      <c r="O124" s="122" t="s">
        <v>62</v>
      </c>
      <c r="P124" s="122" t="s">
        <v>1215</v>
      </c>
      <c r="Q124" s="122" t="s">
        <v>70</v>
      </c>
      <c r="R124" s="122" t="s">
        <v>57</v>
      </c>
      <c r="S124" s="122" t="s">
        <v>1216</v>
      </c>
      <c r="T124" s="123">
        <v>4.93</v>
      </c>
      <c r="U124" s="122" t="s">
        <v>1387</v>
      </c>
      <c r="V124" s="125">
        <v>2.3900000000000001E-2</v>
      </c>
      <c r="W124" s="125">
        <v>2.596E-2</v>
      </c>
      <c r="X124" s="122" t="s">
        <v>620</v>
      </c>
      <c r="Y124" s="133"/>
      <c r="Z124" s="123">
        <v>1700000</v>
      </c>
      <c r="AA124" s="123">
        <v>1</v>
      </c>
      <c r="AB124" s="123">
        <v>117.27</v>
      </c>
      <c r="AC124" s="122"/>
      <c r="AD124" s="123">
        <v>1993.59</v>
      </c>
      <c r="AE124" s="122"/>
      <c r="AF124" s="122"/>
      <c r="AG124" s="122"/>
      <c r="AH124" s="125">
        <v>4.4000000000000002E-4</v>
      </c>
      <c r="AI124" s="125">
        <v>1.197E-2</v>
      </c>
      <c r="AJ124" s="126">
        <v>1.6999999999999999E-3</v>
      </c>
      <c r="AK124" s="159"/>
    </row>
    <row r="125" spans="1:37" x14ac:dyDescent="0.2">
      <c r="A125" s="121" t="s">
        <v>1211</v>
      </c>
      <c r="B125" s="122" t="s">
        <v>1211</v>
      </c>
      <c r="C125" s="122" t="s">
        <v>1640</v>
      </c>
      <c r="D125" s="122" t="s">
        <v>1641</v>
      </c>
      <c r="E125" s="122" t="s">
        <v>429</v>
      </c>
      <c r="F125" s="122" t="s">
        <v>1642</v>
      </c>
      <c r="G125" s="122" t="s">
        <v>1643</v>
      </c>
      <c r="H125" s="122" t="s">
        <v>76</v>
      </c>
      <c r="I125" s="122" t="s">
        <v>229</v>
      </c>
      <c r="J125" s="122" t="s">
        <v>53</v>
      </c>
      <c r="K125" s="122" t="s">
        <v>53</v>
      </c>
      <c r="L125" s="122" t="s">
        <v>805</v>
      </c>
      <c r="M125" s="122" t="s">
        <v>311</v>
      </c>
      <c r="N125" s="122" t="s">
        <v>635</v>
      </c>
      <c r="O125" s="122" t="s">
        <v>62</v>
      </c>
      <c r="P125" s="122" t="s">
        <v>1561</v>
      </c>
      <c r="Q125" s="122" t="s">
        <v>65</v>
      </c>
      <c r="R125" s="122" t="s">
        <v>57</v>
      </c>
      <c r="S125" s="122" t="s">
        <v>1216</v>
      </c>
      <c r="T125" s="123">
        <v>5.32</v>
      </c>
      <c r="U125" s="122" t="s">
        <v>1644</v>
      </c>
      <c r="V125" s="125">
        <v>3.6799999999999999E-2</v>
      </c>
      <c r="W125" s="125">
        <v>3.2239999999999998E-2</v>
      </c>
      <c r="X125" s="122" t="s">
        <v>620</v>
      </c>
      <c r="Y125" s="133"/>
      <c r="Z125" s="123">
        <v>1749463</v>
      </c>
      <c r="AA125" s="123">
        <v>1</v>
      </c>
      <c r="AB125" s="123">
        <v>110.18</v>
      </c>
      <c r="AC125" s="122"/>
      <c r="AD125" s="123">
        <v>1927.558</v>
      </c>
      <c r="AE125" s="122"/>
      <c r="AF125" s="122"/>
      <c r="AG125" s="122"/>
      <c r="AH125" s="125">
        <v>3.9399999999999999E-3</v>
      </c>
      <c r="AI125" s="125">
        <v>1.158E-2</v>
      </c>
      <c r="AJ125" s="126">
        <v>1.64E-3</v>
      </c>
      <c r="AK125" s="159"/>
    </row>
    <row r="126" spans="1:37" x14ac:dyDescent="0.2">
      <c r="A126" s="121" t="s">
        <v>1211</v>
      </c>
      <c r="B126" s="122" t="s">
        <v>1211</v>
      </c>
      <c r="C126" s="122" t="s">
        <v>1645</v>
      </c>
      <c r="D126" s="122" t="s">
        <v>1646</v>
      </c>
      <c r="E126" s="122" t="s">
        <v>429</v>
      </c>
      <c r="F126" s="122" t="s">
        <v>1647</v>
      </c>
      <c r="G126" s="122" t="s">
        <v>1648</v>
      </c>
      <c r="H126" s="122" t="s">
        <v>76</v>
      </c>
      <c r="I126" s="122" t="s">
        <v>228</v>
      </c>
      <c r="J126" s="122" t="s">
        <v>53</v>
      </c>
      <c r="K126" s="122" t="s">
        <v>53</v>
      </c>
      <c r="L126" s="122" t="s">
        <v>805</v>
      </c>
      <c r="M126" s="122" t="s">
        <v>311</v>
      </c>
      <c r="N126" s="122" t="s">
        <v>265</v>
      </c>
      <c r="O126" s="122" t="s">
        <v>62</v>
      </c>
      <c r="P126" s="122" t="s">
        <v>1324</v>
      </c>
      <c r="Q126" s="122" t="s">
        <v>65</v>
      </c>
      <c r="R126" s="122" t="s">
        <v>57</v>
      </c>
      <c r="S126" s="122" t="s">
        <v>1216</v>
      </c>
      <c r="T126" s="123">
        <v>7.08</v>
      </c>
      <c r="U126" s="122" t="s">
        <v>1649</v>
      </c>
      <c r="V126" s="125">
        <v>2.4E-2</v>
      </c>
      <c r="W126" s="125">
        <v>4.6550000000000001E-2</v>
      </c>
      <c r="X126" s="122" t="s">
        <v>620</v>
      </c>
      <c r="Y126" s="133"/>
      <c r="Z126" s="123">
        <v>2200000</v>
      </c>
      <c r="AA126" s="123">
        <v>1</v>
      </c>
      <c r="AB126" s="123">
        <v>86.13</v>
      </c>
      <c r="AC126" s="122"/>
      <c r="AD126" s="123">
        <v>1894.86</v>
      </c>
      <c r="AE126" s="122"/>
      <c r="AF126" s="122"/>
      <c r="AG126" s="122"/>
      <c r="AH126" s="125">
        <v>1.4E-3</v>
      </c>
      <c r="AI126" s="125">
        <v>1.1379999999999999E-2</v>
      </c>
      <c r="AJ126" s="126">
        <v>1.6199999999999999E-3</v>
      </c>
      <c r="AK126" s="159"/>
    </row>
    <row r="127" spans="1:37" x14ac:dyDescent="0.2">
      <c r="A127" s="121" t="s">
        <v>1211</v>
      </c>
      <c r="B127" s="122" t="s">
        <v>1211</v>
      </c>
      <c r="C127" s="122" t="s">
        <v>1650</v>
      </c>
      <c r="D127" s="122" t="s">
        <v>1651</v>
      </c>
      <c r="E127" s="122" t="s">
        <v>429</v>
      </c>
      <c r="F127" s="122" t="s">
        <v>1652</v>
      </c>
      <c r="G127" s="122" t="s">
        <v>1653</v>
      </c>
      <c r="H127" s="122" t="s">
        <v>76</v>
      </c>
      <c r="I127" s="122" t="s">
        <v>228</v>
      </c>
      <c r="J127" s="122" t="s">
        <v>53</v>
      </c>
      <c r="K127" s="122" t="s">
        <v>53</v>
      </c>
      <c r="L127" s="122" t="s">
        <v>805</v>
      </c>
      <c r="M127" s="122" t="s">
        <v>311</v>
      </c>
      <c r="N127" s="122" t="s">
        <v>156</v>
      </c>
      <c r="O127" s="122" t="s">
        <v>62</v>
      </c>
      <c r="P127" s="122" t="s">
        <v>1450</v>
      </c>
      <c r="Q127" s="122" t="s">
        <v>65</v>
      </c>
      <c r="R127" s="122" t="s">
        <v>57</v>
      </c>
      <c r="S127" s="122" t="s">
        <v>1216</v>
      </c>
      <c r="T127" s="123">
        <v>3.89</v>
      </c>
      <c r="U127" s="122" t="s">
        <v>1654</v>
      </c>
      <c r="V127" s="125">
        <v>5.7500000000000002E-2</v>
      </c>
      <c r="W127" s="125">
        <v>5.0160000000000003E-2</v>
      </c>
      <c r="X127" s="122" t="s">
        <v>620</v>
      </c>
      <c r="Y127" s="133"/>
      <c r="Z127" s="123">
        <v>1788000</v>
      </c>
      <c r="AA127" s="123">
        <v>1</v>
      </c>
      <c r="AB127" s="123">
        <v>103.14</v>
      </c>
      <c r="AC127" s="122"/>
      <c r="AD127" s="123">
        <v>1844.143</v>
      </c>
      <c r="AE127" s="122"/>
      <c r="AF127" s="122"/>
      <c r="AG127" s="122"/>
      <c r="AH127" s="125">
        <v>3.4099999999999998E-3</v>
      </c>
      <c r="AI127" s="125">
        <v>1.108E-2</v>
      </c>
      <c r="AJ127" s="126">
        <v>1.57E-3</v>
      </c>
      <c r="AK127" s="159"/>
    </row>
    <row r="128" spans="1:37" x14ac:dyDescent="0.2">
      <c r="A128" s="121" t="s">
        <v>1211</v>
      </c>
      <c r="B128" s="122" t="s">
        <v>1211</v>
      </c>
      <c r="C128" s="122" t="s">
        <v>1570</v>
      </c>
      <c r="D128" s="122" t="s">
        <v>1571</v>
      </c>
      <c r="E128" s="122" t="s">
        <v>429</v>
      </c>
      <c r="F128" s="122" t="s">
        <v>1572</v>
      </c>
      <c r="G128" s="122" t="s">
        <v>1573</v>
      </c>
      <c r="H128" s="122" t="s">
        <v>76</v>
      </c>
      <c r="I128" s="122" t="s">
        <v>228</v>
      </c>
      <c r="J128" s="122" t="s">
        <v>53</v>
      </c>
      <c r="K128" s="122" t="s">
        <v>53</v>
      </c>
      <c r="L128" s="122" t="s">
        <v>805</v>
      </c>
      <c r="M128" s="122" t="s">
        <v>311</v>
      </c>
      <c r="N128" s="122" t="s">
        <v>635</v>
      </c>
      <c r="O128" s="122" t="s">
        <v>62</v>
      </c>
      <c r="P128" s="122" t="s">
        <v>1369</v>
      </c>
      <c r="Q128" s="122" t="s">
        <v>65</v>
      </c>
      <c r="R128" s="122" t="s">
        <v>57</v>
      </c>
      <c r="S128" s="122" t="s">
        <v>1216</v>
      </c>
      <c r="T128" s="123">
        <v>5.7</v>
      </c>
      <c r="U128" s="122" t="s">
        <v>1574</v>
      </c>
      <c r="V128" s="125">
        <v>4.9399999999999999E-2</v>
      </c>
      <c r="W128" s="125">
        <v>5.1290000000000002E-2</v>
      </c>
      <c r="X128" s="122" t="s">
        <v>620</v>
      </c>
      <c r="Y128" s="133"/>
      <c r="Z128" s="123">
        <v>1776723.07</v>
      </c>
      <c r="AA128" s="123">
        <v>1</v>
      </c>
      <c r="AB128" s="123">
        <v>101.81</v>
      </c>
      <c r="AC128" s="122"/>
      <c r="AD128" s="123">
        <v>1808.8820000000001</v>
      </c>
      <c r="AE128" s="122"/>
      <c r="AF128" s="122"/>
      <c r="AG128" s="122"/>
      <c r="AH128" s="125">
        <v>9.5E-4</v>
      </c>
      <c r="AI128" s="125">
        <v>1.086E-2</v>
      </c>
      <c r="AJ128" s="126">
        <v>1.5399999999999999E-3</v>
      </c>
      <c r="AK128" s="159"/>
    </row>
    <row r="129" spans="1:37" x14ac:dyDescent="0.2">
      <c r="A129" s="121" t="s">
        <v>1211</v>
      </c>
      <c r="B129" s="122" t="s">
        <v>1211</v>
      </c>
      <c r="C129" s="122" t="s">
        <v>1340</v>
      </c>
      <c r="D129" s="122" t="s">
        <v>1341</v>
      </c>
      <c r="E129" s="122" t="s">
        <v>429</v>
      </c>
      <c r="F129" s="122" t="s">
        <v>1345</v>
      </c>
      <c r="G129" s="122" t="s">
        <v>1346</v>
      </c>
      <c r="H129" s="122" t="s">
        <v>76</v>
      </c>
      <c r="I129" s="122" t="s">
        <v>229</v>
      </c>
      <c r="J129" s="122" t="s">
        <v>53</v>
      </c>
      <c r="K129" s="122" t="s">
        <v>53</v>
      </c>
      <c r="L129" s="122" t="s">
        <v>805</v>
      </c>
      <c r="M129" s="122" t="s">
        <v>311</v>
      </c>
      <c r="N129" s="122" t="s">
        <v>256</v>
      </c>
      <c r="O129" s="122" t="s">
        <v>62</v>
      </c>
      <c r="P129" s="122" t="s">
        <v>1330</v>
      </c>
      <c r="Q129" s="122" t="s">
        <v>65</v>
      </c>
      <c r="R129" s="122" t="s">
        <v>57</v>
      </c>
      <c r="S129" s="122" t="s">
        <v>1216</v>
      </c>
      <c r="T129" s="123">
        <v>0.73</v>
      </c>
      <c r="U129" s="122" t="s">
        <v>1347</v>
      </c>
      <c r="V129" s="125">
        <v>3.8E-3</v>
      </c>
      <c r="W129" s="125">
        <v>3.2289999999999999E-2</v>
      </c>
      <c r="X129" s="122" t="s">
        <v>620</v>
      </c>
      <c r="Y129" s="133"/>
      <c r="Z129" s="123">
        <v>1554896</v>
      </c>
      <c r="AA129" s="123">
        <v>1</v>
      </c>
      <c r="AB129" s="123">
        <v>114.65</v>
      </c>
      <c r="AC129" s="122"/>
      <c r="AD129" s="123">
        <v>1782.6880000000001</v>
      </c>
      <c r="AE129" s="122"/>
      <c r="AF129" s="122"/>
      <c r="AG129" s="122"/>
      <c r="AH129" s="125">
        <v>5.1999999999999995E-4</v>
      </c>
      <c r="AI129" s="125">
        <v>1.0710000000000001E-2</v>
      </c>
      <c r="AJ129" s="126">
        <v>1.5200000000000001E-3</v>
      </c>
      <c r="AK129" s="159"/>
    </row>
    <row r="130" spans="1:37" x14ac:dyDescent="0.2">
      <c r="A130" s="121" t="s">
        <v>1211</v>
      </c>
      <c r="B130" s="122" t="s">
        <v>1211</v>
      </c>
      <c r="C130" s="122" t="s">
        <v>1388</v>
      </c>
      <c r="D130" s="122" t="s">
        <v>1389</v>
      </c>
      <c r="E130" s="122" t="s">
        <v>429</v>
      </c>
      <c r="F130" s="122" t="s">
        <v>1390</v>
      </c>
      <c r="G130" s="122" t="s">
        <v>1391</v>
      </c>
      <c r="H130" s="122" t="s">
        <v>76</v>
      </c>
      <c r="I130" s="122" t="s">
        <v>229</v>
      </c>
      <c r="J130" s="122" t="s">
        <v>53</v>
      </c>
      <c r="K130" s="122" t="s">
        <v>53</v>
      </c>
      <c r="L130" s="122" t="s">
        <v>805</v>
      </c>
      <c r="M130" s="122" t="s">
        <v>311</v>
      </c>
      <c r="N130" s="122" t="s">
        <v>635</v>
      </c>
      <c r="O130" s="122" t="s">
        <v>62</v>
      </c>
      <c r="P130" s="122" t="s">
        <v>1324</v>
      </c>
      <c r="Q130" s="122" t="s">
        <v>65</v>
      </c>
      <c r="R130" s="122" t="s">
        <v>57</v>
      </c>
      <c r="S130" s="122" t="s">
        <v>1216</v>
      </c>
      <c r="T130" s="123">
        <v>4.2</v>
      </c>
      <c r="U130" s="122" t="s">
        <v>1392</v>
      </c>
      <c r="V130" s="125">
        <v>5.8999999999999999E-3</v>
      </c>
      <c r="W130" s="125">
        <v>2.912E-2</v>
      </c>
      <c r="X130" s="122" t="s">
        <v>620</v>
      </c>
      <c r="Y130" s="133"/>
      <c r="Z130" s="123">
        <v>1700000</v>
      </c>
      <c r="AA130" s="123">
        <v>1</v>
      </c>
      <c r="AB130" s="123">
        <v>104.71</v>
      </c>
      <c r="AC130" s="122"/>
      <c r="AD130" s="123">
        <v>1780.07</v>
      </c>
      <c r="AE130" s="122"/>
      <c r="AF130" s="122"/>
      <c r="AG130" s="122"/>
      <c r="AH130" s="125">
        <v>1.2099999999999999E-3</v>
      </c>
      <c r="AI130" s="125">
        <v>1.069E-2</v>
      </c>
      <c r="AJ130" s="126">
        <v>1.5200000000000001E-3</v>
      </c>
      <c r="AK130" s="159"/>
    </row>
    <row r="131" spans="1:37" x14ac:dyDescent="0.2">
      <c r="A131" s="121" t="s">
        <v>1211</v>
      </c>
      <c r="B131" s="122" t="s">
        <v>1211</v>
      </c>
      <c r="C131" s="122" t="s">
        <v>1570</v>
      </c>
      <c r="D131" s="122" t="s">
        <v>1571</v>
      </c>
      <c r="E131" s="122" t="s">
        <v>429</v>
      </c>
      <c r="F131" s="122" t="s">
        <v>1655</v>
      </c>
      <c r="G131" s="122" t="s">
        <v>1656</v>
      </c>
      <c r="H131" s="122" t="s">
        <v>76</v>
      </c>
      <c r="I131" s="122" t="s">
        <v>229</v>
      </c>
      <c r="J131" s="122" t="s">
        <v>53</v>
      </c>
      <c r="K131" s="122" t="s">
        <v>53</v>
      </c>
      <c r="L131" s="122" t="s">
        <v>805</v>
      </c>
      <c r="M131" s="122" t="s">
        <v>311</v>
      </c>
      <c r="N131" s="122" t="s">
        <v>635</v>
      </c>
      <c r="O131" s="122" t="s">
        <v>62</v>
      </c>
      <c r="P131" s="122" t="s">
        <v>1369</v>
      </c>
      <c r="Q131" s="122" t="s">
        <v>65</v>
      </c>
      <c r="R131" s="122" t="s">
        <v>57</v>
      </c>
      <c r="S131" s="122" t="s">
        <v>1216</v>
      </c>
      <c r="T131" s="123">
        <v>6.19</v>
      </c>
      <c r="U131" s="122" t="s">
        <v>1574</v>
      </c>
      <c r="V131" s="125">
        <v>2.5600000000000001E-2</v>
      </c>
      <c r="W131" s="125">
        <v>3.1859999999999999E-2</v>
      </c>
      <c r="X131" s="122" t="s">
        <v>620</v>
      </c>
      <c r="Y131" s="133"/>
      <c r="Z131" s="123">
        <v>1634735</v>
      </c>
      <c r="AA131" s="123">
        <v>1</v>
      </c>
      <c r="AB131" s="123">
        <v>108.14</v>
      </c>
      <c r="AC131" s="122"/>
      <c r="AD131" s="123">
        <v>1767.8019999999999</v>
      </c>
      <c r="AE131" s="122"/>
      <c r="AF131" s="122"/>
      <c r="AG131" s="122"/>
      <c r="AH131" s="125">
        <v>1.56E-3</v>
      </c>
      <c r="AI131" s="125">
        <v>1.0619999999999999E-2</v>
      </c>
      <c r="AJ131" s="126">
        <v>1.5100000000000001E-3</v>
      </c>
      <c r="AK131" s="159"/>
    </row>
    <row r="132" spans="1:37" x14ac:dyDescent="0.2">
      <c r="A132" s="121" t="s">
        <v>1211</v>
      </c>
      <c r="B132" s="122" t="s">
        <v>1211</v>
      </c>
      <c r="C132" s="122" t="s">
        <v>1326</v>
      </c>
      <c r="D132" s="122" t="s">
        <v>1327</v>
      </c>
      <c r="E132" s="122" t="s">
        <v>429</v>
      </c>
      <c r="F132" s="122" t="s">
        <v>1379</v>
      </c>
      <c r="G132" s="122" t="s">
        <v>1380</v>
      </c>
      <c r="H132" s="122" t="s">
        <v>76</v>
      </c>
      <c r="I132" s="122" t="s">
        <v>229</v>
      </c>
      <c r="J132" s="122" t="s">
        <v>53</v>
      </c>
      <c r="K132" s="122" t="s">
        <v>53</v>
      </c>
      <c r="L132" s="122" t="s">
        <v>805</v>
      </c>
      <c r="M132" s="122" t="s">
        <v>311</v>
      </c>
      <c r="N132" s="122" t="s">
        <v>256</v>
      </c>
      <c r="O132" s="122" t="s">
        <v>62</v>
      </c>
      <c r="P132" s="122" t="s">
        <v>1330</v>
      </c>
      <c r="Q132" s="122" t="s">
        <v>65</v>
      </c>
      <c r="R132" s="122" t="s">
        <v>57</v>
      </c>
      <c r="S132" s="122" t="s">
        <v>1216</v>
      </c>
      <c r="T132" s="123">
        <v>2.5499999999999998</v>
      </c>
      <c r="U132" s="122" t="s">
        <v>1381</v>
      </c>
      <c r="V132" s="125">
        <v>1.7500000000000002E-2</v>
      </c>
      <c r="W132" s="125">
        <v>2.563E-2</v>
      </c>
      <c r="X132" s="122" t="s">
        <v>620</v>
      </c>
      <c r="Y132" s="133"/>
      <c r="Z132" s="123">
        <v>1466388.17</v>
      </c>
      <c r="AA132" s="123">
        <v>1</v>
      </c>
      <c r="AB132" s="123">
        <v>117.2</v>
      </c>
      <c r="AC132" s="122"/>
      <c r="AD132" s="123">
        <v>1718.607</v>
      </c>
      <c r="AE132" s="122"/>
      <c r="AF132" s="122"/>
      <c r="AG132" s="122"/>
      <c r="AH132" s="125">
        <v>6.6E-4</v>
      </c>
      <c r="AI132" s="125">
        <v>1.0319999999999999E-2</v>
      </c>
      <c r="AJ132" s="126">
        <v>1.47E-3</v>
      </c>
      <c r="AK132" s="159"/>
    </row>
    <row r="133" spans="1:37" x14ac:dyDescent="0.2">
      <c r="A133" s="121" t="s">
        <v>1211</v>
      </c>
      <c r="B133" s="122" t="s">
        <v>1211</v>
      </c>
      <c r="C133" s="122" t="s">
        <v>1575</v>
      </c>
      <c r="D133" s="122" t="s">
        <v>1576</v>
      </c>
      <c r="E133" s="122" t="s">
        <v>429</v>
      </c>
      <c r="F133" s="122" t="s">
        <v>1577</v>
      </c>
      <c r="G133" s="122" t="s">
        <v>1578</v>
      </c>
      <c r="H133" s="122" t="s">
        <v>76</v>
      </c>
      <c r="I133" s="122" t="s">
        <v>229</v>
      </c>
      <c r="J133" s="122" t="s">
        <v>53</v>
      </c>
      <c r="K133" s="122" t="s">
        <v>53</v>
      </c>
      <c r="L133" s="122" t="s">
        <v>805</v>
      </c>
      <c r="M133" s="122" t="s">
        <v>311</v>
      </c>
      <c r="N133" s="122" t="s">
        <v>635</v>
      </c>
      <c r="O133" s="122" t="s">
        <v>62</v>
      </c>
      <c r="P133" s="122" t="s">
        <v>1377</v>
      </c>
      <c r="Q133" s="122" t="s">
        <v>70</v>
      </c>
      <c r="R133" s="122" t="s">
        <v>57</v>
      </c>
      <c r="S133" s="122" t="s">
        <v>1216</v>
      </c>
      <c r="T133" s="123">
        <v>3.52</v>
      </c>
      <c r="U133" s="122" t="s">
        <v>1579</v>
      </c>
      <c r="V133" s="125">
        <v>1.17E-2</v>
      </c>
      <c r="W133" s="125">
        <v>2.8369999999999999E-2</v>
      </c>
      <c r="X133" s="122" t="s">
        <v>620</v>
      </c>
      <c r="Y133" s="133"/>
      <c r="Z133" s="123">
        <v>1365890.5</v>
      </c>
      <c r="AA133" s="123">
        <v>1</v>
      </c>
      <c r="AB133" s="123">
        <v>111.54</v>
      </c>
      <c r="AC133" s="122"/>
      <c r="AD133" s="123">
        <v>1523.5139999999999</v>
      </c>
      <c r="AE133" s="122"/>
      <c r="AF133" s="122"/>
      <c r="AG133" s="122"/>
      <c r="AH133" s="125">
        <v>1.98E-3</v>
      </c>
      <c r="AI133" s="125">
        <v>9.1500000000000001E-3</v>
      </c>
      <c r="AJ133" s="126">
        <v>1.2999999999999999E-3</v>
      </c>
      <c r="AK133" s="159"/>
    </row>
    <row r="134" spans="1:37" x14ac:dyDescent="0.2">
      <c r="A134" s="121" t="s">
        <v>1211</v>
      </c>
      <c r="B134" s="122" t="s">
        <v>1211</v>
      </c>
      <c r="C134" s="122" t="s">
        <v>1326</v>
      </c>
      <c r="D134" s="122" t="s">
        <v>1327</v>
      </c>
      <c r="E134" s="122" t="s">
        <v>429</v>
      </c>
      <c r="F134" s="122" t="s">
        <v>1412</v>
      </c>
      <c r="G134" s="122" t="s">
        <v>1413</v>
      </c>
      <c r="H134" s="122" t="s">
        <v>76</v>
      </c>
      <c r="I134" s="122" t="s">
        <v>229</v>
      </c>
      <c r="J134" s="122" t="s">
        <v>53</v>
      </c>
      <c r="K134" s="122" t="s">
        <v>53</v>
      </c>
      <c r="L134" s="122" t="s">
        <v>805</v>
      </c>
      <c r="M134" s="122" t="s">
        <v>311</v>
      </c>
      <c r="N134" s="122" t="s">
        <v>256</v>
      </c>
      <c r="O134" s="122" t="s">
        <v>62</v>
      </c>
      <c r="P134" s="122" t="s">
        <v>1330</v>
      </c>
      <c r="Q134" s="122" t="s">
        <v>65</v>
      </c>
      <c r="R134" s="122" t="s">
        <v>57</v>
      </c>
      <c r="S134" s="122" t="s">
        <v>1216</v>
      </c>
      <c r="T134" s="123">
        <v>3.47</v>
      </c>
      <c r="U134" s="122" t="s">
        <v>1414</v>
      </c>
      <c r="V134" s="125">
        <v>1.3899999999999999E-2</v>
      </c>
      <c r="W134" s="125">
        <v>2.511E-2</v>
      </c>
      <c r="X134" s="122" t="s">
        <v>620</v>
      </c>
      <c r="Y134" s="133"/>
      <c r="Z134" s="123">
        <v>1358400.02</v>
      </c>
      <c r="AA134" s="123">
        <v>1</v>
      </c>
      <c r="AB134" s="123">
        <v>107.22</v>
      </c>
      <c r="AC134" s="122"/>
      <c r="AD134" s="123">
        <v>1456.4770000000001</v>
      </c>
      <c r="AE134" s="122"/>
      <c r="AF134" s="122"/>
      <c r="AG134" s="122"/>
      <c r="AH134" s="125">
        <v>8.4999999999999995E-4</v>
      </c>
      <c r="AI134" s="125">
        <v>8.7500000000000008E-3</v>
      </c>
      <c r="AJ134" s="126">
        <v>1.24E-3</v>
      </c>
      <c r="AK134" s="159"/>
    </row>
    <row r="135" spans="1:37" x14ac:dyDescent="0.2">
      <c r="A135" s="121" t="s">
        <v>1211</v>
      </c>
      <c r="B135" s="122" t="s">
        <v>1211</v>
      </c>
      <c r="C135" s="122" t="s">
        <v>1348</v>
      </c>
      <c r="D135" s="122" t="s">
        <v>1349</v>
      </c>
      <c r="E135" s="122" t="s">
        <v>429</v>
      </c>
      <c r="F135" s="122" t="s">
        <v>1356</v>
      </c>
      <c r="G135" s="122" t="s">
        <v>1357</v>
      </c>
      <c r="H135" s="122" t="s">
        <v>76</v>
      </c>
      <c r="I135" s="122" t="s">
        <v>229</v>
      </c>
      <c r="J135" s="122" t="s">
        <v>53</v>
      </c>
      <c r="K135" s="122" t="s">
        <v>53</v>
      </c>
      <c r="L135" s="122" t="s">
        <v>805</v>
      </c>
      <c r="M135" s="122" t="s">
        <v>311</v>
      </c>
      <c r="N135" s="122" t="s">
        <v>256</v>
      </c>
      <c r="O135" s="122" t="s">
        <v>62</v>
      </c>
      <c r="P135" s="122" t="s">
        <v>1215</v>
      </c>
      <c r="Q135" s="122" t="s">
        <v>70</v>
      </c>
      <c r="R135" s="122" t="s">
        <v>57</v>
      </c>
      <c r="S135" s="122" t="s">
        <v>1216</v>
      </c>
      <c r="T135" s="123">
        <v>6.71</v>
      </c>
      <c r="U135" s="122" t="s">
        <v>1358</v>
      </c>
      <c r="V135" s="125">
        <v>2.5999999999999999E-2</v>
      </c>
      <c r="W135" s="125">
        <v>2.5489999999999999E-2</v>
      </c>
      <c r="X135" s="122" t="s">
        <v>620</v>
      </c>
      <c r="Y135" s="133"/>
      <c r="Z135" s="123">
        <v>1430000</v>
      </c>
      <c r="AA135" s="123">
        <v>1</v>
      </c>
      <c r="AB135" s="123">
        <v>101.17</v>
      </c>
      <c r="AC135" s="122"/>
      <c r="AD135" s="123">
        <v>1446.731</v>
      </c>
      <c r="AE135" s="122"/>
      <c r="AF135" s="122"/>
      <c r="AG135" s="122"/>
      <c r="AH135" s="125">
        <v>7.7999999999999999E-4</v>
      </c>
      <c r="AI135" s="125">
        <v>8.6899999999999998E-3</v>
      </c>
      <c r="AJ135" s="126">
        <v>1.23E-3</v>
      </c>
      <c r="AK135" s="159"/>
    </row>
    <row r="136" spans="1:37" x14ac:dyDescent="0.2">
      <c r="A136" s="121" t="s">
        <v>1211</v>
      </c>
      <c r="B136" s="122" t="s">
        <v>1211</v>
      </c>
      <c r="C136" s="122" t="s">
        <v>1348</v>
      </c>
      <c r="D136" s="122" t="s">
        <v>1349</v>
      </c>
      <c r="E136" s="122" t="s">
        <v>429</v>
      </c>
      <c r="F136" s="122" t="s">
        <v>1359</v>
      </c>
      <c r="G136" s="122" t="s">
        <v>1360</v>
      </c>
      <c r="H136" s="122" t="s">
        <v>76</v>
      </c>
      <c r="I136" s="122" t="s">
        <v>228</v>
      </c>
      <c r="J136" s="122" t="s">
        <v>53</v>
      </c>
      <c r="K136" s="122" t="s">
        <v>53</v>
      </c>
      <c r="L136" s="122" t="s">
        <v>805</v>
      </c>
      <c r="M136" s="122" t="s">
        <v>311</v>
      </c>
      <c r="N136" s="122" t="s">
        <v>256</v>
      </c>
      <c r="O136" s="122" t="s">
        <v>62</v>
      </c>
      <c r="P136" s="122" t="s">
        <v>1215</v>
      </c>
      <c r="Q136" s="122" t="s">
        <v>70</v>
      </c>
      <c r="R136" s="122" t="s">
        <v>57</v>
      </c>
      <c r="S136" s="122" t="s">
        <v>1216</v>
      </c>
      <c r="T136" s="123">
        <v>5.78</v>
      </c>
      <c r="U136" s="122" t="s">
        <v>1361</v>
      </c>
      <c r="V136" s="125">
        <v>4.5900000000000003E-2</v>
      </c>
      <c r="W136" s="125">
        <v>4.5379999999999997E-2</v>
      </c>
      <c r="X136" s="122" t="s">
        <v>620</v>
      </c>
      <c r="Y136" s="133"/>
      <c r="Z136" s="123">
        <v>1430000</v>
      </c>
      <c r="AA136" s="123">
        <v>1</v>
      </c>
      <c r="AB136" s="123">
        <v>100.58</v>
      </c>
      <c r="AC136" s="122"/>
      <c r="AD136" s="123">
        <v>1438.2940000000001</v>
      </c>
      <c r="AE136" s="122"/>
      <c r="AF136" s="122"/>
      <c r="AG136" s="122"/>
      <c r="AH136" s="125">
        <v>7.6999999999999996E-4</v>
      </c>
      <c r="AI136" s="125">
        <v>8.6400000000000001E-3</v>
      </c>
      <c r="AJ136" s="126">
        <v>1.23E-3</v>
      </c>
      <c r="AK136" s="159"/>
    </row>
    <row r="137" spans="1:37" x14ac:dyDescent="0.2">
      <c r="A137" s="121" t="s">
        <v>1211</v>
      </c>
      <c r="B137" s="122" t="s">
        <v>1211</v>
      </c>
      <c r="C137" s="122" t="s">
        <v>1657</v>
      </c>
      <c r="D137" s="122" t="s">
        <v>1658</v>
      </c>
      <c r="E137" s="122" t="s">
        <v>429</v>
      </c>
      <c r="F137" s="122" t="s">
        <v>1659</v>
      </c>
      <c r="G137" s="122" t="s">
        <v>1660</v>
      </c>
      <c r="H137" s="122" t="s">
        <v>76</v>
      </c>
      <c r="I137" s="122" t="s">
        <v>229</v>
      </c>
      <c r="J137" s="122" t="s">
        <v>53</v>
      </c>
      <c r="K137" s="122" t="s">
        <v>53</v>
      </c>
      <c r="L137" s="122" t="s">
        <v>805</v>
      </c>
      <c r="M137" s="122" t="s">
        <v>311</v>
      </c>
      <c r="N137" s="122" t="s">
        <v>635</v>
      </c>
      <c r="O137" s="122" t="s">
        <v>62</v>
      </c>
      <c r="P137" s="122" t="s">
        <v>1324</v>
      </c>
      <c r="Q137" s="122" t="s">
        <v>65</v>
      </c>
      <c r="R137" s="122" t="s">
        <v>57</v>
      </c>
      <c r="S137" s="122" t="s">
        <v>1216</v>
      </c>
      <c r="T137" s="123">
        <v>4.62</v>
      </c>
      <c r="U137" s="122" t="s">
        <v>1661</v>
      </c>
      <c r="V137" s="125">
        <v>9.1999999999999998E-3</v>
      </c>
      <c r="W137" s="125">
        <v>2.8649999999999998E-2</v>
      </c>
      <c r="X137" s="122" t="s">
        <v>620</v>
      </c>
      <c r="Y137" s="133"/>
      <c r="Z137" s="123">
        <v>1300000</v>
      </c>
      <c r="AA137" s="123">
        <v>1</v>
      </c>
      <c r="AB137" s="123">
        <v>109.54</v>
      </c>
      <c r="AC137" s="122"/>
      <c r="AD137" s="123">
        <v>1424.02</v>
      </c>
      <c r="AE137" s="122"/>
      <c r="AF137" s="122"/>
      <c r="AG137" s="122"/>
      <c r="AH137" s="125">
        <v>5.0000000000000001E-4</v>
      </c>
      <c r="AI137" s="125">
        <v>8.5500000000000003E-3</v>
      </c>
      <c r="AJ137" s="126">
        <v>1.2099999999999999E-3</v>
      </c>
      <c r="AK137" s="159"/>
    </row>
    <row r="138" spans="1:37" x14ac:dyDescent="0.2">
      <c r="A138" s="121" t="s">
        <v>1211</v>
      </c>
      <c r="B138" s="122" t="s">
        <v>1211</v>
      </c>
      <c r="C138" s="122" t="s">
        <v>1407</v>
      </c>
      <c r="D138" s="122" t="s">
        <v>1408</v>
      </c>
      <c r="E138" s="122" t="s">
        <v>429</v>
      </c>
      <c r="F138" s="122" t="s">
        <v>1409</v>
      </c>
      <c r="G138" s="122" t="s">
        <v>1410</v>
      </c>
      <c r="H138" s="122" t="s">
        <v>76</v>
      </c>
      <c r="I138" s="122" t="s">
        <v>229</v>
      </c>
      <c r="J138" s="122" t="s">
        <v>53</v>
      </c>
      <c r="K138" s="122" t="s">
        <v>53</v>
      </c>
      <c r="L138" s="122" t="s">
        <v>805</v>
      </c>
      <c r="M138" s="122" t="s">
        <v>311</v>
      </c>
      <c r="N138" s="122" t="s">
        <v>256</v>
      </c>
      <c r="O138" s="122" t="s">
        <v>62</v>
      </c>
      <c r="P138" s="122" t="s">
        <v>1369</v>
      </c>
      <c r="Q138" s="122" t="s">
        <v>65</v>
      </c>
      <c r="R138" s="122" t="s">
        <v>57</v>
      </c>
      <c r="S138" s="122" t="s">
        <v>1216</v>
      </c>
      <c r="T138" s="123">
        <v>3.63</v>
      </c>
      <c r="U138" s="122" t="s">
        <v>1411</v>
      </c>
      <c r="V138" s="125">
        <v>2.5899999999999999E-2</v>
      </c>
      <c r="W138" s="125">
        <v>2.6700000000000002E-2</v>
      </c>
      <c r="X138" s="122" t="s">
        <v>620</v>
      </c>
      <c r="Y138" s="133"/>
      <c r="Z138" s="123">
        <v>1280000</v>
      </c>
      <c r="AA138" s="123">
        <v>1</v>
      </c>
      <c r="AB138" s="123">
        <v>107.69</v>
      </c>
      <c r="AC138" s="122"/>
      <c r="AD138" s="123">
        <v>1378.432</v>
      </c>
      <c r="AE138" s="122"/>
      <c r="AF138" s="122"/>
      <c r="AG138" s="122"/>
      <c r="AH138" s="125">
        <v>1.8699999999999999E-3</v>
      </c>
      <c r="AI138" s="125">
        <v>8.2799999999999992E-3</v>
      </c>
      <c r="AJ138" s="126">
        <v>1.1800000000000001E-3</v>
      </c>
      <c r="AK138" s="159"/>
    </row>
    <row r="139" spans="1:37" x14ac:dyDescent="0.2">
      <c r="A139" s="121" t="s">
        <v>1211</v>
      </c>
      <c r="B139" s="122" t="s">
        <v>1211</v>
      </c>
      <c r="C139" s="122" t="s">
        <v>1415</v>
      </c>
      <c r="D139" s="122" t="s">
        <v>1416</v>
      </c>
      <c r="E139" s="122" t="s">
        <v>429</v>
      </c>
      <c r="F139" s="122" t="s">
        <v>1417</v>
      </c>
      <c r="G139" s="122" t="s">
        <v>1418</v>
      </c>
      <c r="H139" s="122" t="s">
        <v>76</v>
      </c>
      <c r="I139" s="122" t="s">
        <v>228</v>
      </c>
      <c r="J139" s="122" t="s">
        <v>53</v>
      </c>
      <c r="K139" s="122" t="s">
        <v>53</v>
      </c>
      <c r="L139" s="122" t="s">
        <v>805</v>
      </c>
      <c r="M139" s="122" t="s">
        <v>311</v>
      </c>
      <c r="N139" s="122" t="s">
        <v>269</v>
      </c>
      <c r="O139" s="122" t="s">
        <v>62</v>
      </c>
      <c r="P139" s="122" t="s">
        <v>1369</v>
      </c>
      <c r="Q139" s="122" t="s">
        <v>65</v>
      </c>
      <c r="R139" s="122" t="s">
        <v>57</v>
      </c>
      <c r="S139" s="122" t="s">
        <v>1216</v>
      </c>
      <c r="T139" s="123">
        <v>4.45</v>
      </c>
      <c r="U139" s="122" t="s">
        <v>1325</v>
      </c>
      <c r="V139" s="125">
        <v>5.2499999999999998E-2</v>
      </c>
      <c r="W139" s="125">
        <v>4.6359999999999998E-2</v>
      </c>
      <c r="X139" s="122" t="s">
        <v>620</v>
      </c>
      <c r="Y139" s="133"/>
      <c r="Z139" s="123">
        <v>1280000</v>
      </c>
      <c r="AA139" s="123">
        <v>1</v>
      </c>
      <c r="AB139" s="123">
        <v>105.15</v>
      </c>
      <c r="AC139" s="122"/>
      <c r="AD139" s="123">
        <v>1345.92</v>
      </c>
      <c r="AE139" s="122"/>
      <c r="AF139" s="122"/>
      <c r="AG139" s="122"/>
      <c r="AH139" s="125">
        <v>1.5100000000000001E-3</v>
      </c>
      <c r="AI139" s="125">
        <v>8.0800000000000004E-3</v>
      </c>
      <c r="AJ139" s="126">
        <v>1.15E-3</v>
      </c>
      <c r="AK139" s="159"/>
    </row>
    <row r="140" spans="1:37" x14ac:dyDescent="0.2">
      <c r="A140" s="121" t="s">
        <v>1211</v>
      </c>
      <c r="B140" s="122" t="s">
        <v>1211</v>
      </c>
      <c r="C140" s="122" t="s">
        <v>1407</v>
      </c>
      <c r="D140" s="122" t="s">
        <v>1408</v>
      </c>
      <c r="E140" s="122" t="s">
        <v>429</v>
      </c>
      <c r="F140" s="122" t="s">
        <v>1662</v>
      </c>
      <c r="G140" s="122" t="s">
        <v>1663</v>
      </c>
      <c r="H140" s="122" t="s">
        <v>76</v>
      </c>
      <c r="I140" s="122" t="s">
        <v>229</v>
      </c>
      <c r="J140" s="122" t="s">
        <v>53</v>
      </c>
      <c r="K140" s="122" t="s">
        <v>53</v>
      </c>
      <c r="L140" s="122" t="s">
        <v>805</v>
      </c>
      <c r="M140" s="122" t="s">
        <v>311</v>
      </c>
      <c r="N140" s="122" t="s">
        <v>256</v>
      </c>
      <c r="O140" s="122" t="s">
        <v>62</v>
      </c>
      <c r="P140" s="122" t="s">
        <v>1369</v>
      </c>
      <c r="Q140" s="122" t="s">
        <v>65</v>
      </c>
      <c r="R140" s="122" t="s">
        <v>57</v>
      </c>
      <c r="S140" s="122" t="s">
        <v>1216</v>
      </c>
      <c r="T140" s="123">
        <v>1.73</v>
      </c>
      <c r="U140" s="122" t="s">
        <v>1458</v>
      </c>
      <c r="V140" s="125">
        <v>2E-3</v>
      </c>
      <c r="W140" s="125">
        <v>2.708E-2</v>
      </c>
      <c r="X140" s="122" t="s">
        <v>620</v>
      </c>
      <c r="Y140" s="133"/>
      <c r="Z140" s="123">
        <v>1178250</v>
      </c>
      <c r="AA140" s="123">
        <v>1</v>
      </c>
      <c r="AB140" s="123">
        <v>113.82</v>
      </c>
      <c r="AC140" s="122"/>
      <c r="AD140" s="123">
        <v>1341.0840000000001</v>
      </c>
      <c r="AE140" s="122"/>
      <c r="AF140" s="122"/>
      <c r="AG140" s="122"/>
      <c r="AH140" s="125">
        <v>1.8600000000000001E-3</v>
      </c>
      <c r="AI140" s="125">
        <v>8.0499999999999999E-3</v>
      </c>
      <c r="AJ140" s="126">
        <v>1.14E-3</v>
      </c>
      <c r="AK140" s="159"/>
    </row>
    <row r="141" spans="1:37" x14ac:dyDescent="0.2">
      <c r="A141" s="121" t="s">
        <v>1211</v>
      </c>
      <c r="B141" s="122" t="s">
        <v>1211</v>
      </c>
      <c r="C141" s="122" t="s">
        <v>1340</v>
      </c>
      <c r="D141" s="122" t="s">
        <v>1341</v>
      </c>
      <c r="E141" s="122" t="s">
        <v>429</v>
      </c>
      <c r="F141" s="122" t="s">
        <v>1362</v>
      </c>
      <c r="G141" s="122" t="s">
        <v>1363</v>
      </c>
      <c r="H141" s="122" t="s">
        <v>76</v>
      </c>
      <c r="I141" s="122" t="s">
        <v>229</v>
      </c>
      <c r="J141" s="122" t="s">
        <v>53</v>
      </c>
      <c r="K141" s="122" t="s">
        <v>53</v>
      </c>
      <c r="L141" s="122" t="s">
        <v>805</v>
      </c>
      <c r="M141" s="122" t="s">
        <v>311</v>
      </c>
      <c r="N141" s="122" t="s">
        <v>256</v>
      </c>
      <c r="O141" s="122" t="s">
        <v>62</v>
      </c>
      <c r="P141" s="122" t="s">
        <v>1215</v>
      </c>
      <c r="Q141" s="122" t="s">
        <v>70</v>
      </c>
      <c r="R141" s="122" t="s">
        <v>57</v>
      </c>
      <c r="S141" s="122" t="s">
        <v>1216</v>
      </c>
      <c r="T141" s="123">
        <v>1.17</v>
      </c>
      <c r="U141" s="122" t="s">
        <v>1364</v>
      </c>
      <c r="V141" s="125">
        <v>5.0000000000000001E-3</v>
      </c>
      <c r="W141" s="125">
        <v>2.9000000000000001E-2</v>
      </c>
      <c r="X141" s="122" t="s">
        <v>620</v>
      </c>
      <c r="Y141" s="133"/>
      <c r="Z141" s="123">
        <v>1165600</v>
      </c>
      <c r="AA141" s="123">
        <v>1</v>
      </c>
      <c r="AB141" s="123">
        <v>114.73</v>
      </c>
      <c r="AC141" s="122"/>
      <c r="AD141" s="123">
        <v>1337.2929999999999</v>
      </c>
      <c r="AE141" s="122"/>
      <c r="AF141" s="122"/>
      <c r="AG141" s="122"/>
      <c r="AH141" s="125">
        <v>1.5299999999999999E-3</v>
      </c>
      <c r="AI141" s="125">
        <v>8.0300000000000007E-3</v>
      </c>
      <c r="AJ141" s="126">
        <v>1.14E-3</v>
      </c>
      <c r="AK141" s="159"/>
    </row>
    <row r="142" spans="1:37" x14ac:dyDescent="0.2">
      <c r="A142" s="121" t="s">
        <v>1211</v>
      </c>
      <c r="B142" s="122" t="s">
        <v>1211</v>
      </c>
      <c r="C142" s="122" t="s">
        <v>1326</v>
      </c>
      <c r="D142" s="122" t="s">
        <v>1327</v>
      </c>
      <c r="E142" s="122" t="s">
        <v>429</v>
      </c>
      <c r="F142" s="122" t="s">
        <v>1439</v>
      </c>
      <c r="G142" s="122" t="s">
        <v>1440</v>
      </c>
      <c r="H142" s="122" t="s">
        <v>76</v>
      </c>
      <c r="I142" s="122" t="s">
        <v>229</v>
      </c>
      <c r="J142" s="122" t="s">
        <v>53</v>
      </c>
      <c r="K142" s="122" t="s">
        <v>53</v>
      </c>
      <c r="L142" s="122" t="s">
        <v>805</v>
      </c>
      <c r="M142" s="122" t="s">
        <v>311</v>
      </c>
      <c r="N142" s="122" t="s">
        <v>256</v>
      </c>
      <c r="O142" s="122" t="s">
        <v>62</v>
      </c>
      <c r="P142" s="122" t="s">
        <v>1330</v>
      </c>
      <c r="Q142" s="122" t="s">
        <v>65</v>
      </c>
      <c r="R142" s="122" t="s">
        <v>57</v>
      </c>
      <c r="S142" s="122" t="s">
        <v>1216</v>
      </c>
      <c r="T142" s="123">
        <v>3.09</v>
      </c>
      <c r="U142" s="122" t="s">
        <v>1441</v>
      </c>
      <c r="V142" s="125">
        <v>1E-3</v>
      </c>
      <c r="W142" s="125">
        <v>2.5270000000000001E-2</v>
      </c>
      <c r="X142" s="122" t="s">
        <v>620</v>
      </c>
      <c r="Y142" s="133"/>
      <c r="Z142" s="123">
        <v>1232000.02</v>
      </c>
      <c r="AA142" s="123">
        <v>1</v>
      </c>
      <c r="AB142" s="123">
        <v>107.45</v>
      </c>
      <c r="AC142" s="122"/>
      <c r="AD142" s="123">
        <v>1323.7840000000001</v>
      </c>
      <c r="AE142" s="122"/>
      <c r="AF142" s="122"/>
      <c r="AG142" s="122"/>
      <c r="AH142" s="125">
        <v>1.25E-3</v>
      </c>
      <c r="AI142" s="125">
        <v>7.9500000000000005E-3</v>
      </c>
      <c r="AJ142" s="126">
        <v>1.1299999999999999E-3</v>
      </c>
      <c r="AK142" s="159"/>
    </row>
    <row r="143" spans="1:37" x14ac:dyDescent="0.2">
      <c r="A143" s="121" t="s">
        <v>1211</v>
      </c>
      <c r="B143" s="122" t="s">
        <v>1211</v>
      </c>
      <c r="C143" s="122" t="s">
        <v>1566</v>
      </c>
      <c r="D143" s="122" t="s">
        <v>1567</v>
      </c>
      <c r="E143" s="122" t="s">
        <v>429</v>
      </c>
      <c r="F143" s="122" t="s">
        <v>1664</v>
      </c>
      <c r="G143" s="122" t="s">
        <v>1665</v>
      </c>
      <c r="H143" s="122" t="s">
        <v>76</v>
      </c>
      <c r="I143" s="122" t="s">
        <v>229</v>
      </c>
      <c r="J143" s="122" t="s">
        <v>53</v>
      </c>
      <c r="K143" s="122" t="s">
        <v>53</v>
      </c>
      <c r="L143" s="122" t="s">
        <v>805</v>
      </c>
      <c r="M143" s="122" t="s">
        <v>311</v>
      </c>
      <c r="N143" s="122" t="s">
        <v>156</v>
      </c>
      <c r="O143" s="122" t="s">
        <v>62</v>
      </c>
      <c r="P143" s="122" t="s">
        <v>1402</v>
      </c>
      <c r="Q143" s="122" t="s">
        <v>70</v>
      </c>
      <c r="R143" s="122" t="s">
        <v>57</v>
      </c>
      <c r="S143" s="122" t="s">
        <v>1216</v>
      </c>
      <c r="T143" s="123">
        <v>5.54</v>
      </c>
      <c r="U143" s="122" t="s">
        <v>1666</v>
      </c>
      <c r="V143" s="125">
        <v>3.3000000000000002E-2</v>
      </c>
      <c r="W143" s="125">
        <v>3.5000000000000003E-2</v>
      </c>
      <c r="X143" s="122" t="s">
        <v>620</v>
      </c>
      <c r="Y143" s="133"/>
      <c r="Z143" s="123">
        <v>1151500.02</v>
      </c>
      <c r="AA143" s="123">
        <v>1</v>
      </c>
      <c r="AB143" s="123">
        <v>108.72</v>
      </c>
      <c r="AC143" s="122"/>
      <c r="AD143" s="123">
        <v>1251.9110000000001</v>
      </c>
      <c r="AE143" s="122"/>
      <c r="AF143" s="122"/>
      <c r="AG143" s="122"/>
      <c r="AH143" s="125">
        <v>1E-3</v>
      </c>
      <c r="AI143" s="125">
        <v>7.5199999999999998E-3</v>
      </c>
      <c r="AJ143" s="126">
        <v>1.07E-3</v>
      </c>
      <c r="AK143" s="159"/>
    </row>
    <row r="144" spans="1:37" x14ac:dyDescent="0.2">
      <c r="A144" s="121" t="s">
        <v>1211</v>
      </c>
      <c r="B144" s="122" t="s">
        <v>1211</v>
      </c>
      <c r="C144" s="122" t="s">
        <v>1635</v>
      </c>
      <c r="D144" s="122" t="s">
        <v>1636</v>
      </c>
      <c r="E144" s="122" t="s">
        <v>429</v>
      </c>
      <c r="F144" s="122" t="s">
        <v>1667</v>
      </c>
      <c r="G144" s="122" t="s">
        <v>1668</v>
      </c>
      <c r="H144" s="122" t="s">
        <v>76</v>
      </c>
      <c r="I144" s="122" t="s">
        <v>229</v>
      </c>
      <c r="J144" s="122" t="s">
        <v>53</v>
      </c>
      <c r="K144" s="122" t="s">
        <v>53</v>
      </c>
      <c r="L144" s="122" t="s">
        <v>805</v>
      </c>
      <c r="M144" s="122" t="s">
        <v>311</v>
      </c>
      <c r="N144" s="122" t="s">
        <v>635</v>
      </c>
      <c r="O144" s="122" t="s">
        <v>62</v>
      </c>
      <c r="P144" s="122" t="s">
        <v>1324</v>
      </c>
      <c r="Q144" s="122" t="s">
        <v>65</v>
      </c>
      <c r="R144" s="122" t="s">
        <v>57</v>
      </c>
      <c r="S144" s="122" t="s">
        <v>1216</v>
      </c>
      <c r="T144" s="123">
        <v>3.08</v>
      </c>
      <c r="U144" s="122" t="s">
        <v>1669</v>
      </c>
      <c r="V144" s="125">
        <v>2.2499999999999999E-2</v>
      </c>
      <c r="W144" s="125">
        <v>2.9219999999999999E-2</v>
      </c>
      <c r="X144" s="122" t="s">
        <v>620</v>
      </c>
      <c r="Y144" s="133"/>
      <c r="Z144" s="123">
        <v>1055394.81</v>
      </c>
      <c r="AA144" s="123">
        <v>1</v>
      </c>
      <c r="AB144" s="123">
        <v>118.47</v>
      </c>
      <c r="AC144" s="122"/>
      <c r="AD144" s="123">
        <v>1250.326</v>
      </c>
      <c r="AE144" s="122"/>
      <c r="AF144" s="122"/>
      <c r="AG144" s="122"/>
      <c r="AH144" s="125">
        <v>6.0999999999999997E-4</v>
      </c>
      <c r="AI144" s="125">
        <v>7.5100000000000002E-3</v>
      </c>
      <c r="AJ144" s="126">
        <v>1.07E-3</v>
      </c>
      <c r="AK144" s="159"/>
    </row>
    <row r="145" spans="1:37" x14ac:dyDescent="0.2">
      <c r="A145" s="121" t="s">
        <v>1211</v>
      </c>
      <c r="B145" s="122" t="s">
        <v>1211</v>
      </c>
      <c r="C145" s="122" t="s">
        <v>1419</v>
      </c>
      <c r="D145" s="122" t="s">
        <v>1420</v>
      </c>
      <c r="E145" s="122" t="s">
        <v>429</v>
      </c>
      <c r="F145" s="122" t="s">
        <v>1488</v>
      </c>
      <c r="G145" s="122" t="s">
        <v>1489</v>
      </c>
      <c r="H145" s="122" t="s">
        <v>76</v>
      </c>
      <c r="I145" s="122" t="s">
        <v>229</v>
      </c>
      <c r="J145" s="122" t="s">
        <v>53</v>
      </c>
      <c r="K145" s="122" t="s">
        <v>53</v>
      </c>
      <c r="L145" s="122" t="s">
        <v>805</v>
      </c>
      <c r="M145" s="122" t="s">
        <v>311</v>
      </c>
      <c r="N145" s="122" t="s">
        <v>269</v>
      </c>
      <c r="O145" s="122" t="s">
        <v>62</v>
      </c>
      <c r="P145" s="122" t="s">
        <v>1423</v>
      </c>
      <c r="Q145" s="122" t="s">
        <v>70</v>
      </c>
      <c r="R145" s="122" t="s">
        <v>57</v>
      </c>
      <c r="S145" s="122" t="s">
        <v>1216</v>
      </c>
      <c r="T145" s="123">
        <v>3.74</v>
      </c>
      <c r="U145" s="122" t="s">
        <v>1490</v>
      </c>
      <c r="V145" s="125">
        <v>5.1700000000000003E-2</v>
      </c>
      <c r="W145" s="125">
        <v>4.6330000000000003E-2</v>
      </c>
      <c r="X145" s="122" t="s">
        <v>620</v>
      </c>
      <c r="Y145" s="133"/>
      <c r="Z145" s="123">
        <v>1187299</v>
      </c>
      <c r="AA145" s="123">
        <v>1</v>
      </c>
      <c r="AB145" s="123">
        <v>103.93</v>
      </c>
      <c r="AC145" s="122"/>
      <c r="AD145" s="123">
        <v>1233.96</v>
      </c>
      <c r="AE145" s="122"/>
      <c r="AF145" s="122"/>
      <c r="AG145" s="122"/>
      <c r="AH145" s="125">
        <v>1.9499999999999999E-3</v>
      </c>
      <c r="AI145" s="125">
        <v>7.4099999999999999E-3</v>
      </c>
      <c r="AJ145" s="126">
        <v>1.0499999999999999E-3</v>
      </c>
      <c r="AK145" s="159"/>
    </row>
    <row r="146" spans="1:37" x14ac:dyDescent="0.2">
      <c r="A146" s="121" t="s">
        <v>1211</v>
      </c>
      <c r="B146" s="122" t="s">
        <v>1211</v>
      </c>
      <c r="C146" s="122" t="s">
        <v>1670</v>
      </c>
      <c r="D146" s="122" t="s">
        <v>1671</v>
      </c>
      <c r="E146" s="122" t="s">
        <v>429</v>
      </c>
      <c r="F146" s="122" t="s">
        <v>1672</v>
      </c>
      <c r="G146" s="122" t="s">
        <v>1673</v>
      </c>
      <c r="H146" s="122" t="s">
        <v>76</v>
      </c>
      <c r="I146" s="122" t="s">
        <v>229</v>
      </c>
      <c r="J146" s="122" t="s">
        <v>53</v>
      </c>
      <c r="K146" s="122" t="s">
        <v>53</v>
      </c>
      <c r="L146" s="122" t="s">
        <v>805</v>
      </c>
      <c r="M146" s="122" t="s">
        <v>311</v>
      </c>
      <c r="N146" s="122" t="s">
        <v>140</v>
      </c>
      <c r="O146" s="122" t="s">
        <v>62</v>
      </c>
      <c r="P146" s="122" t="s">
        <v>1561</v>
      </c>
      <c r="Q146" s="122" t="s">
        <v>65</v>
      </c>
      <c r="R146" s="122" t="s">
        <v>57</v>
      </c>
      <c r="S146" s="122" t="s">
        <v>1216</v>
      </c>
      <c r="T146" s="123">
        <v>4.7</v>
      </c>
      <c r="U146" s="122" t="s">
        <v>1550</v>
      </c>
      <c r="V146" s="125">
        <v>4.0800000000000003E-2</v>
      </c>
      <c r="W146" s="125">
        <v>3.4079999999999999E-2</v>
      </c>
      <c r="X146" s="122" t="s">
        <v>620</v>
      </c>
      <c r="Y146" s="133"/>
      <c r="Z146" s="123">
        <v>1100000</v>
      </c>
      <c r="AA146" s="123">
        <v>1</v>
      </c>
      <c r="AB146" s="123">
        <v>111.71</v>
      </c>
      <c r="AC146" s="122"/>
      <c r="AD146" s="123">
        <v>1228.81</v>
      </c>
      <c r="AE146" s="122"/>
      <c r="AF146" s="122"/>
      <c r="AG146" s="122"/>
      <c r="AH146" s="125">
        <v>1.2700000000000001E-3</v>
      </c>
      <c r="AI146" s="125">
        <v>7.3800000000000003E-3</v>
      </c>
      <c r="AJ146" s="126">
        <v>1.0499999999999999E-3</v>
      </c>
      <c r="AK146" s="159"/>
    </row>
    <row r="147" spans="1:37" x14ac:dyDescent="0.2">
      <c r="A147" s="121" t="s">
        <v>1211</v>
      </c>
      <c r="B147" s="122" t="s">
        <v>1211</v>
      </c>
      <c r="C147" s="122" t="s">
        <v>1536</v>
      </c>
      <c r="D147" s="122" t="s">
        <v>1537</v>
      </c>
      <c r="E147" s="122" t="s">
        <v>429</v>
      </c>
      <c r="F147" s="122" t="s">
        <v>1674</v>
      </c>
      <c r="G147" s="122" t="s">
        <v>1675</v>
      </c>
      <c r="H147" s="122" t="s">
        <v>76</v>
      </c>
      <c r="I147" s="122" t="s">
        <v>228</v>
      </c>
      <c r="J147" s="122" t="s">
        <v>53</v>
      </c>
      <c r="K147" s="122" t="s">
        <v>53</v>
      </c>
      <c r="L147" s="122" t="s">
        <v>805</v>
      </c>
      <c r="M147" s="122" t="s">
        <v>311</v>
      </c>
      <c r="N147" s="122" t="s">
        <v>259</v>
      </c>
      <c r="O147" s="122" t="s">
        <v>62</v>
      </c>
      <c r="P147" s="122" t="s">
        <v>1540</v>
      </c>
      <c r="Q147" s="122" t="s">
        <v>70</v>
      </c>
      <c r="R147" s="122" t="s">
        <v>57</v>
      </c>
      <c r="S147" s="122" t="s">
        <v>1216</v>
      </c>
      <c r="T147" s="123">
        <v>3.75</v>
      </c>
      <c r="U147" s="122" t="s">
        <v>1676</v>
      </c>
      <c r="V147" s="125">
        <v>6.3299999999999995E-2</v>
      </c>
      <c r="W147" s="125">
        <v>5.2659999999999998E-2</v>
      </c>
      <c r="X147" s="122" t="s">
        <v>620</v>
      </c>
      <c r="Y147" s="133"/>
      <c r="Z147" s="123">
        <v>1170000</v>
      </c>
      <c r="AA147" s="123">
        <v>1</v>
      </c>
      <c r="AB147" s="123">
        <v>104.74</v>
      </c>
      <c r="AC147" s="122"/>
      <c r="AD147" s="123">
        <v>1225.4580000000001</v>
      </c>
      <c r="AE147" s="122"/>
      <c r="AF147" s="122"/>
      <c r="AG147" s="122"/>
      <c r="AH147" s="125">
        <v>1.7799999999999999E-3</v>
      </c>
      <c r="AI147" s="125">
        <v>7.3600000000000002E-3</v>
      </c>
      <c r="AJ147" s="126">
        <v>1.0399999999999999E-3</v>
      </c>
      <c r="AK147" s="159"/>
    </row>
    <row r="148" spans="1:37" x14ac:dyDescent="0.2">
      <c r="A148" s="121" t="s">
        <v>1211</v>
      </c>
      <c r="B148" s="122" t="s">
        <v>1211</v>
      </c>
      <c r="C148" s="122" t="s">
        <v>1635</v>
      </c>
      <c r="D148" s="122" t="s">
        <v>1636</v>
      </c>
      <c r="E148" s="122" t="s">
        <v>429</v>
      </c>
      <c r="F148" s="122" t="s">
        <v>1677</v>
      </c>
      <c r="G148" s="122" t="s">
        <v>1678</v>
      </c>
      <c r="H148" s="122" t="s">
        <v>76</v>
      </c>
      <c r="I148" s="122" t="s">
        <v>229</v>
      </c>
      <c r="J148" s="122" t="s">
        <v>53</v>
      </c>
      <c r="K148" s="122" t="s">
        <v>53</v>
      </c>
      <c r="L148" s="122" t="s">
        <v>805</v>
      </c>
      <c r="M148" s="122" t="s">
        <v>311</v>
      </c>
      <c r="N148" s="122" t="s">
        <v>635</v>
      </c>
      <c r="O148" s="122" t="s">
        <v>62</v>
      </c>
      <c r="P148" s="122" t="s">
        <v>1324</v>
      </c>
      <c r="Q148" s="122" t="s">
        <v>65</v>
      </c>
      <c r="R148" s="122" t="s">
        <v>57</v>
      </c>
      <c r="S148" s="122" t="s">
        <v>1216</v>
      </c>
      <c r="T148" s="123">
        <v>3.49</v>
      </c>
      <c r="U148" s="122" t="s">
        <v>1679</v>
      </c>
      <c r="V148" s="125">
        <v>1.43E-2</v>
      </c>
      <c r="W148" s="125">
        <v>2.801E-2</v>
      </c>
      <c r="X148" s="122" t="s">
        <v>620</v>
      </c>
      <c r="Y148" s="133"/>
      <c r="Z148" s="123">
        <v>1078021.99</v>
      </c>
      <c r="AA148" s="123">
        <v>1</v>
      </c>
      <c r="AB148" s="123">
        <v>113.61</v>
      </c>
      <c r="AC148" s="122"/>
      <c r="AD148" s="123">
        <v>1224.741</v>
      </c>
      <c r="AE148" s="122"/>
      <c r="AF148" s="122"/>
      <c r="AG148" s="122"/>
      <c r="AH148" s="125">
        <v>5.5999999999999995E-4</v>
      </c>
      <c r="AI148" s="125">
        <v>7.3600000000000002E-3</v>
      </c>
      <c r="AJ148" s="126">
        <v>1.0399999999999999E-3</v>
      </c>
      <c r="AK148" s="159"/>
    </row>
    <row r="149" spans="1:37" x14ac:dyDescent="0.2">
      <c r="A149" s="121" t="s">
        <v>1211</v>
      </c>
      <c r="B149" s="122" t="s">
        <v>1211</v>
      </c>
      <c r="C149" s="122" t="s">
        <v>1657</v>
      </c>
      <c r="D149" s="122" t="s">
        <v>1658</v>
      </c>
      <c r="E149" s="122" t="s">
        <v>429</v>
      </c>
      <c r="F149" s="122" t="s">
        <v>1680</v>
      </c>
      <c r="G149" s="122" t="s">
        <v>1681</v>
      </c>
      <c r="H149" s="122" t="s">
        <v>76</v>
      </c>
      <c r="I149" s="122" t="s">
        <v>228</v>
      </c>
      <c r="J149" s="122" t="s">
        <v>53</v>
      </c>
      <c r="K149" s="122" t="s">
        <v>53</v>
      </c>
      <c r="L149" s="122" t="s">
        <v>805</v>
      </c>
      <c r="M149" s="122" t="s">
        <v>311</v>
      </c>
      <c r="N149" s="122" t="s">
        <v>635</v>
      </c>
      <c r="O149" s="122" t="s">
        <v>62</v>
      </c>
      <c r="P149" s="122" t="s">
        <v>1324</v>
      </c>
      <c r="Q149" s="122" t="s">
        <v>65</v>
      </c>
      <c r="R149" s="122" t="s">
        <v>57</v>
      </c>
      <c r="S149" s="122" t="s">
        <v>1216</v>
      </c>
      <c r="T149" s="123">
        <v>4.42</v>
      </c>
      <c r="U149" s="122" t="s">
        <v>1661</v>
      </c>
      <c r="V149" s="125">
        <v>2.4400000000000002E-2</v>
      </c>
      <c r="W149" s="125">
        <v>4.6820000000000001E-2</v>
      </c>
      <c r="X149" s="122" t="s">
        <v>620</v>
      </c>
      <c r="Y149" s="133"/>
      <c r="Z149" s="123">
        <v>1300000</v>
      </c>
      <c r="AA149" s="123">
        <v>1</v>
      </c>
      <c r="AB149" s="123">
        <v>92.45</v>
      </c>
      <c r="AC149" s="122"/>
      <c r="AD149" s="123">
        <v>1201.8499999999999</v>
      </c>
      <c r="AE149" s="122"/>
      <c r="AF149" s="122"/>
      <c r="AG149" s="122"/>
      <c r="AH149" s="125">
        <v>1.07E-3</v>
      </c>
      <c r="AI149" s="125">
        <v>7.2199999999999999E-3</v>
      </c>
      <c r="AJ149" s="126">
        <v>1.0200000000000001E-3</v>
      </c>
      <c r="AK149" s="159"/>
    </row>
    <row r="150" spans="1:37" x14ac:dyDescent="0.2">
      <c r="A150" s="121" t="s">
        <v>1211</v>
      </c>
      <c r="B150" s="122" t="s">
        <v>1211</v>
      </c>
      <c r="C150" s="122" t="s">
        <v>1575</v>
      </c>
      <c r="D150" s="122" t="s">
        <v>1576</v>
      </c>
      <c r="E150" s="122" t="s">
        <v>429</v>
      </c>
      <c r="F150" s="122" t="s">
        <v>1682</v>
      </c>
      <c r="G150" s="122" t="s">
        <v>1683</v>
      </c>
      <c r="H150" s="122" t="s">
        <v>76</v>
      </c>
      <c r="I150" s="122" t="s">
        <v>229</v>
      </c>
      <c r="J150" s="122" t="s">
        <v>53</v>
      </c>
      <c r="K150" s="122" t="s">
        <v>53</v>
      </c>
      <c r="L150" s="122" t="s">
        <v>805</v>
      </c>
      <c r="M150" s="122" t="s">
        <v>311</v>
      </c>
      <c r="N150" s="122" t="s">
        <v>635</v>
      </c>
      <c r="O150" s="122" t="s">
        <v>62</v>
      </c>
      <c r="P150" s="122" t="s">
        <v>1324</v>
      </c>
      <c r="Q150" s="122" t="s">
        <v>65</v>
      </c>
      <c r="R150" s="122" t="s">
        <v>57</v>
      </c>
      <c r="S150" s="122" t="s">
        <v>1216</v>
      </c>
      <c r="T150" s="123">
        <v>2.7</v>
      </c>
      <c r="U150" s="122" t="s">
        <v>1684</v>
      </c>
      <c r="V150" s="125">
        <v>7.7999999999999996E-3</v>
      </c>
      <c r="W150" s="125">
        <v>2.708E-2</v>
      </c>
      <c r="X150" s="122" t="s">
        <v>620</v>
      </c>
      <c r="Y150" s="133"/>
      <c r="Z150" s="123">
        <v>1060000</v>
      </c>
      <c r="AA150" s="123">
        <v>1</v>
      </c>
      <c r="AB150" s="123">
        <v>111.71</v>
      </c>
      <c r="AC150" s="122"/>
      <c r="AD150" s="123">
        <v>1184.126</v>
      </c>
      <c r="AE150" s="122"/>
      <c r="AF150" s="122"/>
      <c r="AG150" s="122"/>
      <c r="AH150" s="125">
        <v>1.83E-3</v>
      </c>
      <c r="AI150" s="125">
        <v>7.11E-3</v>
      </c>
      <c r="AJ150" s="126">
        <v>1.01E-3</v>
      </c>
      <c r="AK150" s="159"/>
    </row>
    <row r="151" spans="1:37" x14ac:dyDescent="0.2">
      <c r="A151" s="121" t="s">
        <v>1211</v>
      </c>
      <c r="B151" s="122" t="s">
        <v>1211</v>
      </c>
      <c r="C151" s="122" t="s">
        <v>1650</v>
      </c>
      <c r="D151" s="122" t="s">
        <v>1651</v>
      </c>
      <c r="E151" s="122" t="s">
        <v>429</v>
      </c>
      <c r="F151" s="122" t="s">
        <v>1685</v>
      </c>
      <c r="G151" s="122" t="s">
        <v>1686</v>
      </c>
      <c r="H151" s="122" t="s">
        <v>76</v>
      </c>
      <c r="I151" s="122" t="s">
        <v>228</v>
      </c>
      <c r="J151" s="122" t="s">
        <v>53</v>
      </c>
      <c r="K151" s="122" t="s">
        <v>53</v>
      </c>
      <c r="L151" s="122" t="s">
        <v>805</v>
      </c>
      <c r="M151" s="122" t="s">
        <v>311</v>
      </c>
      <c r="N151" s="122" t="s">
        <v>156</v>
      </c>
      <c r="O151" s="122" t="s">
        <v>62</v>
      </c>
      <c r="P151" s="122" t="s">
        <v>1450</v>
      </c>
      <c r="Q151" s="122" t="s">
        <v>65</v>
      </c>
      <c r="R151" s="122" t="s">
        <v>57</v>
      </c>
      <c r="S151" s="122" t="s">
        <v>1216</v>
      </c>
      <c r="T151" s="123">
        <v>5.74</v>
      </c>
      <c r="U151" s="122" t="s">
        <v>1687</v>
      </c>
      <c r="V151" s="125">
        <v>5.2499999999999998E-2</v>
      </c>
      <c r="W151" s="125">
        <v>5.3260000000000002E-2</v>
      </c>
      <c r="X151" s="122" t="s">
        <v>620</v>
      </c>
      <c r="Y151" s="133"/>
      <c r="Z151" s="123">
        <v>1160000</v>
      </c>
      <c r="AA151" s="123">
        <v>1</v>
      </c>
      <c r="AB151" s="123">
        <v>101.34</v>
      </c>
      <c r="AC151" s="122"/>
      <c r="AD151" s="123">
        <v>1175.5440000000001</v>
      </c>
      <c r="AE151" s="122"/>
      <c r="AF151" s="122"/>
      <c r="AG151" s="122"/>
      <c r="AH151" s="125">
        <v>1.7600000000000001E-3</v>
      </c>
      <c r="AI151" s="125">
        <v>7.0600000000000003E-3</v>
      </c>
      <c r="AJ151" s="126">
        <v>1E-3</v>
      </c>
      <c r="AK151" s="159"/>
    </row>
    <row r="152" spans="1:37" x14ac:dyDescent="0.2">
      <c r="A152" s="121" t="s">
        <v>1211</v>
      </c>
      <c r="B152" s="122" t="s">
        <v>1211</v>
      </c>
      <c r="C152" s="122" t="s">
        <v>1688</v>
      </c>
      <c r="D152" s="122" t="s">
        <v>1689</v>
      </c>
      <c r="E152" s="122" t="s">
        <v>429</v>
      </c>
      <c r="F152" s="122" t="s">
        <v>1690</v>
      </c>
      <c r="G152" s="122" t="s">
        <v>1691</v>
      </c>
      <c r="H152" s="122" t="s">
        <v>76</v>
      </c>
      <c r="I152" s="122" t="s">
        <v>228</v>
      </c>
      <c r="J152" s="122" t="s">
        <v>53</v>
      </c>
      <c r="K152" s="122" t="s">
        <v>53</v>
      </c>
      <c r="L152" s="122" t="s">
        <v>805</v>
      </c>
      <c r="M152" s="122" t="s">
        <v>311</v>
      </c>
      <c r="N152" s="122" t="s">
        <v>269</v>
      </c>
      <c r="O152" s="122" t="s">
        <v>62</v>
      </c>
      <c r="P152" s="122" t="s">
        <v>1540</v>
      </c>
      <c r="Q152" s="122" t="s">
        <v>70</v>
      </c>
      <c r="R152" s="122" t="s">
        <v>57</v>
      </c>
      <c r="S152" s="122" t="s">
        <v>1216</v>
      </c>
      <c r="T152" s="123">
        <v>5.95</v>
      </c>
      <c r="U152" s="122" t="s">
        <v>1692</v>
      </c>
      <c r="V152" s="125">
        <v>5.1299999999999998E-2</v>
      </c>
      <c r="W152" s="125">
        <v>5.135E-2</v>
      </c>
      <c r="X152" s="122" t="s">
        <v>620</v>
      </c>
      <c r="Y152" s="133"/>
      <c r="Z152" s="123">
        <v>1170000</v>
      </c>
      <c r="AA152" s="123">
        <v>1</v>
      </c>
      <c r="AB152" s="123">
        <v>100.43</v>
      </c>
      <c r="AC152" s="122"/>
      <c r="AD152" s="123">
        <v>1175.0309999999999</v>
      </c>
      <c r="AE152" s="122"/>
      <c r="AF152" s="122"/>
      <c r="AG152" s="122"/>
      <c r="AH152" s="125">
        <v>3.4399999999999999E-3</v>
      </c>
      <c r="AI152" s="125">
        <v>7.0600000000000003E-3</v>
      </c>
      <c r="AJ152" s="126">
        <v>1E-3</v>
      </c>
      <c r="AK152" s="159"/>
    </row>
    <row r="153" spans="1:37" x14ac:dyDescent="0.2">
      <c r="A153" s="121" t="s">
        <v>1211</v>
      </c>
      <c r="B153" s="122" t="s">
        <v>1211</v>
      </c>
      <c r="C153" s="122" t="s">
        <v>1566</v>
      </c>
      <c r="D153" s="122" t="s">
        <v>1567</v>
      </c>
      <c r="E153" s="122" t="s">
        <v>429</v>
      </c>
      <c r="F153" s="122" t="s">
        <v>1568</v>
      </c>
      <c r="G153" s="122" t="s">
        <v>1569</v>
      </c>
      <c r="H153" s="122" t="s">
        <v>76</v>
      </c>
      <c r="I153" s="122" t="s">
        <v>229</v>
      </c>
      <c r="J153" s="122" t="s">
        <v>53</v>
      </c>
      <c r="K153" s="122" t="s">
        <v>53</v>
      </c>
      <c r="L153" s="122" t="s">
        <v>805</v>
      </c>
      <c r="M153" s="122" t="s">
        <v>311</v>
      </c>
      <c r="N153" s="122" t="s">
        <v>156</v>
      </c>
      <c r="O153" s="122" t="s">
        <v>62</v>
      </c>
      <c r="P153" s="122" t="s">
        <v>1402</v>
      </c>
      <c r="Q153" s="122" t="s">
        <v>70</v>
      </c>
      <c r="R153" s="122" t="s">
        <v>57</v>
      </c>
      <c r="S153" s="122" t="s">
        <v>1216</v>
      </c>
      <c r="T153" s="123">
        <v>3.22</v>
      </c>
      <c r="U153" s="122" t="s">
        <v>1438</v>
      </c>
      <c r="V153" s="125">
        <v>1.7999999999999999E-2</v>
      </c>
      <c r="W153" s="125">
        <v>3.1859999999999999E-2</v>
      </c>
      <c r="X153" s="122" t="s">
        <v>620</v>
      </c>
      <c r="Y153" s="133"/>
      <c r="Z153" s="123">
        <v>1032199.93</v>
      </c>
      <c r="AA153" s="123">
        <v>1</v>
      </c>
      <c r="AB153" s="123">
        <v>113.57</v>
      </c>
      <c r="AC153" s="122"/>
      <c r="AD153" s="123">
        <v>1172.269</v>
      </c>
      <c r="AE153" s="122"/>
      <c r="AF153" s="122"/>
      <c r="AG153" s="122"/>
      <c r="AH153" s="125">
        <v>1.2600000000000001E-3</v>
      </c>
      <c r="AI153" s="125">
        <v>7.0400000000000003E-3</v>
      </c>
      <c r="AJ153" s="126">
        <v>1E-3</v>
      </c>
      <c r="AK153" s="159"/>
    </row>
    <row r="154" spans="1:37" x14ac:dyDescent="0.2">
      <c r="A154" s="121" t="s">
        <v>1211</v>
      </c>
      <c r="B154" s="122" t="s">
        <v>1211</v>
      </c>
      <c r="C154" s="122" t="s">
        <v>1442</v>
      </c>
      <c r="D154" s="122" t="s">
        <v>1443</v>
      </c>
      <c r="E154" s="122" t="s">
        <v>429</v>
      </c>
      <c r="F154" s="122" t="s">
        <v>1693</v>
      </c>
      <c r="G154" s="122" t="s">
        <v>1694</v>
      </c>
      <c r="H154" s="122" t="s">
        <v>76</v>
      </c>
      <c r="I154" s="122" t="s">
        <v>229</v>
      </c>
      <c r="J154" s="122" t="s">
        <v>53</v>
      </c>
      <c r="K154" s="122" t="s">
        <v>53</v>
      </c>
      <c r="L154" s="122" t="s">
        <v>805</v>
      </c>
      <c r="M154" s="122" t="s">
        <v>311</v>
      </c>
      <c r="N154" s="122" t="s">
        <v>635</v>
      </c>
      <c r="O154" s="122" t="s">
        <v>62</v>
      </c>
      <c r="P154" s="122" t="s">
        <v>1324</v>
      </c>
      <c r="Q154" s="122" t="s">
        <v>65</v>
      </c>
      <c r="R154" s="122" t="s">
        <v>57</v>
      </c>
      <c r="S154" s="122" t="s">
        <v>1216</v>
      </c>
      <c r="T154" s="123">
        <v>6.97</v>
      </c>
      <c r="U154" s="122" t="s">
        <v>1695</v>
      </c>
      <c r="V154" s="125">
        <v>3.5999999999999997E-2</v>
      </c>
      <c r="W154" s="125">
        <v>2.9839999999999998E-2</v>
      </c>
      <c r="X154" s="122" t="s">
        <v>620</v>
      </c>
      <c r="Y154" s="133"/>
      <c r="Z154" s="123">
        <v>1070000</v>
      </c>
      <c r="AA154" s="123">
        <v>1</v>
      </c>
      <c r="AB154" s="123">
        <v>109.05</v>
      </c>
      <c r="AC154" s="122"/>
      <c r="AD154" s="123">
        <v>1166.835</v>
      </c>
      <c r="AE154" s="122"/>
      <c r="AF154" s="122"/>
      <c r="AG154" s="122"/>
      <c r="AH154" s="125">
        <v>1.2199999999999999E-3</v>
      </c>
      <c r="AI154" s="125">
        <v>7.0099999999999997E-3</v>
      </c>
      <c r="AJ154" s="126">
        <v>9.8999999999999999E-4</v>
      </c>
      <c r="AK154" s="159"/>
    </row>
    <row r="155" spans="1:37" x14ac:dyDescent="0.2">
      <c r="A155" s="121" t="s">
        <v>1211</v>
      </c>
      <c r="B155" s="122" t="s">
        <v>1211</v>
      </c>
      <c r="C155" s="122" t="s">
        <v>1696</v>
      </c>
      <c r="D155" s="122" t="s">
        <v>1697</v>
      </c>
      <c r="E155" s="122" t="s">
        <v>429</v>
      </c>
      <c r="F155" s="122" t="s">
        <v>1698</v>
      </c>
      <c r="G155" s="122" t="s">
        <v>1699</v>
      </c>
      <c r="H155" s="122" t="s">
        <v>76</v>
      </c>
      <c r="I155" s="122" t="s">
        <v>228</v>
      </c>
      <c r="J155" s="122" t="s">
        <v>53</v>
      </c>
      <c r="K155" s="122" t="s">
        <v>53</v>
      </c>
      <c r="L155" s="122" t="s">
        <v>805</v>
      </c>
      <c r="M155" s="122" t="s">
        <v>311</v>
      </c>
      <c r="N155" s="122" t="s">
        <v>635</v>
      </c>
      <c r="O155" s="122" t="s">
        <v>62</v>
      </c>
      <c r="P155" s="122" t="s">
        <v>1324</v>
      </c>
      <c r="Q155" s="122" t="s">
        <v>65</v>
      </c>
      <c r="R155" s="122" t="s">
        <v>57</v>
      </c>
      <c r="S155" s="122" t="s">
        <v>1216</v>
      </c>
      <c r="T155" s="123">
        <v>6.71</v>
      </c>
      <c r="U155" s="122" t="s">
        <v>1392</v>
      </c>
      <c r="V155" s="125">
        <v>5.2900000000000003E-2</v>
      </c>
      <c r="W155" s="125">
        <v>4.7379999999999999E-2</v>
      </c>
      <c r="X155" s="122" t="s">
        <v>620</v>
      </c>
      <c r="Y155" s="133"/>
      <c r="Z155" s="123">
        <v>1100000</v>
      </c>
      <c r="AA155" s="123">
        <v>1</v>
      </c>
      <c r="AB155" s="123">
        <v>105.74</v>
      </c>
      <c r="AC155" s="122"/>
      <c r="AD155" s="123">
        <v>1163.1400000000001</v>
      </c>
      <c r="AE155" s="122"/>
      <c r="AF155" s="122"/>
      <c r="AG155" s="122"/>
      <c r="AH155" s="125">
        <v>7.1999999999999998E-3</v>
      </c>
      <c r="AI155" s="125">
        <v>6.9899999999999997E-3</v>
      </c>
      <c r="AJ155" s="126">
        <v>9.8999999999999999E-4</v>
      </c>
      <c r="AK155" s="159"/>
    </row>
    <row r="156" spans="1:37" x14ac:dyDescent="0.2">
      <c r="A156" s="121" t="s">
        <v>1211</v>
      </c>
      <c r="B156" s="122" t="s">
        <v>1211</v>
      </c>
      <c r="C156" s="122" t="s">
        <v>1575</v>
      </c>
      <c r="D156" s="122" t="s">
        <v>1576</v>
      </c>
      <c r="E156" s="122" t="s">
        <v>429</v>
      </c>
      <c r="F156" s="122" t="s">
        <v>1700</v>
      </c>
      <c r="G156" s="122" t="s">
        <v>1701</v>
      </c>
      <c r="H156" s="122" t="s">
        <v>76</v>
      </c>
      <c r="I156" s="122" t="s">
        <v>229</v>
      </c>
      <c r="J156" s="122" t="s">
        <v>53</v>
      </c>
      <c r="K156" s="122" t="s">
        <v>53</v>
      </c>
      <c r="L156" s="122" t="s">
        <v>805</v>
      </c>
      <c r="M156" s="122" t="s">
        <v>311</v>
      </c>
      <c r="N156" s="122" t="s">
        <v>635</v>
      </c>
      <c r="O156" s="122" t="s">
        <v>62</v>
      </c>
      <c r="P156" s="122" t="s">
        <v>1377</v>
      </c>
      <c r="Q156" s="122" t="s">
        <v>70</v>
      </c>
      <c r="R156" s="122" t="s">
        <v>57</v>
      </c>
      <c r="S156" s="122" t="s">
        <v>1216</v>
      </c>
      <c r="T156" s="123">
        <v>7.01</v>
      </c>
      <c r="U156" s="122" t="s">
        <v>1702</v>
      </c>
      <c r="V156" s="125">
        <v>3.0599999999999999E-2</v>
      </c>
      <c r="W156" s="125">
        <v>3.1539999999999999E-2</v>
      </c>
      <c r="X156" s="122" t="s">
        <v>620</v>
      </c>
      <c r="Y156" s="133"/>
      <c r="Z156" s="123">
        <v>1150000</v>
      </c>
      <c r="AA156" s="123">
        <v>1</v>
      </c>
      <c r="AB156" s="123">
        <v>101.01</v>
      </c>
      <c r="AC156" s="122"/>
      <c r="AD156" s="123">
        <v>1161.615</v>
      </c>
      <c r="AE156" s="122"/>
      <c r="AF156" s="122"/>
      <c r="AG156" s="122"/>
      <c r="AH156" s="125">
        <v>1.06E-3</v>
      </c>
      <c r="AI156" s="125">
        <v>6.9800000000000001E-3</v>
      </c>
      <c r="AJ156" s="126">
        <v>9.8999999999999999E-4</v>
      </c>
      <c r="AK156" s="159"/>
    </row>
    <row r="157" spans="1:37" x14ac:dyDescent="0.2">
      <c r="A157" s="121" t="s">
        <v>1211</v>
      </c>
      <c r="B157" s="122" t="s">
        <v>1211</v>
      </c>
      <c r="C157" s="122" t="s">
        <v>1703</v>
      </c>
      <c r="D157" s="122" t="s">
        <v>1704</v>
      </c>
      <c r="E157" s="122" t="s">
        <v>429</v>
      </c>
      <c r="F157" s="122" t="s">
        <v>1705</v>
      </c>
      <c r="G157" s="122" t="s">
        <v>1706</v>
      </c>
      <c r="H157" s="122" t="s">
        <v>76</v>
      </c>
      <c r="I157" s="122" t="s">
        <v>228</v>
      </c>
      <c r="J157" s="122" t="s">
        <v>53</v>
      </c>
      <c r="K157" s="122" t="s">
        <v>53</v>
      </c>
      <c r="L157" s="122" t="s">
        <v>805</v>
      </c>
      <c r="M157" s="122" t="s">
        <v>311</v>
      </c>
      <c r="N157" s="122"/>
      <c r="O157" s="122" t="s">
        <v>62</v>
      </c>
      <c r="P157" s="122" t="s">
        <v>1450</v>
      </c>
      <c r="Q157" s="122" t="s">
        <v>65</v>
      </c>
      <c r="R157" s="122" t="s">
        <v>57</v>
      </c>
      <c r="S157" s="122" t="s">
        <v>1216</v>
      </c>
      <c r="T157" s="123">
        <v>7.16</v>
      </c>
      <c r="U157" s="122" t="s">
        <v>1707</v>
      </c>
      <c r="V157" s="125">
        <v>5.2200000000000003E-2</v>
      </c>
      <c r="W157" s="125">
        <v>5.1330000000000001E-2</v>
      </c>
      <c r="X157" s="122" t="s">
        <v>620</v>
      </c>
      <c r="Y157" s="133"/>
      <c r="Z157" s="123">
        <v>1137000</v>
      </c>
      <c r="AA157" s="123">
        <v>1</v>
      </c>
      <c r="AB157" s="123">
        <v>101.86</v>
      </c>
      <c r="AC157" s="122"/>
      <c r="AD157" s="123">
        <v>1158.1479999999999</v>
      </c>
      <c r="AE157" s="122"/>
      <c r="AF157" s="122"/>
      <c r="AG157" s="122"/>
      <c r="AH157" s="125">
        <v>3.79E-3</v>
      </c>
      <c r="AI157" s="125">
        <v>6.96E-3</v>
      </c>
      <c r="AJ157" s="126">
        <v>9.8999999999999999E-4</v>
      </c>
      <c r="AK157" s="159"/>
    </row>
    <row r="158" spans="1:37" x14ac:dyDescent="0.2">
      <c r="A158" s="121" t="s">
        <v>1211</v>
      </c>
      <c r="B158" s="122" t="s">
        <v>1211</v>
      </c>
      <c r="C158" s="122" t="s">
        <v>1419</v>
      </c>
      <c r="D158" s="122" t="s">
        <v>1420</v>
      </c>
      <c r="E158" s="122" t="s">
        <v>429</v>
      </c>
      <c r="F158" s="122" t="s">
        <v>1421</v>
      </c>
      <c r="G158" s="122" t="s">
        <v>1422</v>
      </c>
      <c r="H158" s="122" t="s">
        <v>76</v>
      </c>
      <c r="I158" s="122" t="s">
        <v>228</v>
      </c>
      <c r="J158" s="122" t="s">
        <v>53</v>
      </c>
      <c r="K158" s="122" t="s">
        <v>53</v>
      </c>
      <c r="L158" s="122" t="s">
        <v>805</v>
      </c>
      <c r="M158" s="122" t="s">
        <v>311</v>
      </c>
      <c r="N158" s="122" t="s">
        <v>269</v>
      </c>
      <c r="O158" s="122" t="s">
        <v>62</v>
      </c>
      <c r="P158" s="122" t="s">
        <v>1423</v>
      </c>
      <c r="Q158" s="122" t="s">
        <v>70</v>
      </c>
      <c r="R158" s="122" t="s">
        <v>57</v>
      </c>
      <c r="S158" s="122" t="s">
        <v>1216</v>
      </c>
      <c r="T158" s="123">
        <v>7.48</v>
      </c>
      <c r="U158" s="122" t="s">
        <v>1424</v>
      </c>
      <c r="V158" s="125">
        <v>5.0200000000000002E-2</v>
      </c>
      <c r="W158" s="125">
        <v>5.0930000000000003E-2</v>
      </c>
      <c r="X158" s="122" t="s">
        <v>620</v>
      </c>
      <c r="Y158" s="133"/>
      <c r="Z158" s="123">
        <v>1150000</v>
      </c>
      <c r="AA158" s="123">
        <v>1</v>
      </c>
      <c r="AB158" s="123">
        <v>100.3</v>
      </c>
      <c r="AC158" s="122"/>
      <c r="AD158" s="123">
        <v>1153.45</v>
      </c>
      <c r="AE158" s="122"/>
      <c r="AF158" s="122"/>
      <c r="AG158" s="122"/>
      <c r="AH158" s="125">
        <v>4.1099999999999999E-3</v>
      </c>
      <c r="AI158" s="125">
        <v>6.9300000000000004E-3</v>
      </c>
      <c r="AJ158" s="126">
        <v>9.7999999999999997E-4</v>
      </c>
      <c r="AK158" s="159"/>
    </row>
    <row r="159" spans="1:37" x14ac:dyDescent="0.2">
      <c r="A159" s="121" t="s">
        <v>1211</v>
      </c>
      <c r="B159" s="122" t="s">
        <v>1211</v>
      </c>
      <c r="C159" s="122" t="s">
        <v>1419</v>
      </c>
      <c r="D159" s="122" t="s">
        <v>1420</v>
      </c>
      <c r="E159" s="122" t="s">
        <v>429</v>
      </c>
      <c r="F159" s="122" t="s">
        <v>1425</v>
      </c>
      <c r="G159" s="122" t="s">
        <v>1426</v>
      </c>
      <c r="H159" s="122" t="s">
        <v>76</v>
      </c>
      <c r="I159" s="122" t="s">
        <v>228</v>
      </c>
      <c r="J159" s="122" t="s">
        <v>53</v>
      </c>
      <c r="K159" s="122" t="s">
        <v>53</v>
      </c>
      <c r="L159" s="122" t="s">
        <v>805</v>
      </c>
      <c r="M159" s="122" t="s">
        <v>311</v>
      </c>
      <c r="N159" s="122" t="s">
        <v>269</v>
      </c>
      <c r="O159" s="122" t="s">
        <v>62</v>
      </c>
      <c r="P159" s="122" t="s">
        <v>1423</v>
      </c>
      <c r="Q159" s="122" t="s">
        <v>70</v>
      </c>
      <c r="R159" s="122" t="s">
        <v>57</v>
      </c>
      <c r="S159" s="122" t="s">
        <v>1216</v>
      </c>
      <c r="T159" s="123">
        <v>8.1</v>
      </c>
      <c r="U159" s="122" t="s">
        <v>1427</v>
      </c>
      <c r="V159" s="125">
        <v>5.0200000000000002E-2</v>
      </c>
      <c r="W159" s="125">
        <v>5.1049999999999998E-2</v>
      </c>
      <c r="X159" s="122" t="s">
        <v>620</v>
      </c>
      <c r="Y159" s="133"/>
      <c r="Z159" s="123">
        <v>1150000</v>
      </c>
      <c r="AA159" s="123">
        <v>1</v>
      </c>
      <c r="AB159" s="123">
        <v>100.2</v>
      </c>
      <c r="AC159" s="122"/>
      <c r="AD159" s="123">
        <v>1152.3</v>
      </c>
      <c r="AE159" s="122"/>
      <c r="AF159" s="122"/>
      <c r="AG159" s="122"/>
      <c r="AH159" s="125">
        <v>4.1099999999999999E-3</v>
      </c>
      <c r="AI159" s="125">
        <v>6.9199999999999999E-3</v>
      </c>
      <c r="AJ159" s="126">
        <v>9.7999999999999997E-4</v>
      </c>
      <c r="AK159" s="159"/>
    </row>
    <row r="160" spans="1:37" x14ac:dyDescent="0.2">
      <c r="A160" s="121" t="s">
        <v>1211</v>
      </c>
      <c r="B160" s="122" t="s">
        <v>1211</v>
      </c>
      <c r="C160" s="122" t="s">
        <v>1708</v>
      </c>
      <c r="D160" s="122" t="s">
        <v>1709</v>
      </c>
      <c r="E160" s="122" t="s">
        <v>429</v>
      </c>
      <c r="F160" s="122" t="s">
        <v>1710</v>
      </c>
      <c r="G160" s="122" t="s">
        <v>1711</v>
      </c>
      <c r="H160" s="122" t="s">
        <v>76</v>
      </c>
      <c r="I160" s="122" t="s">
        <v>229</v>
      </c>
      <c r="J160" s="122" t="s">
        <v>53</v>
      </c>
      <c r="K160" s="122" t="s">
        <v>53</v>
      </c>
      <c r="L160" s="122" t="s">
        <v>805</v>
      </c>
      <c r="M160" s="122" t="s">
        <v>311</v>
      </c>
      <c r="N160" s="122" t="s">
        <v>692</v>
      </c>
      <c r="O160" s="122" t="s">
        <v>62</v>
      </c>
      <c r="P160" s="122"/>
      <c r="Q160" s="122" t="s">
        <v>298</v>
      </c>
      <c r="R160" s="122"/>
      <c r="S160" s="122" t="s">
        <v>1216</v>
      </c>
      <c r="T160" s="123">
        <v>6.48</v>
      </c>
      <c r="U160" s="122" t="s">
        <v>1712</v>
      </c>
      <c r="V160" s="125">
        <v>4.1000000000000002E-2</v>
      </c>
      <c r="W160" s="125">
        <v>3.7769999999999998E-2</v>
      </c>
      <c r="X160" s="122" t="s">
        <v>620</v>
      </c>
      <c r="Y160" s="133"/>
      <c r="Z160" s="123">
        <v>1095000</v>
      </c>
      <c r="AA160" s="123">
        <v>1</v>
      </c>
      <c r="AB160" s="123">
        <v>104.73</v>
      </c>
      <c r="AC160" s="122"/>
      <c r="AD160" s="123">
        <v>1146.7940000000001</v>
      </c>
      <c r="AE160" s="122"/>
      <c r="AF160" s="122"/>
      <c r="AG160" s="122"/>
      <c r="AH160" s="125">
        <v>3.9100000000000003E-3</v>
      </c>
      <c r="AI160" s="125">
        <v>6.8900000000000003E-3</v>
      </c>
      <c r="AJ160" s="126">
        <v>9.7999999999999997E-4</v>
      </c>
      <c r="AK160" s="159"/>
    </row>
    <row r="161" spans="1:37" x14ac:dyDescent="0.2">
      <c r="A161" s="121" t="s">
        <v>1211</v>
      </c>
      <c r="B161" s="122" t="s">
        <v>1211</v>
      </c>
      <c r="C161" s="122" t="s">
        <v>1713</v>
      </c>
      <c r="D161" s="122" t="s">
        <v>1714</v>
      </c>
      <c r="E161" s="122" t="s">
        <v>429</v>
      </c>
      <c r="F161" s="122" t="s">
        <v>1715</v>
      </c>
      <c r="G161" s="122" t="s">
        <v>1716</v>
      </c>
      <c r="H161" s="122" t="s">
        <v>76</v>
      </c>
      <c r="I161" s="122" t="s">
        <v>228</v>
      </c>
      <c r="J161" s="122" t="s">
        <v>53</v>
      </c>
      <c r="K161" s="122" t="s">
        <v>314</v>
      </c>
      <c r="L161" s="122" t="s">
        <v>805</v>
      </c>
      <c r="M161" s="122" t="s">
        <v>311</v>
      </c>
      <c r="N161" s="122" t="s">
        <v>636</v>
      </c>
      <c r="O161" s="122" t="s">
        <v>62</v>
      </c>
      <c r="P161" s="122" t="s">
        <v>1369</v>
      </c>
      <c r="Q161" s="122" t="s">
        <v>65</v>
      </c>
      <c r="R161" s="122" t="s">
        <v>57</v>
      </c>
      <c r="S161" s="122" t="s">
        <v>1216</v>
      </c>
      <c r="T161" s="123">
        <v>5.48</v>
      </c>
      <c r="U161" s="122" t="s">
        <v>1717</v>
      </c>
      <c r="V161" s="125">
        <v>6.5000000000000002E-2</v>
      </c>
      <c r="W161" s="125">
        <v>5.892E-2</v>
      </c>
      <c r="X161" s="122" t="s">
        <v>620</v>
      </c>
      <c r="Y161" s="133"/>
      <c r="Z161" s="123">
        <v>1045116</v>
      </c>
      <c r="AA161" s="123">
        <v>1</v>
      </c>
      <c r="AB161" s="123">
        <v>106.8</v>
      </c>
      <c r="AC161" s="122"/>
      <c r="AD161" s="123">
        <v>1116.184</v>
      </c>
      <c r="AE161" s="122"/>
      <c r="AF161" s="122"/>
      <c r="AG161" s="122"/>
      <c r="AH161" s="125">
        <v>1.74E-3</v>
      </c>
      <c r="AI161" s="125">
        <v>6.7000000000000002E-3</v>
      </c>
      <c r="AJ161" s="126">
        <v>9.5E-4</v>
      </c>
      <c r="AK161" s="159"/>
    </row>
    <row r="162" spans="1:37" x14ac:dyDescent="0.2">
      <c r="A162" s="121" t="s">
        <v>1211</v>
      </c>
      <c r="B162" s="122" t="s">
        <v>1211</v>
      </c>
      <c r="C162" s="122" t="s">
        <v>1431</v>
      </c>
      <c r="D162" s="122" t="s">
        <v>1432</v>
      </c>
      <c r="E162" s="122" t="s">
        <v>429</v>
      </c>
      <c r="F162" s="122" t="s">
        <v>1718</v>
      </c>
      <c r="G162" s="122" t="s">
        <v>1719</v>
      </c>
      <c r="H162" s="122" t="s">
        <v>76</v>
      </c>
      <c r="I162" s="122" t="s">
        <v>229</v>
      </c>
      <c r="J162" s="122" t="s">
        <v>53</v>
      </c>
      <c r="K162" s="122" t="s">
        <v>53</v>
      </c>
      <c r="L162" s="122" t="s">
        <v>805</v>
      </c>
      <c r="M162" s="122" t="s">
        <v>311</v>
      </c>
      <c r="N162" s="122" t="s">
        <v>636</v>
      </c>
      <c r="O162" s="122" t="s">
        <v>62</v>
      </c>
      <c r="P162" s="122" t="s">
        <v>1450</v>
      </c>
      <c r="Q162" s="122" t="s">
        <v>65</v>
      </c>
      <c r="R162" s="122" t="s">
        <v>57</v>
      </c>
      <c r="S162" s="122" t="s">
        <v>1216</v>
      </c>
      <c r="T162" s="123">
        <v>6.47</v>
      </c>
      <c r="U162" s="122" t="s">
        <v>1666</v>
      </c>
      <c r="V162" s="125">
        <v>4.02E-2</v>
      </c>
      <c r="W162" s="125">
        <v>3.2960000000000003E-2</v>
      </c>
      <c r="X162" s="122" t="s">
        <v>620</v>
      </c>
      <c r="Y162" s="133"/>
      <c r="Z162" s="123">
        <v>1025000</v>
      </c>
      <c r="AA162" s="123">
        <v>1</v>
      </c>
      <c r="AB162" s="123">
        <v>108.86</v>
      </c>
      <c r="AC162" s="122"/>
      <c r="AD162" s="123">
        <v>1115.8150000000001</v>
      </c>
      <c r="AE162" s="122"/>
      <c r="AF162" s="122"/>
      <c r="AG162" s="122"/>
      <c r="AH162" s="125">
        <v>1.2700000000000001E-3</v>
      </c>
      <c r="AI162" s="125">
        <v>6.7000000000000002E-3</v>
      </c>
      <c r="AJ162" s="126">
        <v>9.5E-4</v>
      </c>
      <c r="AK162" s="159"/>
    </row>
    <row r="163" spans="1:37" x14ac:dyDescent="0.2">
      <c r="A163" s="121" t="s">
        <v>1211</v>
      </c>
      <c r="B163" s="122" t="s">
        <v>1211</v>
      </c>
      <c r="C163" s="122" t="s">
        <v>1713</v>
      </c>
      <c r="D163" s="122" t="s">
        <v>1714</v>
      </c>
      <c r="E163" s="122" t="s">
        <v>429</v>
      </c>
      <c r="F163" s="122" t="s">
        <v>1720</v>
      </c>
      <c r="G163" s="122" t="s">
        <v>1721</v>
      </c>
      <c r="H163" s="122" t="s">
        <v>76</v>
      </c>
      <c r="I163" s="122" t="s">
        <v>228</v>
      </c>
      <c r="J163" s="122" t="s">
        <v>53</v>
      </c>
      <c r="K163" s="122" t="s">
        <v>314</v>
      </c>
      <c r="L163" s="122" t="s">
        <v>805</v>
      </c>
      <c r="M163" s="122" t="s">
        <v>311</v>
      </c>
      <c r="N163" s="122" t="s">
        <v>636</v>
      </c>
      <c r="O163" s="122" t="s">
        <v>62</v>
      </c>
      <c r="P163" s="122" t="s">
        <v>1369</v>
      </c>
      <c r="Q163" s="122" t="s">
        <v>65</v>
      </c>
      <c r="R163" s="122" t="s">
        <v>57</v>
      </c>
      <c r="S163" s="122" t="s">
        <v>1216</v>
      </c>
      <c r="T163" s="123">
        <v>4.1500000000000004</v>
      </c>
      <c r="U163" s="122" t="s">
        <v>1455</v>
      </c>
      <c r="V163" s="125">
        <v>5.8000000000000003E-2</v>
      </c>
      <c r="W163" s="125">
        <v>5.7189999999999998E-2</v>
      </c>
      <c r="X163" s="122" t="s">
        <v>620</v>
      </c>
      <c r="Y163" s="133"/>
      <c r="Z163" s="123">
        <v>1087000</v>
      </c>
      <c r="AA163" s="123">
        <v>1</v>
      </c>
      <c r="AB163" s="123">
        <v>102.45</v>
      </c>
      <c r="AC163" s="122"/>
      <c r="AD163" s="123">
        <v>1113.6320000000001</v>
      </c>
      <c r="AE163" s="122"/>
      <c r="AF163" s="122"/>
      <c r="AG163" s="122"/>
      <c r="AH163" s="125">
        <v>3.1099999999999999E-3</v>
      </c>
      <c r="AI163" s="125">
        <v>6.6899999999999998E-3</v>
      </c>
      <c r="AJ163" s="126">
        <v>9.5E-4</v>
      </c>
      <c r="AK163" s="159"/>
    </row>
    <row r="164" spans="1:37" x14ac:dyDescent="0.2">
      <c r="A164" s="121" t="s">
        <v>1211</v>
      </c>
      <c r="B164" s="122" t="s">
        <v>1211</v>
      </c>
      <c r="C164" s="122" t="s">
        <v>1393</v>
      </c>
      <c r="D164" s="122" t="s">
        <v>1394</v>
      </c>
      <c r="E164" s="122" t="s">
        <v>429</v>
      </c>
      <c r="F164" s="122" t="s">
        <v>1722</v>
      </c>
      <c r="G164" s="122" t="s">
        <v>1723</v>
      </c>
      <c r="H164" s="122" t="s">
        <v>76</v>
      </c>
      <c r="I164" s="122" t="s">
        <v>228</v>
      </c>
      <c r="J164" s="122" t="s">
        <v>53</v>
      </c>
      <c r="K164" s="122" t="s">
        <v>53</v>
      </c>
      <c r="L164" s="122" t="s">
        <v>805</v>
      </c>
      <c r="M164" s="122" t="s">
        <v>311</v>
      </c>
      <c r="N164" s="122" t="s">
        <v>269</v>
      </c>
      <c r="O164" s="122" t="s">
        <v>62</v>
      </c>
      <c r="P164" s="122" t="s">
        <v>1369</v>
      </c>
      <c r="Q164" s="122" t="s">
        <v>65</v>
      </c>
      <c r="R164" s="122" t="s">
        <v>57</v>
      </c>
      <c r="S164" s="122" t="s">
        <v>1216</v>
      </c>
      <c r="T164" s="123">
        <v>6.61</v>
      </c>
      <c r="U164" s="122" t="s">
        <v>1644</v>
      </c>
      <c r="V164" s="125">
        <v>6.0199999999999997E-2</v>
      </c>
      <c r="W164" s="125">
        <v>4.7629999999999999E-2</v>
      </c>
      <c r="X164" s="122" t="s">
        <v>620</v>
      </c>
      <c r="Y164" s="133"/>
      <c r="Z164" s="123">
        <v>1000000</v>
      </c>
      <c r="AA164" s="123">
        <v>1</v>
      </c>
      <c r="AB164" s="123">
        <v>110.37</v>
      </c>
      <c r="AC164" s="122"/>
      <c r="AD164" s="123">
        <v>1103.7</v>
      </c>
      <c r="AE164" s="122"/>
      <c r="AF164" s="122"/>
      <c r="AG164" s="122"/>
      <c r="AH164" s="125">
        <v>2E-3</v>
      </c>
      <c r="AI164" s="125">
        <v>6.6299999999999996E-3</v>
      </c>
      <c r="AJ164" s="126">
        <v>9.3999999999999997E-4</v>
      </c>
      <c r="AK164" s="159"/>
    </row>
    <row r="165" spans="1:37" x14ac:dyDescent="0.2">
      <c r="A165" s="121" t="s">
        <v>1211</v>
      </c>
      <c r="B165" s="122" t="s">
        <v>1211</v>
      </c>
      <c r="C165" s="122" t="s">
        <v>1340</v>
      </c>
      <c r="D165" s="122" t="s">
        <v>1341</v>
      </c>
      <c r="E165" s="122" t="s">
        <v>429</v>
      </c>
      <c r="F165" s="122" t="s">
        <v>1724</v>
      </c>
      <c r="G165" s="122" t="s">
        <v>1725</v>
      </c>
      <c r="H165" s="122" t="s">
        <v>76</v>
      </c>
      <c r="I165" s="122" t="s">
        <v>229</v>
      </c>
      <c r="J165" s="122" t="s">
        <v>53</v>
      </c>
      <c r="K165" s="122" t="s">
        <v>53</v>
      </c>
      <c r="L165" s="122" t="s">
        <v>805</v>
      </c>
      <c r="M165" s="122" t="s">
        <v>311</v>
      </c>
      <c r="N165" s="122" t="s">
        <v>256</v>
      </c>
      <c r="O165" s="122" t="s">
        <v>62</v>
      </c>
      <c r="P165" s="122" t="s">
        <v>1330</v>
      </c>
      <c r="Q165" s="122" t="s">
        <v>65</v>
      </c>
      <c r="R165" s="122" t="s">
        <v>57</v>
      </c>
      <c r="S165" s="122" t="s">
        <v>1216</v>
      </c>
      <c r="T165" s="123">
        <v>3.02</v>
      </c>
      <c r="U165" s="122" t="s">
        <v>1726</v>
      </c>
      <c r="V165" s="125">
        <v>1.6400000000000001E-2</v>
      </c>
      <c r="W165" s="125">
        <v>2.5909999999999999E-2</v>
      </c>
      <c r="X165" s="122" t="s">
        <v>620</v>
      </c>
      <c r="Y165" s="133"/>
      <c r="Z165" s="123">
        <v>1011140.04</v>
      </c>
      <c r="AA165" s="123">
        <v>1</v>
      </c>
      <c r="AB165" s="123">
        <v>108.49</v>
      </c>
      <c r="AC165" s="122"/>
      <c r="AD165" s="123">
        <v>1096.9860000000001</v>
      </c>
      <c r="AE165" s="122"/>
      <c r="AF165" s="122"/>
      <c r="AG165" s="122"/>
      <c r="AH165" s="125">
        <v>1.07E-3</v>
      </c>
      <c r="AI165" s="125">
        <v>6.5900000000000004E-3</v>
      </c>
      <c r="AJ165" s="126">
        <v>9.3999999999999997E-4</v>
      </c>
      <c r="AK165" s="159"/>
    </row>
    <row r="166" spans="1:37" x14ac:dyDescent="0.2">
      <c r="A166" s="121" t="s">
        <v>1211</v>
      </c>
      <c r="B166" s="122" t="s">
        <v>1211</v>
      </c>
      <c r="C166" s="122" t="s">
        <v>1727</v>
      </c>
      <c r="D166" s="122" t="s">
        <v>1728</v>
      </c>
      <c r="E166" s="122" t="s">
        <v>429</v>
      </c>
      <c r="F166" s="122" t="s">
        <v>1729</v>
      </c>
      <c r="G166" s="122" t="s">
        <v>1730</v>
      </c>
      <c r="H166" s="122" t="s">
        <v>76</v>
      </c>
      <c r="I166" s="122" t="s">
        <v>228</v>
      </c>
      <c r="J166" s="122" t="s">
        <v>53</v>
      </c>
      <c r="K166" s="122" t="s">
        <v>53</v>
      </c>
      <c r="L166" s="122" t="s">
        <v>805</v>
      </c>
      <c r="M166" s="122" t="s">
        <v>311</v>
      </c>
      <c r="N166" s="122" t="s">
        <v>269</v>
      </c>
      <c r="O166" s="122" t="s">
        <v>62</v>
      </c>
      <c r="P166" s="122" t="s">
        <v>1454</v>
      </c>
      <c r="Q166" s="122" t="s">
        <v>70</v>
      </c>
      <c r="R166" s="122" t="s">
        <v>57</v>
      </c>
      <c r="S166" s="122" t="s">
        <v>1216</v>
      </c>
      <c r="T166" s="123">
        <v>4.6900000000000004</v>
      </c>
      <c r="U166" s="122" t="s">
        <v>1427</v>
      </c>
      <c r="V166" s="125">
        <v>1.95E-2</v>
      </c>
      <c r="W166" s="125">
        <v>4.5310000000000003E-2</v>
      </c>
      <c r="X166" s="122" t="s">
        <v>620</v>
      </c>
      <c r="Y166" s="133"/>
      <c r="Z166" s="123">
        <v>1225395.1200000001</v>
      </c>
      <c r="AA166" s="123">
        <v>1</v>
      </c>
      <c r="AB166" s="123">
        <v>89.16</v>
      </c>
      <c r="AC166" s="122"/>
      <c r="AD166" s="123">
        <v>1092.5619999999999</v>
      </c>
      <c r="AE166" s="122"/>
      <c r="AF166" s="122"/>
      <c r="AG166" s="122"/>
      <c r="AH166" s="125">
        <v>1.2800000000000001E-3</v>
      </c>
      <c r="AI166" s="125">
        <v>6.5599999999999999E-3</v>
      </c>
      <c r="AJ166" s="126">
        <v>9.3000000000000005E-4</v>
      </c>
      <c r="AK166" s="159"/>
    </row>
    <row r="167" spans="1:37" x14ac:dyDescent="0.2">
      <c r="A167" s="121" t="s">
        <v>1211</v>
      </c>
      <c r="B167" s="122" t="s">
        <v>1211</v>
      </c>
      <c r="C167" s="122" t="s">
        <v>1373</v>
      </c>
      <c r="D167" s="122" t="s">
        <v>1374</v>
      </c>
      <c r="E167" s="122" t="s">
        <v>429</v>
      </c>
      <c r="F167" s="122" t="s">
        <v>1375</v>
      </c>
      <c r="G167" s="122" t="s">
        <v>1376</v>
      </c>
      <c r="H167" s="122" t="s">
        <v>76</v>
      </c>
      <c r="I167" s="122" t="s">
        <v>229</v>
      </c>
      <c r="J167" s="122" t="s">
        <v>53</v>
      </c>
      <c r="K167" s="122" t="s">
        <v>53</v>
      </c>
      <c r="L167" s="122" t="s">
        <v>805</v>
      </c>
      <c r="M167" s="122" t="s">
        <v>311</v>
      </c>
      <c r="N167" s="122" t="s">
        <v>269</v>
      </c>
      <c r="O167" s="122" t="s">
        <v>62</v>
      </c>
      <c r="P167" s="122" t="s">
        <v>1377</v>
      </c>
      <c r="Q167" s="122" t="s">
        <v>70</v>
      </c>
      <c r="R167" s="122" t="s">
        <v>57</v>
      </c>
      <c r="S167" s="122" t="s">
        <v>1216</v>
      </c>
      <c r="T167" s="123">
        <v>6</v>
      </c>
      <c r="U167" s="122" t="s">
        <v>1378</v>
      </c>
      <c r="V167" s="125">
        <v>5.0529999999999999E-2</v>
      </c>
      <c r="W167" s="125">
        <v>4.7419999999999997E-2</v>
      </c>
      <c r="X167" s="122" t="s">
        <v>620</v>
      </c>
      <c r="Y167" s="133"/>
      <c r="Z167" s="123">
        <v>1060000</v>
      </c>
      <c r="AA167" s="123">
        <v>1</v>
      </c>
      <c r="AB167" s="123">
        <v>101.96</v>
      </c>
      <c r="AC167" s="122"/>
      <c r="AD167" s="123">
        <v>1080.7760000000001</v>
      </c>
      <c r="AE167" s="122"/>
      <c r="AF167" s="122"/>
      <c r="AG167" s="122"/>
      <c r="AH167" s="125">
        <v>2.65E-3</v>
      </c>
      <c r="AI167" s="125">
        <v>6.4900000000000001E-3</v>
      </c>
      <c r="AJ167" s="126">
        <v>9.2000000000000003E-4</v>
      </c>
      <c r="AK167" s="159"/>
    </row>
    <row r="168" spans="1:37" x14ac:dyDescent="0.2">
      <c r="A168" s="121" t="s">
        <v>1211</v>
      </c>
      <c r="B168" s="122" t="s">
        <v>1211</v>
      </c>
      <c r="C168" s="122" t="s">
        <v>1612</v>
      </c>
      <c r="D168" s="122" t="s">
        <v>1613</v>
      </c>
      <c r="E168" s="122" t="s">
        <v>429</v>
      </c>
      <c r="F168" s="122" t="s">
        <v>1731</v>
      </c>
      <c r="G168" s="122" t="s">
        <v>1732</v>
      </c>
      <c r="H168" s="122" t="s">
        <v>76</v>
      </c>
      <c r="I168" s="122" t="s">
        <v>229</v>
      </c>
      <c r="J168" s="122" t="s">
        <v>53</v>
      </c>
      <c r="K168" s="122" t="s">
        <v>53</v>
      </c>
      <c r="L168" s="122" t="s">
        <v>805</v>
      </c>
      <c r="M168" s="122" t="s">
        <v>311</v>
      </c>
      <c r="N168" s="122" t="s">
        <v>635</v>
      </c>
      <c r="O168" s="122" t="s">
        <v>62</v>
      </c>
      <c r="P168" s="122" t="s">
        <v>1450</v>
      </c>
      <c r="Q168" s="122" t="s">
        <v>65</v>
      </c>
      <c r="R168" s="122" t="s">
        <v>57</v>
      </c>
      <c r="S168" s="122" t="s">
        <v>1216</v>
      </c>
      <c r="T168" s="123">
        <v>5.0599999999999996</v>
      </c>
      <c r="U168" s="122" t="s">
        <v>1372</v>
      </c>
      <c r="V168" s="125">
        <v>9.7000000000000003E-3</v>
      </c>
      <c r="W168" s="125">
        <v>3.1390000000000001E-2</v>
      </c>
      <c r="X168" s="122" t="s">
        <v>620</v>
      </c>
      <c r="Y168" s="133"/>
      <c r="Z168" s="123">
        <v>1007058.81</v>
      </c>
      <c r="AA168" s="123">
        <v>1</v>
      </c>
      <c r="AB168" s="123">
        <v>104.98</v>
      </c>
      <c r="AC168" s="122"/>
      <c r="AD168" s="123">
        <v>1057.21</v>
      </c>
      <c r="AE168" s="122"/>
      <c r="AF168" s="122"/>
      <c r="AG168" s="122"/>
      <c r="AH168" s="125">
        <v>1.73E-3</v>
      </c>
      <c r="AI168" s="125">
        <v>6.3499999999999997E-3</v>
      </c>
      <c r="AJ168" s="126">
        <v>8.9999999999999998E-4</v>
      </c>
      <c r="AK168" s="159"/>
    </row>
    <row r="169" spans="1:37" x14ac:dyDescent="0.2">
      <c r="A169" s="121" t="s">
        <v>1211</v>
      </c>
      <c r="B169" s="122" t="s">
        <v>1211</v>
      </c>
      <c r="C169" s="122" t="s">
        <v>1557</v>
      </c>
      <c r="D169" s="122" t="s">
        <v>1558</v>
      </c>
      <c r="E169" s="122" t="s">
        <v>429</v>
      </c>
      <c r="F169" s="122" t="s">
        <v>1733</v>
      </c>
      <c r="G169" s="122" t="s">
        <v>1734</v>
      </c>
      <c r="H169" s="122" t="s">
        <v>76</v>
      </c>
      <c r="I169" s="122" t="s">
        <v>229</v>
      </c>
      <c r="J169" s="122" t="s">
        <v>53</v>
      </c>
      <c r="K169" s="122" t="s">
        <v>53</v>
      </c>
      <c r="L169" s="122" t="s">
        <v>805</v>
      </c>
      <c r="M169" s="122" t="s">
        <v>311</v>
      </c>
      <c r="N169" s="122" t="s">
        <v>635</v>
      </c>
      <c r="O169" s="122" t="s">
        <v>62</v>
      </c>
      <c r="P169" s="122" t="s">
        <v>1561</v>
      </c>
      <c r="Q169" s="122" t="s">
        <v>65</v>
      </c>
      <c r="R169" s="122" t="s">
        <v>57</v>
      </c>
      <c r="S169" s="122" t="s">
        <v>1216</v>
      </c>
      <c r="T169" s="123">
        <v>2.62</v>
      </c>
      <c r="U169" s="122" t="s">
        <v>1527</v>
      </c>
      <c r="V169" s="125">
        <v>2.7E-2</v>
      </c>
      <c r="W169" s="125">
        <v>3.0169999999999999E-2</v>
      </c>
      <c r="X169" s="122" t="s">
        <v>620</v>
      </c>
      <c r="Y169" s="133"/>
      <c r="Z169" s="123">
        <v>945900</v>
      </c>
      <c r="AA169" s="123">
        <v>1</v>
      </c>
      <c r="AB169" s="123">
        <v>110.04</v>
      </c>
      <c r="AC169" s="122"/>
      <c r="AD169" s="123">
        <v>1040.8679999999999</v>
      </c>
      <c r="AE169" s="122"/>
      <c r="AF169" s="122"/>
      <c r="AG169" s="122"/>
      <c r="AH169" s="125">
        <v>2.3999999999999998E-3</v>
      </c>
      <c r="AI169" s="125">
        <v>6.2500000000000003E-3</v>
      </c>
      <c r="AJ169" s="126">
        <v>8.8999999999999995E-4</v>
      </c>
      <c r="AK169" s="159"/>
    </row>
    <row r="170" spans="1:37" x14ac:dyDescent="0.2">
      <c r="A170" s="121" t="s">
        <v>1211</v>
      </c>
      <c r="B170" s="122" t="s">
        <v>1211</v>
      </c>
      <c r="C170" s="122" t="s">
        <v>1735</v>
      </c>
      <c r="D170" s="122" t="s">
        <v>1736</v>
      </c>
      <c r="E170" s="122" t="s">
        <v>429</v>
      </c>
      <c r="F170" s="122" t="s">
        <v>1737</v>
      </c>
      <c r="G170" s="122" t="s">
        <v>1738</v>
      </c>
      <c r="H170" s="122" t="s">
        <v>76</v>
      </c>
      <c r="I170" s="122" t="s">
        <v>228</v>
      </c>
      <c r="J170" s="122" t="s">
        <v>53</v>
      </c>
      <c r="K170" s="122" t="s">
        <v>53</v>
      </c>
      <c r="L170" s="122" t="s">
        <v>805</v>
      </c>
      <c r="M170" s="122" t="s">
        <v>311</v>
      </c>
      <c r="N170" s="122" t="s">
        <v>140</v>
      </c>
      <c r="O170" s="122" t="s">
        <v>62</v>
      </c>
      <c r="P170" s="122" t="s">
        <v>1423</v>
      </c>
      <c r="Q170" s="122" t="s">
        <v>70</v>
      </c>
      <c r="R170" s="122" t="s">
        <v>57</v>
      </c>
      <c r="S170" s="122" t="s">
        <v>1216</v>
      </c>
      <c r="T170" s="123">
        <v>4.1100000000000003</v>
      </c>
      <c r="U170" s="122" t="s">
        <v>1739</v>
      </c>
      <c r="V170" s="125">
        <v>6.1199999999999997E-2</v>
      </c>
      <c r="W170" s="125">
        <v>4.9270000000000001E-2</v>
      </c>
      <c r="X170" s="122" t="s">
        <v>620</v>
      </c>
      <c r="Y170" s="133"/>
      <c r="Z170" s="123">
        <v>974000</v>
      </c>
      <c r="AA170" s="123">
        <v>1</v>
      </c>
      <c r="AB170" s="123">
        <v>106.72</v>
      </c>
      <c r="AC170" s="122"/>
      <c r="AD170" s="123">
        <v>1039.453</v>
      </c>
      <c r="AE170" s="122"/>
      <c r="AF170" s="122"/>
      <c r="AG170" s="122"/>
      <c r="AH170" s="125">
        <v>3.4299999999999999E-3</v>
      </c>
      <c r="AI170" s="125">
        <v>6.2399999999999999E-3</v>
      </c>
      <c r="AJ170" s="126">
        <v>8.8999999999999995E-4</v>
      </c>
      <c r="AK170" s="159"/>
    </row>
    <row r="171" spans="1:37" x14ac:dyDescent="0.2">
      <c r="A171" s="121" t="s">
        <v>1211</v>
      </c>
      <c r="B171" s="122" t="s">
        <v>1211</v>
      </c>
      <c r="C171" s="122" t="s">
        <v>1542</v>
      </c>
      <c r="D171" s="122" t="s">
        <v>1543</v>
      </c>
      <c r="E171" s="122" t="s">
        <v>429</v>
      </c>
      <c r="F171" s="122" t="s">
        <v>1544</v>
      </c>
      <c r="G171" s="122" t="s">
        <v>1545</v>
      </c>
      <c r="H171" s="122" t="s">
        <v>76</v>
      </c>
      <c r="I171" s="122" t="s">
        <v>229</v>
      </c>
      <c r="J171" s="122" t="s">
        <v>53</v>
      </c>
      <c r="K171" s="122" t="s">
        <v>53</v>
      </c>
      <c r="L171" s="122" t="s">
        <v>805</v>
      </c>
      <c r="M171" s="122" t="s">
        <v>311</v>
      </c>
      <c r="N171" s="122" t="s">
        <v>635</v>
      </c>
      <c r="O171" s="122" t="s">
        <v>62</v>
      </c>
      <c r="P171" s="122" t="s">
        <v>1546</v>
      </c>
      <c r="Q171" s="122" t="s">
        <v>65</v>
      </c>
      <c r="R171" s="122" t="s">
        <v>57</v>
      </c>
      <c r="S171" s="122" t="s">
        <v>1216</v>
      </c>
      <c r="T171" s="123">
        <v>6.17</v>
      </c>
      <c r="U171" s="122" t="s">
        <v>1547</v>
      </c>
      <c r="V171" s="125">
        <v>8.9999999999999993E-3</v>
      </c>
      <c r="W171" s="125">
        <v>2.775E-2</v>
      </c>
      <c r="X171" s="122" t="s">
        <v>620</v>
      </c>
      <c r="Y171" s="133"/>
      <c r="Z171" s="123">
        <v>979591.8</v>
      </c>
      <c r="AA171" s="123">
        <v>1</v>
      </c>
      <c r="AB171" s="123">
        <v>104.46</v>
      </c>
      <c r="AC171" s="122"/>
      <c r="AD171" s="123">
        <v>1023.282</v>
      </c>
      <c r="AE171" s="122"/>
      <c r="AF171" s="122"/>
      <c r="AG171" s="122"/>
      <c r="AH171" s="125">
        <v>3.6000000000000002E-4</v>
      </c>
      <c r="AI171" s="125">
        <v>6.1500000000000001E-3</v>
      </c>
      <c r="AJ171" s="126">
        <v>8.7000000000000001E-4</v>
      </c>
      <c r="AK171" s="159"/>
    </row>
    <row r="172" spans="1:37" x14ac:dyDescent="0.2">
      <c r="A172" s="121" t="s">
        <v>1211</v>
      </c>
      <c r="B172" s="122" t="s">
        <v>1211</v>
      </c>
      <c r="C172" s="122" t="s">
        <v>1557</v>
      </c>
      <c r="D172" s="122" t="s">
        <v>1558</v>
      </c>
      <c r="E172" s="122" t="s">
        <v>429</v>
      </c>
      <c r="F172" s="122" t="s">
        <v>1559</v>
      </c>
      <c r="G172" s="122" t="s">
        <v>1560</v>
      </c>
      <c r="H172" s="122" t="s">
        <v>76</v>
      </c>
      <c r="I172" s="122" t="s">
        <v>229</v>
      </c>
      <c r="J172" s="122" t="s">
        <v>53</v>
      </c>
      <c r="K172" s="122" t="s">
        <v>53</v>
      </c>
      <c r="L172" s="122" t="s">
        <v>805</v>
      </c>
      <c r="M172" s="122" t="s">
        <v>311</v>
      </c>
      <c r="N172" s="122" t="s">
        <v>635</v>
      </c>
      <c r="O172" s="122" t="s">
        <v>62</v>
      </c>
      <c r="P172" s="122" t="s">
        <v>1561</v>
      </c>
      <c r="Q172" s="122" t="s">
        <v>65</v>
      </c>
      <c r="R172" s="122" t="s">
        <v>57</v>
      </c>
      <c r="S172" s="122" t="s">
        <v>1216</v>
      </c>
      <c r="T172" s="123">
        <v>2.0099999999999998</v>
      </c>
      <c r="U172" s="122" t="s">
        <v>1493</v>
      </c>
      <c r="V172" s="125">
        <v>1.7999999999999999E-2</v>
      </c>
      <c r="W172" s="125">
        <v>0.03</v>
      </c>
      <c r="X172" s="122" t="s">
        <v>620</v>
      </c>
      <c r="Y172" s="133"/>
      <c r="Z172" s="123">
        <v>868881.82</v>
      </c>
      <c r="AA172" s="123">
        <v>1</v>
      </c>
      <c r="AB172" s="123">
        <v>116.94</v>
      </c>
      <c r="AC172" s="122"/>
      <c r="AD172" s="123">
        <v>1016.07</v>
      </c>
      <c r="AE172" s="122"/>
      <c r="AF172" s="122"/>
      <c r="AG172" s="122"/>
      <c r="AH172" s="125">
        <v>1.1800000000000001E-3</v>
      </c>
      <c r="AI172" s="125">
        <v>6.1000000000000004E-3</v>
      </c>
      <c r="AJ172" s="126">
        <v>8.7000000000000001E-4</v>
      </c>
      <c r="AK172" s="159"/>
    </row>
    <row r="173" spans="1:37" x14ac:dyDescent="0.2">
      <c r="A173" s="121" t="s">
        <v>1211</v>
      </c>
      <c r="B173" s="122" t="s">
        <v>1211</v>
      </c>
      <c r="C173" s="122" t="s">
        <v>1326</v>
      </c>
      <c r="D173" s="122" t="s">
        <v>1327</v>
      </c>
      <c r="E173" s="122" t="s">
        <v>429</v>
      </c>
      <c r="F173" s="122" t="s">
        <v>1740</v>
      </c>
      <c r="G173" s="122" t="s">
        <v>1741</v>
      </c>
      <c r="H173" s="122" t="s">
        <v>76</v>
      </c>
      <c r="I173" s="122" t="s">
        <v>229</v>
      </c>
      <c r="J173" s="122" t="s">
        <v>53</v>
      </c>
      <c r="K173" s="122" t="s">
        <v>53</v>
      </c>
      <c r="L173" s="122" t="s">
        <v>805</v>
      </c>
      <c r="M173" s="122" t="s">
        <v>311</v>
      </c>
      <c r="N173" s="122" t="s">
        <v>256</v>
      </c>
      <c r="O173" s="122" t="s">
        <v>62</v>
      </c>
      <c r="P173" s="122" t="s">
        <v>1330</v>
      </c>
      <c r="Q173" s="122" t="s">
        <v>65</v>
      </c>
      <c r="R173" s="122" t="s">
        <v>57</v>
      </c>
      <c r="S173" s="122" t="s">
        <v>1216</v>
      </c>
      <c r="T173" s="123">
        <v>1.56</v>
      </c>
      <c r="U173" s="122" t="s">
        <v>1742</v>
      </c>
      <c r="V173" s="125">
        <v>6.0000000000000001E-3</v>
      </c>
      <c r="W173" s="125">
        <v>2.6890000000000001E-2</v>
      </c>
      <c r="X173" s="122" t="s">
        <v>620</v>
      </c>
      <c r="Y173" s="133"/>
      <c r="Z173" s="123">
        <v>869700.01</v>
      </c>
      <c r="AA173" s="123">
        <v>1</v>
      </c>
      <c r="AB173" s="123">
        <v>116.21</v>
      </c>
      <c r="AC173" s="122"/>
      <c r="AD173" s="123">
        <v>1010.678</v>
      </c>
      <c r="AE173" s="122"/>
      <c r="AF173" s="122"/>
      <c r="AG173" s="122"/>
      <c r="AH173" s="125">
        <v>1.2999999999999999E-3</v>
      </c>
      <c r="AI173" s="125">
        <v>6.0699999999999999E-3</v>
      </c>
      <c r="AJ173" s="126">
        <v>8.5999999999999998E-4</v>
      </c>
      <c r="AK173" s="159"/>
    </row>
    <row r="174" spans="1:37" x14ac:dyDescent="0.2">
      <c r="A174" s="121" t="s">
        <v>1211</v>
      </c>
      <c r="B174" s="122" t="s">
        <v>1211</v>
      </c>
      <c r="C174" s="122" t="s">
        <v>1743</v>
      </c>
      <c r="D174" s="122" t="s">
        <v>1744</v>
      </c>
      <c r="E174" s="122" t="s">
        <v>429</v>
      </c>
      <c r="F174" s="122" t="s">
        <v>1745</v>
      </c>
      <c r="G174" s="122" t="s">
        <v>1746</v>
      </c>
      <c r="H174" s="122" t="s">
        <v>76</v>
      </c>
      <c r="I174" s="122" t="s">
        <v>229</v>
      </c>
      <c r="J174" s="122" t="s">
        <v>53</v>
      </c>
      <c r="K174" s="122" t="s">
        <v>53</v>
      </c>
      <c r="L174" s="122" t="s">
        <v>805</v>
      </c>
      <c r="M174" s="122" t="s">
        <v>311</v>
      </c>
      <c r="N174" s="122" t="s">
        <v>258</v>
      </c>
      <c r="O174" s="122" t="s">
        <v>62</v>
      </c>
      <c r="P174" s="122" t="s">
        <v>1330</v>
      </c>
      <c r="Q174" s="122" t="s">
        <v>65</v>
      </c>
      <c r="R174" s="122" t="s">
        <v>57</v>
      </c>
      <c r="S174" s="122" t="s">
        <v>1216</v>
      </c>
      <c r="T174" s="123">
        <v>11.52</v>
      </c>
      <c r="U174" s="122" t="s">
        <v>1747</v>
      </c>
      <c r="V174" s="125">
        <v>2.07E-2</v>
      </c>
      <c r="W174" s="125">
        <v>2.7019999999999999E-2</v>
      </c>
      <c r="X174" s="122" t="s">
        <v>620</v>
      </c>
      <c r="Y174" s="133"/>
      <c r="Z174" s="123">
        <v>918681.35</v>
      </c>
      <c r="AA174" s="123">
        <v>1</v>
      </c>
      <c r="AB174" s="123">
        <v>109.4</v>
      </c>
      <c r="AC174" s="122"/>
      <c r="AD174" s="123">
        <v>1005.037</v>
      </c>
      <c r="AE174" s="122"/>
      <c r="AF174" s="122"/>
      <c r="AG174" s="122"/>
      <c r="AH174" s="125">
        <v>1.7000000000000001E-4</v>
      </c>
      <c r="AI174" s="125">
        <v>6.0400000000000002E-3</v>
      </c>
      <c r="AJ174" s="126">
        <v>8.5999999999999998E-4</v>
      </c>
      <c r="AK174" s="159"/>
    </row>
    <row r="175" spans="1:37" x14ac:dyDescent="0.2">
      <c r="A175" s="121" t="s">
        <v>1211</v>
      </c>
      <c r="B175" s="122" t="s">
        <v>1211</v>
      </c>
      <c r="C175" s="122" t="s">
        <v>1557</v>
      </c>
      <c r="D175" s="122" t="s">
        <v>1558</v>
      </c>
      <c r="E175" s="122" t="s">
        <v>429</v>
      </c>
      <c r="F175" s="122" t="s">
        <v>1748</v>
      </c>
      <c r="G175" s="122" t="s">
        <v>1749</v>
      </c>
      <c r="H175" s="122" t="s">
        <v>76</v>
      </c>
      <c r="I175" s="122" t="s">
        <v>229</v>
      </c>
      <c r="J175" s="122" t="s">
        <v>53</v>
      </c>
      <c r="K175" s="122" t="s">
        <v>53</v>
      </c>
      <c r="L175" s="122" t="s">
        <v>805</v>
      </c>
      <c r="M175" s="122" t="s">
        <v>311</v>
      </c>
      <c r="N175" s="122" t="s">
        <v>635</v>
      </c>
      <c r="O175" s="122" t="s">
        <v>62</v>
      </c>
      <c r="P175" s="122" t="s">
        <v>1750</v>
      </c>
      <c r="Q175" s="122" t="s">
        <v>65</v>
      </c>
      <c r="R175" s="122" t="s">
        <v>57</v>
      </c>
      <c r="S175" s="122" t="s">
        <v>1216</v>
      </c>
      <c r="T175" s="123">
        <v>3.98</v>
      </c>
      <c r="U175" s="122" t="s">
        <v>1751</v>
      </c>
      <c r="V175" s="125">
        <v>4.4499999999999998E-2</v>
      </c>
      <c r="W175" s="125">
        <v>3.4729999999999997E-2</v>
      </c>
      <c r="X175" s="122" t="s">
        <v>620</v>
      </c>
      <c r="Y175" s="133"/>
      <c r="Z175" s="123">
        <v>896000</v>
      </c>
      <c r="AA175" s="123">
        <v>1</v>
      </c>
      <c r="AB175" s="123">
        <v>111.65</v>
      </c>
      <c r="AC175" s="122"/>
      <c r="AD175" s="123">
        <v>1000.384</v>
      </c>
      <c r="AE175" s="122"/>
      <c r="AF175" s="122"/>
      <c r="AG175" s="122"/>
      <c r="AH175" s="125">
        <v>1.99E-3</v>
      </c>
      <c r="AI175" s="125">
        <v>6.0099999999999997E-3</v>
      </c>
      <c r="AJ175" s="126">
        <v>8.4999999999999995E-4</v>
      </c>
      <c r="AK175" s="159"/>
    </row>
    <row r="176" spans="1:37" x14ac:dyDescent="0.2">
      <c r="A176" s="121" t="s">
        <v>1211</v>
      </c>
      <c r="B176" s="122" t="s">
        <v>1211</v>
      </c>
      <c r="C176" s="122" t="s">
        <v>1575</v>
      </c>
      <c r="D176" s="122" t="s">
        <v>1576</v>
      </c>
      <c r="E176" s="122" t="s">
        <v>429</v>
      </c>
      <c r="F176" s="122" t="s">
        <v>1752</v>
      </c>
      <c r="G176" s="122" t="s">
        <v>1753</v>
      </c>
      <c r="H176" s="122" t="s">
        <v>76</v>
      </c>
      <c r="I176" s="122" t="s">
        <v>229</v>
      </c>
      <c r="J176" s="122" t="s">
        <v>53</v>
      </c>
      <c r="K176" s="122" t="s">
        <v>53</v>
      </c>
      <c r="L176" s="122" t="s">
        <v>805</v>
      </c>
      <c r="M176" s="122" t="s">
        <v>311</v>
      </c>
      <c r="N176" s="122" t="s">
        <v>635</v>
      </c>
      <c r="O176" s="122" t="s">
        <v>62</v>
      </c>
      <c r="P176" s="122" t="s">
        <v>1324</v>
      </c>
      <c r="Q176" s="122" t="s">
        <v>65</v>
      </c>
      <c r="R176" s="122" t="s">
        <v>57</v>
      </c>
      <c r="S176" s="122" t="s">
        <v>1216</v>
      </c>
      <c r="T176" s="123">
        <v>4.4800000000000004</v>
      </c>
      <c r="U176" s="122" t="s">
        <v>1754</v>
      </c>
      <c r="V176" s="125">
        <v>2.5999999999999999E-2</v>
      </c>
      <c r="W176" s="125">
        <v>2.7609999999999999E-2</v>
      </c>
      <c r="X176" s="122" t="s">
        <v>620</v>
      </c>
      <c r="Y176" s="133"/>
      <c r="Z176" s="123">
        <v>939000</v>
      </c>
      <c r="AA176" s="123">
        <v>1</v>
      </c>
      <c r="AB176" s="123">
        <v>106.48</v>
      </c>
      <c r="AC176" s="122"/>
      <c r="AD176" s="123">
        <v>999.84699999999998</v>
      </c>
      <c r="AE176" s="122"/>
      <c r="AF176" s="122"/>
      <c r="AG176" s="122"/>
      <c r="AH176" s="125">
        <v>1.75E-3</v>
      </c>
      <c r="AI176" s="125">
        <v>6.0000000000000001E-3</v>
      </c>
      <c r="AJ176" s="126">
        <v>8.4999999999999995E-4</v>
      </c>
      <c r="AK176" s="159"/>
    </row>
    <row r="177" spans="1:37" x14ac:dyDescent="0.2">
      <c r="A177" s="121" t="s">
        <v>1211</v>
      </c>
      <c r="B177" s="122" t="s">
        <v>1211</v>
      </c>
      <c r="C177" s="122" t="s">
        <v>1494</v>
      </c>
      <c r="D177" s="122" t="s">
        <v>1495</v>
      </c>
      <c r="E177" s="122" t="s">
        <v>429</v>
      </c>
      <c r="F177" s="122" t="s">
        <v>1496</v>
      </c>
      <c r="G177" s="122" t="s">
        <v>1497</v>
      </c>
      <c r="H177" s="122" t="s">
        <v>76</v>
      </c>
      <c r="I177" s="122" t="s">
        <v>229</v>
      </c>
      <c r="J177" s="122" t="s">
        <v>53</v>
      </c>
      <c r="K177" s="122" t="s">
        <v>53</v>
      </c>
      <c r="L177" s="122" t="s">
        <v>805</v>
      </c>
      <c r="M177" s="122" t="s">
        <v>311</v>
      </c>
      <c r="N177" s="122" t="s">
        <v>256</v>
      </c>
      <c r="O177" s="122" t="s">
        <v>62</v>
      </c>
      <c r="P177" s="122" t="s">
        <v>1330</v>
      </c>
      <c r="Q177" s="122" t="s">
        <v>65</v>
      </c>
      <c r="R177" s="122" t="s">
        <v>57</v>
      </c>
      <c r="S177" s="122" t="s">
        <v>1216</v>
      </c>
      <c r="T177" s="123">
        <v>2.2599999999999998</v>
      </c>
      <c r="U177" s="122" t="s">
        <v>1498</v>
      </c>
      <c r="V177" s="125">
        <v>1.4999999999999999E-2</v>
      </c>
      <c r="W177" s="125">
        <v>2.5770000000000001E-2</v>
      </c>
      <c r="X177" s="122" t="s">
        <v>620</v>
      </c>
      <c r="Y177" s="133"/>
      <c r="Z177" s="123">
        <v>830691.45</v>
      </c>
      <c r="AA177" s="123">
        <v>1</v>
      </c>
      <c r="AB177" s="123">
        <v>116.97</v>
      </c>
      <c r="AC177" s="122"/>
      <c r="AD177" s="123">
        <v>971.66</v>
      </c>
      <c r="AE177" s="122"/>
      <c r="AF177" s="122"/>
      <c r="AG177" s="122"/>
      <c r="AH177" s="125">
        <v>3.5699999999999998E-3</v>
      </c>
      <c r="AI177" s="125">
        <v>5.8399999999999997E-3</v>
      </c>
      <c r="AJ177" s="126">
        <v>8.3000000000000001E-4</v>
      </c>
      <c r="AK177" s="159"/>
    </row>
    <row r="178" spans="1:37" x14ac:dyDescent="0.2">
      <c r="A178" s="121" t="s">
        <v>1211</v>
      </c>
      <c r="B178" s="122" t="s">
        <v>1211</v>
      </c>
      <c r="C178" s="122" t="s">
        <v>1596</v>
      </c>
      <c r="D178" s="122" t="s">
        <v>1597</v>
      </c>
      <c r="E178" s="122" t="s">
        <v>429</v>
      </c>
      <c r="F178" s="122" t="s">
        <v>1755</v>
      </c>
      <c r="G178" s="122" t="s">
        <v>1756</v>
      </c>
      <c r="H178" s="122" t="s">
        <v>76</v>
      </c>
      <c r="I178" s="122" t="s">
        <v>228</v>
      </c>
      <c r="J178" s="122" t="s">
        <v>53</v>
      </c>
      <c r="K178" s="122" t="s">
        <v>53</v>
      </c>
      <c r="L178" s="122" t="s">
        <v>805</v>
      </c>
      <c r="M178" s="122" t="s">
        <v>311</v>
      </c>
      <c r="N178" s="122" t="s">
        <v>635</v>
      </c>
      <c r="O178" s="122" t="s">
        <v>62</v>
      </c>
      <c r="P178" s="122" t="s">
        <v>1540</v>
      </c>
      <c r="Q178" s="122" t="s">
        <v>70</v>
      </c>
      <c r="R178" s="122" t="s">
        <v>57</v>
      </c>
      <c r="S178" s="122" t="s">
        <v>1216</v>
      </c>
      <c r="T178" s="123">
        <v>4.6399999999999997</v>
      </c>
      <c r="U178" s="122" t="s">
        <v>1739</v>
      </c>
      <c r="V178" s="125">
        <v>5.4800000000000001E-2</v>
      </c>
      <c r="W178" s="125">
        <v>4.7149999999999997E-2</v>
      </c>
      <c r="X178" s="122" t="s">
        <v>620</v>
      </c>
      <c r="Y178" s="133"/>
      <c r="Z178" s="123">
        <v>920000</v>
      </c>
      <c r="AA178" s="123">
        <v>1</v>
      </c>
      <c r="AB178" s="123">
        <v>105.18</v>
      </c>
      <c r="AC178" s="122"/>
      <c r="AD178" s="123">
        <v>967.65599999999995</v>
      </c>
      <c r="AE178" s="122"/>
      <c r="AF178" s="122"/>
      <c r="AG178" s="122"/>
      <c r="AH178" s="125">
        <v>3.0699999999999998E-3</v>
      </c>
      <c r="AI178" s="125">
        <v>5.8100000000000001E-3</v>
      </c>
      <c r="AJ178" s="126">
        <v>8.1999999999999998E-4</v>
      </c>
      <c r="AK178" s="159"/>
    </row>
    <row r="179" spans="1:37" x14ac:dyDescent="0.2">
      <c r="A179" s="121" t="s">
        <v>1211</v>
      </c>
      <c r="B179" s="122" t="s">
        <v>1211</v>
      </c>
      <c r="C179" s="122" t="s">
        <v>1431</v>
      </c>
      <c r="D179" s="122" t="s">
        <v>1432</v>
      </c>
      <c r="E179" s="122" t="s">
        <v>429</v>
      </c>
      <c r="F179" s="122" t="s">
        <v>1551</v>
      </c>
      <c r="G179" s="122" t="s">
        <v>1552</v>
      </c>
      <c r="H179" s="122" t="s">
        <v>76</v>
      </c>
      <c r="I179" s="122" t="s">
        <v>229</v>
      </c>
      <c r="J179" s="122" t="s">
        <v>53</v>
      </c>
      <c r="K179" s="122" t="s">
        <v>313</v>
      </c>
      <c r="L179" s="122" t="s">
        <v>805</v>
      </c>
      <c r="M179" s="122" t="s">
        <v>311</v>
      </c>
      <c r="N179" s="122" t="s">
        <v>636</v>
      </c>
      <c r="O179" s="122" t="s">
        <v>62</v>
      </c>
      <c r="P179" s="122" t="s">
        <v>1423</v>
      </c>
      <c r="Q179" s="122" t="s">
        <v>70</v>
      </c>
      <c r="R179" s="122" t="s">
        <v>57</v>
      </c>
      <c r="S179" s="122" t="s">
        <v>1216</v>
      </c>
      <c r="T179" s="123">
        <v>4.24</v>
      </c>
      <c r="U179" s="122" t="s">
        <v>1553</v>
      </c>
      <c r="V179" s="125">
        <v>1.54E-2</v>
      </c>
      <c r="W179" s="125">
        <v>3.066E-2</v>
      </c>
      <c r="X179" s="122" t="s">
        <v>620</v>
      </c>
      <c r="Y179" s="133"/>
      <c r="Z179" s="123">
        <v>893000</v>
      </c>
      <c r="AA179" s="123">
        <v>1</v>
      </c>
      <c r="AB179" s="123">
        <v>108.24</v>
      </c>
      <c r="AC179" s="122"/>
      <c r="AD179" s="123">
        <v>966.58299999999997</v>
      </c>
      <c r="AE179" s="122"/>
      <c r="AF179" s="122"/>
      <c r="AG179" s="122"/>
      <c r="AH179" s="125">
        <v>1.5E-3</v>
      </c>
      <c r="AI179" s="125">
        <v>5.7999999999999996E-3</v>
      </c>
      <c r="AJ179" s="126">
        <v>8.1999999999999998E-4</v>
      </c>
      <c r="AK179" s="159"/>
    </row>
    <row r="180" spans="1:37" x14ac:dyDescent="0.2">
      <c r="A180" s="121" t="s">
        <v>1211</v>
      </c>
      <c r="B180" s="122" t="s">
        <v>1211</v>
      </c>
      <c r="C180" s="122" t="s">
        <v>1320</v>
      </c>
      <c r="D180" s="122" t="s">
        <v>1321</v>
      </c>
      <c r="E180" s="122" t="s">
        <v>429</v>
      </c>
      <c r="F180" s="122" t="s">
        <v>1452</v>
      </c>
      <c r="G180" s="122" t="s">
        <v>1453</v>
      </c>
      <c r="H180" s="122" t="s">
        <v>76</v>
      </c>
      <c r="I180" s="122" t="s">
        <v>229</v>
      </c>
      <c r="J180" s="122" t="s">
        <v>53</v>
      </c>
      <c r="K180" s="122" t="s">
        <v>53</v>
      </c>
      <c r="L180" s="122" t="s">
        <v>805</v>
      </c>
      <c r="M180" s="122" t="s">
        <v>311</v>
      </c>
      <c r="N180" s="122" t="s">
        <v>269</v>
      </c>
      <c r="O180" s="122" t="s">
        <v>62</v>
      </c>
      <c r="P180" s="122" t="s">
        <v>1454</v>
      </c>
      <c r="Q180" s="122" t="s">
        <v>70</v>
      </c>
      <c r="R180" s="122" t="s">
        <v>57</v>
      </c>
      <c r="S180" s="122" t="s">
        <v>1216</v>
      </c>
      <c r="T180" s="123">
        <v>4.29</v>
      </c>
      <c r="U180" s="122" t="s">
        <v>1455</v>
      </c>
      <c r="V180" s="125">
        <v>4.6899999999999997E-2</v>
      </c>
      <c r="W180" s="125">
        <v>4.6339999999999999E-2</v>
      </c>
      <c r="X180" s="122" t="s">
        <v>620</v>
      </c>
      <c r="Y180" s="133"/>
      <c r="Z180" s="123">
        <v>935000</v>
      </c>
      <c r="AA180" s="123">
        <v>1</v>
      </c>
      <c r="AB180" s="123">
        <v>100.58</v>
      </c>
      <c r="AC180" s="122"/>
      <c r="AD180" s="123">
        <v>940.423</v>
      </c>
      <c r="AE180" s="122"/>
      <c r="AF180" s="122"/>
      <c r="AG180" s="122"/>
      <c r="AH180" s="125">
        <v>1.8699999999999999E-3</v>
      </c>
      <c r="AI180" s="125">
        <v>5.6499999999999996E-3</v>
      </c>
      <c r="AJ180" s="126">
        <v>8.0000000000000004E-4</v>
      </c>
      <c r="AK180" s="159"/>
    </row>
    <row r="181" spans="1:37" x14ac:dyDescent="0.2">
      <c r="A181" s="121" t="s">
        <v>1211</v>
      </c>
      <c r="B181" s="122" t="s">
        <v>1211</v>
      </c>
      <c r="C181" s="122" t="s">
        <v>1757</v>
      </c>
      <c r="D181" s="122" t="s">
        <v>1758</v>
      </c>
      <c r="E181" s="122" t="s">
        <v>429</v>
      </c>
      <c r="F181" s="122" t="s">
        <v>1759</v>
      </c>
      <c r="G181" s="122" t="s">
        <v>1760</v>
      </c>
      <c r="H181" s="122" t="s">
        <v>76</v>
      </c>
      <c r="I181" s="122" t="s">
        <v>228</v>
      </c>
      <c r="J181" s="122" t="s">
        <v>53</v>
      </c>
      <c r="K181" s="122" t="s">
        <v>313</v>
      </c>
      <c r="L181" s="122" t="s">
        <v>805</v>
      </c>
      <c r="M181" s="122" t="s">
        <v>311</v>
      </c>
      <c r="N181" s="122" t="s">
        <v>636</v>
      </c>
      <c r="O181" s="122" t="s">
        <v>62</v>
      </c>
      <c r="P181" s="122" t="s">
        <v>1540</v>
      </c>
      <c r="Q181" s="122" t="s">
        <v>70</v>
      </c>
      <c r="R181" s="122" t="s">
        <v>57</v>
      </c>
      <c r="S181" s="122" t="s">
        <v>1216</v>
      </c>
      <c r="T181" s="123">
        <v>5.55</v>
      </c>
      <c r="U181" s="122" t="s">
        <v>1666</v>
      </c>
      <c r="V181" s="125">
        <v>5.5899999999999998E-2</v>
      </c>
      <c r="W181" s="125">
        <v>5.4120000000000001E-2</v>
      </c>
      <c r="X181" s="122" t="s">
        <v>620</v>
      </c>
      <c r="Y181" s="133"/>
      <c r="Z181" s="123">
        <v>921000</v>
      </c>
      <c r="AA181" s="123">
        <v>1</v>
      </c>
      <c r="AB181" s="123">
        <v>101.35</v>
      </c>
      <c r="AC181" s="122"/>
      <c r="AD181" s="123">
        <v>933.43399999999997</v>
      </c>
      <c r="AE181" s="122"/>
      <c r="AF181" s="122"/>
      <c r="AG181" s="122"/>
      <c r="AH181" s="125">
        <v>4.1200000000000004E-3</v>
      </c>
      <c r="AI181" s="125">
        <v>5.6100000000000004E-3</v>
      </c>
      <c r="AJ181" s="126">
        <v>8.0000000000000004E-4</v>
      </c>
      <c r="AK181" s="159"/>
    </row>
    <row r="182" spans="1:37" x14ac:dyDescent="0.2">
      <c r="A182" s="121" t="s">
        <v>1211</v>
      </c>
      <c r="B182" s="122" t="s">
        <v>1211</v>
      </c>
      <c r="C182" s="122" t="s">
        <v>1761</v>
      </c>
      <c r="D182" s="122" t="s">
        <v>1762</v>
      </c>
      <c r="E182" s="122" t="s">
        <v>429</v>
      </c>
      <c r="F182" s="122" t="s">
        <v>1763</v>
      </c>
      <c r="G182" s="122" t="s">
        <v>1764</v>
      </c>
      <c r="H182" s="122" t="s">
        <v>76</v>
      </c>
      <c r="I182" s="122" t="s">
        <v>229</v>
      </c>
      <c r="J182" s="122" t="s">
        <v>53</v>
      </c>
      <c r="K182" s="122" t="s">
        <v>53</v>
      </c>
      <c r="L182" s="122" t="s">
        <v>805</v>
      </c>
      <c r="M182" s="122" t="s">
        <v>311</v>
      </c>
      <c r="N182" s="122" t="s">
        <v>256</v>
      </c>
      <c r="O182" s="122" t="s">
        <v>62</v>
      </c>
      <c r="P182" s="122" t="s">
        <v>1330</v>
      </c>
      <c r="Q182" s="122" t="s">
        <v>65</v>
      </c>
      <c r="R182" s="122" t="s">
        <v>57</v>
      </c>
      <c r="S182" s="122" t="s">
        <v>1216</v>
      </c>
      <c r="T182" s="123">
        <v>1.1599999999999999</v>
      </c>
      <c r="U182" s="122" t="s">
        <v>1765</v>
      </c>
      <c r="V182" s="125">
        <v>1E-3</v>
      </c>
      <c r="W182" s="125">
        <v>2.9489999999999999E-2</v>
      </c>
      <c r="X182" s="122" t="s">
        <v>620</v>
      </c>
      <c r="Y182" s="133"/>
      <c r="Z182" s="123">
        <v>821000</v>
      </c>
      <c r="AA182" s="123">
        <v>1</v>
      </c>
      <c r="AB182" s="123">
        <v>112.08</v>
      </c>
      <c r="AC182" s="122"/>
      <c r="AD182" s="123">
        <v>920.17700000000002</v>
      </c>
      <c r="AE182" s="122"/>
      <c r="AF182" s="122"/>
      <c r="AG182" s="122"/>
      <c r="AH182" s="125">
        <v>1.7600000000000001E-3</v>
      </c>
      <c r="AI182" s="125">
        <v>5.5300000000000002E-3</v>
      </c>
      <c r="AJ182" s="126">
        <v>7.7999999999999999E-4</v>
      </c>
      <c r="AK182" s="159"/>
    </row>
    <row r="183" spans="1:37" x14ac:dyDescent="0.2">
      <c r="A183" s="121" t="s">
        <v>1211</v>
      </c>
      <c r="B183" s="122" t="s">
        <v>1211</v>
      </c>
      <c r="C183" s="122" t="s">
        <v>1766</v>
      </c>
      <c r="D183" s="122" t="s">
        <v>1767</v>
      </c>
      <c r="E183" s="122" t="s">
        <v>429</v>
      </c>
      <c r="F183" s="122" t="s">
        <v>1768</v>
      </c>
      <c r="G183" s="122" t="s">
        <v>1769</v>
      </c>
      <c r="H183" s="122" t="s">
        <v>76</v>
      </c>
      <c r="I183" s="122" t="s">
        <v>607</v>
      </c>
      <c r="J183" s="122" t="s">
        <v>53</v>
      </c>
      <c r="K183" s="122" t="s">
        <v>53</v>
      </c>
      <c r="L183" s="122" t="s">
        <v>805</v>
      </c>
      <c r="M183" s="122" t="s">
        <v>311</v>
      </c>
      <c r="N183" s="122" t="s">
        <v>631</v>
      </c>
      <c r="O183" s="122" t="s">
        <v>62</v>
      </c>
      <c r="P183" s="122" t="s">
        <v>1402</v>
      </c>
      <c r="Q183" s="122" t="s">
        <v>70</v>
      </c>
      <c r="R183" s="122" t="s">
        <v>57</v>
      </c>
      <c r="S183" s="122" t="s">
        <v>1216</v>
      </c>
      <c r="T183" s="123">
        <v>3.03</v>
      </c>
      <c r="U183" s="122" t="s">
        <v>1600</v>
      </c>
      <c r="V183" s="125">
        <v>0.05</v>
      </c>
      <c r="W183" s="125">
        <v>1.41E-3</v>
      </c>
      <c r="X183" s="122" t="s">
        <v>620</v>
      </c>
      <c r="Y183" s="133"/>
      <c r="Z183" s="123">
        <v>786000</v>
      </c>
      <c r="AA183" s="123">
        <v>1</v>
      </c>
      <c r="AB183" s="123">
        <v>117</v>
      </c>
      <c r="AC183" s="122"/>
      <c r="AD183" s="123">
        <v>919.62</v>
      </c>
      <c r="AE183" s="122"/>
      <c r="AF183" s="122"/>
      <c r="AG183" s="122"/>
      <c r="AH183" s="125">
        <v>1.57E-3</v>
      </c>
      <c r="AI183" s="125">
        <v>5.5199999999999997E-3</v>
      </c>
      <c r="AJ183" s="126">
        <v>7.7999999999999999E-4</v>
      </c>
      <c r="AK183" s="159"/>
    </row>
    <row r="184" spans="1:37" x14ac:dyDescent="0.2">
      <c r="A184" s="121" t="s">
        <v>1211</v>
      </c>
      <c r="B184" s="122" t="s">
        <v>1211</v>
      </c>
      <c r="C184" s="122" t="s">
        <v>1332</v>
      </c>
      <c r="D184" s="122" t="s">
        <v>1333</v>
      </c>
      <c r="E184" s="122" t="s">
        <v>430</v>
      </c>
      <c r="F184" s="122" t="s">
        <v>1467</v>
      </c>
      <c r="G184" s="122" t="s">
        <v>1468</v>
      </c>
      <c r="H184" s="122" t="s">
        <v>76</v>
      </c>
      <c r="I184" s="122" t="s">
        <v>229</v>
      </c>
      <c r="J184" s="122" t="s">
        <v>53</v>
      </c>
      <c r="K184" s="122" t="s">
        <v>53</v>
      </c>
      <c r="L184" s="122" t="s">
        <v>805</v>
      </c>
      <c r="M184" s="122" t="s">
        <v>311</v>
      </c>
      <c r="N184" s="122" t="s">
        <v>156</v>
      </c>
      <c r="O184" s="122" t="s">
        <v>62</v>
      </c>
      <c r="P184" s="122" t="s">
        <v>1215</v>
      </c>
      <c r="Q184" s="122" t="s">
        <v>70</v>
      </c>
      <c r="R184" s="122" t="s">
        <v>57</v>
      </c>
      <c r="S184" s="122" t="s">
        <v>1216</v>
      </c>
      <c r="T184" s="123">
        <v>0.41</v>
      </c>
      <c r="U184" s="122" t="s">
        <v>1469</v>
      </c>
      <c r="V184" s="125">
        <v>4.4999999999999998E-2</v>
      </c>
      <c r="W184" s="125">
        <v>5.2880000000000003E-2</v>
      </c>
      <c r="X184" s="122" t="s">
        <v>620</v>
      </c>
      <c r="Y184" s="133"/>
      <c r="Z184" s="123">
        <v>761902</v>
      </c>
      <c r="AA184" s="123">
        <v>1</v>
      </c>
      <c r="AB184" s="123">
        <v>120.41</v>
      </c>
      <c r="AC184" s="122"/>
      <c r="AD184" s="123">
        <v>917.40599999999995</v>
      </c>
      <c r="AE184" s="122"/>
      <c r="AF184" s="122"/>
      <c r="AG184" s="122"/>
      <c r="AH184" s="125">
        <v>5.1999999999999995E-4</v>
      </c>
      <c r="AI184" s="125">
        <v>5.5100000000000001E-3</v>
      </c>
      <c r="AJ184" s="126">
        <v>7.7999999999999999E-4</v>
      </c>
      <c r="AK184" s="159"/>
    </row>
    <row r="185" spans="1:37" x14ac:dyDescent="0.2">
      <c r="A185" s="121" t="s">
        <v>1211</v>
      </c>
      <c r="B185" s="122" t="s">
        <v>1211</v>
      </c>
      <c r="C185" s="122" t="s">
        <v>1770</v>
      </c>
      <c r="D185" s="122" t="s">
        <v>1771</v>
      </c>
      <c r="E185" s="122" t="s">
        <v>429</v>
      </c>
      <c r="F185" s="122" t="s">
        <v>1772</v>
      </c>
      <c r="G185" s="122" t="s">
        <v>1773</v>
      </c>
      <c r="H185" s="122" t="s">
        <v>76</v>
      </c>
      <c r="I185" s="122" t="s">
        <v>229</v>
      </c>
      <c r="J185" s="122" t="s">
        <v>53</v>
      </c>
      <c r="K185" s="122" t="s">
        <v>53</v>
      </c>
      <c r="L185" s="122" t="s">
        <v>805</v>
      </c>
      <c r="M185" s="122" t="s">
        <v>311</v>
      </c>
      <c r="N185" s="122" t="s">
        <v>635</v>
      </c>
      <c r="O185" s="122" t="s">
        <v>62</v>
      </c>
      <c r="P185" s="122" t="s">
        <v>1324</v>
      </c>
      <c r="Q185" s="122" t="s">
        <v>65</v>
      </c>
      <c r="R185" s="122" t="s">
        <v>57</v>
      </c>
      <c r="S185" s="122" t="s">
        <v>1216</v>
      </c>
      <c r="T185" s="123">
        <v>5.18</v>
      </c>
      <c r="U185" s="122" t="s">
        <v>1774</v>
      </c>
      <c r="V185" s="125">
        <v>3.5000000000000001E-3</v>
      </c>
      <c r="W185" s="125">
        <v>2.9590000000000002E-2</v>
      </c>
      <c r="X185" s="122" t="s">
        <v>620</v>
      </c>
      <c r="Y185" s="133"/>
      <c r="Z185" s="123">
        <v>899999.98</v>
      </c>
      <c r="AA185" s="123">
        <v>1</v>
      </c>
      <c r="AB185" s="123">
        <v>101.29</v>
      </c>
      <c r="AC185" s="122"/>
      <c r="AD185" s="123">
        <v>911.61</v>
      </c>
      <c r="AE185" s="122"/>
      <c r="AF185" s="122"/>
      <c r="AG185" s="122"/>
      <c r="AH185" s="125">
        <v>2.7E-4</v>
      </c>
      <c r="AI185" s="125">
        <v>5.47E-3</v>
      </c>
      <c r="AJ185" s="126">
        <v>7.7999999999999999E-4</v>
      </c>
      <c r="AK185" s="159"/>
    </row>
    <row r="186" spans="1:37" x14ac:dyDescent="0.2">
      <c r="A186" s="121" t="s">
        <v>1211</v>
      </c>
      <c r="B186" s="122" t="s">
        <v>1211</v>
      </c>
      <c r="C186" s="122" t="s">
        <v>1340</v>
      </c>
      <c r="D186" s="122" t="s">
        <v>1341</v>
      </c>
      <c r="E186" s="122" t="s">
        <v>429</v>
      </c>
      <c r="F186" s="122" t="s">
        <v>1459</v>
      </c>
      <c r="G186" s="122" t="s">
        <v>1460</v>
      </c>
      <c r="H186" s="122" t="s">
        <v>76</v>
      </c>
      <c r="I186" s="122" t="s">
        <v>229</v>
      </c>
      <c r="J186" s="122" t="s">
        <v>53</v>
      </c>
      <c r="K186" s="122" t="s">
        <v>53</v>
      </c>
      <c r="L186" s="122" t="s">
        <v>805</v>
      </c>
      <c r="M186" s="122" t="s">
        <v>311</v>
      </c>
      <c r="N186" s="122" t="s">
        <v>256</v>
      </c>
      <c r="O186" s="122" t="s">
        <v>62</v>
      </c>
      <c r="P186" s="122" t="s">
        <v>1330</v>
      </c>
      <c r="Q186" s="122" t="s">
        <v>65</v>
      </c>
      <c r="R186" s="122" t="s">
        <v>57</v>
      </c>
      <c r="S186" s="122" t="s">
        <v>1216</v>
      </c>
      <c r="T186" s="123">
        <v>3.95</v>
      </c>
      <c r="U186" s="122" t="s">
        <v>1461</v>
      </c>
      <c r="V186" s="125">
        <v>1.9900000000000001E-2</v>
      </c>
      <c r="W186" s="125">
        <v>2.537E-2</v>
      </c>
      <c r="X186" s="122" t="s">
        <v>620</v>
      </c>
      <c r="Y186" s="133"/>
      <c r="Z186" s="123">
        <v>837000</v>
      </c>
      <c r="AA186" s="123">
        <v>1</v>
      </c>
      <c r="AB186" s="123">
        <v>105.83</v>
      </c>
      <c r="AC186" s="122"/>
      <c r="AD186" s="123">
        <v>885.79700000000003</v>
      </c>
      <c r="AE186" s="122"/>
      <c r="AF186" s="122"/>
      <c r="AG186" s="122"/>
      <c r="AH186" s="125">
        <v>3.4000000000000002E-4</v>
      </c>
      <c r="AI186" s="125">
        <v>5.3200000000000001E-3</v>
      </c>
      <c r="AJ186" s="126">
        <v>7.6000000000000004E-4</v>
      </c>
      <c r="AK186" s="159"/>
    </row>
    <row r="187" spans="1:37" x14ac:dyDescent="0.2">
      <c r="A187" s="121" t="s">
        <v>1211</v>
      </c>
      <c r="B187" s="122" t="s">
        <v>1211</v>
      </c>
      <c r="C187" s="122" t="s">
        <v>1775</v>
      </c>
      <c r="D187" s="122" t="s">
        <v>1776</v>
      </c>
      <c r="E187" s="122" t="s">
        <v>429</v>
      </c>
      <c r="F187" s="122" t="s">
        <v>1777</v>
      </c>
      <c r="G187" s="122" t="s">
        <v>1778</v>
      </c>
      <c r="H187" s="122" t="s">
        <v>76</v>
      </c>
      <c r="I187" s="122" t="s">
        <v>228</v>
      </c>
      <c r="J187" s="122" t="s">
        <v>53</v>
      </c>
      <c r="K187" s="122" t="s">
        <v>53</v>
      </c>
      <c r="L187" s="122" t="s">
        <v>805</v>
      </c>
      <c r="M187" s="122" t="s">
        <v>311</v>
      </c>
      <c r="N187" s="122" t="s">
        <v>636</v>
      </c>
      <c r="O187" s="122" t="s">
        <v>62</v>
      </c>
      <c r="P187" s="122" t="s">
        <v>1324</v>
      </c>
      <c r="Q187" s="122" t="s">
        <v>65</v>
      </c>
      <c r="R187" s="122" t="s">
        <v>57</v>
      </c>
      <c r="S187" s="122" t="s">
        <v>1216</v>
      </c>
      <c r="T187" s="123">
        <v>3.71</v>
      </c>
      <c r="U187" s="122" t="s">
        <v>1511</v>
      </c>
      <c r="V187" s="125">
        <v>6.7400000000000002E-2</v>
      </c>
      <c r="W187" s="125">
        <v>5.6680000000000001E-2</v>
      </c>
      <c r="X187" s="122" t="s">
        <v>620</v>
      </c>
      <c r="Y187" s="133"/>
      <c r="Z187" s="123">
        <v>792760</v>
      </c>
      <c r="AA187" s="123">
        <v>1</v>
      </c>
      <c r="AB187" s="123">
        <v>105.95</v>
      </c>
      <c r="AC187" s="122"/>
      <c r="AD187" s="123">
        <v>839.92899999999997</v>
      </c>
      <c r="AE187" s="122"/>
      <c r="AF187" s="122"/>
      <c r="AG187" s="122"/>
      <c r="AH187" s="125">
        <v>2.7799999999999999E-3</v>
      </c>
      <c r="AI187" s="125">
        <v>5.0400000000000002E-3</v>
      </c>
      <c r="AJ187" s="126">
        <v>7.2000000000000005E-4</v>
      </c>
      <c r="AK187" s="159"/>
    </row>
    <row r="188" spans="1:37" x14ac:dyDescent="0.2">
      <c r="A188" s="121" t="s">
        <v>1211</v>
      </c>
      <c r="B188" s="122" t="s">
        <v>1211</v>
      </c>
      <c r="C188" s="122" t="s">
        <v>1340</v>
      </c>
      <c r="D188" s="122" t="s">
        <v>1341</v>
      </c>
      <c r="E188" s="122" t="s">
        <v>429</v>
      </c>
      <c r="F188" s="122" t="s">
        <v>1779</v>
      </c>
      <c r="G188" s="122" t="s">
        <v>1780</v>
      </c>
      <c r="H188" s="122" t="s">
        <v>76</v>
      </c>
      <c r="I188" s="122" t="s">
        <v>228</v>
      </c>
      <c r="J188" s="122" t="s">
        <v>53</v>
      </c>
      <c r="K188" s="122" t="s">
        <v>53</v>
      </c>
      <c r="L188" s="122" t="s">
        <v>805</v>
      </c>
      <c r="M188" s="122" t="s">
        <v>311</v>
      </c>
      <c r="N188" s="122" t="s">
        <v>256</v>
      </c>
      <c r="O188" s="122" t="s">
        <v>62</v>
      </c>
      <c r="P188" s="122" t="s">
        <v>1330</v>
      </c>
      <c r="Q188" s="122" t="s">
        <v>65</v>
      </c>
      <c r="R188" s="122" t="s">
        <v>57</v>
      </c>
      <c r="S188" s="122" t="s">
        <v>1216</v>
      </c>
      <c r="T188" s="123">
        <v>2.83</v>
      </c>
      <c r="U188" s="122" t="s">
        <v>1781</v>
      </c>
      <c r="V188" s="125">
        <v>2.7400000000000001E-2</v>
      </c>
      <c r="W188" s="125">
        <v>4.4659999999999998E-2</v>
      </c>
      <c r="X188" s="122" t="s">
        <v>620</v>
      </c>
      <c r="Y188" s="133"/>
      <c r="Z188" s="123">
        <v>866710.01</v>
      </c>
      <c r="AA188" s="123">
        <v>1</v>
      </c>
      <c r="AB188" s="123">
        <v>96.57</v>
      </c>
      <c r="AC188" s="122"/>
      <c r="AD188" s="123">
        <v>836.98199999999997</v>
      </c>
      <c r="AE188" s="122"/>
      <c r="AF188" s="122"/>
      <c r="AG188" s="122"/>
      <c r="AH188" s="125">
        <v>2.7E-4</v>
      </c>
      <c r="AI188" s="125">
        <v>5.0299999999999997E-3</v>
      </c>
      <c r="AJ188" s="126">
        <v>7.1000000000000002E-4</v>
      </c>
      <c r="AK188" s="159"/>
    </row>
    <row r="189" spans="1:37" x14ac:dyDescent="0.2">
      <c r="A189" s="121" t="s">
        <v>1211</v>
      </c>
      <c r="B189" s="122" t="s">
        <v>1211</v>
      </c>
      <c r="C189" s="122" t="s">
        <v>1782</v>
      </c>
      <c r="D189" s="122" t="s">
        <v>1783</v>
      </c>
      <c r="E189" s="122" t="s">
        <v>429</v>
      </c>
      <c r="F189" s="122" t="s">
        <v>1784</v>
      </c>
      <c r="G189" s="122" t="s">
        <v>1785</v>
      </c>
      <c r="H189" s="122" t="s">
        <v>76</v>
      </c>
      <c r="I189" s="122" t="s">
        <v>228</v>
      </c>
      <c r="J189" s="122" t="s">
        <v>53</v>
      </c>
      <c r="K189" s="122" t="s">
        <v>53</v>
      </c>
      <c r="L189" s="122" t="s">
        <v>805</v>
      </c>
      <c r="M189" s="122" t="s">
        <v>311</v>
      </c>
      <c r="N189" s="122" t="s">
        <v>260</v>
      </c>
      <c r="O189" s="122" t="s">
        <v>62</v>
      </c>
      <c r="P189" s="122" t="s">
        <v>1369</v>
      </c>
      <c r="Q189" s="122" t="s">
        <v>65</v>
      </c>
      <c r="R189" s="122" t="s">
        <v>57</v>
      </c>
      <c r="S189" s="122" t="s">
        <v>1216</v>
      </c>
      <c r="T189" s="123">
        <v>2.56</v>
      </c>
      <c r="U189" s="122" t="s">
        <v>1786</v>
      </c>
      <c r="V189" s="125">
        <v>4.7300000000000002E-2</v>
      </c>
      <c r="W189" s="125">
        <v>4.7030000000000002E-2</v>
      </c>
      <c r="X189" s="122" t="s">
        <v>620</v>
      </c>
      <c r="Y189" s="133"/>
      <c r="Z189" s="123">
        <v>807500</v>
      </c>
      <c r="AA189" s="123">
        <v>1</v>
      </c>
      <c r="AB189" s="123">
        <v>101.31</v>
      </c>
      <c r="AC189" s="122"/>
      <c r="AD189" s="123">
        <v>818.07799999999997</v>
      </c>
      <c r="AE189" s="122"/>
      <c r="AF189" s="122"/>
      <c r="AG189" s="122"/>
      <c r="AH189" s="125">
        <v>1.72E-3</v>
      </c>
      <c r="AI189" s="125">
        <v>4.9100000000000003E-3</v>
      </c>
      <c r="AJ189" s="126">
        <v>6.9999999999999999E-4</v>
      </c>
      <c r="AK189" s="159"/>
    </row>
    <row r="190" spans="1:37" x14ac:dyDescent="0.2">
      <c r="A190" s="121" t="s">
        <v>1211</v>
      </c>
      <c r="B190" s="122" t="s">
        <v>1211</v>
      </c>
      <c r="C190" s="122" t="s">
        <v>1388</v>
      </c>
      <c r="D190" s="122" t="s">
        <v>1389</v>
      </c>
      <c r="E190" s="122" t="s">
        <v>429</v>
      </c>
      <c r="F190" s="122" t="s">
        <v>1528</v>
      </c>
      <c r="G190" s="122" t="s">
        <v>1529</v>
      </c>
      <c r="H190" s="122" t="s">
        <v>76</v>
      </c>
      <c r="I190" s="122" t="s">
        <v>228</v>
      </c>
      <c r="J190" s="122" t="s">
        <v>53</v>
      </c>
      <c r="K190" s="122" t="s">
        <v>53</v>
      </c>
      <c r="L190" s="122" t="s">
        <v>805</v>
      </c>
      <c r="M190" s="122" t="s">
        <v>311</v>
      </c>
      <c r="N190" s="122" t="s">
        <v>635</v>
      </c>
      <c r="O190" s="122" t="s">
        <v>62</v>
      </c>
      <c r="P190" s="122" t="s">
        <v>1324</v>
      </c>
      <c r="Q190" s="122" t="s">
        <v>65</v>
      </c>
      <c r="R190" s="122" t="s">
        <v>57</v>
      </c>
      <c r="S190" s="122" t="s">
        <v>1216</v>
      </c>
      <c r="T190" s="123">
        <v>4.5599999999999996</v>
      </c>
      <c r="U190" s="122" t="s">
        <v>1530</v>
      </c>
      <c r="V190" s="125">
        <v>2.5499999999999998E-2</v>
      </c>
      <c r="W190" s="125">
        <v>4.9169999999999998E-2</v>
      </c>
      <c r="X190" s="122" t="s">
        <v>620</v>
      </c>
      <c r="Y190" s="133"/>
      <c r="Z190" s="123">
        <v>902498.58</v>
      </c>
      <c r="AA190" s="123">
        <v>1</v>
      </c>
      <c r="AB190" s="123">
        <v>90.63</v>
      </c>
      <c r="AC190" s="122"/>
      <c r="AD190" s="123">
        <v>817.93399999999997</v>
      </c>
      <c r="AE190" s="122"/>
      <c r="AF190" s="122"/>
      <c r="AG190" s="122"/>
      <c r="AH190" s="125">
        <v>3.2000000000000003E-4</v>
      </c>
      <c r="AI190" s="125">
        <v>4.9100000000000003E-3</v>
      </c>
      <c r="AJ190" s="126">
        <v>6.9999999999999999E-4</v>
      </c>
      <c r="AK190" s="159"/>
    </row>
    <row r="191" spans="1:37" x14ac:dyDescent="0.2">
      <c r="A191" s="121" t="s">
        <v>1211</v>
      </c>
      <c r="B191" s="122" t="s">
        <v>1211</v>
      </c>
      <c r="C191" s="122" t="s">
        <v>1398</v>
      </c>
      <c r="D191" s="122" t="s">
        <v>1399</v>
      </c>
      <c r="E191" s="122" t="s">
        <v>429</v>
      </c>
      <c r="F191" s="122" t="s">
        <v>1436</v>
      </c>
      <c r="G191" s="122" t="s">
        <v>1437</v>
      </c>
      <c r="H191" s="122" t="s">
        <v>76</v>
      </c>
      <c r="I191" s="122" t="s">
        <v>229</v>
      </c>
      <c r="J191" s="122" t="s">
        <v>53</v>
      </c>
      <c r="K191" s="122" t="s">
        <v>53</v>
      </c>
      <c r="L191" s="122" t="s">
        <v>805</v>
      </c>
      <c r="M191" s="122" t="s">
        <v>311</v>
      </c>
      <c r="N191" s="122" t="s">
        <v>636</v>
      </c>
      <c r="O191" s="122" t="s">
        <v>62</v>
      </c>
      <c r="P191" s="122" t="s">
        <v>1402</v>
      </c>
      <c r="Q191" s="122" t="s">
        <v>70</v>
      </c>
      <c r="R191" s="122" t="s">
        <v>57</v>
      </c>
      <c r="S191" s="122" t="s">
        <v>1216</v>
      </c>
      <c r="T191" s="123">
        <v>4.7</v>
      </c>
      <c r="U191" s="122" t="s">
        <v>1438</v>
      </c>
      <c r="V191" s="125">
        <v>1.7899999999999999E-2</v>
      </c>
      <c r="W191" s="125">
        <v>5.3999999999999999E-2</v>
      </c>
      <c r="X191" s="122" t="s">
        <v>620</v>
      </c>
      <c r="Y191" s="133"/>
      <c r="Z191" s="123">
        <v>815984.41</v>
      </c>
      <c r="AA191" s="123">
        <v>1</v>
      </c>
      <c r="AB191" s="123">
        <v>100.05</v>
      </c>
      <c r="AC191" s="122"/>
      <c r="AD191" s="123">
        <v>816.39200000000005</v>
      </c>
      <c r="AE191" s="122"/>
      <c r="AF191" s="122"/>
      <c r="AG191" s="122"/>
      <c r="AH191" s="125">
        <v>5.9000000000000003E-4</v>
      </c>
      <c r="AI191" s="125">
        <v>4.8999999999999998E-3</v>
      </c>
      <c r="AJ191" s="126">
        <v>6.9999999999999999E-4</v>
      </c>
      <c r="AK191" s="159"/>
    </row>
    <row r="192" spans="1:37" x14ac:dyDescent="0.2">
      <c r="A192" s="121" t="s">
        <v>1211</v>
      </c>
      <c r="B192" s="122" t="s">
        <v>1211</v>
      </c>
      <c r="C192" s="122" t="s">
        <v>1562</v>
      </c>
      <c r="D192" s="122" t="s">
        <v>1563</v>
      </c>
      <c r="E192" s="122" t="s">
        <v>429</v>
      </c>
      <c r="F192" s="122" t="s">
        <v>1564</v>
      </c>
      <c r="G192" s="122" t="s">
        <v>1565</v>
      </c>
      <c r="H192" s="122" t="s">
        <v>76</v>
      </c>
      <c r="I192" s="122" t="s">
        <v>228</v>
      </c>
      <c r="J192" s="122" t="s">
        <v>53</v>
      </c>
      <c r="K192" s="122" t="s">
        <v>53</v>
      </c>
      <c r="L192" s="122" t="s">
        <v>805</v>
      </c>
      <c r="M192" s="122" t="s">
        <v>311</v>
      </c>
      <c r="N192" s="122" t="s">
        <v>140</v>
      </c>
      <c r="O192" s="122" t="s">
        <v>62</v>
      </c>
      <c r="P192" s="122" t="s">
        <v>1402</v>
      </c>
      <c r="Q192" s="122" t="s">
        <v>70</v>
      </c>
      <c r="R192" s="122" t="s">
        <v>57</v>
      </c>
      <c r="S192" s="122" t="s">
        <v>1216</v>
      </c>
      <c r="T192" s="123">
        <v>1.57</v>
      </c>
      <c r="U192" s="122" t="s">
        <v>1493</v>
      </c>
      <c r="V192" s="125">
        <v>4.53E-2</v>
      </c>
      <c r="W192" s="125">
        <v>5.2519999999999997E-2</v>
      </c>
      <c r="X192" s="122" t="s">
        <v>620</v>
      </c>
      <c r="Y192" s="133"/>
      <c r="Z192" s="123">
        <v>797286.6</v>
      </c>
      <c r="AA192" s="123">
        <v>1</v>
      </c>
      <c r="AB192" s="123">
        <v>100.12</v>
      </c>
      <c r="AC192" s="122"/>
      <c r="AD192" s="123">
        <v>798.24300000000005</v>
      </c>
      <c r="AE192" s="122"/>
      <c r="AF192" s="122"/>
      <c r="AG192" s="122"/>
      <c r="AH192" s="125">
        <v>1.2700000000000001E-3</v>
      </c>
      <c r="AI192" s="125">
        <v>4.79E-3</v>
      </c>
      <c r="AJ192" s="126">
        <v>6.8000000000000005E-4</v>
      </c>
      <c r="AK192" s="159"/>
    </row>
    <row r="193" spans="1:37" x14ac:dyDescent="0.2">
      <c r="A193" s="121" t="s">
        <v>1211</v>
      </c>
      <c r="B193" s="122" t="s">
        <v>1211</v>
      </c>
      <c r="C193" s="122" t="s">
        <v>1442</v>
      </c>
      <c r="D193" s="122" t="s">
        <v>1443</v>
      </c>
      <c r="E193" s="122" t="s">
        <v>429</v>
      </c>
      <c r="F193" s="122" t="s">
        <v>1444</v>
      </c>
      <c r="G193" s="122" t="s">
        <v>1445</v>
      </c>
      <c r="H193" s="122" t="s">
        <v>76</v>
      </c>
      <c r="I193" s="122" t="s">
        <v>229</v>
      </c>
      <c r="J193" s="122" t="s">
        <v>53</v>
      </c>
      <c r="K193" s="122" t="s">
        <v>53</v>
      </c>
      <c r="L193" s="122" t="s">
        <v>805</v>
      </c>
      <c r="M193" s="122" t="s">
        <v>311</v>
      </c>
      <c r="N193" s="122" t="s">
        <v>635</v>
      </c>
      <c r="O193" s="122" t="s">
        <v>62</v>
      </c>
      <c r="P193" s="122" t="s">
        <v>1324</v>
      </c>
      <c r="Q193" s="122" t="s">
        <v>65</v>
      </c>
      <c r="R193" s="122" t="s">
        <v>57</v>
      </c>
      <c r="S193" s="122" t="s">
        <v>1216</v>
      </c>
      <c r="T193" s="123">
        <v>1.76</v>
      </c>
      <c r="U193" s="122" t="s">
        <v>1281</v>
      </c>
      <c r="V193" s="125">
        <v>2.3400000000000001E-2</v>
      </c>
      <c r="W193" s="125">
        <v>2.962E-2</v>
      </c>
      <c r="X193" s="122" t="s">
        <v>620</v>
      </c>
      <c r="Y193" s="133"/>
      <c r="Z193" s="123">
        <v>658891.99</v>
      </c>
      <c r="AA193" s="123">
        <v>1</v>
      </c>
      <c r="AB193" s="123">
        <v>118.73</v>
      </c>
      <c r="AC193" s="122"/>
      <c r="AD193" s="123">
        <v>782.30200000000002</v>
      </c>
      <c r="AE193" s="122"/>
      <c r="AF193" s="122"/>
      <c r="AG193" s="122"/>
      <c r="AH193" s="125">
        <v>4.0000000000000002E-4</v>
      </c>
      <c r="AI193" s="125">
        <v>4.7000000000000002E-3</v>
      </c>
      <c r="AJ193" s="126">
        <v>6.7000000000000002E-4</v>
      </c>
      <c r="AK193" s="159"/>
    </row>
    <row r="194" spans="1:37" x14ac:dyDescent="0.2">
      <c r="A194" s="121" t="s">
        <v>1211</v>
      </c>
      <c r="B194" s="122" t="s">
        <v>1211</v>
      </c>
      <c r="C194" s="122" t="s">
        <v>1365</v>
      </c>
      <c r="D194" s="122" t="s">
        <v>1366</v>
      </c>
      <c r="E194" s="122" t="s">
        <v>429</v>
      </c>
      <c r="F194" s="122" t="s">
        <v>1404</v>
      </c>
      <c r="G194" s="122" t="s">
        <v>1405</v>
      </c>
      <c r="H194" s="122" t="s">
        <v>76</v>
      </c>
      <c r="I194" s="122" t="s">
        <v>228</v>
      </c>
      <c r="J194" s="122" t="s">
        <v>53</v>
      </c>
      <c r="K194" s="122" t="s">
        <v>53</v>
      </c>
      <c r="L194" s="122" t="s">
        <v>805</v>
      </c>
      <c r="M194" s="122" t="s">
        <v>311</v>
      </c>
      <c r="N194" s="122" t="s">
        <v>269</v>
      </c>
      <c r="O194" s="122" t="s">
        <v>62</v>
      </c>
      <c r="P194" s="122" t="s">
        <v>1369</v>
      </c>
      <c r="Q194" s="122" t="s">
        <v>65</v>
      </c>
      <c r="R194" s="122" t="s">
        <v>57</v>
      </c>
      <c r="S194" s="122" t="s">
        <v>1216</v>
      </c>
      <c r="T194" s="123">
        <v>7.14</v>
      </c>
      <c r="U194" s="122" t="s">
        <v>1406</v>
      </c>
      <c r="V194" s="125">
        <v>5.3100000000000001E-2</v>
      </c>
      <c r="W194" s="125">
        <v>4.8640000000000003E-2</v>
      </c>
      <c r="X194" s="122" t="s">
        <v>620</v>
      </c>
      <c r="Y194" s="133"/>
      <c r="Z194" s="123">
        <v>741030.16</v>
      </c>
      <c r="AA194" s="123">
        <v>1</v>
      </c>
      <c r="AB194" s="123">
        <v>104.46</v>
      </c>
      <c r="AC194" s="122"/>
      <c r="AD194" s="123">
        <v>774.08</v>
      </c>
      <c r="AE194" s="122"/>
      <c r="AF194" s="122"/>
      <c r="AG194" s="122"/>
      <c r="AH194" s="125">
        <v>5.8E-4</v>
      </c>
      <c r="AI194" s="125">
        <v>4.6499999999999996E-3</v>
      </c>
      <c r="AJ194" s="126">
        <v>6.6E-4</v>
      </c>
      <c r="AK194" s="159"/>
    </row>
    <row r="195" spans="1:37" x14ac:dyDescent="0.2">
      <c r="A195" s="121" t="s">
        <v>1211</v>
      </c>
      <c r="B195" s="122" t="s">
        <v>1211</v>
      </c>
      <c r="C195" s="122" t="s">
        <v>1499</v>
      </c>
      <c r="D195" s="122" t="s">
        <v>1500</v>
      </c>
      <c r="E195" s="122" t="s">
        <v>429</v>
      </c>
      <c r="F195" s="122" t="s">
        <v>1787</v>
      </c>
      <c r="G195" s="122" t="s">
        <v>1788</v>
      </c>
      <c r="H195" s="122" t="s">
        <v>76</v>
      </c>
      <c r="I195" s="122" t="s">
        <v>228</v>
      </c>
      <c r="J195" s="122" t="s">
        <v>53</v>
      </c>
      <c r="K195" s="122" t="s">
        <v>53</v>
      </c>
      <c r="L195" s="122" t="s">
        <v>805</v>
      </c>
      <c r="M195" s="122" t="s">
        <v>311</v>
      </c>
      <c r="N195" s="122" t="s">
        <v>692</v>
      </c>
      <c r="O195" s="122" t="s">
        <v>62</v>
      </c>
      <c r="P195" s="122" t="s">
        <v>1450</v>
      </c>
      <c r="Q195" s="122" t="s">
        <v>65</v>
      </c>
      <c r="R195" s="122" t="s">
        <v>57</v>
      </c>
      <c r="S195" s="122" t="s">
        <v>1216</v>
      </c>
      <c r="T195" s="123">
        <v>4.5199999999999996</v>
      </c>
      <c r="U195" s="122" t="s">
        <v>1789</v>
      </c>
      <c r="V195" s="125">
        <v>2.07E-2</v>
      </c>
      <c r="W195" s="125">
        <v>4.9540000000000001E-2</v>
      </c>
      <c r="X195" s="122" t="s">
        <v>620</v>
      </c>
      <c r="Y195" s="133"/>
      <c r="Z195" s="123">
        <v>870189.74</v>
      </c>
      <c r="AA195" s="123">
        <v>1</v>
      </c>
      <c r="AB195" s="123">
        <v>88.43</v>
      </c>
      <c r="AC195" s="122"/>
      <c r="AD195" s="123">
        <v>769.50900000000001</v>
      </c>
      <c r="AE195" s="122"/>
      <c r="AF195" s="122"/>
      <c r="AG195" s="122"/>
      <c r="AH195" s="125">
        <v>1.1999999999999999E-3</v>
      </c>
      <c r="AI195" s="125">
        <v>4.62E-3</v>
      </c>
      <c r="AJ195" s="126">
        <v>6.6E-4</v>
      </c>
      <c r="AK195" s="159"/>
    </row>
    <row r="196" spans="1:37" x14ac:dyDescent="0.2">
      <c r="A196" s="121" t="s">
        <v>1211</v>
      </c>
      <c r="B196" s="122" t="s">
        <v>1211</v>
      </c>
      <c r="C196" s="122" t="s">
        <v>1790</v>
      </c>
      <c r="D196" s="122" t="s">
        <v>1791</v>
      </c>
      <c r="E196" s="122" t="s">
        <v>429</v>
      </c>
      <c r="F196" s="122" t="s">
        <v>1792</v>
      </c>
      <c r="G196" s="122" t="s">
        <v>1793</v>
      </c>
      <c r="H196" s="122" t="s">
        <v>76</v>
      </c>
      <c r="I196" s="122" t="s">
        <v>228</v>
      </c>
      <c r="J196" s="122" t="s">
        <v>53</v>
      </c>
      <c r="K196" s="122" t="s">
        <v>53</v>
      </c>
      <c r="L196" s="122" t="s">
        <v>805</v>
      </c>
      <c r="M196" s="122" t="s">
        <v>311</v>
      </c>
      <c r="N196" s="122" t="s">
        <v>267</v>
      </c>
      <c r="O196" s="122" t="s">
        <v>62</v>
      </c>
      <c r="P196" s="122" t="s">
        <v>1750</v>
      </c>
      <c r="Q196" s="122" t="s">
        <v>65</v>
      </c>
      <c r="R196" s="122" t="s">
        <v>57</v>
      </c>
      <c r="S196" s="122" t="s">
        <v>1216</v>
      </c>
      <c r="T196" s="123">
        <v>2.97</v>
      </c>
      <c r="U196" s="122" t="s">
        <v>1794</v>
      </c>
      <c r="V196" s="125">
        <v>6.7000000000000004E-2</v>
      </c>
      <c r="W196" s="125">
        <v>5.1069999999999997E-2</v>
      </c>
      <c r="X196" s="122" t="s">
        <v>620</v>
      </c>
      <c r="Y196" s="133"/>
      <c r="Z196" s="123">
        <v>693000</v>
      </c>
      <c r="AA196" s="123">
        <v>1</v>
      </c>
      <c r="AB196" s="123">
        <v>104.89</v>
      </c>
      <c r="AC196" s="122"/>
      <c r="AD196" s="123">
        <v>726.88800000000003</v>
      </c>
      <c r="AE196" s="122"/>
      <c r="AF196" s="122"/>
      <c r="AG196" s="122"/>
      <c r="AH196" s="125">
        <v>7.6000000000000004E-4</v>
      </c>
      <c r="AI196" s="125">
        <v>4.3699999999999998E-3</v>
      </c>
      <c r="AJ196" s="126">
        <v>6.2E-4</v>
      </c>
      <c r="AK196" s="159"/>
    </row>
    <row r="197" spans="1:37" x14ac:dyDescent="0.2">
      <c r="A197" s="121" t="s">
        <v>1211</v>
      </c>
      <c r="B197" s="122" t="s">
        <v>1211</v>
      </c>
      <c r="C197" s="122" t="s">
        <v>1332</v>
      </c>
      <c r="D197" s="122" t="s">
        <v>1333</v>
      </c>
      <c r="E197" s="122" t="s">
        <v>430</v>
      </c>
      <c r="F197" s="122" t="s">
        <v>1795</v>
      </c>
      <c r="G197" s="122" t="s">
        <v>1796</v>
      </c>
      <c r="H197" s="122" t="s">
        <v>76</v>
      </c>
      <c r="I197" s="122" t="s">
        <v>229</v>
      </c>
      <c r="J197" s="122" t="s">
        <v>53</v>
      </c>
      <c r="K197" s="122" t="s">
        <v>53</v>
      </c>
      <c r="L197" s="122" t="s">
        <v>805</v>
      </c>
      <c r="M197" s="122" t="s">
        <v>311</v>
      </c>
      <c r="N197" s="122" t="s">
        <v>156</v>
      </c>
      <c r="O197" s="122" t="s">
        <v>62</v>
      </c>
      <c r="P197" s="122" t="s">
        <v>1215</v>
      </c>
      <c r="Q197" s="122" t="s">
        <v>70</v>
      </c>
      <c r="R197" s="122" t="s">
        <v>57</v>
      </c>
      <c r="S197" s="122" t="s">
        <v>1216</v>
      </c>
      <c r="T197" s="123">
        <v>1.8</v>
      </c>
      <c r="U197" s="122" t="s">
        <v>1797</v>
      </c>
      <c r="V197" s="125">
        <v>0.01</v>
      </c>
      <c r="W197" s="125">
        <v>2.4469999999999999E-2</v>
      </c>
      <c r="X197" s="122" t="s">
        <v>620</v>
      </c>
      <c r="Y197" s="133"/>
      <c r="Z197" s="123">
        <v>634221</v>
      </c>
      <c r="AA197" s="123">
        <v>1</v>
      </c>
      <c r="AB197" s="123">
        <v>114.15</v>
      </c>
      <c r="AC197" s="122"/>
      <c r="AD197" s="123">
        <v>723.96299999999997</v>
      </c>
      <c r="AE197" s="122"/>
      <c r="AF197" s="122"/>
      <c r="AG197" s="122"/>
      <c r="AH197" s="125">
        <v>5.2999999999999998E-4</v>
      </c>
      <c r="AI197" s="125">
        <v>4.3499999999999997E-3</v>
      </c>
      <c r="AJ197" s="126">
        <v>6.2E-4</v>
      </c>
      <c r="AK197" s="159"/>
    </row>
    <row r="198" spans="1:37" x14ac:dyDescent="0.2">
      <c r="A198" s="121" t="s">
        <v>1211</v>
      </c>
      <c r="B198" s="122" t="s">
        <v>1211</v>
      </c>
      <c r="C198" s="122" t="s">
        <v>1798</v>
      </c>
      <c r="D198" s="122" t="s">
        <v>1799</v>
      </c>
      <c r="E198" s="122" t="s">
        <v>429</v>
      </c>
      <c r="F198" s="122" t="s">
        <v>1800</v>
      </c>
      <c r="G198" s="122" t="s">
        <v>1801</v>
      </c>
      <c r="H198" s="122" t="s">
        <v>76</v>
      </c>
      <c r="I198" s="122" t="s">
        <v>228</v>
      </c>
      <c r="J198" s="122" t="s">
        <v>53</v>
      </c>
      <c r="K198" s="122" t="s">
        <v>53</v>
      </c>
      <c r="L198" s="122" t="s">
        <v>805</v>
      </c>
      <c r="M198" s="122" t="s">
        <v>311</v>
      </c>
      <c r="N198" s="122" t="s">
        <v>75</v>
      </c>
      <c r="O198" s="122" t="s">
        <v>62</v>
      </c>
      <c r="P198" s="122" t="s">
        <v>1369</v>
      </c>
      <c r="Q198" s="122" t="s">
        <v>65</v>
      </c>
      <c r="R198" s="122" t="s">
        <v>57</v>
      </c>
      <c r="S198" s="122" t="s">
        <v>1216</v>
      </c>
      <c r="T198" s="123">
        <v>3.41</v>
      </c>
      <c r="U198" s="122" t="s">
        <v>1802</v>
      </c>
      <c r="V198" s="125">
        <v>5.04E-2</v>
      </c>
      <c r="W198" s="125">
        <v>4.9020000000000001E-2</v>
      </c>
      <c r="X198" s="122" t="s">
        <v>620</v>
      </c>
      <c r="Y198" s="133"/>
      <c r="Z198" s="123">
        <v>700000</v>
      </c>
      <c r="AA198" s="123">
        <v>1</v>
      </c>
      <c r="AB198" s="123">
        <v>101.51</v>
      </c>
      <c r="AC198" s="122"/>
      <c r="AD198" s="123">
        <v>710.57</v>
      </c>
      <c r="AE198" s="122"/>
      <c r="AF198" s="122"/>
      <c r="AG198" s="122"/>
      <c r="AH198" s="125">
        <v>1.41E-3</v>
      </c>
      <c r="AI198" s="125">
        <v>4.2700000000000004E-3</v>
      </c>
      <c r="AJ198" s="126">
        <v>6.0999999999999997E-4</v>
      </c>
      <c r="AK198" s="159"/>
    </row>
    <row r="199" spans="1:37" x14ac:dyDescent="0.2">
      <c r="A199" s="121" t="s">
        <v>1211</v>
      </c>
      <c r="B199" s="122" t="s">
        <v>1211</v>
      </c>
      <c r="C199" s="122" t="s">
        <v>1570</v>
      </c>
      <c r="D199" s="122" t="s">
        <v>1571</v>
      </c>
      <c r="E199" s="122" t="s">
        <v>429</v>
      </c>
      <c r="F199" s="122" t="s">
        <v>1803</v>
      </c>
      <c r="G199" s="122" t="s">
        <v>1804</v>
      </c>
      <c r="H199" s="122" t="s">
        <v>76</v>
      </c>
      <c r="I199" s="122" t="s">
        <v>228</v>
      </c>
      <c r="J199" s="122" t="s">
        <v>53</v>
      </c>
      <c r="K199" s="122" t="s">
        <v>53</v>
      </c>
      <c r="L199" s="122" t="s">
        <v>805</v>
      </c>
      <c r="M199" s="122" t="s">
        <v>311</v>
      </c>
      <c r="N199" s="122" t="s">
        <v>635</v>
      </c>
      <c r="O199" s="122" t="s">
        <v>62</v>
      </c>
      <c r="P199" s="122" t="s">
        <v>1377</v>
      </c>
      <c r="Q199" s="122" t="s">
        <v>70</v>
      </c>
      <c r="R199" s="122" t="s">
        <v>57</v>
      </c>
      <c r="S199" s="122" t="s">
        <v>1216</v>
      </c>
      <c r="T199" s="123">
        <v>3.46</v>
      </c>
      <c r="U199" s="122" t="s">
        <v>1805</v>
      </c>
      <c r="V199" s="125">
        <v>2.41E-2</v>
      </c>
      <c r="W199" s="125">
        <v>4.8030000000000003E-2</v>
      </c>
      <c r="X199" s="122" t="s">
        <v>620</v>
      </c>
      <c r="Y199" s="133"/>
      <c r="Z199" s="123">
        <v>755555.56</v>
      </c>
      <c r="AA199" s="123">
        <v>1</v>
      </c>
      <c r="AB199" s="123">
        <v>93.59</v>
      </c>
      <c r="AC199" s="122"/>
      <c r="AD199" s="123">
        <v>707.12400000000002</v>
      </c>
      <c r="AE199" s="122"/>
      <c r="AF199" s="122"/>
      <c r="AG199" s="122"/>
      <c r="AH199" s="125">
        <v>3.6999999999999999E-4</v>
      </c>
      <c r="AI199" s="125">
        <v>4.2500000000000003E-3</v>
      </c>
      <c r="AJ199" s="126">
        <v>5.9999999999999995E-4</v>
      </c>
      <c r="AK199" s="159"/>
    </row>
    <row r="200" spans="1:37" x14ac:dyDescent="0.2">
      <c r="A200" s="121" t="s">
        <v>1211</v>
      </c>
      <c r="B200" s="122" t="s">
        <v>1211</v>
      </c>
      <c r="C200" s="122" t="s">
        <v>1617</v>
      </c>
      <c r="D200" s="122" t="s">
        <v>1618</v>
      </c>
      <c r="E200" s="122" t="s">
        <v>429</v>
      </c>
      <c r="F200" s="122" t="s">
        <v>1806</v>
      </c>
      <c r="G200" s="122" t="s">
        <v>1807</v>
      </c>
      <c r="H200" s="122" t="s">
        <v>76</v>
      </c>
      <c r="I200" s="122" t="s">
        <v>229</v>
      </c>
      <c r="J200" s="122" t="s">
        <v>53</v>
      </c>
      <c r="K200" s="122" t="s">
        <v>53</v>
      </c>
      <c r="L200" s="122" t="s">
        <v>805</v>
      </c>
      <c r="M200" s="122" t="s">
        <v>311</v>
      </c>
      <c r="N200" s="122" t="s">
        <v>256</v>
      </c>
      <c r="O200" s="122" t="s">
        <v>62</v>
      </c>
      <c r="P200" s="122" t="s">
        <v>1330</v>
      </c>
      <c r="Q200" s="122" t="s">
        <v>65</v>
      </c>
      <c r="R200" s="122" t="s">
        <v>57</v>
      </c>
      <c r="S200" s="122" t="s">
        <v>1216</v>
      </c>
      <c r="T200" s="123">
        <v>3.52</v>
      </c>
      <c r="U200" s="122" t="s">
        <v>1808</v>
      </c>
      <c r="V200" s="125">
        <v>2E-3</v>
      </c>
      <c r="W200" s="125">
        <v>2.5420000000000002E-2</v>
      </c>
      <c r="X200" s="122" t="s">
        <v>620</v>
      </c>
      <c r="Y200" s="133"/>
      <c r="Z200" s="123">
        <v>655789.46</v>
      </c>
      <c r="AA200" s="123">
        <v>1</v>
      </c>
      <c r="AB200" s="123">
        <v>106.62</v>
      </c>
      <c r="AC200" s="122"/>
      <c r="AD200" s="123">
        <v>699.20299999999997</v>
      </c>
      <c r="AE200" s="122"/>
      <c r="AF200" s="122"/>
      <c r="AG200" s="122"/>
      <c r="AH200" s="125">
        <v>2.1000000000000001E-4</v>
      </c>
      <c r="AI200" s="125">
        <v>4.1999999999999997E-3</v>
      </c>
      <c r="AJ200" s="126">
        <v>5.9999999999999995E-4</v>
      </c>
      <c r="AK200" s="159"/>
    </row>
    <row r="201" spans="1:37" x14ac:dyDescent="0.2">
      <c r="A201" s="121" t="s">
        <v>1211</v>
      </c>
      <c r="B201" s="122" t="s">
        <v>1211</v>
      </c>
      <c r="C201" s="122" t="s">
        <v>1415</v>
      </c>
      <c r="D201" s="122" t="s">
        <v>1416</v>
      </c>
      <c r="E201" s="122" t="s">
        <v>429</v>
      </c>
      <c r="F201" s="122" t="s">
        <v>1809</v>
      </c>
      <c r="G201" s="122" t="s">
        <v>1810</v>
      </c>
      <c r="H201" s="122" t="s">
        <v>76</v>
      </c>
      <c r="I201" s="122" t="s">
        <v>228</v>
      </c>
      <c r="J201" s="122" t="s">
        <v>53</v>
      </c>
      <c r="K201" s="122" t="s">
        <v>53</v>
      </c>
      <c r="L201" s="122" t="s">
        <v>805</v>
      </c>
      <c r="M201" s="122" t="s">
        <v>311</v>
      </c>
      <c r="N201" s="122" t="s">
        <v>269</v>
      </c>
      <c r="O201" s="122" t="s">
        <v>62</v>
      </c>
      <c r="P201" s="122" t="s">
        <v>1369</v>
      </c>
      <c r="Q201" s="122" t="s">
        <v>65</v>
      </c>
      <c r="R201" s="122" t="s">
        <v>57</v>
      </c>
      <c r="S201" s="122" t="s">
        <v>1216</v>
      </c>
      <c r="T201" s="123">
        <v>2.2799999999999998</v>
      </c>
      <c r="U201" s="122" t="s">
        <v>1811</v>
      </c>
      <c r="V201" s="125">
        <v>1.8319999999999999E-2</v>
      </c>
      <c r="W201" s="125">
        <v>4.6649999999999997E-2</v>
      </c>
      <c r="X201" s="122" t="s">
        <v>620</v>
      </c>
      <c r="Y201" s="133"/>
      <c r="Z201" s="123">
        <v>652250.99</v>
      </c>
      <c r="AA201" s="123">
        <v>1</v>
      </c>
      <c r="AB201" s="123">
        <v>102.82</v>
      </c>
      <c r="AC201" s="122"/>
      <c r="AD201" s="123">
        <v>670.64400000000001</v>
      </c>
      <c r="AE201" s="122"/>
      <c r="AF201" s="122"/>
      <c r="AG201" s="122"/>
      <c r="AH201" s="125">
        <v>1.1900000000000001E-3</v>
      </c>
      <c r="AI201" s="125">
        <v>4.0299999999999997E-3</v>
      </c>
      <c r="AJ201" s="126">
        <v>5.6999999999999998E-4</v>
      </c>
      <c r="AK201" s="159"/>
    </row>
    <row r="202" spans="1:37" x14ac:dyDescent="0.2">
      <c r="A202" s="121" t="s">
        <v>1211</v>
      </c>
      <c r="B202" s="122" t="s">
        <v>1211</v>
      </c>
      <c r="C202" s="122" t="s">
        <v>1812</v>
      </c>
      <c r="D202" s="122" t="s">
        <v>1813</v>
      </c>
      <c r="E202" s="122" t="s">
        <v>429</v>
      </c>
      <c r="F202" s="122" t="s">
        <v>1814</v>
      </c>
      <c r="G202" s="122" t="s">
        <v>1815</v>
      </c>
      <c r="H202" s="122" t="s">
        <v>76</v>
      </c>
      <c r="I202" s="122" t="s">
        <v>229</v>
      </c>
      <c r="J202" s="122" t="s">
        <v>53</v>
      </c>
      <c r="K202" s="122" t="s">
        <v>53</v>
      </c>
      <c r="L202" s="122" t="s">
        <v>805</v>
      </c>
      <c r="M202" s="122" t="s">
        <v>311</v>
      </c>
      <c r="N202" s="122" t="s">
        <v>635</v>
      </c>
      <c r="O202" s="122" t="s">
        <v>62</v>
      </c>
      <c r="P202" s="122" t="s">
        <v>1324</v>
      </c>
      <c r="Q202" s="122" t="s">
        <v>65</v>
      </c>
      <c r="R202" s="122" t="s">
        <v>57</v>
      </c>
      <c r="S202" s="122" t="s">
        <v>1216</v>
      </c>
      <c r="T202" s="123">
        <v>5.83</v>
      </c>
      <c r="U202" s="122" t="s">
        <v>1816</v>
      </c>
      <c r="V202" s="125">
        <v>2.5000000000000001E-2</v>
      </c>
      <c r="W202" s="125">
        <v>2.911E-2</v>
      </c>
      <c r="X202" s="122" t="s">
        <v>620</v>
      </c>
      <c r="Y202" s="133"/>
      <c r="Z202" s="123">
        <v>577000</v>
      </c>
      <c r="AA202" s="123">
        <v>1</v>
      </c>
      <c r="AB202" s="123">
        <v>116.08</v>
      </c>
      <c r="AC202" s="122"/>
      <c r="AD202" s="123">
        <v>669.78200000000004</v>
      </c>
      <c r="AE202" s="122"/>
      <c r="AF202" s="122"/>
      <c r="AG202" s="122"/>
      <c r="AH202" s="125">
        <v>4.2999999999999999E-4</v>
      </c>
      <c r="AI202" s="125">
        <v>4.0200000000000001E-3</v>
      </c>
      <c r="AJ202" s="126">
        <v>5.6999999999999998E-4</v>
      </c>
      <c r="AK202" s="159"/>
    </row>
    <row r="203" spans="1:37" x14ac:dyDescent="0.2">
      <c r="A203" s="121" t="s">
        <v>1211</v>
      </c>
      <c r="B203" s="122" t="s">
        <v>1211</v>
      </c>
      <c r="C203" s="122" t="s">
        <v>1640</v>
      </c>
      <c r="D203" s="122" t="s">
        <v>1641</v>
      </c>
      <c r="E203" s="122" t="s">
        <v>429</v>
      </c>
      <c r="F203" s="122" t="s">
        <v>1817</v>
      </c>
      <c r="G203" s="122" t="s">
        <v>1818</v>
      </c>
      <c r="H203" s="122" t="s">
        <v>76</v>
      </c>
      <c r="I203" s="122" t="s">
        <v>228</v>
      </c>
      <c r="J203" s="122" t="s">
        <v>53</v>
      </c>
      <c r="K203" s="122" t="s">
        <v>53</v>
      </c>
      <c r="L203" s="122" t="s">
        <v>805</v>
      </c>
      <c r="M203" s="122" t="s">
        <v>311</v>
      </c>
      <c r="N203" s="122" t="s">
        <v>635</v>
      </c>
      <c r="O203" s="122" t="s">
        <v>62</v>
      </c>
      <c r="P203" s="122" t="s">
        <v>1561</v>
      </c>
      <c r="Q203" s="122" t="s">
        <v>65</v>
      </c>
      <c r="R203" s="122" t="s">
        <v>57</v>
      </c>
      <c r="S203" s="122" t="s">
        <v>1216</v>
      </c>
      <c r="T203" s="123">
        <v>2.35</v>
      </c>
      <c r="U203" s="122" t="s">
        <v>1819</v>
      </c>
      <c r="V203" s="125">
        <v>5.2999999999999999E-2</v>
      </c>
      <c r="W203" s="125">
        <v>4.8120000000000003E-2</v>
      </c>
      <c r="X203" s="122" t="s">
        <v>620</v>
      </c>
      <c r="Y203" s="133"/>
      <c r="Z203" s="123">
        <v>514285.72</v>
      </c>
      <c r="AA203" s="123">
        <v>1</v>
      </c>
      <c r="AB203" s="123">
        <v>101.25</v>
      </c>
      <c r="AC203" s="123">
        <v>145.607</v>
      </c>
      <c r="AD203" s="123">
        <v>666.32100000000003</v>
      </c>
      <c r="AE203" s="122"/>
      <c r="AF203" s="122"/>
      <c r="AG203" s="122"/>
      <c r="AH203" s="125">
        <v>1.6999999999999999E-3</v>
      </c>
      <c r="AI203" s="125">
        <v>4.8799999999999998E-3</v>
      </c>
      <c r="AJ203" s="126">
        <v>6.8999999999999997E-4</v>
      </c>
      <c r="AK203" s="159"/>
    </row>
    <row r="204" spans="1:37" x14ac:dyDescent="0.2">
      <c r="A204" s="121" t="s">
        <v>1211</v>
      </c>
      <c r="B204" s="122" t="s">
        <v>1211</v>
      </c>
      <c r="C204" s="122" t="s">
        <v>1446</v>
      </c>
      <c r="D204" s="122" t="s">
        <v>1447</v>
      </c>
      <c r="E204" s="122" t="s">
        <v>429</v>
      </c>
      <c r="F204" s="122" t="s">
        <v>1448</v>
      </c>
      <c r="G204" s="122" t="s">
        <v>1449</v>
      </c>
      <c r="H204" s="122" t="s">
        <v>76</v>
      </c>
      <c r="I204" s="122" t="s">
        <v>228</v>
      </c>
      <c r="J204" s="122" t="s">
        <v>53</v>
      </c>
      <c r="K204" s="122" t="s">
        <v>53</v>
      </c>
      <c r="L204" s="122" t="s">
        <v>805</v>
      </c>
      <c r="M204" s="122" t="s">
        <v>311</v>
      </c>
      <c r="N204" s="122" t="s">
        <v>156</v>
      </c>
      <c r="O204" s="122" t="s">
        <v>62</v>
      </c>
      <c r="P204" s="122" t="s">
        <v>1450</v>
      </c>
      <c r="Q204" s="122" t="s">
        <v>65</v>
      </c>
      <c r="R204" s="122" t="s">
        <v>57</v>
      </c>
      <c r="S204" s="122" t="s">
        <v>1216</v>
      </c>
      <c r="T204" s="123">
        <v>2.8</v>
      </c>
      <c r="U204" s="122" t="s">
        <v>1451</v>
      </c>
      <c r="V204" s="125">
        <v>2.5000000000000001E-2</v>
      </c>
      <c r="W204" s="125">
        <v>4.972E-2</v>
      </c>
      <c r="X204" s="122" t="s">
        <v>620</v>
      </c>
      <c r="Y204" s="133"/>
      <c r="Z204" s="123">
        <v>701220.09</v>
      </c>
      <c r="AA204" s="123">
        <v>1</v>
      </c>
      <c r="AB204" s="123">
        <v>93.71</v>
      </c>
      <c r="AC204" s="122"/>
      <c r="AD204" s="123">
        <v>657.11300000000006</v>
      </c>
      <c r="AE204" s="122"/>
      <c r="AF204" s="122"/>
      <c r="AG204" s="122"/>
      <c r="AH204" s="125">
        <v>1.06E-3</v>
      </c>
      <c r="AI204" s="125">
        <v>3.9500000000000004E-3</v>
      </c>
      <c r="AJ204" s="126">
        <v>5.5999999999999995E-4</v>
      </c>
      <c r="AK204" s="159"/>
    </row>
    <row r="205" spans="1:37" x14ac:dyDescent="0.2">
      <c r="A205" s="121" t="s">
        <v>1211</v>
      </c>
      <c r="B205" s="122" t="s">
        <v>1211</v>
      </c>
      <c r="C205" s="122" t="s">
        <v>1542</v>
      </c>
      <c r="D205" s="122" t="s">
        <v>1543</v>
      </c>
      <c r="E205" s="122" t="s">
        <v>429</v>
      </c>
      <c r="F205" s="122" t="s">
        <v>1820</v>
      </c>
      <c r="G205" s="122" t="s">
        <v>1821</v>
      </c>
      <c r="H205" s="122" t="s">
        <v>76</v>
      </c>
      <c r="I205" s="122" t="s">
        <v>229</v>
      </c>
      <c r="J205" s="122" t="s">
        <v>53</v>
      </c>
      <c r="K205" s="122" t="s">
        <v>53</v>
      </c>
      <c r="L205" s="122" t="s">
        <v>805</v>
      </c>
      <c r="M205" s="122" t="s">
        <v>311</v>
      </c>
      <c r="N205" s="122" t="s">
        <v>635</v>
      </c>
      <c r="O205" s="122" t="s">
        <v>62</v>
      </c>
      <c r="P205" s="122" t="s">
        <v>1584</v>
      </c>
      <c r="Q205" s="122" t="s">
        <v>70</v>
      </c>
      <c r="R205" s="122" t="s">
        <v>57</v>
      </c>
      <c r="S205" s="122" t="s">
        <v>1216</v>
      </c>
      <c r="T205" s="123">
        <v>2.4300000000000002</v>
      </c>
      <c r="U205" s="122" t="s">
        <v>1822</v>
      </c>
      <c r="V205" s="125">
        <v>1.34E-2</v>
      </c>
      <c r="W205" s="125">
        <v>2.8369999999999999E-2</v>
      </c>
      <c r="X205" s="122" t="s">
        <v>620</v>
      </c>
      <c r="Y205" s="133"/>
      <c r="Z205" s="123">
        <v>548619.84</v>
      </c>
      <c r="AA205" s="123">
        <v>1</v>
      </c>
      <c r="AB205" s="123">
        <v>116.33</v>
      </c>
      <c r="AC205" s="122"/>
      <c r="AD205" s="123">
        <v>638.20899999999995</v>
      </c>
      <c r="AE205" s="122"/>
      <c r="AF205" s="122"/>
      <c r="AG205" s="122"/>
      <c r="AH205" s="125">
        <v>2.5000000000000001E-4</v>
      </c>
      <c r="AI205" s="125">
        <v>3.8300000000000001E-3</v>
      </c>
      <c r="AJ205" s="126">
        <v>5.4000000000000001E-4</v>
      </c>
      <c r="AK205" s="159"/>
    </row>
    <row r="206" spans="1:37" x14ac:dyDescent="0.2">
      <c r="A206" s="121" t="s">
        <v>1211</v>
      </c>
      <c r="B206" s="122" t="s">
        <v>1211</v>
      </c>
      <c r="C206" s="122" t="s">
        <v>1499</v>
      </c>
      <c r="D206" s="122" t="s">
        <v>1500</v>
      </c>
      <c r="E206" s="122" t="s">
        <v>429</v>
      </c>
      <c r="F206" s="122" t="s">
        <v>1823</v>
      </c>
      <c r="G206" s="122" t="s">
        <v>1824</v>
      </c>
      <c r="H206" s="122" t="s">
        <v>76</v>
      </c>
      <c r="I206" s="122" t="s">
        <v>228</v>
      </c>
      <c r="J206" s="122" t="s">
        <v>53</v>
      </c>
      <c r="K206" s="122" t="s">
        <v>53</v>
      </c>
      <c r="L206" s="122" t="s">
        <v>805</v>
      </c>
      <c r="M206" s="122" t="s">
        <v>311</v>
      </c>
      <c r="N206" s="122" t="s">
        <v>692</v>
      </c>
      <c r="O206" s="122" t="s">
        <v>62</v>
      </c>
      <c r="P206" s="122" t="s">
        <v>1450</v>
      </c>
      <c r="Q206" s="122" t="s">
        <v>65</v>
      </c>
      <c r="R206" s="122" t="s">
        <v>57</v>
      </c>
      <c r="S206" s="122" t="s">
        <v>1216</v>
      </c>
      <c r="T206" s="123">
        <v>2.56</v>
      </c>
      <c r="U206" s="122" t="s">
        <v>1825</v>
      </c>
      <c r="V206" s="125">
        <v>0.04</v>
      </c>
      <c r="W206" s="125">
        <v>4.7759999999999997E-2</v>
      </c>
      <c r="X206" s="122" t="s">
        <v>620</v>
      </c>
      <c r="Y206" s="133"/>
      <c r="Z206" s="123">
        <v>637500.25</v>
      </c>
      <c r="AA206" s="123">
        <v>1</v>
      </c>
      <c r="AB206" s="123">
        <v>99.07</v>
      </c>
      <c r="AC206" s="122"/>
      <c r="AD206" s="123">
        <v>631.57100000000003</v>
      </c>
      <c r="AE206" s="122"/>
      <c r="AF206" s="122"/>
      <c r="AG206" s="122"/>
      <c r="AH206" s="125">
        <v>1.1000000000000001E-3</v>
      </c>
      <c r="AI206" s="125">
        <v>3.79E-3</v>
      </c>
      <c r="AJ206" s="126">
        <v>5.4000000000000001E-4</v>
      </c>
      <c r="AK206" s="159"/>
    </row>
    <row r="207" spans="1:37" x14ac:dyDescent="0.2">
      <c r="A207" s="121" t="s">
        <v>1211</v>
      </c>
      <c r="B207" s="122" t="s">
        <v>1211</v>
      </c>
      <c r="C207" s="122" t="s">
        <v>1504</v>
      </c>
      <c r="D207" s="122" t="s">
        <v>1505</v>
      </c>
      <c r="E207" s="122" t="s">
        <v>429</v>
      </c>
      <c r="F207" s="122" t="s">
        <v>1506</v>
      </c>
      <c r="G207" s="122" t="s">
        <v>1507</v>
      </c>
      <c r="H207" s="122" t="s">
        <v>76</v>
      </c>
      <c r="I207" s="122" t="s">
        <v>229</v>
      </c>
      <c r="J207" s="122" t="s">
        <v>53</v>
      </c>
      <c r="K207" s="122" t="s">
        <v>53</v>
      </c>
      <c r="L207" s="122" t="s">
        <v>805</v>
      </c>
      <c r="M207" s="122" t="s">
        <v>311</v>
      </c>
      <c r="N207" s="122" t="s">
        <v>269</v>
      </c>
      <c r="O207" s="122" t="s">
        <v>62</v>
      </c>
      <c r="P207" s="122" t="s">
        <v>1324</v>
      </c>
      <c r="Q207" s="122" t="s">
        <v>65</v>
      </c>
      <c r="R207" s="122" t="s">
        <v>57</v>
      </c>
      <c r="S207" s="122" t="s">
        <v>1216</v>
      </c>
      <c r="T207" s="123">
        <v>3.56</v>
      </c>
      <c r="U207" s="122" t="s">
        <v>1508</v>
      </c>
      <c r="V207" s="125">
        <v>4.4000000000000003E-3</v>
      </c>
      <c r="W207" s="125">
        <v>2.683E-2</v>
      </c>
      <c r="X207" s="122" t="s">
        <v>620</v>
      </c>
      <c r="Y207" s="133"/>
      <c r="Z207" s="123">
        <v>555985.76</v>
      </c>
      <c r="AA207" s="123">
        <v>1</v>
      </c>
      <c r="AB207" s="123">
        <v>109.63</v>
      </c>
      <c r="AC207" s="122"/>
      <c r="AD207" s="123">
        <v>609.52700000000004</v>
      </c>
      <c r="AE207" s="122"/>
      <c r="AF207" s="122"/>
      <c r="AG207" s="122"/>
      <c r="AH207" s="125">
        <v>4.8999999999999998E-4</v>
      </c>
      <c r="AI207" s="125">
        <v>3.6600000000000001E-3</v>
      </c>
      <c r="AJ207" s="126">
        <v>5.1999999999999995E-4</v>
      </c>
      <c r="AK207" s="159"/>
    </row>
    <row r="208" spans="1:37" x14ac:dyDescent="0.2">
      <c r="A208" s="121" t="s">
        <v>1211</v>
      </c>
      <c r="B208" s="122" t="s">
        <v>1211</v>
      </c>
      <c r="C208" s="122" t="s">
        <v>1431</v>
      </c>
      <c r="D208" s="122" t="s">
        <v>1432</v>
      </c>
      <c r="E208" s="122" t="s">
        <v>429</v>
      </c>
      <c r="F208" s="122" t="s">
        <v>1433</v>
      </c>
      <c r="G208" s="122" t="s">
        <v>1434</v>
      </c>
      <c r="H208" s="122" t="s">
        <v>76</v>
      </c>
      <c r="I208" s="122" t="s">
        <v>229</v>
      </c>
      <c r="J208" s="122" t="s">
        <v>53</v>
      </c>
      <c r="K208" s="122" t="s">
        <v>53</v>
      </c>
      <c r="L208" s="122" t="s">
        <v>805</v>
      </c>
      <c r="M208" s="122" t="s">
        <v>311</v>
      </c>
      <c r="N208" s="122" t="s">
        <v>636</v>
      </c>
      <c r="O208" s="122" t="s">
        <v>62</v>
      </c>
      <c r="P208" s="122" t="s">
        <v>1423</v>
      </c>
      <c r="Q208" s="122" t="s">
        <v>70</v>
      </c>
      <c r="R208" s="122" t="s">
        <v>57</v>
      </c>
      <c r="S208" s="122" t="s">
        <v>1216</v>
      </c>
      <c r="T208" s="123">
        <v>0.81</v>
      </c>
      <c r="U208" s="122" t="s">
        <v>1435</v>
      </c>
      <c r="V208" s="125">
        <v>2.5700000000000001E-2</v>
      </c>
      <c r="W208" s="125">
        <v>3.9320000000000001E-2</v>
      </c>
      <c r="X208" s="122" t="s">
        <v>620</v>
      </c>
      <c r="Y208" s="133"/>
      <c r="Z208" s="123">
        <v>499203.82</v>
      </c>
      <c r="AA208" s="123">
        <v>1</v>
      </c>
      <c r="AB208" s="123">
        <v>119.85</v>
      </c>
      <c r="AC208" s="122"/>
      <c r="AD208" s="123">
        <v>598.29600000000005</v>
      </c>
      <c r="AE208" s="122"/>
      <c r="AF208" s="122"/>
      <c r="AG208" s="122"/>
      <c r="AH208" s="125">
        <v>4.6999999999999999E-4</v>
      </c>
      <c r="AI208" s="125">
        <v>3.5899999999999999E-3</v>
      </c>
      <c r="AJ208" s="126">
        <v>5.1000000000000004E-4</v>
      </c>
      <c r="AK208" s="159"/>
    </row>
    <row r="209" spans="1:37" x14ac:dyDescent="0.2">
      <c r="A209" s="121" t="s">
        <v>1211</v>
      </c>
      <c r="B209" s="122" t="s">
        <v>1211</v>
      </c>
      <c r="C209" s="122" t="s">
        <v>1393</v>
      </c>
      <c r="D209" s="122" t="s">
        <v>1394</v>
      </c>
      <c r="E209" s="122" t="s">
        <v>429</v>
      </c>
      <c r="F209" s="122" t="s">
        <v>1491</v>
      </c>
      <c r="G209" s="122" t="s">
        <v>1492</v>
      </c>
      <c r="H209" s="122" t="s">
        <v>76</v>
      </c>
      <c r="I209" s="122" t="s">
        <v>228</v>
      </c>
      <c r="J209" s="122" t="s">
        <v>53</v>
      </c>
      <c r="K209" s="122" t="s">
        <v>53</v>
      </c>
      <c r="L209" s="122" t="s">
        <v>805</v>
      </c>
      <c r="M209" s="122" t="s">
        <v>311</v>
      </c>
      <c r="N209" s="122" t="s">
        <v>269</v>
      </c>
      <c r="O209" s="122" t="s">
        <v>62</v>
      </c>
      <c r="P209" s="122" t="s">
        <v>1377</v>
      </c>
      <c r="Q209" s="122" t="s">
        <v>70</v>
      </c>
      <c r="R209" s="122" t="s">
        <v>57</v>
      </c>
      <c r="S209" s="122" t="s">
        <v>1216</v>
      </c>
      <c r="T209" s="123">
        <v>2.14</v>
      </c>
      <c r="U209" s="122" t="s">
        <v>1493</v>
      </c>
      <c r="V209" s="125">
        <v>4.36E-2</v>
      </c>
      <c r="W209" s="125">
        <v>4.4060000000000002E-2</v>
      </c>
      <c r="X209" s="122" t="s">
        <v>620</v>
      </c>
      <c r="Y209" s="133"/>
      <c r="Z209" s="123">
        <v>591000</v>
      </c>
      <c r="AA209" s="123">
        <v>1</v>
      </c>
      <c r="AB209" s="123">
        <v>101.09</v>
      </c>
      <c r="AC209" s="122"/>
      <c r="AD209" s="123">
        <v>597.44200000000001</v>
      </c>
      <c r="AE209" s="122"/>
      <c r="AF209" s="122"/>
      <c r="AG209" s="122"/>
      <c r="AH209" s="125">
        <v>1.97E-3</v>
      </c>
      <c r="AI209" s="125">
        <v>3.5899999999999999E-3</v>
      </c>
      <c r="AJ209" s="126">
        <v>5.1000000000000004E-4</v>
      </c>
      <c r="AK209" s="159"/>
    </row>
    <row r="210" spans="1:37" x14ac:dyDescent="0.2">
      <c r="A210" s="121" t="s">
        <v>1211</v>
      </c>
      <c r="B210" s="122" t="s">
        <v>1211</v>
      </c>
      <c r="C210" s="122" t="s">
        <v>1640</v>
      </c>
      <c r="D210" s="122" t="s">
        <v>1641</v>
      </c>
      <c r="E210" s="122" t="s">
        <v>429</v>
      </c>
      <c r="F210" s="122" t="s">
        <v>1826</v>
      </c>
      <c r="G210" s="122" t="s">
        <v>1827</v>
      </c>
      <c r="H210" s="122" t="s">
        <v>76</v>
      </c>
      <c r="I210" s="122" t="s">
        <v>229</v>
      </c>
      <c r="J210" s="122" t="s">
        <v>53</v>
      </c>
      <c r="K210" s="122" t="s">
        <v>53</v>
      </c>
      <c r="L210" s="122" t="s">
        <v>805</v>
      </c>
      <c r="M210" s="122" t="s">
        <v>311</v>
      </c>
      <c r="N210" s="122" t="s">
        <v>635</v>
      </c>
      <c r="O210" s="122" t="s">
        <v>62</v>
      </c>
      <c r="P210" s="122" t="s">
        <v>1561</v>
      </c>
      <c r="Q210" s="122" t="s">
        <v>65</v>
      </c>
      <c r="R210" s="122" t="s">
        <v>57</v>
      </c>
      <c r="S210" s="122" t="s">
        <v>1216</v>
      </c>
      <c r="T210" s="123">
        <v>0.98</v>
      </c>
      <c r="U210" s="122" t="s">
        <v>1828</v>
      </c>
      <c r="V210" s="125">
        <v>3.4599999999999999E-2</v>
      </c>
      <c r="W210" s="125">
        <v>3.372E-2</v>
      </c>
      <c r="X210" s="122" t="s">
        <v>620</v>
      </c>
      <c r="Y210" s="133"/>
      <c r="Z210" s="123">
        <v>490909.14</v>
      </c>
      <c r="AA210" s="123">
        <v>1</v>
      </c>
      <c r="AB210" s="123">
        <v>120.85</v>
      </c>
      <c r="AC210" s="122"/>
      <c r="AD210" s="123">
        <v>593.26400000000001</v>
      </c>
      <c r="AE210" s="122"/>
      <c r="AF210" s="122"/>
      <c r="AG210" s="122"/>
      <c r="AH210" s="125">
        <v>1.99E-3</v>
      </c>
      <c r="AI210" s="125">
        <v>3.5599999999999998E-3</v>
      </c>
      <c r="AJ210" s="126">
        <v>5.1000000000000004E-4</v>
      </c>
      <c r="AK210" s="159"/>
    </row>
    <row r="211" spans="1:37" x14ac:dyDescent="0.2">
      <c r="A211" s="121" t="s">
        <v>1211</v>
      </c>
      <c r="B211" s="122" t="s">
        <v>1211</v>
      </c>
      <c r="C211" s="122" t="s">
        <v>1542</v>
      </c>
      <c r="D211" s="122" t="s">
        <v>1543</v>
      </c>
      <c r="E211" s="122" t="s">
        <v>429</v>
      </c>
      <c r="F211" s="122" t="s">
        <v>1582</v>
      </c>
      <c r="G211" s="122" t="s">
        <v>1583</v>
      </c>
      <c r="H211" s="122" t="s">
        <v>76</v>
      </c>
      <c r="I211" s="122" t="s">
        <v>229</v>
      </c>
      <c r="J211" s="122" t="s">
        <v>53</v>
      </c>
      <c r="K211" s="122" t="s">
        <v>53</v>
      </c>
      <c r="L211" s="122" t="s">
        <v>805</v>
      </c>
      <c r="M211" s="122" t="s">
        <v>311</v>
      </c>
      <c r="N211" s="122" t="s">
        <v>635</v>
      </c>
      <c r="O211" s="122" t="s">
        <v>62</v>
      </c>
      <c r="P211" s="122" t="s">
        <v>1584</v>
      </c>
      <c r="Q211" s="122" t="s">
        <v>70</v>
      </c>
      <c r="R211" s="122" t="s">
        <v>57</v>
      </c>
      <c r="S211" s="122" t="s">
        <v>1216</v>
      </c>
      <c r="T211" s="123">
        <v>1.71</v>
      </c>
      <c r="U211" s="122" t="s">
        <v>1458</v>
      </c>
      <c r="V211" s="125">
        <v>1.77E-2</v>
      </c>
      <c r="W211" s="125">
        <v>2.9059999999999999E-2</v>
      </c>
      <c r="X211" s="122" t="s">
        <v>620</v>
      </c>
      <c r="Y211" s="133"/>
      <c r="Z211" s="123">
        <v>489000.01</v>
      </c>
      <c r="AA211" s="123">
        <v>1</v>
      </c>
      <c r="AB211" s="123">
        <v>116.94</v>
      </c>
      <c r="AC211" s="122"/>
      <c r="AD211" s="123">
        <v>571.83699999999999</v>
      </c>
      <c r="AE211" s="122"/>
      <c r="AF211" s="122"/>
      <c r="AG211" s="122"/>
      <c r="AH211" s="125">
        <v>2.0000000000000001E-4</v>
      </c>
      <c r="AI211" s="125">
        <v>3.4299999999999999E-3</v>
      </c>
      <c r="AJ211" s="126">
        <v>4.8999999999999998E-4</v>
      </c>
      <c r="AK211" s="159"/>
    </row>
    <row r="212" spans="1:37" x14ac:dyDescent="0.2">
      <c r="A212" s="121" t="s">
        <v>1211</v>
      </c>
      <c r="B212" s="122" t="s">
        <v>1211</v>
      </c>
      <c r="C212" s="122" t="s">
        <v>1829</v>
      </c>
      <c r="D212" s="122" t="s">
        <v>1830</v>
      </c>
      <c r="E212" s="122" t="s">
        <v>429</v>
      </c>
      <c r="F212" s="122" t="s">
        <v>1831</v>
      </c>
      <c r="G212" s="122" t="s">
        <v>1832</v>
      </c>
      <c r="H212" s="122" t="s">
        <v>76</v>
      </c>
      <c r="I212" s="122" t="s">
        <v>228</v>
      </c>
      <c r="J212" s="122" t="s">
        <v>53</v>
      </c>
      <c r="K212" s="122" t="s">
        <v>53</v>
      </c>
      <c r="L212" s="122" t="s">
        <v>805</v>
      </c>
      <c r="M212" s="122" t="s">
        <v>311</v>
      </c>
      <c r="N212" s="122" t="s">
        <v>267</v>
      </c>
      <c r="O212" s="122" t="s">
        <v>62</v>
      </c>
      <c r="P212" s="122" t="s">
        <v>1324</v>
      </c>
      <c r="Q212" s="122" t="s">
        <v>65</v>
      </c>
      <c r="R212" s="122" t="s">
        <v>57</v>
      </c>
      <c r="S212" s="122" t="s">
        <v>1216</v>
      </c>
      <c r="T212" s="123">
        <v>2.68</v>
      </c>
      <c r="U212" s="122" t="s">
        <v>1833</v>
      </c>
      <c r="V212" s="125">
        <v>2.24E-2</v>
      </c>
      <c r="W212" s="125">
        <v>4.6219999999999997E-2</v>
      </c>
      <c r="X212" s="122" t="s">
        <v>620</v>
      </c>
      <c r="Y212" s="133"/>
      <c r="Z212" s="123">
        <v>601139.43999999994</v>
      </c>
      <c r="AA212" s="123">
        <v>1</v>
      </c>
      <c r="AB212" s="123">
        <v>94.99</v>
      </c>
      <c r="AC212" s="122"/>
      <c r="AD212" s="123">
        <v>571.02200000000005</v>
      </c>
      <c r="AE212" s="122"/>
      <c r="AF212" s="122"/>
      <c r="AG212" s="122"/>
      <c r="AH212" s="125">
        <v>1.1299999999999999E-3</v>
      </c>
      <c r="AI212" s="125">
        <v>3.4299999999999999E-3</v>
      </c>
      <c r="AJ212" s="126">
        <v>4.8999999999999998E-4</v>
      </c>
      <c r="AK212" s="159"/>
    </row>
    <row r="213" spans="1:37" x14ac:dyDescent="0.2">
      <c r="A213" s="121" t="s">
        <v>1211</v>
      </c>
      <c r="B213" s="122" t="s">
        <v>1211</v>
      </c>
      <c r="C213" s="122" t="s">
        <v>1790</v>
      </c>
      <c r="D213" s="122" t="s">
        <v>1791</v>
      </c>
      <c r="E213" s="122" t="s">
        <v>429</v>
      </c>
      <c r="F213" s="122" t="s">
        <v>1834</v>
      </c>
      <c r="G213" s="122" t="s">
        <v>1835</v>
      </c>
      <c r="H213" s="122" t="s">
        <v>76</v>
      </c>
      <c r="I213" s="122" t="s">
        <v>228</v>
      </c>
      <c r="J213" s="122" t="s">
        <v>53</v>
      </c>
      <c r="K213" s="122" t="s">
        <v>53</v>
      </c>
      <c r="L213" s="122" t="s">
        <v>805</v>
      </c>
      <c r="M213" s="122" t="s">
        <v>311</v>
      </c>
      <c r="N213" s="122" t="s">
        <v>267</v>
      </c>
      <c r="O213" s="122" t="s">
        <v>62</v>
      </c>
      <c r="P213" s="122" t="s">
        <v>1836</v>
      </c>
      <c r="Q213" s="122" t="s">
        <v>65</v>
      </c>
      <c r="R213" s="122" t="s">
        <v>57</v>
      </c>
      <c r="S213" s="122" t="s">
        <v>1216</v>
      </c>
      <c r="T213" s="123">
        <v>3.76</v>
      </c>
      <c r="U213" s="122" t="s">
        <v>1455</v>
      </c>
      <c r="V213" s="125">
        <v>0.06</v>
      </c>
      <c r="W213" s="125">
        <v>5.5350000000000003E-2</v>
      </c>
      <c r="X213" s="122" t="s">
        <v>620</v>
      </c>
      <c r="Y213" s="133"/>
      <c r="Z213" s="123">
        <v>500000</v>
      </c>
      <c r="AA213" s="123">
        <v>1</v>
      </c>
      <c r="AB213" s="123">
        <v>103.52</v>
      </c>
      <c r="AC213" s="122"/>
      <c r="AD213" s="123">
        <v>517.6</v>
      </c>
      <c r="AE213" s="122"/>
      <c r="AF213" s="122"/>
      <c r="AG213" s="122"/>
      <c r="AH213" s="125">
        <v>5.0000000000000001E-4</v>
      </c>
      <c r="AI213" s="125">
        <v>3.1099999999999999E-3</v>
      </c>
      <c r="AJ213" s="126">
        <v>4.4000000000000002E-4</v>
      </c>
      <c r="AK213" s="159"/>
    </row>
    <row r="214" spans="1:37" x14ac:dyDescent="0.2">
      <c r="A214" s="121" t="s">
        <v>1211</v>
      </c>
      <c r="B214" s="122" t="s">
        <v>1211</v>
      </c>
      <c r="C214" s="122" t="s">
        <v>1585</v>
      </c>
      <c r="D214" s="122" t="s">
        <v>1586</v>
      </c>
      <c r="E214" s="122" t="s">
        <v>429</v>
      </c>
      <c r="F214" s="122" t="s">
        <v>1587</v>
      </c>
      <c r="G214" s="122" t="s">
        <v>1588</v>
      </c>
      <c r="H214" s="122" t="s">
        <v>76</v>
      </c>
      <c r="I214" s="122" t="s">
        <v>228</v>
      </c>
      <c r="J214" s="122" t="s">
        <v>53</v>
      </c>
      <c r="K214" s="122" t="s">
        <v>53</v>
      </c>
      <c r="L214" s="122" t="s">
        <v>805</v>
      </c>
      <c r="M214" s="122" t="s">
        <v>311</v>
      </c>
      <c r="N214" s="122" t="s">
        <v>265</v>
      </c>
      <c r="O214" s="122" t="s">
        <v>62</v>
      </c>
      <c r="P214" s="122" t="s">
        <v>1450</v>
      </c>
      <c r="Q214" s="122" t="s">
        <v>65</v>
      </c>
      <c r="R214" s="122" t="s">
        <v>57</v>
      </c>
      <c r="S214" s="122" t="s">
        <v>1216</v>
      </c>
      <c r="T214" s="123">
        <v>1.81</v>
      </c>
      <c r="U214" s="122" t="s">
        <v>1458</v>
      </c>
      <c r="V214" s="125">
        <v>2.1999999999999999E-2</v>
      </c>
      <c r="W214" s="125">
        <v>4.8329999999999998E-2</v>
      </c>
      <c r="X214" s="122" t="s">
        <v>620</v>
      </c>
      <c r="Y214" s="133"/>
      <c r="Z214" s="123">
        <v>518999.41</v>
      </c>
      <c r="AA214" s="123">
        <v>1</v>
      </c>
      <c r="AB214" s="123">
        <v>96.03</v>
      </c>
      <c r="AC214" s="122"/>
      <c r="AD214" s="123">
        <v>498.39499999999998</v>
      </c>
      <c r="AE214" s="122"/>
      <c r="AF214" s="122"/>
      <c r="AG214" s="122"/>
      <c r="AH214" s="125">
        <v>5.9999999999999995E-4</v>
      </c>
      <c r="AI214" s="125">
        <v>2.99E-3</v>
      </c>
      <c r="AJ214" s="126">
        <v>4.2000000000000002E-4</v>
      </c>
      <c r="AK214" s="159"/>
    </row>
    <row r="215" spans="1:37" x14ac:dyDescent="0.2">
      <c r="A215" s="121" t="s">
        <v>1211</v>
      </c>
      <c r="B215" s="122" t="s">
        <v>1211</v>
      </c>
      <c r="C215" s="122" t="s">
        <v>1766</v>
      </c>
      <c r="D215" s="122" t="s">
        <v>1767</v>
      </c>
      <c r="E215" s="122" t="s">
        <v>429</v>
      </c>
      <c r="F215" s="122" t="s">
        <v>1837</v>
      </c>
      <c r="G215" s="122" t="s">
        <v>1838</v>
      </c>
      <c r="H215" s="122" t="s">
        <v>76</v>
      </c>
      <c r="I215" s="122" t="s">
        <v>228</v>
      </c>
      <c r="J215" s="122" t="s">
        <v>53</v>
      </c>
      <c r="K215" s="122" t="s">
        <v>53</v>
      </c>
      <c r="L215" s="122" t="s">
        <v>805</v>
      </c>
      <c r="M215" s="122" t="s">
        <v>311</v>
      </c>
      <c r="N215" s="122" t="s">
        <v>631</v>
      </c>
      <c r="O215" s="122" t="s">
        <v>62</v>
      </c>
      <c r="P215" s="122" t="s">
        <v>1402</v>
      </c>
      <c r="Q215" s="122" t="s">
        <v>70</v>
      </c>
      <c r="R215" s="122" t="s">
        <v>57</v>
      </c>
      <c r="S215" s="122" t="s">
        <v>1216</v>
      </c>
      <c r="T215" s="123">
        <v>3.01</v>
      </c>
      <c r="U215" s="122" t="s">
        <v>1455</v>
      </c>
      <c r="V215" s="125">
        <v>6.9500000000000006E-2</v>
      </c>
      <c r="W215" s="125">
        <v>5.323E-2</v>
      </c>
      <c r="X215" s="122" t="s">
        <v>620</v>
      </c>
      <c r="Y215" s="133"/>
      <c r="Z215" s="123">
        <v>456000</v>
      </c>
      <c r="AA215" s="123">
        <v>1</v>
      </c>
      <c r="AB215" s="123">
        <v>106.87</v>
      </c>
      <c r="AC215" s="122"/>
      <c r="AD215" s="123">
        <v>487.327</v>
      </c>
      <c r="AE215" s="122"/>
      <c r="AF215" s="122"/>
      <c r="AG215" s="122"/>
      <c r="AH215" s="125">
        <v>5.6999999999999998E-4</v>
      </c>
      <c r="AI215" s="125">
        <v>2.9299999999999999E-3</v>
      </c>
      <c r="AJ215" s="126">
        <v>4.2000000000000002E-4</v>
      </c>
      <c r="AK215" s="159"/>
    </row>
    <row r="216" spans="1:37" x14ac:dyDescent="0.2">
      <c r="A216" s="121" t="s">
        <v>1211</v>
      </c>
      <c r="B216" s="122" t="s">
        <v>1211</v>
      </c>
      <c r="C216" s="122" t="s">
        <v>1320</v>
      </c>
      <c r="D216" s="122" t="s">
        <v>1321</v>
      </c>
      <c r="E216" s="122" t="s">
        <v>429</v>
      </c>
      <c r="F216" s="122" t="s">
        <v>1482</v>
      </c>
      <c r="G216" s="122" t="s">
        <v>1483</v>
      </c>
      <c r="H216" s="122" t="s">
        <v>76</v>
      </c>
      <c r="I216" s="122" t="s">
        <v>228</v>
      </c>
      <c r="J216" s="122" t="s">
        <v>53</v>
      </c>
      <c r="K216" s="122" t="s">
        <v>53</v>
      </c>
      <c r="L216" s="122" t="s">
        <v>805</v>
      </c>
      <c r="M216" s="122" t="s">
        <v>311</v>
      </c>
      <c r="N216" s="122" t="s">
        <v>269</v>
      </c>
      <c r="O216" s="122" t="s">
        <v>62</v>
      </c>
      <c r="P216" s="122" t="s">
        <v>1454</v>
      </c>
      <c r="Q216" s="122" t="s">
        <v>70</v>
      </c>
      <c r="R216" s="122" t="s">
        <v>57</v>
      </c>
      <c r="S216" s="122" t="s">
        <v>1216</v>
      </c>
      <c r="T216" s="123">
        <v>3.4</v>
      </c>
      <c r="U216" s="122" t="s">
        <v>1484</v>
      </c>
      <c r="V216" s="125">
        <v>2.6200000000000001E-2</v>
      </c>
      <c r="W216" s="125">
        <v>4.512E-2</v>
      </c>
      <c r="X216" s="122" t="s">
        <v>620</v>
      </c>
      <c r="Y216" s="133"/>
      <c r="Z216" s="123">
        <v>498454</v>
      </c>
      <c r="AA216" s="123">
        <v>1</v>
      </c>
      <c r="AB216" s="123">
        <v>95.06</v>
      </c>
      <c r="AC216" s="122"/>
      <c r="AD216" s="123">
        <v>473.83</v>
      </c>
      <c r="AE216" s="122"/>
      <c r="AF216" s="122"/>
      <c r="AG216" s="122"/>
      <c r="AH216" s="125">
        <v>3.8999999999999999E-4</v>
      </c>
      <c r="AI216" s="125">
        <v>2.8500000000000001E-3</v>
      </c>
      <c r="AJ216" s="126">
        <v>4.0000000000000002E-4</v>
      </c>
      <c r="AK216" s="159"/>
    </row>
    <row r="217" spans="1:37" x14ac:dyDescent="0.2">
      <c r="A217" s="121" t="s">
        <v>1211</v>
      </c>
      <c r="B217" s="122" t="s">
        <v>1211</v>
      </c>
      <c r="C217" s="122" t="s">
        <v>1708</v>
      </c>
      <c r="D217" s="122" t="s">
        <v>1709</v>
      </c>
      <c r="E217" s="122" t="s">
        <v>429</v>
      </c>
      <c r="F217" s="122" t="s">
        <v>1839</v>
      </c>
      <c r="G217" s="122" t="s">
        <v>1840</v>
      </c>
      <c r="H217" s="122" t="s">
        <v>76</v>
      </c>
      <c r="I217" s="122" t="s">
        <v>229</v>
      </c>
      <c r="J217" s="122" t="s">
        <v>53</v>
      </c>
      <c r="K217" s="122" t="s">
        <v>53</v>
      </c>
      <c r="L217" s="122" t="s">
        <v>805</v>
      </c>
      <c r="M217" s="122" t="s">
        <v>311</v>
      </c>
      <c r="N217" s="122" t="s">
        <v>692</v>
      </c>
      <c r="O217" s="122" t="s">
        <v>62</v>
      </c>
      <c r="P217" s="122"/>
      <c r="Q217" s="122" t="s">
        <v>298</v>
      </c>
      <c r="R217" s="122"/>
      <c r="S217" s="122" t="s">
        <v>1216</v>
      </c>
      <c r="T217" s="123">
        <v>2.1800000000000002</v>
      </c>
      <c r="U217" s="122" t="s">
        <v>1458</v>
      </c>
      <c r="V217" s="125">
        <v>3.6999999999999998E-2</v>
      </c>
      <c r="W217" s="125">
        <v>3.8769999999999999E-2</v>
      </c>
      <c r="X217" s="122" t="s">
        <v>620</v>
      </c>
      <c r="Y217" s="133"/>
      <c r="Z217" s="123">
        <v>373404.31</v>
      </c>
      <c r="AA217" s="123">
        <v>1</v>
      </c>
      <c r="AB217" s="123">
        <v>119.38</v>
      </c>
      <c r="AC217" s="122"/>
      <c r="AD217" s="123">
        <v>445.77</v>
      </c>
      <c r="AE217" s="122"/>
      <c r="AF217" s="122"/>
      <c r="AG217" s="122"/>
      <c r="AH217" s="125">
        <v>8.4999999999999995E-4</v>
      </c>
      <c r="AI217" s="125">
        <v>2.6800000000000001E-3</v>
      </c>
      <c r="AJ217" s="126">
        <v>3.8000000000000002E-4</v>
      </c>
      <c r="AK217" s="159"/>
    </row>
    <row r="218" spans="1:37" x14ac:dyDescent="0.2">
      <c r="A218" s="121" t="s">
        <v>1211</v>
      </c>
      <c r="B218" s="122" t="s">
        <v>1211</v>
      </c>
      <c r="C218" s="122" t="s">
        <v>1575</v>
      </c>
      <c r="D218" s="122" t="s">
        <v>1576</v>
      </c>
      <c r="E218" s="122" t="s">
        <v>429</v>
      </c>
      <c r="F218" s="122" t="s">
        <v>1594</v>
      </c>
      <c r="G218" s="122" t="s">
        <v>1595</v>
      </c>
      <c r="H218" s="122" t="s">
        <v>76</v>
      </c>
      <c r="I218" s="122" t="s">
        <v>229</v>
      </c>
      <c r="J218" s="122" t="s">
        <v>53</v>
      </c>
      <c r="K218" s="122" t="s">
        <v>53</v>
      </c>
      <c r="L218" s="122" t="s">
        <v>805</v>
      </c>
      <c r="M218" s="122" t="s">
        <v>311</v>
      </c>
      <c r="N218" s="122" t="s">
        <v>635</v>
      </c>
      <c r="O218" s="122" t="s">
        <v>62</v>
      </c>
      <c r="P218" s="122" t="s">
        <v>1377</v>
      </c>
      <c r="Q218" s="122" t="s">
        <v>70</v>
      </c>
      <c r="R218" s="122" t="s">
        <v>57</v>
      </c>
      <c r="S218" s="122" t="s">
        <v>1216</v>
      </c>
      <c r="T218" s="123">
        <v>3.54</v>
      </c>
      <c r="U218" s="122" t="s">
        <v>1553</v>
      </c>
      <c r="V218" s="125">
        <v>1.3299999999999999E-2</v>
      </c>
      <c r="W218" s="125">
        <v>2.8760000000000001E-2</v>
      </c>
      <c r="X218" s="122" t="s">
        <v>620</v>
      </c>
      <c r="Y218" s="133"/>
      <c r="Z218" s="123">
        <v>395999.99</v>
      </c>
      <c r="AA218" s="123">
        <v>1</v>
      </c>
      <c r="AB218" s="123">
        <v>112.31</v>
      </c>
      <c r="AC218" s="122"/>
      <c r="AD218" s="123">
        <v>444.74799999999999</v>
      </c>
      <c r="AE218" s="122"/>
      <c r="AF218" s="122"/>
      <c r="AG218" s="122"/>
      <c r="AH218" s="125">
        <v>3.5E-4</v>
      </c>
      <c r="AI218" s="125">
        <v>2.6700000000000001E-3</v>
      </c>
      <c r="AJ218" s="126">
        <v>3.8000000000000002E-4</v>
      </c>
      <c r="AK218" s="159"/>
    </row>
    <row r="219" spans="1:37" x14ac:dyDescent="0.2">
      <c r="A219" s="121" t="s">
        <v>1211</v>
      </c>
      <c r="B219" s="122" t="s">
        <v>1211</v>
      </c>
      <c r="C219" s="122" t="s">
        <v>1373</v>
      </c>
      <c r="D219" s="122" t="s">
        <v>1374</v>
      </c>
      <c r="E219" s="122" t="s">
        <v>429</v>
      </c>
      <c r="F219" s="122" t="s">
        <v>1580</v>
      </c>
      <c r="G219" s="122" t="s">
        <v>1581</v>
      </c>
      <c r="H219" s="122" t="s">
        <v>76</v>
      </c>
      <c r="I219" s="122" t="s">
        <v>228</v>
      </c>
      <c r="J219" s="122" t="s">
        <v>53</v>
      </c>
      <c r="K219" s="122" t="s">
        <v>53</v>
      </c>
      <c r="L219" s="122" t="s">
        <v>805</v>
      </c>
      <c r="M219" s="122" t="s">
        <v>311</v>
      </c>
      <c r="N219" s="122" t="s">
        <v>269</v>
      </c>
      <c r="O219" s="122" t="s">
        <v>62</v>
      </c>
      <c r="P219" s="122" t="s">
        <v>1377</v>
      </c>
      <c r="Q219" s="122" t="s">
        <v>70</v>
      </c>
      <c r="R219" s="122" t="s">
        <v>57</v>
      </c>
      <c r="S219" s="122" t="s">
        <v>1216</v>
      </c>
      <c r="T219" s="123">
        <v>0.99</v>
      </c>
      <c r="U219" s="122" t="s">
        <v>1524</v>
      </c>
      <c r="V219" s="125">
        <v>1.84E-2</v>
      </c>
      <c r="W219" s="125">
        <v>4.7879999999999999E-2</v>
      </c>
      <c r="X219" s="122" t="s">
        <v>620</v>
      </c>
      <c r="Y219" s="133"/>
      <c r="Z219" s="123">
        <v>454790</v>
      </c>
      <c r="AA219" s="123">
        <v>1</v>
      </c>
      <c r="AB219" s="123">
        <v>97.22</v>
      </c>
      <c r="AC219" s="122"/>
      <c r="AD219" s="123">
        <v>442.14699999999999</v>
      </c>
      <c r="AE219" s="122"/>
      <c r="AF219" s="122"/>
      <c r="AG219" s="122"/>
      <c r="AH219" s="125">
        <v>1.5200000000000001E-3</v>
      </c>
      <c r="AI219" s="125">
        <v>2.66E-3</v>
      </c>
      <c r="AJ219" s="126">
        <v>3.8000000000000002E-4</v>
      </c>
      <c r="AK219" s="159"/>
    </row>
    <row r="220" spans="1:37" x14ac:dyDescent="0.2">
      <c r="A220" s="121" t="s">
        <v>1211</v>
      </c>
      <c r="B220" s="122" t="s">
        <v>1211</v>
      </c>
      <c r="C220" s="122" t="s">
        <v>1398</v>
      </c>
      <c r="D220" s="122" t="s">
        <v>1399</v>
      </c>
      <c r="E220" s="122" t="s">
        <v>429</v>
      </c>
      <c r="F220" s="122" t="s">
        <v>1400</v>
      </c>
      <c r="G220" s="122" t="s">
        <v>1401</v>
      </c>
      <c r="H220" s="122" t="s">
        <v>76</v>
      </c>
      <c r="I220" s="122" t="s">
        <v>229</v>
      </c>
      <c r="J220" s="122" t="s">
        <v>53</v>
      </c>
      <c r="K220" s="122" t="s">
        <v>53</v>
      </c>
      <c r="L220" s="122" t="s">
        <v>805</v>
      </c>
      <c r="M220" s="122" t="s">
        <v>311</v>
      </c>
      <c r="N220" s="122" t="s">
        <v>636</v>
      </c>
      <c r="O220" s="122" t="s">
        <v>62</v>
      </c>
      <c r="P220" s="122" t="s">
        <v>1402</v>
      </c>
      <c r="Q220" s="122" t="s">
        <v>70</v>
      </c>
      <c r="R220" s="122" t="s">
        <v>57</v>
      </c>
      <c r="S220" s="122" t="s">
        <v>1216</v>
      </c>
      <c r="T220" s="123">
        <v>1.21</v>
      </c>
      <c r="U220" s="122" t="s">
        <v>1403</v>
      </c>
      <c r="V220" s="125">
        <v>0.04</v>
      </c>
      <c r="W220" s="125">
        <v>4.7050000000000002E-2</v>
      </c>
      <c r="X220" s="122" t="s">
        <v>620</v>
      </c>
      <c r="Y220" s="133"/>
      <c r="Z220" s="123">
        <v>369520.83</v>
      </c>
      <c r="AA220" s="123">
        <v>1</v>
      </c>
      <c r="AB220" s="123">
        <v>118.67</v>
      </c>
      <c r="AC220" s="122"/>
      <c r="AD220" s="123">
        <v>438.51</v>
      </c>
      <c r="AE220" s="122"/>
      <c r="AF220" s="122"/>
      <c r="AG220" s="122"/>
      <c r="AH220" s="125">
        <v>2.5000000000000001E-4</v>
      </c>
      <c r="AI220" s="125">
        <v>2.63E-3</v>
      </c>
      <c r="AJ220" s="126">
        <v>3.6999999999999999E-4</v>
      </c>
      <c r="AK220" s="159"/>
    </row>
    <row r="221" spans="1:37" x14ac:dyDescent="0.2">
      <c r="A221" s="121" t="s">
        <v>1211</v>
      </c>
      <c r="B221" s="122" t="s">
        <v>1211</v>
      </c>
      <c r="C221" s="122" t="s">
        <v>1388</v>
      </c>
      <c r="D221" s="122" t="s">
        <v>1389</v>
      </c>
      <c r="E221" s="122" t="s">
        <v>429</v>
      </c>
      <c r="F221" s="122" t="s">
        <v>1841</v>
      </c>
      <c r="G221" s="122" t="s">
        <v>1842</v>
      </c>
      <c r="H221" s="122" t="s">
        <v>76</v>
      </c>
      <c r="I221" s="122" t="s">
        <v>229</v>
      </c>
      <c r="J221" s="122" t="s">
        <v>53</v>
      </c>
      <c r="K221" s="122" t="s">
        <v>53</v>
      </c>
      <c r="L221" s="122" t="s">
        <v>805</v>
      </c>
      <c r="M221" s="122" t="s">
        <v>311</v>
      </c>
      <c r="N221" s="122" t="s">
        <v>635</v>
      </c>
      <c r="O221" s="122" t="s">
        <v>62</v>
      </c>
      <c r="P221" s="122" t="s">
        <v>1324</v>
      </c>
      <c r="Q221" s="122" t="s">
        <v>65</v>
      </c>
      <c r="R221" s="122" t="s">
        <v>57</v>
      </c>
      <c r="S221" s="122" t="s">
        <v>1216</v>
      </c>
      <c r="T221" s="123">
        <v>3.74</v>
      </c>
      <c r="U221" s="122" t="s">
        <v>1843</v>
      </c>
      <c r="V221" s="125">
        <v>5.0000000000000001E-3</v>
      </c>
      <c r="W221" s="125">
        <v>2.9239999999999999E-2</v>
      </c>
      <c r="X221" s="122" t="s">
        <v>620</v>
      </c>
      <c r="Y221" s="133"/>
      <c r="Z221" s="123">
        <v>404800.04</v>
      </c>
      <c r="AA221" s="123">
        <v>1</v>
      </c>
      <c r="AB221" s="123">
        <v>108.26</v>
      </c>
      <c r="AC221" s="122"/>
      <c r="AD221" s="123">
        <v>438.23700000000002</v>
      </c>
      <c r="AE221" s="122"/>
      <c r="AF221" s="122"/>
      <c r="AG221" s="122"/>
      <c r="AH221" s="125">
        <v>2.9999999999999997E-4</v>
      </c>
      <c r="AI221" s="125">
        <v>2.63E-3</v>
      </c>
      <c r="AJ221" s="126">
        <v>3.6999999999999999E-4</v>
      </c>
      <c r="AK221" s="159"/>
    </row>
    <row r="222" spans="1:37" x14ac:dyDescent="0.2">
      <c r="A222" s="121" t="s">
        <v>1211</v>
      </c>
      <c r="B222" s="122" t="s">
        <v>1211</v>
      </c>
      <c r="C222" s="122" t="s">
        <v>1477</v>
      </c>
      <c r="D222" s="122" t="s">
        <v>1478</v>
      </c>
      <c r="E222" s="122" t="s">
        <v>429</v>
      </c>
      <c r="F222" s="122" t="s">
        <v>1479</v>
      </c>
      <c r="G222" s="122" t="s">
        <v>1480</v>
      </c>
      <c r="H222" s="122" t="s">
        <v>76</v>
      </c>
      <c r="I222" s="122" t="s">
        <v>228</v>
      </c>
      <c r="J222" s="122" t="s">
        <v>53</v>
      </c>
      <c r="K222" s="122" t="s">
        <v>53</v>
      </c>
      <c r="L222" s="122" t="s">
        <v>805</v>
      </c>
      <c r="M222" s="122" t="s">
        <v>311</v>
      </c>
      <c r="N222" s="122" t="s">
        <v>634</v>
      </c>
      <c r="O222" s="122" t="s">
        <v>62</v>
      </c>
      <c r="P222" s="122" t="s">
        <v>1324</v>
      </c>
      <c r="Q222" s="122" t="s">
        <v>65</v>
      </c>
      <c r="R222" s="122" t="s">
        <v>57</v>
      </c>
      <c r="S222" s="122" t="s">
        <v>1216</v>
      </c>
      <c r="T222" s="123">
        <v>2.41</v>
      </c>
      <c r="U222" s="122" t="s">
        <v>1481</v>
      </c>
      <c r="V222" s="125">
        <v>5.0900000000000001E-2</v>
      </c>
      <c r="W222" s="125">
        <v>4.582E-2</v>
      </c>
      <c r="X222" s="122" t="s">
        <v>620</v>
      </c>
      <c r="Y222" s="133"/>
      <c r="Z222" s="123">
        <v>316684.52</v>
      </c>
      <c r="AA222" s="123">
        <v>1</v>
      </c>
      <c r="AB222" s="123">
        <v>101.07</v>
      </c>
      <c r="AC222" s="123">
        <v>99.32</v>
      </c>
      <c r="AD222" s="123">
        <v>419.39299999999997</v>
      </c>
      <c r="AE222" s="122"/>
      <c r="AF222" s="122"/>
      <c r="AG222" s="122"/>
      <c r="AH222" s="125">
        <v>7.6999999999999996E-4</v>
      </c>
      <c r="AI222" s="125">
        <v>3.1199999999999999E-3</v>
      </c>
      <c r="AJ222" s="126">
        <v>4.4000000000000002E-4</v>
      </c>
      <c r="AK222" s="159"/>
    </row>
    <row r="223" spans="1:37" x14ac:dyDescent="0.2">
      <c r="A223" s="121" t="s">
        <v>1211</v>
      </c>
      <c r="B223" s="122" t="s">
        <v>1211</v>
      </c>
      <c r="C223" s="122" t="s">
        <v>1407</v>
      </c>
      <c r="D223" s="122" t="s">
        <v>1408</v>
      </c>
      <c r="E223" s="122" t="s">
        <v>429</v>
      </c>
      <c r="F223" s="122" t="s">
        <v>1428</v>
      </c>
      <c r="G223" s="122" t="s">
        <v>1429</v>
      </c>
      <c r="H223" s="122" t="s">
        <v>76</v>
      </c>
      <c r="I223" s="122" t="s">
        <v>229</v>
      </c>
      <c r="J223" s="122" t="s">
        <v>53</v>
      </c>
      <c r="K223" s="122" t="s">
        <v>53</v>
      </c>
      <c r="L223" s="122" t="s">
        <v>805</v>
      </c>
      <c r="M223" s="122" t="s">
        <v>311</v>
      </c>
      <c r="N223" s="122" t="s">
        <v>256</v>
      </c>
      <c r="O223" s="122" t="s">
        <v>62</v>
      </c>
      <c r="P223" s="122" t="s">
        <v>1369</v>
      </c>
      <c r="Q223" s="122" t="s">
        <v>65</v>
      </c>
      <c r="R223" s="122" t="s">
        <v>57</v>
      </c>
      <c r="S223" s="122" t="s">
        <v>1216</v>
      </c>
      <c r="T223" s="123">
        <v>0.74</v>
      </c>
      <c r="U223" s="122" t="s">
        <v>1430</v>
      </c>
      <c r="V223" s="125">
        <v>2E-3</v>
      </c>
      <c r="W223" s="125">
        <v>3.9070000000000001E-2</v>
      </c>
      <c r="X223" s="122" t="s">
        <v>620</v>
      </c>
      <c r="Y223" s="133"/>
      <c r="Z223" s="123">
        <v>345000.02</v>
      </c>
      <c r="AA223" s="123">
        <v>1</v>
      </c>
      <c r="AB223" s="123">
        <v>114.5</v>
      </c>
      <c r="AC223" s="122"/>
      <c r="AD223" s="123">
        <v>395.02499999999998</v>
      </c>
      <c r="AE223" s="122"/>
      <c r="AF223" s="122"/>
      <c r="AG223" s="122"/>
      <c r="AH223" s="125">
        <v>1.24E-3</v>
      </c>
      <c r="AI223" s="125">
        <v>2.3700000000000001E-3</v>
      </c>
      <c r="AJ223" s="126">
        <v>3.4000000000000002E-4</v>
      </c>
      <c r="AK223" s="159"/>
    </row>
    <row r="224" spans="1:37" x14ac:dyDescent="0.2">
      <c r="A224" s="121" t="s">
        <v>1211</v>
      </c>
      <c r="B224" s="122" t="s">
        <v>1211</v>
      </c>
      <c r="C224" s="122" t="s">
        <v>1398</v>
      </c>
      <c r="D224" s="122" t="s">
        <v>1399</v>
      </c>
      <c r="E224" s="122" t="s">
        <v>429</v>
      </c>
      <c r="F224" s="122" t="s">
        <v>1456</v>
      </c>
      <c r="G224" s="122" t="s">
        <v>1457</v>
      </c>
      <c r="H224" s="122" t="s">
        <v>76</v>
      </c>
      <c r="I224" s="122" t="s">
        <v>229</v>
      </c>
      <c r="J224" s="122" t="s">
        <v>53</v>
      </c>
      <c r="K224" s="122" t="s">
        <v>53</v>
      </c>
      <c r="L224" s="122" t="s">
        <v>805</v>
      </c>
      <c r="M224" s="122" t="s">
        <v>311</v>
      </c>
      <c r="N224" s="122" t="s">
        <v>636</v>
      </c>
      <c r="O224" s="122" t="s">
        <v>62</v>
      </c>
      <c r="P224" s="122" t="s">
        <v>1402</v>
      </c>
      <c r="Q224" s="122" t="s">
        <v>70</v>
      </c>
      <c r="R224" s="122" t="s">
        <v>57</v>
      </c>
      <c r="S224" s="122" t="s">
        <v>1216</v>
      </c>
      <c r="T224" s="123">
        <v>2.2400000000000002</v>
      </c>
      <c r="U224" s="122" t="s">
        <v>1458</v>
      </c>
      <c r="V224" s="125">
        <v>3.2800000000000003E-2</v>
      </c>
      <c r="W224" s="125">
        <v>4.6240000000000003E-2</v>
      </c>
      <c r="X224" s="122" t="s">
        <v>620</v>
      </c>
      <c r="Y224" s="133"/>
      <c r="Z224" s="123">
        <v>316205.02</v>
      </c>
      <c r="AA224" s="123">
        <v>1</v>
      </c>
      <c r="AB224" s="123">
        <v>117.77</v>
      </c>
      <c r="AC224" s="122"/>
      <c r="AD224" s="123">
        <v>372.39499999999998</v>
      </c>
      <c r="AE224" s="122"/>
      <c r="AF224" s="122"/>
      <c r="AG224" s="122"/>
      <c r="AH224" s="125">
        <v>2.2000000000000001E-4</v>
      </c>
      <c r="AI224" s="125">
        <v>2.2399999999999998E-3</v>
      </c>
      <c r="AJ224" s="126">
        <v>3.2000000000000003E-4</v>
      </c>
      <c r="AK224" s="159"/>
    </row>
    <row r="225" spans="1:37" x14ac:dyDescent="0.2">
      <c r="A225" s="121" t="s">
        <v>1211</v>
      </c>
      <c r="B225" s="122" t="s">
        <v>1211</v>
      </c>
      <c r="C225" s="122" t="s">
        <v>1596</v>
      </c>
      <c r="D225" s="122" t="s">
        <v>1597</v>
      </c>
      <c r="E225" s="122" t="s">
        <v>429</v>
      </c>
      <c r="F225" s="122" t="s">
        <v>1598</v>
      </c>
      <c r="G225" s="122" t="s">
        <v>1599</v>
      </c>
      <c r="H225" s="122" t="s">
        <v>76</v>
      </c>
      <c r="I225" s="122" t="s">
        <v>228</v>
      </c>
      <c r="J225" s="122" t="s">
        <v>53</v>
      </c>
      <c r="K225" s="122" t="s">
        <v>53</v>
      </c>
      <c r="L225" s="122" t="s">
        <v>805</v>
      </c>
      <c r="M225" s="122" t="s">
        <v>311</v>
      </c>
      <c r="N225" s="122" t="s">
        <v>635</v>
      </c>
      <c r="O225" s="122" t="s">
        <v>62</v>
      </c>
      <c r="P225" s="122" t="s">
        <v>1540</v>
      </c>
      <c r="Q225" s="122" t="s">
        <v>70</v>
      </c>
      <c r="R225" s="122" t="s">
        <v>57</v>
      </c>
      <c r="S225" s="122" t="s">
        <v>1216</v>
      </c>
      <c r="T225" s="123">
        <v>2.5</v>
      </c>
      <c r="U225" s="122" t="s">
        <v>1600</v>
      </c>
      <c r="V225" s="125">
        <v>3.04E-2</v>
      </c>
      <c r="W225" s="125">
        <v>4.7640000000000002E-2</v>
      </c>
      <c r="X225" s="122" t="s">
        <v>620</v>
      </c>
      <c r="Y225" s="133"/>
      <c r="Z225" s="123">
        <v>362180.25</v>
      </c>
      <c r="AA225" s="123">
        <v>1</v>
      </c>
      <c r="AB225" s="123">
        <v>96.71</v>
      </c>
      <c r="AC225" s="122"/>
      <c r="AD225" s="123">
        <v>350.26499999999999</v>
      </c>
      <c r="AE225" s="122"/>
      <c r="AF225" s="122"/>
      <c r="AG225" s="122"/>
      <c r="AH225" s="125">
        <v>1.1800000000000001E-3</v>
      </c>
      <c r="AI225" s="125">
        <v>2.0999999999999999E-3</v>
      </c>
      <c r="AJ225" s="126">
        <v>2.9999999999999997E-4</v>
      </c>
      <c r="AK225" s="159"/>
    </row>
    <row r="226" spans="1:37" x14ac:dyDescent="0.2">
      <c r="A226" s="121" t="s">
        <v>1211</v>
      </c>
      <c r="B226" s="122" t="s">
        <v>1211</v>
      </c>
      <c r="C226" s="122" t="s">
        <v>1589</v>
      </c>
      <c r="D226" s="122" t="s">
        <v>1590</v>
      </c>
      <c r="E226" s="122" t="s">
        <v>429</v>
      </c>
      <c r="F226" s="122" t="s">
        <v>1591</v>
      </c>
      <c r="G226" s="122" t="s">
        <v>1592</v>
      </c>
      <c r="H226" s="122" t="s">
        <v>76</v>
      </c>
      <c r="I226" s="122" t="s">
        <v>228</v>
      </c>
      <c r="J226" s="122" t="s">
        <v>53</v>
      </c>
      <c r="K226" s="122" t="s">
        <v>314</v>
      </c>
      <c r="L226" s="122" t="s">
        <v>805</v>
      </c>
      <c r="M226" s="122" t="s">
        <v>311</v>
      </c>
      <c r="N226" s="122" t="s">
        <v>636</v>
      </c>
      <c r="O226" s="122" t="s">
        <v>62</v>
      </c>
      <c r="P226" s="122" t="s">
        <v>1450</v>
      </c>
      <c r="Q226" s="122" t="s">
        <v>65</v>
      </c>
      <c r="R226" s="122" t="s">
        <v>57</v>
      </c>
      <c r="S226" s="122" t="s">
        <v>1216</v>
      </c>
      <c r="T226" s="123">
        <v>0.16</v>
      </c>
      <c r="U226" s="122" t="s">
        <v>1593</v>
      </c>
      <c r="V226" s="125">
        <v>3.95E-2</v>
      </c>
      <c r="W226" s="125">
        <v>5.3809999999999997E-2</v>
      </c>
      <c r="X226" s="122" t="s">
        <v>620</v>
      </c>
      <c r="Y226" s="133"/>
      <c r="Z226" s="123">
        <v>346000</v>
      </c>
      <c r="AA226" s="123">
        <v>1</v>
      </c>
      <c r="AB226" s="123">
        <v>101.1</v>
      </c>
      <c r="AC226" s="122"/>
      <c r="AD226" s="123">
        <v>349.80599999999998</v>
      </c>
      <c r="AE226" s="122"/>
      <c r="AF226" s="122"/>
      <c r="AG226" s="122"/>
      <c r="AH226" s="125">
        <v>1.1000000000000001E-3</v>
      </c>
      <c r="AI226" s="125">
        <v>2.0999999999999999E-3</v>
      </c>
      <c r="AJ226" s="126">
        <v>2.9999999999999997E-4</v>
      </c>
      <c r="AK226" s="159"/>
    </row>
    <row r="227" spans="1:37" x14ac:dyDescent="0.2">
      <c r="A227" s="121" t="s">
        <v>1211</v>
      </c>
      <c r="B227" s="122" t="s">
        <v>1211</v>
      </c>
      <c r="C227" s="122" t="s">
        <v>1472</v>
      </c>
      <c r="D227" s="122" t="s">
        <v>1473</v>
      </c>
      <c r="E227" s="122" t="s">
        <v>429</v>
      </c>
      <c r="F227" s="122" t="s">
        <v>1474</v>
      </c>
      <c r="G227" s="122" t="s">
        <v>1475</v>
      </c>
      <c r="H227" s="122" t="s">
        <v>76</v>
      </c>
      <c r="I227" s="122" t="s">
        <v>228</v>
      </c>
      <c r="J227" s="122" t="s">
        <v>53</v>
      </c>
      <c r="K227" s="122" t="s">
        <v>53</v>
      </c>
      <c r="L227" s="122" t="s">
        <v>805</v>
      </c>
      <c r="M227" s="122" t="s">
        <v>311</v>
      </c>
      <c r="N227" s="122" t="s">
        <v>260</v>
      </c>
      <c r="O227" s="122" t="s">
        <v>62</v>
      </c>
      <c r="P227" s="122" t="s">
        <v>1454</v>
      </c>
      <c r="Q227" s="122" t="s">
        <v>70</v>
      </c>
      <c r="R227" s="122" t="s">
        <v>57</v>
      </c>
      <c r="S227" s="122" t="s">
        <v>1216</v>
      </c>
      <c r="T227" s="123">
        <v>0.17</v>
      </c>
      <c r="U227" s="122" t="s">
        <v>1476</v>
      </c>
      <c r="V227" s="125">
        <v>3.6499999999999998E-2</v>
      </c>
      <c r="W227" s="125">
        <v>4.367E-2</v>
      </c>
      <c r="X227" s="122" t="s">
        <v>620</v>
      </c>
      <c r="Y227" s="133"/>
      <c r="Z227" s="123">
        <v>304772.08</v>
      </c>
      <c r="AA227" s="123">
        <v>1</v>
      </c>
      <c r="AB227" s="123">
        <v>101.1</v>
      </c>
      <c r="AC227" s="122"/>
      <c r="AD227" s="123">
        <v>308.125</v>
      </c>
      <c r="AE227" s="122"/>
      <c r="AF227" s="122"/>
      <c r="AG227" s="122"/>
      <c r="AH227" s="125">
        <v>5.6999999999999998E-4</v>
      </c>
      <c r="AI227" s="125">
        <v>1.8500000000000001E-3</v>
      </c>
      <c r="AJ227" s="126">
        <v>2.5999999999999998E-4</v>
      </c>
      <c r="AK227" s="159"/>
    </row>
    <row r="228" spans="1:37" x14ac:dyDescent="0.2">
      <c r="A228" s="121" t="s">
        <v>1211</v>
      </c>
      <c r="B228" s="122" t="s">
        <v>1211</v>
      </c>
      <c r="C228" s="122" t="s">
        <v>1844</v>
      </c>
      <c r="D228" s="122" t="s">
        <v>1845</v>
      </c>
      <c r="E228" s="122" t="s">
        <v>429</v>
      </c>
      <c r="F228" s="122" t="s">
        <v>1846</v>
      </c>
      <c r="G228" s="122" t="s">
        <v>1847</v>
      </c>
      <c r="H228" s="122" t="s">
        <v>76</v>
      </c>
      <c r="I228" s="122" t="s">
        <v>228</v>
      </c>
      <c r="J228" s="122" t="s">
        <v>53</v>
      </c>
      <c r="K228" s="122" t="s">
        <v>53</v>
      </c>
      <c r="L228" s="122" t="s">
        <v>805</v>
      </c>
      <c r="M228" s="122" t="s">
        <v>311</v>
      </c>
      <c r="N228" s="122" t="s">
        <v>633</v>
      </c>
      <c r="O228" s="122" t="s">
        <v>62</v>
      </c>
      <c r="P228" s="122" t="s">
        <v>1402</v>
      </c>
      <c r="Q228" s="122" t="s">
        <v>70</v>
      </c>
      <c r="R228" s="122" t="s">
        <v>57</v>
      </c>
      <c r="S228" s="122" t="s">
        <v>1216</v>
      </c>
      <c r="T228" s="123">
        <v>0.98</v>
      </c>
      <c r="U228" s="122" t="s">
        <v>1524</v>
      </c>
      <c r="V228" s="125">
        <v>6.9000000000000006E-2</v>
      </c>
      <c r="W228" s="125">
        <v>6.54E-2</v>
      </c>
      <c r="X228" s="122" t="s">
        <v>620</v>
      </c>
      <c r="Y228" s="133"/>
      <c r="Z228" s="123">
        <v>289000.01</v>
      </c>
      <c r="AA228" s="123">
        <v>1</v>
      </c>
      <c r="AB228" s="123">
        <v>100.46</v>
      </c>
      <c r="AC228" s="122"/>
      <c r="AD228" s="123">
        <v>290.32900000000001</v>
      </c>
      <c r="AE228" s="122"/>
      <c r="AF228" s="122"/>
      <c r="AG228" s="122"/>
      <c r="AH228" s="125">
        <v>2.3600000000000001E-3</v>
      </c>
      <c r="AI228" s="125">
        <v>1.74E-3</v>
      </c>
      <c r="AJ228" s="126">
        <v>2.5000000000000001E-4</v>
      </c>
      <c r="AK228" s="159"/>
    </row>
    <row r="229" spans="1:37" x14ac:dyDescent="0.2">
      <c r="A229" s="121" t="s">
        <v>1211</v>
      </c>
      <c r="B229" s="122" t="s">
        <v>1211</v>
      </c>
      <c r="C229" s="122" t="s">
        <v>1462</v>
      </c>
      <c r="D229" s="122" t="s">
        <v>1463</v>
      </c>
      <c r="E229" s="122" t="s">
        <v>429</v>
      </c>
      <c r="F229" s="122" t="s">
        <v>1512</v>
      </c>
      <c r="G229" s="122" t="s">
        <v>1513</v>
      </c>
      <c r="H229" s="122" t="s">
        <v>76</v>
      </c>
      <c r="I229" s="122" t="s">
        <v>229</v>
      </c>
      <c r="J229" s="122" t="s">
        <v>53</v>
      </c>
      <c r="K229" s="122" t="s">
        <v>53</v>
      </c>
      <c r="L229" s="122" t="s">
        <v>805</v>
      </c>
      <c r="M229" s="122" t="s">
        <v>311</v>
      </c>
      <c r="N229" s="122" t="s">
        <v>156</v>
      </c>
      <c r="O229" s="122" t="s">
        <v>62</v>
      </c>
      <c r="P229" s="122" t="s">
        <v>1369</v>
      </c>
      <c r="Q229" s="122" t="s">
        <v>65</v>
      </c>
      <c r="R229" s="122" t="s">
        <v>57</v>
      </c>
      <c r="S229" s="122" t="s">
        <v>1216</v>
      </c>
      <c r="T229" s="123">
        <v>2.61</v>
      </c>
      <c r="U229" s="122" t="s">
        <v>1514</v>
      </c>
      <c r="V229" s="125">
        <v>1.23E-2</v>
      </c>
      <c r="W229" s="125">
        <v>2.6530000000000001E-2</v>
      </c>
      <c r="X229" s="122" t="s">
        <v>620</v>
      </c>
      <c r="Y229" s="133"/>
      <c r="Z229" s="123">
        <v>238369.17</v>
      </c>
      <c r="AA229" s="123">
        <v>1</v>
      </c>
      <c r="AB229" s="123">
        <v>115.53</v>
      </c>
      <c r="AC229" s="122"/>
      <c r="AD229" s="123">
        <v>275.38799999999998</v>
      </c>
      <c r="AE229" s="122"/>
      <c r="AF229" s="122"/>
      <c r="AG229" s="122"/>
      <c r="AH229" s="125">
        <v>2.5000000000000001E-4</v>
      </c>
      <c r="AI229" s="125">
        <v>1.65E-3</v>
      </c>
      <c r="AJ229" s="126">
        <v>2.3000000000000001E-4</v>
      </c>
      <c r="AK229" s="159"/>
    </row>
    <row r="230" spans="1:37" x14ac:dyDescent="0.2">
      <c r="A230" s="121" t="s">
        <v>1211</v>
      </c>
      <c r="B230" s="122" t="s">
        <v>1211</v>
      </c>
      <c r="C230" s="122" t="s">
        <v>1848</v>
      </c>
      <c r="D230" s="122" t="s">
        <v>1849</v>
      </c>
      <c r="E230" s="122" t="s">
        <v>429</v>
      </c>
      <c r="F230" s="122" t="s">
        <v>1850</v>
      </c>
      <c r="G230" s="122" t="s">
        <v>1851</v>
      </c>
      <c r="H230" s="122" t="s">
        <v>76</v>
      </c>
      <c r="I230" s="122" t="s">
        <v>228</v>
      </c>
      <c r="J230" s="122" t="s">
        <v>53</v>
      </c>
      <c r="K230" s="122" t="s">
        <v>314</v>
      </c>
      <c r="L230" s="122" t="s">
        <v>805</v>
      </c>
      <c r="M230" s="122" t="s">
        <v>311</v>
      </c>
      <c r="N230" s="122" t="s">
        <v>636</v>
      </c>
      <c r="O230" s="122" t="s">
        <v>62</v>
      </c>
      <c r="P230" s="122" t="s">
        <v>1450</v>
      </c>
      <c r="Q230" s="122" t="s">
        <v>65</v>
      </c>
      <c r="R230" s="122" t="s">
        <v>57</v>
      </c>
      <c r="S230" s="122" t="s">
        <v>1216</v>
      </c>
      <c r="T230" s="123">
        <v>1.75</v>
      </c>
      <c r="U230" s="122" t="s">
        <v>1852</v>
      </c>
      <c r="V230" s="125">
        <v>4.3499999999999997E-2</v>
      </c>
      <c r="W230" s="125">
        <v>5.4829999999999997E-2</v>
      </c>
      <c r="X230" s="122" t="s">
        <v>620</v>
      </c>
      <c r="Y230" s="133"/>
      <c r="Z230" s="123">
        <v>270000</v>
      </c>
      <c r="AA230" s="123">
        <v>1</v>
      </c>
      <c r="AB230" s="123">
        <v>98.92</v>
      </c>
      <c r="AC230" s="122"/>
      <c r="AD230" s="123">
        <v>267.084</v>
      </c>
      <c r="AE230" s="122"/>
      <c r="AF230" s="122"/>
      <c r="AG230" s="122"/>
      <c r="AH230" s="125">
        <v>9.3000000000000005E-4</v>
      </c>
      <c r="AI230" s="125">
        <v>1.6000000000000001E-3</v>
      </c>
      <c r="AJ230" s="126">
        <v>2.3000000000000001E-4</v>
      </c>
      <c r="AK230" s="159"/>
    </row>
    <row r="231" spans="1:37" x14ac:dyDescent="0.2">
      <c r="A231" s="121" t="s">
        <v>1211</v>
      </c>
      <c r="B231" s="122" t="s">
        <v>1211</v>
      </c>
      <c r="C231" s="122" t="s">
        <v>1853</v>
      </c>
      <c r="D231" s="122" t="s">
        <v>1854</v>
      </c>
      <c r="E231" s="122" t="s">
        <v>429</v>
      </c>
      <c r="F231" s="122" t="s">
        <v>1855</v>
      </c>
      <c r="G231" s="122" t="s">
        <v>1856</v>
      </c>
      <c r="H231" s="122" t="s">
        <v>76</v>
      </c>
      <c r="I231" s="122" t="s">
        <v>228</v>
      </c>
      <c r="J231" s="122" t="s">
        <v>53</v>
      </c>
      <c r="K231" s="122" t="s">
        <v>53</v>
      </c>
      <c r="L231" s="122" t="s">
        <v>805</v>
      </c>
      <c r="M231" s="122" t="s">
        <v>311</v>
      </c>
      <c r="N231" s="122" t="s">
        <v>692</v>
      </c>
      <c r="O231" s="122" t="s">
        <v>62</v>
      </c>
      <c r="P231" s="122" t="s">
        <v>1324</v>
      </c>
      <c r="Q231" s="122" t="s">
        <v>65</v>
      </c>
      <c r="R231" s="122" t="s">
        <v>57</v>
      </c>
      <c r="S231" s="122" t="s">
        <v>1216</v>
      </c>
      <c r="T231" s="123">
        <v>5.73</v>
      </c>
      <c r="U231" s="122" t="s">
        <v>1857</v>
      </c>
      <c r="V231" s="125">
        <v>5.3100000000000001E-2</v>
      </c>
      <c r="W231" s="125">
        <v>4.7030000000000002E-2</v>
      </c>
      <c r="X231" s="122" t="s">
        <v>620</v>
      </c>
      <c r="Y231" s="133"/>
      <c r="Z231" s="123">
        <v>249000</v>
      </c>
      <c r="AA231" s="123">
        <v>1</v>
      </c>
      <c r="AB231" s="123">
        <v>104.74</v>
      </c>
      <c r="AC231" s="122"/>
      <c r="AD231" s="123">
        <v>260.803</v>
      </c>
      <c r="AE231" s="122"/>
      <c r="AF231" s="122"/>
      <c r="AG231" s="122"/>
      <c r="AH231" s="125">
        <v>7.7999999999999999E-4</v>
      </c>
      <c r="AI231" s="125">
        <v>1.57E-3</v>
      </c>
      <c r="AJ231" s="126">
        <v>2.2000000000000001E-4</v>
      </c>
      <c r="AK231" s="159"/>
    </row>
    <row r="232" spans="1:37" x14ac:dyDescent="0.2">
      <c r="A232" s="121" t="s">
        <v>1211</v>
      </c>
      <c r="B232" s="122" t="s">
        <v>1211</v>
      </c>
      <c r="C232" s="122" t="s">
        <v>1601</v>
      </c>
      <c r="D232" s="122" t="s">
        <v>1602</v>
      </c>
      <c r="E232" s="122" t="s">
        <v>429</v>
      </c>
      <c r="F232" s="122" t="s">
        <v>1603</v>
      </c>
      <c r="G232" s="122" t="s">
        <v>1604</v>
      </c>
      <c r="H232" s="122" t="s">
        <v>76</v>
      </c>
      <c r="I232" s="122" t="s">
        <v>229</v>
      </c>
      <c r="J232" s="122" t="s">
        <v>53</v>
      </c>
      <c r="K232" s="122" t="s">
        <v>53</v>
      </c>
      <c r="L232" s="122" t="s">
        <v>805</v>
      </c>
      <c r="M232" s="122" t="s">
        <v>311</v>
      </c>
      <c r="N232" s="122" t="s">
        <v>633</v>
      </c>
      <c r="O232" s="122" t="s">
        <v>62</v>
      </c>
      <c r="P232" s="122" t="s">
        <v>1423</v>
      </c>
      <c r="Q232" s="122" t="s">
        <v>70</v>
      </c>
      <c r="R232" s="122" t="s">
        <v>57</v>
      </c>
      <c r="S232" s="122" t="s">
        <v>1216</v>
      </c>
      <c r="T232" s="123">
        <v>0.25</v>
      </c>
      <c r="U232" s="122" t="s">
        <v>1605</v>
      </c>
      <c r="V232" s="125">
        <v>1.8499999999999999E-2</v>
      </c>
      <c r="W232" s="125">
        <v>5.8279999999999998E-2</v>
      </c>
      <c r="X232" s="122" t="s">
        <v>620</v>
      </c>
      <c r="Y232" s="133"/>
      <c r="Z232" s="123">
        <v>207827.56</v>
      </c>
      <c r="AA232" s="123">
        <v>1</v>
      </c>
      <c r="AB232" s="123">
        <v>118.05</v>
      </c>
      <c r="AC232" s="122"/>
      <c r="AD232" s="123">
        <v>245.34</v>
      </c>
      <c r="AE232" s="122"/>
      <c r="AF232" s="122"/>
      <c r="AG232" s="122"/>
      <c r="AH232" s="125">
        <v>1.41E-3</v>
      </c>
      <c r="AI232" s="125">
        <v>1.47E-3</v>
      </c>
      <c r="AJ232" s="126">
        <v>2.1000000000000001E-4</v>
      </c>
      <c r="AK232" s="159"/>
    </row>
    <row r="233" spans="1:37" x14ac:dyDescent="0.2">
      <c r="A233" s="121" t="s">
        <v>1211</v>
      </c>
      <c r="B233" s="122" t="s">
        <v>1211</v>
      </c>
      <c r="C233" s="122" t="s">
        <v>1332</v>
      </c>
      <c r="D233" s="122" t="s">
        <v>1333</v>
      </c>
      <c r="E233" s="122" t="s">
        <v>430</v>
      </c>
      <c r="F233" s="122" t="s">
        <v>1485</v>
      </c>
      <c r="G233" s="122" t="s">
        <v>1486</v>
      </c>
      <c r="H233" s="122" t="s">
        <v>76</v>
      </c>
      <c r="I233" s="122" t="s">
        <v>229</v>
      </c>
      <c r="J233" s="122" t="s">
        <v>53</v>
      </c>
      <c r="K233" s="122" t="s">
        <v>53</v>
      </c>
      <c r="L233" s="122" t="s">
        <v>805</v>
      </c>
      <c r="M233" s="122" t="s">
        <v>311</v>
      </c>
      <c r="N233" s="122" t="s">
        <v>156</v>
      </c>
      <c r="O233" s="122" t="s">
        <v>62</v>
      </c>
      <c r="P233" s="122" t="s">
        <v>1330</v>
      </c>
      <c r="Q233" s="122" t="s">
        <v>65</v>
      </c>
      <c r="R233" s="122" t="s">
        <v>57</v>
      </c>
      <c r="S233" s="122" t="s">
        <v>1216</v>
      </c>
      <c r="T233" s="123">
        <v>7.58</v>
      </c>
      <c r="U233" s="122" t="s">
        <v>1487</v>
      </c>
      <c r="V233" s="125">
        <v>2.9899999999999999E-2</v>
      </c>
      <c r="W233" s="125">
        <v>2.7470000000000001E-2</v>
      </c>
      <c r="X233" s="122" t="s">
        <v>620</v>
      </c>
      <c r="Y233" s="133"/>
      <c r="Z233" s="123">
        <v>225000</v>
      </c>
      <c r="AA233" s="123">
        <v>1</v>
      </c>
      <c r="AB233" s="123">
        <v>105.38</v>
      </c>
      <c r="AC233" s="122"/>
      <c r="AD233" s="123">
        <v>237.10499999999999</v>
      </c>
      <c r="AE233" s="122"/>
      <c r="AF233" s="122"/>
      <c r="AG233" s="122"/>
      <c r="AH233" s="125">
        <v>5.8E-4</v>
      </c>
      <c r="AI233" s="125">
        <v>1.42E-3</v>
      </c>
      <c r="AJ233" s="126">
        <v>2.0000000000000001E-4</v>
      </c>
      <c r="AK233" s="159"/>
    </row>
    <row r="234" spans="1:37" x14ac:dyDescent="0.2">
      <c r="A234" s="121" t="s">
        <v>1211</v>
      </c>
      <c r="B234" s="122" t="s">
        <v>1211</v>
      </c>
      <c r="C234" s="122" t="s">
        <v>1770</v>
      </c>
      <c r="D234" s="122" t="s">
        <v>1771</v>
      </c>
      <c r="E234" s="122" t="s">
        <v>429</v>
      </c>
      <c r="F234" s="122" t="s">
        <v>1858</v>
      </c>
      <c r="G234" s="122" t="s">
        <v>1859</v>
      </c>
      <c r="H234" s="122" t="s">
        <v>76</v>
      </c>
      <c r="I234" s="122" t="s">
        <v>228</v>
      </c>
      <c r="J234" s="122" t="s">
        <v>53</v>
      </c>
      <c r="K234" s="122" t="s">
        <v>53</v>
      </c>
      <c r="L234" s="122" t="s">
        <v>805</v>
      </c>
      <c r="M234" s="122" t="s">
        <v>311</v>
      </c>
      <c r="N234" s="122" t="s">
        <v>635</v>
      </c>
      <c r="O234" s="122" t="s">
        <v>62</v>
      </c>
      <c r="P234" s="122" t="s">
        <v>1454</v>
      </c>
      <c r="Q234" s="122" t="s">
        <v>70</v>
      </c>
      <c r="R234" s="122" t="s">
        <v>57</v>
      </c>
      <c r="S234" s="122" t="s">
        <v>1216</v>
      </c>
      <c r="T234" s="123">
        <v>1.65</v>
      </c>
      <c r="U234" s="122" t="s">
        <v>1458</v>
      </c>
      <c r="V234" s="125">
        <v>5.6500000000000002E-2</v>
      </c>
      <c r="W234" s="125">
        <v>4.8759999999999998E-2</v>
      </c>
      <c r="X234" s="122" t="s">
        <v>620</v>
      </c>
      <c r="Y234" s="133"/>
      <c r="Z234" s="123">
        <v>211764.73</v>
      </c>
      <c r="AA234" s="123">
        <v>1</v>
      </c>
      <c r="AB234" s="123">
        <v>102.79</v>
      </c>
      <c r="AC234" s="122"/>
      <c r="AD234" s="123">
        <v>217.673</v>
      </c>
      <c r="AE234" s="122"/>
      <c r="AF234" s="122"/>
      <c r="AG234" s="122"/>
      <c r="AH234" s="125">
        <v>1.81E-3</v>
      </c>
      <c r="AI234" s="125">
        <v>1.31E-3</v>
      </c>
      <c r="AJ234" s="126">
        <v>1.9000000000000001E-4</v>
      </c>
      <c r="AK234" s="159"/>
    </row>
    <row r="235" spans="1:37" x14ac:dyDescent="0.2">
      <c r="A235" s="121" t="s">
        <v>1211</v>
      </c>
      <c r="B235" s="122" t="s">
        <v>1211</v>
      </c>
      <c r="C235" s="122" t="s">
        <v>1419</v>
      </c>
      <c r="D235" s="122" t="s">
        <v>1420</v>
      </c>
      <c r="E235" s="122" t="s">
        <v>429</v>
      </c>
      <c r="F235" s="122" t="s">
        <v>1509</v>
      </c>
      <c r="G235" s="122" t="s">
        <v>1510</v>
      </c>
      <c r="H235" s="122" t="s">
        <v>76</v>
      </c>
      <c r="I235" s="122" t="s">
        <v>229</v>
      </c>
      <c r="J235" s="122" t="s">
        <v>53</v>
      </c>
      <c r="K235" s="122" t="s">
        <v>53</v>
      </c>
      <c r="L235" s="122" t="s">
        <v>805</v>
      </c>
      <c r="M235" s="122" t="s">
        <v>311</v>
      </c>
      <c r="N235" s="122" t="s">
        <v>269</v>
      </c>
      <c r="O235" s="122" t="s">
        <v>62</v>
      </c>
      <c r="P235" s="122" t="s">
        <v>1423</v>
      </c>
      <c r="Q235" s="122" t="s">
        <v>70</v>
      </c>
      <c r="R235" s="122" t="s">
        <v>57</v>
      </c>
      <c r="S235" s="122" t="s">
        <v>1216</v>
      </c>
      <c r="T235" s="123">
        <v>4.5999999999999996</v>
      </c>
      <c r="U235" s="122" t="s">
        <v>1511</v>
      </c>
      <c r="V235" s="125">
        <v>5.3999999999999999E-2</v>
      </c>
      <c r="W235" s="125">
        <v>4.7530000000000003E-2</v>
      </c>
      <c r="X235" s="122" t="s">
        <v>620</v>
      </c>
      <c r="Y235" s="133"/>
      <c r="Z235" s="123">
        <v>182818</v>
      </c>
      <c r="AA235" s="123">
        <v>1</v>
      </c>
      <c r="AB235" s="123">
        <v>104.57</v>
      </c>
      <c r="AC235" s="122"/>
      <c r="AD235" s="123">
        <v>191.173</v>
      </c>
      <c r="AE235" s="122"/>
      <c r="AF235" s="122"/>
      <c r="AG235" s="122"/>
      <c r="AH235" s="125">
        <v>3.2000000000000003E-4</v>
      </c>
      <c r="AI235" s="125">
        <v>1.15E-3</v>
      </c>
      <c r="AJ235" s="126">
        <v>1.6000000000000001E-4</v>
      </c>
      <c r="AK235" s="159"/>
    </row>
    <row r="236" spans="1:37" x14ac:dyDescent="0.2">
      <c r="A236" s="121" t="s">
        <v>1211</v>
      </c>
      <c r="B236" s="122" t="s">
        <v>1211</v>
      </c>
      <c r="C236" s="122" t="s">
        <v>1860</v>
      </c>
      <c r="D236" s="122" t="s">
        <v>1861</v>
      </c>
      <c r="E236" s="122" t="s">
        <v>429</v>
      </c>
      <c r="F236" s="122" t="s">
        <v>1862</v>
      </c>
      <c r="G236" s="122" t="s">
        <v>1863</v>
      </c>
      <c r="H236" s="122" t="s">
        <v>76</v>
      </c>
      <c r="I236" s="122" t="s">
        <v>229</v>
      </c>
      <c r="J236" s="122" t="s">
        <v>53</v>
      </c>
      <c r="K236" s="122" t="s">
        <v>53</v>
      </c>
      <c r="L236" s="122" t="s">
        <v>805</v>
      </c>
      <c r="M236" s="122" t="s">
        <v>311</v>
      </c>
      <c r="N236" s="122" t="s">
        <v>635</v>
      </c>
      <c r="O236" s="122" t="s">
        <v>62</v>
      </c>
      <c r="P236" s="122" t="s">
        <v>1324</v>
      </c>
      <c r="Q236" s="122" t="s">
        <v>65</v>
      </c>
      <c r="R236" s="122" t="s">
        <v>57</v>
      </c>
      <c r="S236" s="122" t="s">
        <v>1216</v>
      </c>
      <c r="T236" s="123">
        <v>0.67</v>
      </c>
      <c r="U236" s="122" t="s">
        <v>1864</v>
      </c>
      <c r="V236" s="125">
        <v>1.6E-2</v>
      </c>
      <c r="W236" s="125">
        <v>3.6330000000000001E-2</v>
      </c>
      <c r="X236" s="122" t="s">
        <v>620</v>
      </c>
      <c r="Y236" s="133"/>
      <c r="Z236" s="123">
        <v>156951.32</v>
      </c>
      <c r="AA236" s="123">
        <v>1</v>
      </c>
      <c r="AB236" s="123">
        <v>119.36</v>
      </c>
      <c r="AC236" s="122"/>
      <c r="AD236" s="123">
        <v>187.33699999999999</v>
      </c>
      <c r="AE236" s="122"/>
      <c r="AF236" s="122"/>
      <c r="AG236" s="122"/>
      <c r="AH236" s="125">
        <v>5.5000000000000003E-4</v>
      </c>
      <c r="AI236" s="125">
        <v>1.1299999999999999E-3</v>
      </c>
      <c r="AJ236" s="126">
        <v>1.6000000000000001E-4</v>
      </c>
      <c r="AK236" s="159"/>
    </row>
    <row r="237" spans="1:37" x14ac:dyDescent="0.2">
      <c r="A237" s="121" t="s">
        <v>1211</v>
      </c>
      <c r="B237" s="122" t="s">
        <v>1211</v>
      </c>
      <c r="C237" s="122" t="s">
        <v>1606</v>
      </c>
      <c r="D237" s="122" t="s">
        <v>1607</v>
      </c>
      <c r="E237" s="122" t="s">
        <v>429</v>
      </c>
      <c r="F237" s="122" t="s">
        <v>1608</v>
      </c>
      <c r="G237" s="122" t="s">
        <v>1609</v>
      </c>
      <c r="H237" s="122" t="s">
        <v>76</v>
      </c>
      <c r="I237" s="122" t="s">
        <v>228</v>
      </c>
      <c r="J237" s="122" t="s">
        <v>53</v>
      </c>
      <c r="K237" s="122" t="s">
        <v>53</v>
      </c>
      <c r="L237" s="122" t="s">
        <v>805</v>
      </c>
      <c r="M237" s="122" t="s">
        <v>311</v>
      </c>
      <c r="N237" s="122" t="s">
        <v>635</v>
      </c>
      <c r="O237" s="122" t="s">
        <v>62</v>
      </c>
      <c r="P237" s="122" t="s">
        <v>1610</v>
      </c>
      <c r="Q237" s="122" t="s">
        <v>65</v>
      </c>
      <c r="R237" s="122" t="s">
        <v>57</v>
      </c>
      <c r="S237" s="122" t="s">
        <v>1216</v>
      </c>
      <c r="T237" s="123">
        <v>0.73</v>
      </c>
      <c r="U237" s="122" t="s">
        <v>1611</v>
      </c>
      <c r="V237" s="125">
        <v>4.8000000000000001E-2</v>
      </c>
      <c r="W237" s="125">
        <v>5.4850000000000003E-2</v>
      </c>
      <c r="X237" s="122" t="s">
        <v>620</v>
      </c>
      <c r="Y237" s="133"/>
      <c r="Z237" s="123">
        <v>185815.2</v>
      </c>
      <c r="AA237" s="123">
        <v>1</v>
      </c>
      <c r="AB237" s="123">
        <v>100.77</v>
      </c>
      <c r="AC237" s="122"/>
      <c r="AD237" s="123">
        <v>187.24600000000001</v>
      </c>
      <c r="AE237" s="122"/>
      <c r="AF237" s="122"/>
      <c r="AG237" s="122"/>
      <c r="AH237" s="125">
        <v>3.3E-4</v>
      </c>
      <c r="AI237" s="125">
        <v>1.1199999999999999E-3</v>
      </c>
      <c r="AJ237" s="126">
        <v>1.6000000000000001E-4</v>
      </c>
      <c r="AK237" s="159"/>
    </row>
    <row r="238" spans="1:37" x14ac:dyDescent="0.2">
      <c r="A238" s="121" t="s">
        <v>1211</v>
      </c>
      <c r="B238" s="122" t="s">
        <v>1211</v>
      </c>
      <c r="C238" s="122" t="s">
        <v>1557</v>
      </c>
      <c r="D238" s="122" t="s">
        <v>1558</v>
      </c>
      <c r="E238" s="122" t="s">
        <v>429</v>
      </c>
      <c r="F238" s="122" t="s">
        <v>1865</v>
      </c>
      <c r="G238" s="122" t="s">
        <v>1866</v>
      </c>
      <c r="H238" s="122" t="s">
        <v>76</v>
      </c>
      <c r="I238" s="122" t="s">
        <v>229</v>
      </c>
      <c r="J238" s="122" t="s">
        <v>53</v>
      </c>
      <c r="K238" s="122" t="s">
        <v>53</v>
      </c>
      <c r="L238" s="122" t="s">
        <v>805</v>
      </c>
      <c r="M238" s="122" t="s">
        <v>311</v>
      </c>
      <c r="N238" s="122" t="s">
        <v>635</v>
      </c>
      <c r="O238" s="122" t="s">
        <v>62</v>
      </c>
      <c r="P238" s="122" t="s">
        <v>1750</v>
      </c>
      <c r="Q238" s="122" t="s">
        <v>65</v>
      </c>
      <c r="R238" s="122" t="s">
        <v>57</v>
      </c>
      <c r="S238" s="122" t="s">
        <v>1216</v>
      </c>
      <c r="T238" s="123">
        <v>1.23</v>
      </c>
      <c r="U238" s="122" t="s">
        <v>1403</v>
      </c>
      <c r="V238" s="125">
        <v>2.2499999999999999E-2</v>
      </c>
      <c r="W238" s="125">
        <v>3.3599999999999998E-2</v>
      </c>
      <c r="X238" s="122" t="s">
        <v>620</v>
      </c>
      <c r="Y238" s="133"/>
      <c r="Z238" s="123">
        <v>152018.13</v>
      </c>
      <c r="AA238" s="123">
        <v>1</v>
      </c>
      <c r="AB238" s="123">
        <v>117.81</v>
      </c>
      <c r="AC238" s="122"/>
      <c r="AD238" s="123">
        <v>179.09299999999999</v>
      </c>
      <c r="AE238" s="122"/>
      <c r="AF238" s="122"/>
      <c r="AG238" s="122"/>
      <c r="AH238" s="125">
        <v>6.0999999999999997E-4</v>
      </c>
      <c r="AI238" s="125">
        <v>1.08E-3</v>
      </c>
      <c r="AJ238" s="126">
        <v>1.4999999999999999E-4</v>
      </c>
      <c r="AK238" s="159"/>
    </row>
    <row r="239" spans="1:37" x14ac:dyDescent="0.2">
      <c r="A239" s="121" t="s">
        <v>1211</v>
      </c>
      <c r="B239" s="122" t="s">
        <v>1211</v>
      </c>
      <c r="C239" s="122" t="s">
        <v>1520</v>
      </c>
      <c r="D239" s="122" t="s">
        <v>1521</v>
      </c>
      <c r="E239" s="122" t="s">
        <v>429</v>
      </c>
      <c r="F239" s="122" t="s">
        <v>1522</v>
      </c>
      <c r="G239" s="122" t="s">
        <v>1523</v>
      </c>
      <c r="H239" s="122" t="s">
        <v>76</v>
      </c>
      <c r="I239" s="122" t="s">
        <v>228</v>
      </c>
      <c r="J239" s="122" t="s">
        <v>53</v>
      </c>
      <c r="K239" s="122" t="s">
        <v>53</v>
      </c>
      <c r="L239" s="122" t="s">
        <v>805</v>
      </c>
      <c r="M239" s="122" t="s">
        <v>311</v>
      </c>
      <c r="N239" s="122" t="s">
        <v>269</v>
      </c>
      <c r="O239" s="122" t="s">
        <v>62</v>
      </c>
      <c r="P239" s="122" t="s">
        <v>1454</v>
      </c>
      <c r="Q239" s="122" t="s">
        <v>70</v>
      </c>
      <c r="R239" s="122" t="s">
        <v>57</v>
      </c>
      <c r="S239" s="122" t="s">
        <v>1216</v>
      </c>
      <c r="T239" s="123">
        <v>1</v>
      </c>
      <c r="U239" s="122" t="s">
        <v>1524</v>
      </c>
      <c r="V239" s="125">
        <v>2.9399999999999999E-2</v>
      </c>
      <c r="W239" s="125">
        <v>4.4350000000000001E-2</v>
      </c>
      <c r="X239" s="122" t="s">
        <v>620</v>
      </c>
      <c r="Y239" s="133"/>
      <c r="Z239" s="123">
        <v>125580.3</v>
      </c>
      <c r="AA239" s="123">
        <v>1</v>
      </c>
      <c r="AB239" s="123">
        <v>98.58</v>
      </c>
      <c r="AC239" s="122"/>
      <c r="AD239" s="123">
        <v>123.797</v>
      </c>
      <c r="AE239" s="122"/>
      <c r="AF239" s="122"/>
      <c r="AG239" s="122"/>
      <c r="AH239" s="125">
        <v>2.32E-3</v>
      </c>
      <c r="AI239" s="125">
        <v>7.3999999999999999E-4</v>
      </c>
      <c r="AJ239" s="126">
        <v>1.1E-4</v>
      </c>
      <c r="AK239" s="159"/>
    </row>
    <row r="240" spans="1:37" x14ac:dyDescent="0.2">
      <c r="A240" s="121" t="s">
        <v>1211</v>
      </c>
      <c r="B240" s="122" t="s">
        <v>1211</v>
      </c>
      <c r="C240" s="122" t="s">
        <v>1867</v>
      </c>
      <c r="D240" s="122" t="s">
        <v>1868</v>
      </c>
      <c r="E240" s="122" t="s">
        <v>429</v>
      </c>
      <c r="F240" s="122" t="s">
        <v>1869</v>
      </c>
      <c r="G240" s="122" t="s">
        <v>1870</v>
      </c>
      <c r="H240" s="122" t="s">
        <v>76</v>
      </c>
      <c r="I240" s="122" t="s">
        <v>228</v>
      </c>
      <c r="J240" s="122" t="s">
        <v>53</v>
      </c>
      <c r="K240" s="122" t="s">
        <v>53</v>
      </c>
      <c r="L240" s="122" t="s">
        <v>805</v>
      </c>
      <c r="M240" s="122" t="s">
        <v>311</v>
      </c>
      <c r="N240" s="122" t="s">
        <v>636</v>
      </c>
      <c r="O240" s="122" t="s">
        <v>62</v>
      </c>
      <c r="P240" s="122" t="s">
        <v>1402</v>
      </c>
      <c r="Q240" s="122" t="s">
        <v>70</v>
      </c>
      <c r="R240" s="122" t="s">
        <v>57</v>
      </c>
      <c r="S240" s="122" t="s">
        <v>1216</v>
      </c>
      <c r="T240" s="123">
        <v>2.25</v>
      </c>
      <c r="U240" s="122" t="s">
        <v>1871</v>
      </c>
      <c r="V240" s="125">
        <v>2.8500000000000001E-2</v>
      </c>
      <c r="W240" s="125">
        <v>5.2170000000000001E-2</v>
      </c>
      <c r="X240" s="122" t="s">
        <v>620</v>
      </c>
      <c r="Y240" s="133"/>
      <c r="Z240" s="123">
        <v>125882.41</v>
      </c>
      <c r="AA240" s="123">
        <v>1</v>
      </c>
      <c r="AB240" s="123">
        <v>95.9</v>
      </c>
      <c r="AC240" s="122"/>
      <c r="AD240" s="123">
        <v>120.721</v>
      </c>
      <c r="AE240" s="122"/>
      <c r="AF240" s="122"/>
      <c r="AG240" s="122"/>
      <c r="AH240" s="125">
        <v>3.2000000000000003E-4</v>
      </c>
      <c r="AI240" s="125">
        <v>7.2999999999999996E-4</v>
      </c>
      <c r="AJ240" s="126">
        <v>1E-4</v>
      </c>
      <c r="AK240" s="159"/>
    </row>
    <row r="241" spans="1:37" x14ac:dyDescent="0.2">
      <c r="A241" s="121" t="s">
        <v>1211</v>
      </c>
      <c r="B241" s="122" t="s">
        <v>1211</v>
      </c>
      <c r="C241" s="122" t="s">
        <v>1703</v>
      </c>
      <c r="D241" s="122" t="s">
        <v>1704</v>
      </c>
      <c r="E241" s="122" t="s">
        <v>429</v>
      </c>
      <c r="F241" s="122" t="s">
        <v>1872</v>
      </c>
      <c r="G241" s="122" t="s">
        <v>1873</v>
      </c>
      <c r="H241" s="122" t="s">
        <v>76</v>
      </c>
      <c r="I241" s="122" t="s">
        <v>228</v>
      </c>
      <c r="J241" s="122" t="s">
        <v>53</v>
      </c>
      <c r="K241" s="122" t="s">
        <v>53</v>
      </c>
      <c r="L241" s="122" t="s">
        <v>805</v>
      </c>
      <c r="M241" s="122" t="s">
        <v>311</v>
      </c>
      <c r="N241" s="122" t="s">
        <v>263</v>
      </c>
      <c r="O241" s="122" t="s">
        <v>62</v>
      </c>
      <c r="P241" s="122" t="s">
        <v>1450</v>
      </c>
      <c r="Q241" s="122" t="s">
        <v>65</v>
      </c>
      <c r="R241" s="122" t="s">
        <v>57</v>
      </c>
      <c r="S241" s="122" t="s">
        <v>1216</v>
      </c>
      <c r="T241" s="123">
        <v>2.62</v>
      </c>
      <c r="U241" s="122" t="s">
        <v>1822</v>
      </c>
      <c r="V241" s="125">
        <v>2.6200000000000001E-2</v>
      </c>
      <c r="W241" s="125">
        <v>4.6080000000000003E-2</v>
      </c>
      <c r="X241" s="122" t="s">
        <v>620</v>
      </c>
      <c r="Y241" s="133"/>
      <c r="Z241" s="123">
        <v>120878.49</v>
      </c>
      <c r="AA241" s="123">
        <v>1</v>
      </c>
      <c r="AB241" s="123">
        <v>95.7</v>
      </c>
      <c r="AC241" s="122"/>
      <c r="AD241" s="123">
        <v>115.681</v>
      </c>
      <c r="AE241" s="122"/>
      <c r="AF241" s="122"/>
      <c r="AG241" s="122"/>
      <c r="AH241" s="125">
        <v>3.4000000000000002E-4</v>
      </c>
      <c r="AI241" s="125">
        <v>6.8999999999999997E-4</v>
      </c>
      <c r="AJ241" s="126">
        <v>1E-4</v>
      </c>
      <c r="AK241" s="159"/>
    </row>
    <row r="242" spans="1:37" x14ac:dyDescent="0.2">
      <c r="A242" s="121" t="s">
        <v>1211</v>
      </c>
      <c r="B242" s="122" t="s">
        <v>1211</v>
      </c>
      <c r="C242" s="122" t="s">
        <v>1388</v>
      </c>
      <c r="D242" s="122" t="s">
        <v>1389</v>
      </c>
      <c r="E242" s="122" t="s">
        <v>429</v>
      </c>
      <c r="F242" s="122" t="s">
        <v>1874</v>
      </c>
      <c r="G242" s="122" t="s">
        <v>1875</v>
      </c>
      <c r="H242" s="122" t="s">
        <v>76</v>
      </c>
      <c r="I242" s="122" t="s">
        <v>229</v>
      </c>
      <c r="J242" s="122" t="s">
        <v>53</v>
      </c>
      <c r="K242" s="122" t="s">
        <v>53</v>
      </c>
      <c r="L242" s="122" t="s">
        <v>805</v>
      </c>
      <c r="M242" s="122" t="s">
        <v>311</v>
      </c>
      <c r="N242" s="122" t="s">
        <v>635</v>
      </c>
      <c r="O242" s="122" t="s">
        <v>62</v>
      </c>
      <c r="P242" s="122" t="s">
        <v>1324</v>
      </c>
      <c r="Q242" s="122" t="s">
        <v>65</v>
      </c>
      <c r="R242" s="122" t="s">
        <v>57</v>
      </c>
      <c r="S242" s="122" t="s">
        <v>1216</v>
      </c>
      <c r="T242" s="123">
        <v>0.5</v>
      </c>
      <c r="U242" s="122" t="s">
        <v>1876</v>
      </c>
      <c r="V242" s="125">
        <v>4.7500000000000001E-2</v>
      </c>
      <c r="W242" s="125">
        <v>5.0639999999999998E-2</v>
      </c>
      <c r="X242" s="122" t="s">
        <v>620</v>
      </c>
      <c r="Y242" s="133"/>
      <c r="Z242" s="123">
        <v>79277.89</v>
      </c>
      <c r="AA242" s="123">
        <v>1</v>
      </c>
      <c r="AB242" s="123">
        <v>143.80000000000001</v>
      </c>
      <c r="AC242" s="122"/>
      <c r="AD242" s="123">
        <v>114.002</v>
      </c>
      <c r="AE242" s="122"/>
      <c r="AF242" s="122"/>
      <c r="AG242" s="122"/>
      <c r="AH242" s="125">
        <v>1.7000000000000001E-4</v>
      </c>
      <c r="AI242" s="125">
        <v>6.8000000000000005E-4</v>
      </c>
      <c r="AJ242" s="126">
        <v>1E-4</v>
      </c>
      <c r="AK242" s="159"/>
    </row>
    <row r="243" spans="1:37" x14ac:dyDescent="0.2">
      <c r="A243" s="121" t="s">
        <v>1211</v>
      </c>
      <c r="B243" s="122" t="s">
        <v>1211</v>
      </c>
      <c r="C243" s="122" t="s">
        <v>1393</v>
      </c>
      <c r="D243" s="122" t="s">
        <v>1394</v>
      </c>
      <c r="E243" s="122" t="s">
        <v>429</v>
      </c>
      <c r="F243" s="122" t="s">
        <v>1525</v>
      </c>
      <c r="G243" s="122" t="s">
        <v>1526</v>
      </c>
      <c r="H243" s="122" t="s">
        <v>76</v>
      </c>
      <c r="I243" s="122" t="s">
        <v>228</v>
      </c>
      <c r="J243" s="122" t="s">
        <v>53</v>
      </c>
      <c r="K243" s="122" t="s">
        <v>53</v>
      </c>
      <c r="L243" s="122" t="s">
        <v>805</v>
      </c>
      <c r="M243" s="122" t="s">
        <v>311</v>
      </c>
      <c r="N243" s="122" t="s">
        <v>269</v>
      </c>
      <c r="O243" s="122" t="s">
        <v>62</v>
      </c>
      <c r="P243" s="122" t="s">
        <v>1377</v>
      </c>
      <c r="Q243" s="122" t="s">
        <v>70</v>
      </c>
      <c r="R243" s="122" t="s">
        <v>57</v>
      </c>
      <c r="S243" s="122" t="s">
        <v>1216</v>
      </c>
      <c r="T243" s="123">
        <v>3.91</v>
      </c>
      <c r="U243" s="122" t="s">
        <v>1527</v>
      </c>
      <c r="V243" s="125">
        <v>3.95E-2</v>
      </c>
      <c r="W243" s="125">
        <v>4.3999999999999997E-2</v>
      </c>
      <c r="X243" s="122" t="s">
        <v>620</v>
      </c>
      <c r="Y243" s="133"/>
      <c r="Z243" s="123">
        <v>96323</v>
      </c>
      <c r="AA243" s="123">
        <v>1</v>
      </c>
      <c r="AB243" s="123">
        <v>99.43</v>
      </c>
      <c r="AC243" s="122"/>
      <c r="AD243" s="123">
        <v>95.774000000000001</v>
      </c>
      <c r="AE243" s="122"/>
      <c r="AF243" s="122"/>
      <c r="AG243" s="122"/>
      <c r="AH243" s="125">
        <v>4.0000000000000002E-4</v>
      </c>
      <c r="AI243" s="125">
        <v>5.8E-4</v>
      </c>
      <c r="AJ243" s="126">
        <v>8.0000000000000007E-5</v>
      </c>
      <c r="AK243" s="159"/>
    </row>
    <row r="244" spans="1:37" x14ac:dyDescent="0.2">
      <c r="A244" s="121" t="s">
        <v>1211</v>
      </c>
      <c r="B244" s="122" t="s">
        <v>1211</v>
      </c>
      <c r="C244" s="122" t="s">
        <v>1515</v>
      </c>
      <c r="D244" s="122" t="s">
        <v>1516</v>
      </c>
      <c r="E244" s="122" t="s">
        <v>429</v>
      </c>
      <c r="F244" s="122" t="s">
        <v>1517</v>
      </c>
      <c r="G244" s="122" t="s">
        <v>1518</v>
      </c>
      <c r="H244" s="122" t="s">
        <v>76</v>
      </c>
      <c r="I244" s="122" t="s">
        <v>229</v>
      </c>
      <c r="J244" s="122" t="s">
        <v>53</v>
      </c>
      <c r="K244" s="122" t="s">
        <v>53</v>
      </c>
      <c r="L244" s="122" t="s">
        <v>805</v>
      </c>
      <c r="M244" s="122" t="s">
        <v>311</v>
      </c>
      <c r="N244" s="122" t="s">
        <v>635</v>
      </c>
      <c r="O244" s="122" t="s">
        <v>62</v>
      </c>
      <c r="P244" s="122" t="s">
        <v>1377</v>
      </c>
      <c r="Q244" s="122" t="s">
        <v>70</v>
      </c>
      <c r="R244" s="122" t="s">
        <v>57</v>
      </c>
      <c r="S244" s="122" t="s">
        <v>1216</v>
      </c>
      <c r="T244" s="123">
        <v>1.96</v>
      </c>
      <c r="U244" s="122" t="s">
        <v>1519</v>
      </c>
      <c r="V244" s="125">
        <v>1.9599999999999999E-2</v>
      </c>
      <c r="W244" s="125">
        <v>2.981E-2</v>
      </c>
      <c r="X244" s="122" t="s">
        <v>620</v>
      </c>
      <c r="Y244" s="133"/>
      <c r="Z244" s="123">
        <v>75596</v>
      </c>
      <c r="AA244" s="123">
        <v>1</v>
      </c>
      <c r="AB244" s="123">
        <v>118.11</v>
      </c>
      <c r="AC244" s="122"/>
      <c r="AD244" s="123">
        <v>89.286000000000001</v>
      </c>
      <c r="AE244" s="122"/>
      <c r="AF244" s="122"/>
      <c r="AG244" s="122"/>
      <c r="AH244" s="125">
        <v>6.9999999999999994E-5</v>
      </c>
      <c r="AI244" s="125">
        <v>5.4000000000000001E-4</v>
      </c>
      <c r="AJ244" s="126">
        <v>8.0000000000000007E-5</v>
      </c>
      <c r="AK244" s="159"/>
    </row>
    <row r="245" spans="1:37" x14ac:dyDescent="0.2">
      <c r="A245" s="121" t="s">
        <v>1211</v>
      </c>
      <c r="B245" s="122" t="s">
        <v>1211</v>
      </c>
      <c r="C245" s="122" t="s">
        <v>1393</v>
      </c>
      <c r="D245" s="122" t="s">
        <v>1394</v>
      </c>
      <c r="E245" s="122" t="s">
        <v>429</v>
      </c>
      <c r="F245" s="122" t="s">
        <v>1395</v>
      </c>
      <c r="G245" s="122" t="s">
        <v>1396</v>
      </c>
      <c r="H245" s="122" t="s">
        <v>76</v>
      </c>
      <c r="I245" s="122" t="s">
        <v>228</v>
      </c>
      <c r="J245" s="122" t="s">
        <v>53</v>
      </c>
      <c r="K245" s="122" t="s">
        <v>53</v>
      </c>
      <c r="L245" s="122" t="s">
        <v>805</v>
      </c>
      <c r="M245" s="122" t="s">
        <v>311</v>
      </c>
      <c r="N245" s="122" t="s">
        <v>269</v>
      </c>
      <c r="O245" s="122" t="s">
        <v>62</v>
      </c>
      <c r="P245" s="122" t="s">
        <v>1377</v>
      </c>
      <c r="Q245" s="122" t="s">
        <v>70</v>
      </c>
      <c r="R245" s="122" t="s">
        <v>57</v>
      </c>
      <c r="S245" s="122" t="s">
        <v>1216</v>
      </c>
      <c r="T245" s="123">
        <v>3.05</v>
      </c>
      <c r="U245" s="122" t="s">
        <v>1397</v>
      </c>
      <c r="V245" s="125">
        <v>3.95E-2</v>
      </c>
      <c r="W245" s="125">
        <v>4.3029999999999999E-2</v>
      </c>
      <c r="X245" s="122" t="s">
        <v>620</v>
      </c>
      <c r="Y245" s="133"/>
      <c r="Z245" s="123">
        <v>76523</v>
      </c>
      <c r="AA245" s="123">
        <v>1</v>
      </c>
      <c r="AB245" s="123">
        <v>100.05</v>
      </c>
      <c r="AC245" s="122"/>
      <c r="AD245" s="123">
        <v>76.561000000000007</v>
      </c>
      <c r="AE245" s="122"/>
      <c r="AF245" s="122"/>
      <c r="AG245" s="122"/>
      <c r="AH245" s="125">
        <v>3.2000000000000003E-4</v>
      </c>
      <c r="AI245" s="125">
        <v>4.6000000000000001E-4</v>
      </c>
      <c r="AJ245" s="126">
        <v>6.9999999999999994E-5</v>
      </c>
      <c r="AK245" s="159"/>
    </row>
    <row r="246" spans="1:37" x14ac:dyDescent="0.2">
      <c r="A246" s="121" t="s">
        <v>1211</v>
      </c>
      <c r="B246" s="122" t="s">
        <v>1211</v>
      </c>
      <c r="C246" s="122" t="s">
        <v>1770</v>
      </c>
      <c r="D246" s="122" t="s">
        <v>1771</v>
      </c>
      <c r="E246" s="122" t="s">
        <v>429</v>
      </c>
      <c r="F246" s="122" t="s">
        <v>1877</v>
      </c>
      <c r="G246" s="122" t="s">
        <v>1878</v>
      </c>
      <c r="H246" s="122" t="s">
        <v>76</v>
      </c>
      <c r="I246" s="122" t="s">
        <v>229</v>
      </c>
      <c r="J246" s="122" t="s">
        <v>53</v>
      </c>
      <c r="K246" s="122" t="s">
        <v>53</v>
      </c>
      <c r="L246" s="122" t="s">
        <v>805</v>
      </c>
      <c r="M246" s="122" t="s">
        <v>311</v>
      </c>
      <c r="N246" s="122" t="s">
        <v>635</v>
      </c>
      <c r="O246" s="122" t="s">
        <v>62</v>
      </c>
      <c r="P246" s="122" t="s">
        <v>1324</v>
      </c>
      <c r="Q246" s="122" t="s">
        <v>65</v>
      </c>
      <c r="R246" s="122" t="s">
        <v>57</v>
      </c>
      <c r="S246" s="122" t="s">
        <v>1216</v>
      </c>
      <c r="T246" s="123">
        <v>0.99</v>
      </c>
      <c r="U246" s="122" t="s">
        <v>1524</v>
      </c>
      <c r="V246" s="125">
        <v>2.4E-2</v>
      </c>
      <c r="W246" s="125">
        <v>3.2710000000000003E-2</v>
      </c>
      <c r="X246" s="122" t="s">
        <v>620</v>
      </c>
      <c r="Y246" s="133"/>
      <c r="Z246" s="123">
        <v>53790.48</v>
      </c>
      <c r="AA246" s="123">
        <v>1</v>
      </c>
      <c r="AB246" s="123">
        <v>118.36</v>
      </c>
      <c r="AC246" s="122"/>
      <c r="AD246" s="123">
        <v>63.665999999999997</v>
      </c>
      <c r="AE246" s="122"/>
      <c r="AF246" s="122"/>
      <c r="AG246" s="122"/>
      <c r="AH246" s="125">
        <v>1.1E-4</v>
      </c>
      <c r="AI246" s="125">
        <v>3.8000000000000002E-4</v>
      </c>
      <c r="AJ246" s="126">
        <v>5.0000000000000002E-5</v>
      </c>
      <c r="AK246" s="159"/>
    </row>
    <row r="247" spans="1:37" x14ac:dyDescent="0.2">
      <c r="A247" s="121" t="s">
        <v>1211</v>
      </c>
      <c r="B247" s="122" t="s">
        <v>1211</v>
      </c>
      <c r="C247" s="122" t="s">
        <v>1879</v>
      </c>
      <c r="D247" s="122" t="s">
        <v>1880</v>
      </c>
      <c r="E247" s="122" t="s">
        <v>429</v>
      </c>
      <c r="F247" s="122" t="s">
        <v>1881</v>
      </c>
      <c r="G247" s="122" t="s">
        <v>1882</v>
      </c>
      <c r="H247" s="122" t="s">
        <v>76</v>
      </c>
      <c r="I247" s="122" t="s">
        <v>228</v>
      </c>
      <c r="J247" s="122" t="s">
        <v>53</v>
      </c>
      <c r="K247" s="122" t="s">
        <v>53</v>
      </c>
      <c r="L247" s="122" t="s">
        <v>805</v>
      </c>
      <c r="M247" s="122" t="s">
        <v>311</v>
      </c>
      <c r="N247" s="122" t="s">
        <v>260</v>
      </c>
      <c r="O247" s="122" t="s">
        <v>62</v>
      </c>
      <c r="P247" s="122" t="s">
        <v>1369</v>
      </c>
      <c r="Q247" s="122" t="s">
        <v>65</v>
      </c>
      <c r="R247" s="122" t="s">
        <v>57</v>
      </c>
      <c r="S247" s="122" t="s">
        <v>1216</v>
      </c>
      <c r="T247" s="123">
        <v>1.37</v>
      </c>
      <c r="U247" s="122" t="s">
        <v>1883</v>
      </c>
      <c r="V247" s="125">
        <v>0.04</v>
      </c>
      <c r="W247" s="125">
        <v>4.6870000000000002E-2</v>
      </c>
      <c r="X247" s="122" t="s">
        <v>620</v>
      </c>
      <c r="Y247" s="133"/>
      <c r="Z247" s="123">
        <v>59438.400000000001</v>
      </c>
      <c r="AA247" s="123">
        <v>1</v>
      </c>
      <c r="AB247" s="123">
        <v>100.15</v>
      </c>
      <c r="AC247" s="122"/>
      <c r="AD247" s="123">
        <v>59.527999999999999</v>
      </c>
      <c r="AE247" s="122"/>
      <c r="AF247" s="122"/>
      <c r="AG247" s="122"/>
      <c r="AH247" s="125">
        <v>1.2E-4</v>
      </c>
      <c r="AI247" s="125">
        <v>3.6000000000000002E-4</v>
      </c>
      <c r="AJ247" s="126">
        <v>5.0000000000000002E-5</v>
      </c>
      <c r="AK247" s="159"/>
    </row>
    <row r="248" spans="1:37" x14ac:dyDescent="0.2">
      <c r="A248" s="121" t="s">
        <v>1211</v>
      </c>
      <c r="B248" s="122" t="s">
        <v>1211</v>
      </c>
      <c r="C248" s="122" t="s">
        <v>1499</v>
      </c>
      <c r="D248" s="122" t="s">
        <v>1500</v>
      </c>
      <c r="E248" s="122" t="s">
        <v>429</v>
      </c>
      <c r="F248" s="122" t="s">
        <v>1501</v>
      </c>
      <c r="G248" s="122" t="s">
        <v>1502</v>
      </c>
      <c r="H248" s="122" t="s">
        <v>76</v>
      </c>
      <c r="I248" s="122" t="s">
        <v>228</v>
      </c>
      <c r="J248" s="122" t="s">
        <v>53</v>
      </c>
      <c r="K248" s="122" t="s">
        <v>53</v>
      </c>
      <c r="L248" s="122" t="s">
        <v>805</v>
      </c>
      <c r="M248" s="122" t="s">
        <v>311</v>
      </c>
      <c r="N248" s="122" t="s">
        <v>692</v>
      </c>
      <c r="O248" s="122" t="s">
        <v>62</v>
      </c>
      <c r="P248" s="122" t="s">
        <v>1450</v>
      </c>
      <c r="Q248" s="122" t="s">
        <v>65</v>
      </c>
      <c r="R248" s="122" t="s">
        <v>57</v>
      </c>
      <c r="S248" s="122" t="s">
        <v>1216</v>
      </c>
      <c r="T248" s="123">
        <v>0.74</v>
      </c>
      <c r="U248" s="122" t="s">
        <v>1503</v>
      </c>
      <c r="V248" s="125">
        <v>0.04</v>
      </c>
      <c r="W248" s="125">
        <v>5.1470000000000002E-2</v>
      </c>
      <c r="X248" s="122" t="s">
        <v>620</v>
      </c>
      <c r="Y248" s="133"/>
      <c r="Z248" s="123">
        <v>49924.84</v>
      </c>
      <c r="AA248" s="123">
        <v>1</v>
      </c>
      <c r="AB248" s="123">
        <v>100.23</v>
      </c>
      <c r="AC248" s="122"/>
      <c r="AD248" s="123">
        <v>50.04</v>
      </c>
      <c r="AE248" s="122"/>
      <c r="AF248" s="122"/>
      <c r="AG248" s="122"/>
      <c r="AH248" s="125">
        <v>7.6000000000000004E-4</v>
      </c>
      <c r="AI248" s="125">
        <v>2.9999999999999997E-4</v>
      </c>
      <c r="AJ248" s="126">
        <v>4.0000000000000003E-5</v>
      </c>
      <c r="AK248" s="159"/>
    </row>
    <row r="249" spans="1:37" x14ac:dyDescent="0.2">
      <c r="A249" s="121" t="s">
        <v>1211</v>
      </c>
      <c r="B249" s="122" t="s">
        <v>1211</v>
      </c>
      <c r="C249" s="122" t="s">
        <v>1688</v>
      </c>
      <c r="D249" s="122" t="s">
        <v>1689</v>
      </c>
      <c r="E249" s="122" t="s">
        <v>429</v>
      </c>
      <c r="F249" s="122" t="s">
        <v>1884</v>
      </c>
      <c r="G249" s="122" t="s">
        <v>1885</v>
      </c>
      <c r="H249" s="122" t="s">
        <v>76</v>
      </c>
      <c r="I249" s="122" t="s">
        <v>228</v>
      </c>
      <c r="J249" s="122" t="s">
        <v>53</v>
      </c>
      <c r="K249" s="122" t="s">
        <v>53</v>
      </c>
      <c r="L249" s="122" t="s">
        <v>805</v>
      </c>
      <c r="M249" s="122" t="s">
        <v>311</v>
      </c>
      <c r="N249" s="122" t="s">
        <v>269</v>
      </c>
      <c r="O249" s="122" t="s">
        <v>62</v>
      </c>
      <c r="P249" s="122" t="s">
        <v>1540</v>
      </c>
      <c r="Q249" s="122" t="s">
        <v>70</v>
      </c>
      <c r="R249" s="122" t="s">
        <v>57</v>
      </c>
      <c r="S249" s="122" t="s">
        <v>1216</v>
      </c>
      <c r="T249" s="123">
        <v>0.13</v>
      </c>
      <c r="U249" s="122" t="s">
        <v>1886</v>
      </c>
      <c r="V249" s="125">
        <v>3.27E-2</v>
      </c>
      <c r="W249" s="125">
        <v>5.0990000000000001E-2</v>
      </c>
      <c r="X249" s="122" t="s">
        <v>620</v>
      </c>
      <c r="Y249" s="133"/>
      <c r="Z249" s="123">
        <v>37287</v>
      </c>
      <c r="AA249" s="123">
        <v>1</v>
      </c>
      <c r="AB249" s="123">
        <v>101</v>
      </c>
      <c r="AC249" s="122"/>
      <c r="AD249" s="123">
        <v>37.659999999999997</v>
      </c>
      <c r="AE249" s="122"/>
      <c r="AF249" s="122"/>
      <c r="AG249" s="122"/>
      <c r="AH249" s="125">
        <v>1.2E-4</v>
      </c>
      <c r="AI249" s="125">
        <v>2.3000000000000001E-4</v>
      </c>
      <c r="AJ249" s="126">
        <v>3.0000000000000001E-5</v>
      </c>
      <c r="AK249" s="159"/>
    </row>
    <row r="250" spans="1:37" x14ac:dyDescent="0.2">
      <c r="A250" s="121" t="s">
        <v>1211</v>
      </c>
      <c r="B250" s="122" t="s">
        <v>1211</v>
      </c>
      <c r="C250" s="122" t="s">
        <v>1887</v>
      </c>
      <c r="D250" s="122" t="s">
        <v>1888</v>
      </c>
      <c r="E250" s="122" t="s">
        <v>430</v>
      </c>
      <c r="F250" s="122" t="s">
        <v>1889</v>
      </c>
      <c r="G250" s="122" t="s">
        <v>1890</v>
      </c>
      <c r="H250" s="122" t="s">
        <v>76</v>
      </c>
      <c r="I250" s="122" t="s">
        <v>230</v>
      </c>
      <c r="J250" s="122" t="s">
        <v>61</v>
      </c>
      <c r="K250" s="122" t="s">
        <v>188</v>
      </c>
      <c r="L250" s="122" t="s">
        <v>805</v>
      </c>
      <c r="M250" s="122" t="s">
        <v>486</v>
      </c>
      <c r="N250" s="122" t="s">
        <v>896</v>
      </c>
      <c r="O250" s="122" t="s">
        <v>62</v>
      </c>
      <c r="P250" s="122" t="s">
        <v>1891</v>
      </c>
      <c r="Q250" s="122" t="s">
        <v>96</v>
      </c>
      <c r="R250" s="122" t="s">
        <v>57</v>
      </c>
      <c r="S250" s="122" t="s">
        <v>1217</v>
      </c>
      <c r="T250" s="123">
        <v>1.7310000000000001</v>
      </c>
      <c r="U250" s="122" t="s">
        <v>1892</v>
      </c>
      <c r="V250" s="125">
        <v>5.6250000000000001E-2</v>
      </c>
      <c r="W250" s="125">
        <v>8.2830000000000001E-2</v>
      </c>
      <c r="X250" s="122" t="s">
        <v>620</v>
      </c>
      <c r="Y250" s="133"/>
      <c r="Z250" s="123">
        <v>270000</v>
      </c>
      <c r="AA250" s="123">
        <v>3.306</v>
      </c>
      <c r="AB250" s="123">
        <v>101.91</v>
      </c>
      <c r="AC250" s="122"/>
      <c r="AD250" s="123">
        <v>909.66800000000001</v>
      </c>
      <c r="AE250" s="122"/>
      <c r="AF250" s="122"/>
      <c r="AG250" s="122"/>
      <c r="AH250" s="125">
        <v>3.4000000000000002E-4</v>
      </c>
      <c r="AI250" s="125">
        <v>5.4599999999999996E-3</v>
      </c>
      <c r="AJ250" s="126">
        <v>7.7999999999999999E-4</v>
      </c>
      <c r="AK250" s="159"/>
    </row>
    <row r="251" spans="1:37" x14ac:dyDescent="0.2">
      <c r="A251" s="121" t="s">
        <v>1223</v>
      </c>
      <c r="B251" s="122" t="s">
        <v>1224</v>
      </c>
      <c r="C251" s="122" t="s">
        <v>1320</v>
      </c>
      <c r="D251" s="122" t="s">
        <v>1321</v>
      </c>
      <c r="E251" s="122" t="s">
        <v>429</v>
      </c>
      <c r="F251" s="122" t="s">
        <v>1322</v>
      </c>
      <c r="G251" s="122" t="s">
        <v>1323</v>
      </c>
      <c r="H251" s="122" t="s">
        <v>76</v>
      </c>
      <c r="I251" s="122" t="s">
        <v>228</v>
      </c>
      <c r="J251" s="122" t="s">
        <v>53</v>
      </c>
      <c r="K251" s="122" t="s">
        <v>53</v>
      </c>
      <c r="L251" s="122" t="s">
        <v>805</v>
      </c>
      <c r="M251" s="122" t="s">
        <v>311</v>
      </c>
      <c r="N251" s="122" t="s">
        <v>269</v>
      </c>
      <c r="O251" s="122" t="s">
        <v>62</v>
      </c>
      <c r="P251" s="122" t="s">
        <v>1324</v>
      </c>
      <c r="Q251" s="122" t="s">
        <v>65</v>
      </c>
      <c r="R251" s="122" t="s">
        <v>57</v>
      </c>
      <c r="S251" s="122" t="s">
        <v>1216</v>
      </c>
      <c r="T251" s="123">
        <v>5.2</v>
      </c>
      <c r="U251" s="122" t="s">
        <v>1325</v>
      </c>
      <c r="V251" s="125">
        <v>5.1499999999999997E-2</v>
      </c>
      <c r="W251" s="125">
        <v>4.6640000000000001E-2</v>
      </c>
      <c r="X251" s="122" t="s">
        <v>620</v>
      </c>
      <c r="Y251" s="133"/>
      <c r="Z251" s="123">
        <v>5300000</v>
      </c>
      <c r="AA251" s="123">
        <v>1</v>
      </c>
      <c r="AB251" s="123">
        <v>105.19</v>
      </c>
      <c r="AC251" s="122"/>
      <c r="AD251" s="123">
        <v>5575.07</v>
      </c>
      <c r="AE251" s="122"/>
      <c r="AF251" s="122"/>
      <c r="AG251" s="122"/>
      <c r="AH251" s="125">
        <v>5.3200000000000001E-3</v>
      </c>
      <c r="AI251" s="125">
        <v>7.2859999999999994E-2</v>
      </c>
      <c r="AJ251" s="126">
        <v>3.7799999999999999E-3</v>
      </c>
      <c r="AK251" s="159"/>
    </row>
    <row r="252" spans="1:37" x14ac:dyDescent="0.2">
      <c r="A252" s="121" t="s">
        <v>1223</v>
      </c>
      <c r="B252" s="122" t="s">
        <v>1224</v>
      </c>
      <c r="C252" s="122" t="s">
        <v>1326</v>
      </c>
      <c r="D252" s="122" t="s">
        <v>1327</v>
      </c>
      <c r="E252" s="122" t="s">
        <v>429</v>
      </c>
      <c r="F252" s="122" t="s">
        <v>1328</v>
      </c>
      <c r="G252" s="122" t="s">
        <v>1329</v>
      </c>
      <c r="H252" s="122" t="s">
        <v>76</v>
      </c>
      <c r="I252" s="122" t="s">
        <v>228</v>
      </c>
      <c r="J252" s="122" t="s">
        <v>53</v>
      </c>
      <c r="K252" s="122" t="s">
        <v>53</v>
      </c>
      <c r="L252" s="122" t="s">
        <v>805</v>
      </c>
      <c r="M252" s="122" t="s">
        <v>311</v>
      </c>
      <c r="N252" s="122" t="s">
        <v>256</v>
      </c>
      <c r="O252" s="122" t="s">
        <v>62</v>
      </c>
      <c r="P252" s="122" t="s">
        <v>1330</v>
      </c>
      <c r="Q252" s="122" t="s">
        <v>65</v>
      </c>
      <c r="R252" s="122" t="s">
        <v>57</v>
      </c>
      <c r="S252" s="122" t="s">
        <v>1216</v>
      </c>
      <c r="T252" s="123">
        <v>4.54</v>
      </c>
      <c r="U252" s="122" t="s">
        <v>1331</v>
      </c>
      <c r="V252" s="125">
        <v>4.8800000000000003E-2</v>
      </c>
      <c r="W252" s="125">
        <v>4.4420000000000001E-2</v>
      </c>
      <c r="X252" s="122" t="s">
        <v>620</v>
      </c>
      <c r="Y252" s="133"/>
      <c r="Z252" s="123">
        <v>5360000</v>
      </c>
      <c r="AA252" s="123">
        <v>1</v>
      </c>
      <c r="AB252" s="123">
        <v>103.32</v>
      </c>
      <c r="AC252" s="122"/>
      <c r="AD252" s="123">
        <v>5537.9520000000002</v>
      </c>
      <c r="AE252" s="122"/>
      <c r="AF252" s="122"/>
      <c r="AG252" s="122"/>
      <c r="AH252" s="125">
        <v>3.3999999999999998E-3</v>
      </c>
      <c r="AI252" s="125">
        <v>7.2370000000000004E-2</v>
      </c>
      <c r="AJ252" s="126">
        <v>3.7599999999999999E-3</v>
      </c>
      <c r="AK252" s="159"/>
    </row>
    <row r="253" spans="1:37" x14ac:dyDescent="0.2">
      <c r="A253" s="121" t="s">
        <v>1223</v>
      </c>
      <c r="B253" s="122" t="s">
        <v>1224</v>
      </c>
      <c r="C253" s="122" t="s">
        <v>1332</v>
      </c>
      <c r="D253" s="122" t="s">
        <v>1333</v>
      </c>
      <c r="E253" s="122" t="s">
        <v>430</v>
      </c>
      <c r="F253" s="122" t="s">
        <v>1334</v>
      </c>
      <c r="G253" s="122" t="s">
        <v>1335</v>
      </c>
      <c r="H253" s="122" t="s">
        <v>76</v>
      </c>
      <c r="I253" s="122" t="s">
        <v>229</v>
      </c>
      <c r="J253" s="122" t="s">
        <v>53</v>
      </c>
      <c r="K253" s="122" t="s">
        <v>53</v>
      </c>
      <c r="L253" s="122" t="s">
        <v>805</v>
      </c>
      <c r="M253" s="122" t="s">
        <v>311</v>
      </c>
      <c r="N253" s="122" t="s">
        <v>156</v>
      </c>
      <c r="O253" s="122" t="s">
        <v>62</v>
      </c>
      <c r="P253" s="122" t="s">
        <v>1215</v>
      </c>
      <c r="Q253" s="122" t="s">
        <v>70</v>
      </c>
      <c r="R253" s="122" t="s">
        <v>57</v>
      </c>
      <c r="S253" s="122" t="s">
        <v>1216</v>
      </c>
      <c r="T253" s="123">
        <v>9.81</v>
      </c>
      <c r="U253" s="122" t="s">
        <v>1336</v>
      </c>
      <c r="V253" s="125">
        <v>3.2000000000000001E-2</v>
      </c>
      <c r="W253" s="125">
        <v>2.8129999999999999E-2</v>
      </c>
      <c r="X253" s="122" t="s">
        <v>620</v>
      </c>
      <c r="Y253" s="133"/>
      <c r="Z253" s="123">
        <v>4055189</v>
      </c>
      <c r="AA253" s="123">
        <v>1</v>
      </c>
      <c r="AB253" s="123">
        <v>112.97</v>
      </c>
      <c r="AC253" s="122"/>
      <c r="AD253" s="123">
        <v>4581.1469999999999</v>
      </c>
      <c r="AE253" s="122"/>
      <c r="AF253" s="122"/>
      <c r="AG253" s="122"/>
      <c r="AH253" s="125">
        <v>8.1999999999999998E-4</v>
      </c>
      <c r="AI253" s="125">
        <v>5.987E-2</v>
      </c>
      <c r="AJ253" s="126">
        <v>3.1099999999999999E-3</v>
      </c>
      <c r="AK253" s="159"/>
    </row>
    <row r="254" spans="1:37" x14ac:dyDescent="0.2">
      <c r="A254" s="121" t="s">
        <v>1223</v>
      </c>
      <c r="B254" s="122" t="s">
        <v>1224</v>
      </c>
      <c r="C254" s="122" t="s">
        <v>1340</v>
      </c>
      <c r="D254" s="122" t="s">
        <v>1341</v>
      </c>
      <c r="E254" s="122" t="s">
        <v>429</v>
      </c>
      <c r="F254" s="122" t="s">
        <v>1342</v>
      </c>
      <c r="G254" s="122" t="s">
        <v>1343</v>
      </c>
      <c r="H254" s="122" t="s">
        <v>76</v>
      </c>
      <c r="I254" s="122" t="s">
        <v>229</v>
      </c>
      <c r="J254" s="122" t="s">
        <v>53</v>
      </c>
      <c r="K254" s="122" t="s">
        <v>53</v>
      </c>
      <c r="L254" s="122" t="s">
        <v>805</v>
      </c>
      <c r="M254" s="122" t="s">
        <v>311</v>
      </c>
      <c r="N254" s="122" t="s">
        <v>256</v>
      </c>
      <c r="O254" s="122" t="s">
        <v>62</v>
      </c>
      <c r="P254" s="122" t="s">
        <v>1330</v>
      </c>
      <c r="Q254" s="122" t="s">
        <v>65</v>
      </c>
      <c r="R254" s="122" t="s">
        <v>57</v>
      </c>
      <c r="S254" s="122" t="s">
        <v>1216</v>
      </c>
      <c r="T254" s="123">
        <v>4.7300000000000004</v>
      </c>
      <c r="U254" s="122" t="s">
        <v>1344</v>
      </c>
      <c r="V254" s="125">
        <v>2E-3</v>
      </c>
      <c r="W254" s="125">
        <v>2.5559999999999999E-2</v>
      </c>
      <c r="X254" s="122" t="s">
        <v>620</v>
      </c>
      <c r="Y254" s="133"/>
      <c r="Z254" s="123">
        <v>4165938</v>
      </c>
      <c r="AA254" s="123">
        <v>1</v>
      </c>
      <c r="AB254" s="123">
        <v>106.44</v>
      </c>
      <c r="AC254" s="122"/>
      <c r="AD254" s="123">
        <v>4434.2240000000002</v>
      </c>
      <c r="AE254" s="122"/>
      <c r="AF254" s="122"/>
      <c r="AG254" s="122"/>
      <c r="AH254" s="125">
        <v>1.1999999999999999E-3</v>
      </c>
      <c r="AI254" s="125">
        <v>5.7950000000000002E-2</v>
      </c>
      <c r="AJ254" s="126">
        <v>3.0100000000000001E-3</v>
      </c>
      <c r="AK254" s="159"/>
    </row>
    <row r="255" spans="1:37" x14ac:dyDescent="0.2">
      <c r="A255" s="121" t="s">
        <v>1223</v>
      </c>
      <c r="B255" s="122" t="s">
        <v>1224</v>
      </c>
      <c r="C255" s="122" t="s">
        <v>1332</v>
      </c>
      <c r="D255" s="122" t="s">
        <v>1333</v>
      </c>
      <c r="E255" s="122" t="s">
        <v>430</v>
      </c>
      <c r="F255" s="122" t="s">
        <v>1337</v>
      </c>
      <c r="G255" s="122" t="s">
        <v>1338</v>
      </c>
      <c r="H255" s="122" t="s">
        <v>76</v>
      </c>
      <c r="I255" s="122" t="s">
        <v>229</v>
      </c>
      <c r="J255" s="122" t="s">
        <v>53</v>
      </c>
      <c r="K255" s="122" t="s">
        <v>53</v>
      </c>
      <c r="L255" s="122" t="s">
        <v>805</v>
      </c>
      <c r="M255" s="122" t="s">
        <v>311</v>
      </c>
      <c r="N255" s="122" t="s">
        <v>156</v>
      </c>
      <c r="O255" s="122" t="s">
        <v>62</v>
      </c>
      <c r="P255" s="122" t="s">
        <v>1215</v>
      </c>
      <c r="Q255" s="122" t="s">
        <v>70</v>
      </c>
      <c r="R255" s="122" t="s">
        <v>57</v>
      </c>
      <c r="S255" s="122" t="s">
        <v>1216</v>
      </c>
      <c r="T255" s="123">
        <v>6.89</v>
      </c>
      <c r="U255" s="122" t="s">
        <v>1339</v>
      </c>
      <c r="V255" s="125">
        <v>0.03</v>
      </c>
      <c r="W255" s="125">
        <v>2.6270000000000002E-2</v>
      </c>
      <c r="X255" s="122" t="s">
        <v>620</v>
      </c>
      <c r="Y255" s="133"/>
      <c r="Z255" s="123">
        <v>3940000</v>
      </c>
      <c r="AA255" s="123">
        <v>1</v>
      </c>
      <c r="AB255" s="123">
        <v>111.48</v>
      </c>
      <c r="AC255" s="122"/>
      <c r="AD255" s="123">
        <v>4392.3119999999999</v>
      </c>
      <c r="AE255" s="122"/>
      <c r="AF255" s="122"/>
      <c r="AG255" s="122"/>
      <c r="AH255" s="125">
        <v>9.7000000000000005E-4</v>
      </c>
      <c r="AI255" s="125">
        <v>5.74E-2</v>
      </c>
      <c r="AJ255" s="126">
        <v>2.98E-3</v>
      </c>
      <c r="AK255" s="159"/>
    </row>
    <row r="256" spans="1:37" x14ac:dyDescent="0.2">
      <c r="A256" s="121" t="s">
        <v>1223</v>
      </c>
      <c r="B256" s="122" t="s">
        <v>1224</v>
      </c>
      <c r="C256" s="122" t="s">
        <v>1340</v>
      </c>
      <c r="D256" s="122" t="s">
        <v>1341</v>
      </c>
      <c r="E256" s="122" t="s">
        <v>429</v>
      </c>
      <c r="F256" s="122" t="s">
        <v>1345</v>
      </c>
      <c r="G256" s="122" t="s">
        <v>1346</v>
      </c>
      <c r="H256" s="122" t="s">
        <v>76</v>
      </c>
      <c r="I256" s="122" t="s">
        <v>229</v>
      </c>
      <c r="J256" s="122" t="s">
        <v>53</v>
      </c>
      <c r="K256" s="122" t="s">
        <v>53</v>
      </c>
      <c r="L256" s="122" t="s">
        <v>805</v>
      </c>
      <c r="M256" s="122" t="s">
        <v>311</v>
      </c>
      <c r="N256" s="122" t="s">
        <v>256</v>
      </c>
      <c r="O256" s="122" t="s">
        <v>62</v>
      </c>
      <c r="P256" s="122" t="s">
        <v>1330</v>
      </c>
      <c r="Q256" s="122" t="s">
        <v>65</v>
      </c>
      <c r="R256" s="122" t="s">
        <v>57</v>
      </c>
      <c r="S256" s="122" t="s">
        <v>1216</v>
      </c>
      <c r="T256" s="123">
        <v>0.73</v>
      </c>
      <c r="U256" s="122" t="s">
        <v>1347</v>
      </c>
      <c r="V256" s="125">
        <v>3.8E-3</v>
      </c>
      <c r="W256" s="125">
        <v>3.2289999999999999E-2</v>
      </c>
      <c r="X256" s="122" t="s">
        <v>620</v>
      </c>
      <c r="Y256" s="133"/>
      <c r="Z256" s="123">
        <v>2666708</v>
      </c>
      <c r="AA256" s="123">
        <v>1</v>
      </c>
      <c r="AB256" s="123">
        <v>114.65</v>
      </c>
      <c r="AC256" s="122"/>
      <c r="AD256" s="123">
        <v>3057.3809999999999</v>
      </c>
      <c r="AE256" s="122"/>
      <c r="AF256" s="122"/>
      <c r="AG256" s="122"/>
      <c r="AH256" s="125">
        <v>8.8999999999999995E-4</v>
      </c>
      <c r="AI256" s="125">
        <v>3.9960000000000002E-2</v>
      </c>
      <c r="AJ256" s="126">
        <v>2.0799999999999998E-3</v>
      </c>
      <c r="AK256" s="159"/>
    </row>
    <row r="257" spans="1:37" x14ac:dyDescent="0.2">
      <c r="A257" s="121" t="s">
        <v>1223</v>
      </c>
      <c r="B257" s="122" t="s">
        <v>1224</v>
      </c>
      <c r="C257" s="122" t="s">
        <v>1348</v>
      </c>
      <c r="D257" s="122" t="s">
        <v>1349</v>
      </c>
      <c r="E257" s="122" t="s">
        <v>429</v>
      </c>
      <c r="F257" s="122" t="s">
        <v>1350</v>
      </c>
      <c r="G257" s="122" t="s">
        <v>1351</v>
      </c>
      <c r="H257" s="122" t="s">
        <v>76</v>
      </c>
      <c r="I257" s="122" t="s">
        <v>229</v>
      </c>
      <c r="J257" s="122" t="s">
        <v>53</v>
      </c>
      <c r="K257" s="122" t="s">
        <v>53</v>
      </c>
      <c r="L257" s="122" t="s">
        <v>805</v>
      </c>
      <c r="M257" s="122" t="s">
        <v>311</v>
      </c>
      <c r="N257" s="122" t="s">
        <v>256</v>
      </c>
      <c r="O257" s="122" t="s">
        <v>62</v>
      </c>
      <c r="P257" s="122" t="s">
        <v>1215</v>
      </c>
      <c r="Q257" s="122" t="s">
        <v>70</v>
      </c>
      <c r="R257" s="122" t="s">
        <v>57</v>
      </c>
      <c r="S257" s="122" t="s">
        <v>1216</v>
      </c>
      <c r="T257" s="123">
        <v>4.1399999999999997</v>
      </c>
      <c r="U257" s="122" t="s">
        <v>1352</v>
      </c>
      <c r="V257" s="125">
        <v>1E-3</v>
      </c>
      <c r="W257" s="125">
        <v>2.5270000000000001E-2</v>
      </c>
      <c r="X257" s="122" t="s">
        <v>620</v>
      </c>
      <c r="Y257" s="133"/>
      <c r="Z257" s="123">
        <v>2863200</v>
      </c>
      <c r="AA257" s="123">
        <v>1</v>
      </c>
      <c r="AB257" s="123">
        <v>104.89</v>
      </c>
      <c r="AC257" s="122"/>
      <c r="AD257" s="123">
        <v>3003.21</v>
      </c>
      <c r="AE257" s="122"/>
      <c r="AF257" s="122"/>
      <c r="AG257" s="122"/>
      <c r="AH257" s="125">
        <v>6.7000000000000002E-4</v>
      </c>
      <c r="AI257" s="125">
        <v>3.925E-2</v>
      </c>
      <c r="AJ257" s="126">
        <v>2.0400000000000001E-3</v>
      </c>
      <c r="AK257" s="159"/>
    </row>
    <row r="258" spans="1:37" x14ac:dyDescent="0.2">
      <c r="A258" s="121" t="s">
        <v>1223</v>
      </c>
      <c r="B258" s="122" t="s">
        <v>1224</v>
      </c>
      <c r="C258" s="122" t="s">
        <v>1348</v>
      </c>
      <c r="D258" s="122" t="s">
        <v>1349</v>
      </c>
      <c r="E258" s="122" t="s">
        <v>429</v>
      </c>
      <c r="F258" s="122" t="s">
        <v>1356</v>
      </c>
      <c r="G258" s="122" t="s">
        <v>1357</v>
      </c>
      <c r="H258" s="122" t="s">
        <v>76</v>
      </c>
      <c r="I258" s="122" t="s">
        <v>229</v>
      </c>
      <c r="J258" s="122" t="s">
        <v>53</v>
      </c>
      <c r="K258" s="122" t="s">
        <v>53</v>
      </c>
      <c r="L258" s="122" t="s">
        <v>805</v>
      </c>
      <c r="M258" s="122" t="s">
        <v>311</v>
      </c>
      <c r="N258" s="122" t="s">
        <v>256</v>
      </c>
      <c r="O258" s="122" t="s">
        <v>62</v>
      </c>
      <c r="P258" s="122" t="s">
        <v>1215</v>
      </c>
      <c r="Q258" s="122" t="s">
        <v>70</v>
      </c>
      <c r="R258" s="122" t="s">
        <v>57</v>
      </c>
      <c r="S258" s="122" t="s">
        <v>1216</v>
      </c>
      <c r="T258" s="123">
        <v>6.71</v>
      </c>
      <c r="U258" s="122" t="s">
        <v>1358</v>
      </c>
      <c r="V258" s="125">
        <v>2.5999999999999999E-2</v>
      </c>
      <c r="W258" s="125">
        <v>2.5489999999999999E-2</v>
      </c>
      <c r="X258" s="122" t="s">
        <v>620</v>
      </c>
      <c r="Y258" s="133"/>
      <c r="Z258" s="123">
        <v>2800000</v>
      </c>
      <c r="AA258" s="123">
        <v>1</v>
      </c>
      <c r="AB258" s="123">
        <v>101.17</v>
      </c>
      <c r="AC258" s="122"/>
      <c r="AD258" s="123">
        <v>2832.76</v>
      </c>
      <c r="AE258" s="122"/>
      <c r="AF258" s="122"/>
      <c r="AG258" s="122"/>
      <c r="AH258" s="125">
        <v>1.5200000000000001E-3</v>
      </c>
      <c r="AI258" s="125">
        <v>3.7019999999999997E-2</v>
      </c>
      <c r="AJ258" s="126">
        <v>1.92E-3</v>
      </c>
      <c r="AK258" s="159"/>
    </row>
    <row r="259" spans="1:37" x14ac:dyDescent="0.2">
      <c r="A259" s="121" t="s">
        <v>1223</v>
      </c>
      <c r="B259" s="122" t="s">
        <v>1224</v>
      </c>
      <c r="C259" s="122" t="s">
        <v>1348</v>
      </c>
      <c r="D259" s="122" t="s">
        <v>1349</v>
      </c>
      <c r="E259" s="122" t="s">
        <v>429</v>
      </c>
      <c r="F259" s="122" t="s">
        <v>1359</v>
      </c>
      <c r="G259" s="122" t="s">
        <v>1360</v>
      </c>
      <c r="H259" s="122" t="s">
        <v>76</v>
      </c>
      <c r="I259" s="122" t="s">
        <v>228</v>
      </c>
      <c r="J259" s="122" t="s">
        <v>53</v>
      </c>
      <c r="K259" s="122" t="s">
        <v>53</v>
      </c>
      <c r="L259" s="122" t="s">
        <v>805</v>
      </c>
      <c r="M259" s="122" t="s">
        <v>311</v>
      </c>
      <c r="N259" s="122" t="s">
        <v>256</v>
      </c>
      <c r="O259" s="122" t="s">
        <v>62</v>
      </c>
      <c r="P259" s="122" t="s">
        <v>1215</v>
      </c>
      <c r="Q259" s="122" t="s">
        <v>70</v>
      </c>
      <c r="R259" s="122" t="s">
        <v>57</v>
      </c>
      <c r="S259" s="122" t="s">
        <v>1216</v>
      </c>
      <c r="T259" s="123">
        <v>5.78</v>
      </c>
      <c r="U259" s="122" t="s">
        <v>1361</v>
      </c>
      <c r="V259" s="125">
        <v>4.5900000000000003E-2</v>
      </c>
      <c r="W259" s="125">
        <v>4.5379999999999997E-2</v>
      </c>
      <c r="X259" s="122" t="s">
        <v>620</v>
      </c>
      <c r="Y259" s="133"/>
      <c r="Z259" s="123">
        <v>2800000</v>
      </c>
      <c r="AA259" s="123">
        <v>1</v>
      </c>
      <c r="AB259" s="123">
        <v>100.58</v>
      </c>
      <c r="AC259" s="122"/>
      <c r="AD259" s="123">
        <v>2816.24</v>
      </c>
      <c r="AE259" s="122"/>
      <c r="AF259" s="122"/>
      <c r="AG259" s="122"/>
      <c r="AH259" s="125">
        <v>1.5E-3</v>
      </c>
      <c r="AI259" s="125">
        <v>3.6799999999999999E-2</v>
      </c>
      <c r="AJ259" s="126">
        <v>1.91E-3</v>
      </c>
      <c r="AK259" s="159"/>
    </row>
    <row r="260" spans="1:37" x14ac:dyDescent="0.2">
      <c r="A260" s="121" t="s">
        <v>1223</v>
      </c>
      <c r="B260" s="122" t="s">
        <v>1224</v>
      </c>
      <c r="C260" s="122" t="s">
        <v>1373</v>
      </c>
      <c r="D260" s="122" t="s">
        <v>1374</v>
      </c>
      <c r="E260" s="122" t="s">
        <v>429</v>
      </c>
      <c r="F260" s="122" t="s">
        <v>1375</v>
      </c>
      <c r="G260" s="122" t="s">
        <v>1376</v>
      </c>
      <c r="H260" s="122" t="s">
        <v>76</v>
      </c>
      <c r="I260" s="122" t="s">
        <v>229</v>
      </c>
      <c r="J260" s="122" t="s">
        <v>53</v>
      </c>
      <c r="K260" s="122" t="s">
        <v>53</v>
      </c>
      <c r="L260" s="122" t="s">
        <v>805</v>
      </c>
      <c r="M260" s="122" t="s">
        <v>311</v>
      </c>
      <c r="N260" s="122" t="s">
        <v>269</v>
      </c>
      <c r="O260" s="122" t="s">
        <v>62</v>
      </c>
      <c r="P260" s="122" t="s">
        <v>1377</v>
      </c>
      <c r="Q260" s="122" t="s">
        <v>70</v>
      </c>
      <c r="R260" s="122" t="s">
        <v>57</v>
      </c>
      <c r="S260" s="122" t="s">
        <v>1216</v>
      </c>
      <c r="T260" s="123">
        <v>6</v>
      </c>
      <c r="U260" s="122" t="s">
        <v>1378</v>
      </c>
      <c r="V260" s="125">
        <v>5.0529999999999999E-2</v>
      </c>
      <c r="W260" s="125">
        <v>4.7419999999999997E-2</v>
      </c>
      <c r="X260" s="122" t="s">
        <v>620</v>
      </c>
      <c r="Y260" s="133"/>
      <c r="Z260" s="123">
        <v>2600000</v>
      </c>
      <c r="AA260" s="123">
        <v>1</v>
      </c>
      <c r="AB260" s="123">
        <v>101.96</v>
      </c>
      <c r="AC260" s="122"/>
      <c r="AD260" s="123">
        <v>2650.96</v>
      </c>
      <c r="AE260" s="122"/>
      <c r="AF260" s="122"/>
      <c r="AG260" s="122"/>
      <c r="AH260" s="125">
        <v>6.4999999999999997E-3</v>
      </c>
      <c r="AI260" s="125">
        <v>3.4639999999999997E-2</v>
      </c>
      <c r="AJ260" s="126">
        <v>1.8E-3</v>
      </c>
      <c r="AK260" s="159"/>
    </row>
    <row r="261" spans="1:37" x14ac:dyDescent="0.2">
      <c r="A261" s="121" t="s">
        <v>1223</v>
      </c>
      <c r="B261" s="122" t="s">
        <v>1224</v>
      </c>
      <c r="C261" s="122" t="s">
        <v>1415</v>
      </c>
      <c r="D261" s="122" t="s">
        <v>1416</v>
      </c>
      <c r="E261" s="122" t="s">
        <v>429</v>
      </c>
      <c r="F261" s="122" t="s">
        <v>1417</v>
      </c>
      <c r="G261" s="122" t="s">
        <v>1418</v>
      </c>
      <c r="H261" s="122" t="s">
        <v>76</v>
      </c>
      <c r="I261" s="122" t="s">
        <v>228</v>
      </c>
      <c r="J261" s="122" t="s">
        <v>53</v>
      </c>
      <c r="K261" s="122" t="s">
        <v>53</v>
      </c>
      <c r="L261" s="122" t="s">
        <v>805</v>
      </c>
      <c r="M261" s="122" t="s">
        <v>311</v>
      </c>
      <c r="N261" s="122" t="s">
        <v>269</v>
      </c>
      <c r="O261" s="122" t="s">
        <v>62</v>
      </c>
      <c r="P261" s="122" t="s">
        <v>1369</v>
      </c>
      <c r="Q261" s="122" t="s">
        <v>65</v>
      </c>
      <c r="R261" s="122" t="s">
        <v>57</v>
      </c>
      <c r="S261" s="122" t="s">
        <v>1216</v>
      </c>
      <c r="T261" s="123">
        <v>4.45</v>
      </c>
      <c r="U261" s="122" t="s">
        <v>1325</v>
      </c>
      <c r="V261" s="125">
        <v>5.2499999999999998E-2</v>
      </c>
      <c r="W261" s="125">
        <v>4.6359999999999998E-2</v>
      </c>
      <c r="X261" s="122" t="s">
        <v>620</v>
      </c>
      <c r="Y261" s="133"/>
      <c r="Z261" s="123">
        <v>2319000</v>
      </c>
      <c r="AA261" s="123">
        <v>1</v>
      </c>
      <c r="AB261" s="123">
        <v>105.15</v>
      </c>
      <c r="AC261" s="122"/>
      <c r="AD261" s="123">
        <v>2438.4290000000001</v>
      </c>
      <c r="AE261" s="122"/>
      <c r="AF261" s="122"/>
      <c r="AG261" s="122"/>
      <c r="AH261" s="125">
        <v>2.7299999999999998E-3</v>
      </c>
      <c r="AI261" s="125">
        <v>3.1870000000000002E-2</v>
      </c>
      <c r="AJ261" s="126">
        <v>1.66E-3</v>
      </c>
      <c r="AK261" s="159"/>
    </row>
    <row r="262" spans="1:37" x14ac:dyDescent="0.2">
      <c r="A262" s="121" t="s">
        <v>1223</v>
      </c>
      <c r="B262" s="122" t="s">
        <v>1224</v>
      </c>
      <c r="C262" s="122" t="s">
        <v>1326</v>
      </c>
      <c r="D262" s="122" t="s">
        <v>1327</v>
      </c>
      <c r="E262" s="122" t="s">
        <v>429</v>
      </c>
      <c r="F262" s="122" t="s">
        <v>1379</v>
      </c>
      <c r="G262" s="122" t="s">
        <v>1380</v>
      </c>
      <c r="H262" s="122" t="s">
        <v>76</v>
      </c>
      <c r="I262" s="122" t="s">
        <v>229</v>
      </c>
      <c r="J262" s="122" t="s">
        <v>53</v>
      </c>
      <c r="K262" s="122" t="s">
        <v>53</v>
      </c>
      <c r="L262" s="122" t="s">
        <v>805</v>
      </c>
      <c r="M262" s="122" t="s">
        <v>311</v>
      </c>
      <c r="N262" s="122" t="s">
        <v>256</v>
      </c>
      <c r="O262" s="122" t="s">
        <v>62</v>
      </c>
      <c r="P262" s="122" t="s">
        <v>1330</v>
      </c>
      <c r="Q262" s="122" t="s">
        <v>65</v>
      </c>
      <c r="R262" s="122" t="s">
        <v>57</v>
      </c>
      <c r="S262" s="122" t="s">
        <v>1216</v>
      </c>
      <c r="T262" s="123">
        <v>2.5499999999999998</v>
      </c>
      <c r="U262" s="122" t="s">
        <v>1381</v>
      </c>
      <c r="V262" s="125">
        <v>1.7500000000000002E-2</v>
      </c>
      <c r="W262" s="125">
        <v>2.563E-2</v>
      </c>
      <c r="X262" s="122" t="s">
        <v>620</v>
      </c>
      <c r="Y262" s="133"/>
      <c r="Z262" s="123">
        <v>1748337.74</v>
      </c>
      <c r="AA262" s="123">
        <v>1</v>
      </c>
      <c r="AB262" s="123">
        <v>117.2</v>
      </c>
      <c r="AC262" s="122"/>
      <c r="AD262" s="123">
        <v>2049.0520000000001</v>
      </c>
      <c r="AE262" s="122"/>
      <c r="AF262" s="122"/>
      <c r="AG262" s="122"/>
      <c r="AH262" s="125">
        <v>7.7999999999999999E-4</v>
      </c>
      <c r="AI262" s="125">
        <v>2.6780000000000002E-2</v>
      </c>
      <c r="AJ262" s="126">
        <v>1.39E-3</v>
      </c>
      <c r="AK262" s="159"/>
    </row>
    <row r="263" spans="1:37" x14ac:dyDescent="0.2">
      <c r="A263" s="121" t="s">
        <v>1223</v>
      </c>
      <c r="B263" s="122" t="s">
        <v>1224</v>
      </c>
      <c r="C263" s="122" t="s">
        <v>1340</v>
      </c>
      <c r="D263" s="122" t="s">
        <v>1341</v>
      </c>
      <c r="E263" s="122" t="s">
        <v>429</v>
      </c>
      <c r="F263" s="122" t="s">
        <v>1362</v>
      </c>
      <c r="G263" s="122" t="s">
        <v>1363</v>
      </c>
      <c r="H263" s="122" t="s">
        <v>76</v>
      </c>
      <c r="I263" s="122" t="s">
        <v>229</v>
      </c>
      <c r="J263" s="122" t="s">
        <v>53</v>
      </c>
      <c r="K263" s="122" t="s">
        <v>53</v>
      </c>
      <c r="L263" s="122" t="s">
        <v>805</v>
      </c>
      <c r="M263" s="122" t="s">
        <v>311</v>
      </c>
      <c r="N263" s="122" t="s">
        <v>256</v>
      </c>
      <c r="O263" s="122" t="s">
        <v>62</v>
      </c>
      <c r="P263" s="122" t="s">
        <v>1215</v>
      </c>
      <c r="Q263" s="122" t="s">
        <v>70</v>
      </c>
      <c r="R263" s="122" t="s">
        <v>57</v>
      </c>
      <c r="S263" s="122" t="s">
        <v>1216</v>
      </c>
      <c r="T263" s="123">
        <v>1.17</v>
      </c>
      <c r="U263" s="122" t="s">
        <v>1364</v>
      </c>
      <c r="V263" s="125">
        <v>5.0000000000000001E-3</v>
      </c>
      <c r="W263" s="125">
        <v>2.9000000000000001E-2</v>
      </c>
      <c r="X263" s="122" t="s">
        <v>620</v>
      </c>
      <c r="Y263" s="133"/>
      <c r="Z263" s="123">
        <v>1783400</v>
      </c>
      <c r="AA263" s="123">
        <v>1</v>
      </c>
      <c r="AB263" s="123">
        <v>114.73</v>
      </c>
      <c r="AC263" s="122"/>
      <c r="AD263" s="123">
        <v>2046.095</v>
      </c>
      <c r="AE263" s="122"/>
      <c r="AF263" s="122"/>
      <c r="AG263" s="122"/>
      <c r="AH263" s="125">
        <v>2.3400000000000001E-3</v>
      </c>
      <c r="AI263" s="125">
        <v>2.674E-2</v>
      </c>
      <c r="AJ263" s="126">
        <v>1.39E-3</v>
      </c>
      <c r="AK263" s="159"/>
    </row>
    <row r="264" spans="1:37" x14ac:dyDescent="0.2">
      <c r="A264" s="121" t="s">
        <v>1223</v>
      </c>
      <c r="B264" s="122" t="s">
        <v>1224</v>
      </c>
      <c r="C264" s="122" t="s">
        <v>1348</v>
      </c>
      <c r="D264" s="122" t="s">
        <v>1349</v>
      </c>
      <c r="E264" s="122" t="s">
        <v>429</v>
      </c>
      <c r="F264" s="122" t="s">
        <v>1382</v>
      </c>
      <c r="G264" s="122" t="s">
        <v>1383</v>
      </c>
      <c r="H264" s="122" t="s">
        <v>76</v>
      </c>
      <c r="I264" s="122" t="s">
        <v>229</v>
      </c>
      <c r="J264" s="122" t="s">
        <v>53</v>
      </c>
      <c r="K264" s="122" t="s">
        <v>53</v>
      </c>
      <c r="L264" s="122" t="s">
        <v>805</v>
      </c>
      <c r="M264" s="122" t="s">
        <v>311</v>
      </c>
      <c r="N264" s="122" t="s">
        <v>256</v>
      </c>
      <c r="O264" s="122" t="s">
        <v>62</v>
      </c>
      <c r="P264" s="122" t="s">
        <v>1330</v>
      </c>
      <c r="Q264" s="122" t="s">
        <v>65</v>
      </c>
      <c r="R264" s="122" t="s">
        <v>57</v>
      </c>
      <c r="S264" s="122" t="s">
        <v>1216</v>
      </c>
      <c r="T264" s="123">
        <v>4.1399999999999997</v>
      </c>
      <c r="U264" s="122" t="s">
        <v>1384</v>
      </c>
      <c r="V264" s="125">
        <v>2.0199999999999999E-2</v>
      </c>
      <c r="W264" s="125">
        <v>2.5350000000000001E-2</v>
      </c>
      <c r="X264" s="122" t="s">
        <v>620</v>
      </c>
      <c r="Y264" s="133"/>
      <c r="Z264" s="123">
        <v>1920000</v>
      </c>
      <c r="AA264" s="123">
        <v>1</v>
      </c>
      <c r="AB264" s="123">
        <v>105.02</v>
      </c>
      <c r="AC264" s="122"/>
      <c r="AD264" s="123">
        <v>2016.384</v>
      </c>
      <c r="AE264" s="122"/>
      <c r="AF264" s="122"/>
      <c r="AG264" s="122"/>
      <c r="AH264" s="125">
        <v>5.4000000000000001E-4</v>
      </c>
      <c r="AI264" s="125">
        <v>2.6349999999999998E-2</v>
      </c>
      <c r="AJ264" s="126">
        <v>1.3699999999999999E-3</v>
      </c>
      <c r="AK264" s="159"/>
    </row>
    <row r="265" spans="1:37" x14ac:dyDescent="0.2">
      <c r="A265" s="121" t="s">
        <v>1223</v>
      </c>
      <c r="B265" s="122" t="s">
        <v>1224</v>
      </c>
      <c r="C265" s="122" t="s">
        <v>1365</v>
      </c>
      <c r="D265" s="122" t="s">
        <v>1366</v>
      </c>
      <c r="E265" s="122" t="s">
        <v>429</v>
      </c>
      <c r="F265" s="122" t="s">
        <v>1367</v>
      </c>
      <c r="G265" s="122" t="s">
        <v>1368</v>
      </c>
      <c r="H265" s="122" t="s">
        <v>76</v>
      </c>
      <c r="I265" s="122" t="s">
        <v>228</v>
      </c>
      <c r="J265" s="122" t="s">
        <v>53</v>
      </c>
      <c r="K265" s="122" t="s">
        <v>53</v>
      </c>
      <c r="L265" s="122" t="s">
        <v>805</v>
      </c>
      <c r="M265" s="122" t="s">
        <v>311</v>
      </c>
      <c r="N265" s="122" t="s">
        <v>269</v>
      </c>
      <c r="O265" s="122" t="s">
        <v>62</v>
      </c>
      <c r="P265" s="122" t="s">
        <v>1369</v>
      </c>
      <c r="Q265" s="122" t="s">
        <v>65</v>
      </c>
      <c r="R265" s="122" t="s">
        <v>57</v>
      </c>
      <c r="S265" s="122" t="s">
        <v>1216</v>
      </c>
      <c r="T265" s="123">
        <v>4.26</v>
      </c>
      <c r="U265" s="122" t="s">
        <v>1266</v>
      </c>
      <c r="V265" s="125">
        <v>2.64E-2</v>
      </c>
      <c r="W265" s="125">
        <v>4.6050000000000001E-2</v>
      </c>
      <c r="X265" s="122" t="s">
        <v>620</v>
      </c>
      <c r="Y265" s="133"/>
      <c r="Z265" s="123">
        <v>2070506.33</v>
      </c>
      <c r="AA265" s="123">
        <v>1</v>
      </c>
      <c r="AB265" s="123">
        <v>92.3</v>
      </c>
      <c r="AC265" s="122"/>
      <c r="AD265" s="123">
        <v>1911.077</v>
      </c>
      <c r="AE265" s="122"/>
      <c r="AF265" s="122"/>
      <c r="AG265" s="122"/>
      <c r="AH265" s="125">
        <v>1.2700000000000001E-3</v>
      </c>
      <c r="AI265" s="125">
        <v>2.4969999999999999E-2</v>
      </c>
      <c r="AJ265" s="126">
        <v>1.2999999999999999E-3</v>
      </c>
      <c r="AK265" s="159"/>
    </row>
    <row r="266" spans="1:37" x14ac:dyDescent="0.2">
      <c r="A266" s="121" t="s">
        <v>1223</v>
      </c>
      <c r="B266" s="122" t="s">
        <v>1224</v>
      </c>
      <c r="C266" s="122" t="s">
        <v>1340</v>
      </c>
      <c r="D266" s="122" t="s">
        <v>1341</v>
      </c>
      <c r="E266" s="122" t="s">
        <v>429</v>
      </c>
      <c r="F266" s="122" t="s">
        <v>1353</v>
      </c>
      <c r="G266" s="122" t="s">
        <v>1354</v>
      </c>
      <c r="H266" s="122" t="s">
        <v>76</v>
      </c>
      <c r="I266" s="122" t="s">
        <v>229</v>
      </c>
      <c r="J266" s="122" t="s">
        <v>53</v>
      </c>
      <c r="K266" s="122" t="s">
        <v>53</v>
      </c>
      <c r="L266" s="122" t="s">
        <v>805</v>
      </c>
      <c r="M266" s="122" t="s">
        <v>311</v>
      </c>
      <c r="N266" s="122" t="s">
        <v>256</v>
      </c>
      <c r="O266" s="122" t="s">
        <v>62</v>
      </c>
      <c r="P266" s="122" t="s">
        <v>1330</v>
      </c>
      <c r="Q266" s="122" t="s">
        <v>65</v>
      </c>
      <c r="R266" s="122" t="s">
        <v>57</v>
      </c>
      <c r="S266" s="122" t="s">
        <v>1216</v>
      </c>
      <c r="T266" s="123">
        <v>1.98</v>
      </c>
      <c r="U266" s="122" t="s">
        <v>1355</v>
      </c>
      <c r="V266" s="125">
        <v>1.2200000000000001E-2</v>
      </c>
      <c r="W266" s="125">
        <v>2.5819999999999999E-2</v>
      </c>
      <c r="X266" s="122" t="s">
        <v>620</v>
      </c>
      <c r="Y266" s="133"/>
      <c r="Z266" s="123">
        <v>1579248</v>
      </c>
      <c r="AA266" s="123">
        <v>1</v>
      </c>
      <c r="AB266" s="123">
        <v>116.7</v>
      </c>
      <c r="AC266" s="122"/>
      <c r="AD266" s="123">
        <v>1842.982</v>
      </c>
      <c r="AE266" s="122"/>
      <c r="AF266" s="122"/>
      <c r="AG266" s="122"/>
      <c r="AH266" s="125">
        <v>5.1999999999999995E-4</v>
      </c>
      <c r="AI266" s="125">
        <v>2.4080000000000001E-2</v>
      </c>
      <c r="AJ266" s="126">
        <v>1.25E-3</v>
      </c>
      <c r="AK266" s="159"/>
    </row>
    <row r="267" spans="1:37" x14ac:dyDescent="0.2">
      <c r="A267" s="121" t="s">
        <v>1223</v>
      </c>
      <c r="B267" s="122" t="s">
        <v>1224</v>
      </c>
      <c r="C267" s="122" t="s">
        <v>1332</v>
      </c>
      <c r="D267" s="122" t="s">
        <v>1333</v>
      </c>
      <c r="E267" s="122" t="s">
        <v>430</v>
      </c>
      <c r="F267" s="122" t="s">
        <v>1385</v>
      </c>
      <c r="G267" s="122" t="s">
        <v>1386</v>
      </c>
      <c r="H267" s="122" t="s">
        <v>76</v>
      </c>
      <c r="I267" s="122" t="s">
        <v>229</v>
      </c>
      <c r="J267" s="122" t="s">
        <v>53</v>
      </c>
      <c r="K267" s="122" t="s">
        <v>53</v>
      </c>
      <c r="L267" s="122" t="s">
        <v>805</v>
      </c>
      <c r="M267" s="122" t="s">
        <v>311</v>
      </c>
      <c r="N267" s="122" t="s">
        <v>156</v>
      </c>
      <c r="O267" s="122" t="s">
        <v>62</v>
      </c>
      <c r="P267" s="122" t="s">
        <v>1215</v>
      </c>
      <c r="Q267" s="122" t="s">
        <v>70</v>
      </c>
      <c r="R267" s="122" t="s">
        <v>57</v>
      </c>
      <c r="S267" s="122" t="s">
        <v>1216</v>
      </c>
      <c r="T267" s="123">
        <v>4.93</v>
      </c>
      <c r="U267" s="122" t="s">
        <v>1387</v>
      </c>
      <c r="V267" s="125">
        <v>2.3900000000000001E-2</v>
      </c>
      <c r="W267" s="125">
        <v>2.596E-2</v>
      </c>
      <c r="X267" s="122" t="s">
        <v>620</v>
      </c>
      <c r="Y267" s="133"/>
      <c r="Z267" s="123">
        <v>1500000</v>
      </c>
      <c r="AA267" s="123">
        <v>1</v>
      </c>
      <c r="AB267" s="123">
        <v>117.27</v>
      </c>
      <c r="AC267" s="122"/>
      <c r="AD267" s="123">
        <v>1759.05</v>
      </c>
      <c r="AE267" s="122"/>
      <c r="AF267" s="122"/>
      <c r="AG267" s="122"/>
      <c r="AH267" s="125">
        <v>3.8999999999999999E-4</v>
      </c>
      <c r="AI267" s="125">
        <v>2.299E-2</v>
      </c>
      <c r="AJ267" s="126">
        <v>1.1900000000000001E-3</v>
      </c>
      <c r="AK267" s="159"/>
    </row>
    <row r="268" spans="1:37" x14ac:dyDescent="0.2">
      <c r="A268" s="121" t="s">
        <v>1223</v>
      </c>
      <c r="B268" s="122" t="s">
        <v>1224</v>
      </c>
      <c r="C268" s="122" t="s">
        <v>1365</v>
      </c>
      <c r="D268" s="122" t="s">
        <v>1366</v>
      </c>
      <c r="E268" s="122" t="s">
        <v>429</v>
      </c>
      <c r="F268" s="122" t="s">
        <v>1370</v>
      </c>
      <c r="G268" s="122" t="s">
        <v>1371</v>
      </c>
      <c r="H268" s="122" t="s">
        <v>76</v>
      </c>
      <c r="I268" s="122" t="s">
        <v>229</v>
      </c>
      <c r="J268" s="122" t="s">
        <v>53</v>
      </c>
      <c r="K268" s="122" t="s">
        <v>53</v>
      </c>
      <c r="L268" s="122" t="s">
        <v>805</v>
      </c>
      <c r="M268" s="122" t="s">
        <v>311</v>
      </c>
      <c r="N268" s="122" t="s">
        <v>269</v>
      </c>
      <c r="O268" s="122" t="s">
        <v>62</v>
      </c>
      <c r="P268" s="122" t="s">
        <v>1369</v>
      </c>
      <c r="Q268" s="122" t="s">
        <v>65</v>
      </c>
      <c r="R268" s="122" t="s">
        <v>57</v>
      </c>
      <c r="S268" s="122" t="s">
        <v>1216</v>
      </c>
      <c r="T268" s="123">
        <v>6</v>
      </c>
      <c r="U268" s="122" t="s">
        <v>1372</v>
      </c>
      <c r="V268" s="125">
        <v>2.5000000000000001E-2</v>
      </c>
      <c r="W268" s="125">
        <v>4.709E-2</v>
      </c>
      <c r="X268" s="122" t="s">
        <v>620</v>
      </c>
      <c r="Y268" s="133"/>
      <c r="Z268" s="123">
        <v>1900000</v>
      </c>
      <c r="AA268" s="123">
        <v>1</v>
      </c>
      <c r="AB268" s="123">
        <v>88.03</v>
      </c>
      <c r="AC268" s="122"/>
      <c r="AD268" s="123">
        <v>1672.57</v>
      </c>
      <c r="AE268" s="122"/>
      <c r="AF268" s="122"/>
      <c r="AG268" s="122"/>
      <c r="AH268" s="125">
        <v>1.42E-3</v>
      </c>
      <c r="AI268" s="125">
        <v>2.1860000000000001E-2</v>
      </c>
      <c r="AJ268" s="126">
        <v>1.14E-3</v>
      </c>
      <c r="AK268" s="159"/>
    </row>
    <row r="269" spans="1:37" x14ac:dyDescent="0.2">
      <c r="A269" s="121" t="s">
        <v>1223</v>
      </c>
      <c r="B269" s="122" t="s">
        <v>1224</v>
      </c>
      <c r="C269" s="122" t="s">
        <v>1388</v>
      </c>
      <c r="D269" s="122" t="s">
        <v>1389</v>
      </c>
      <c r="E269" s="122" t="s">
        <v>429</v>
      </c>
      <c r="F269" s="122" t="s">
        <v>1390</v>
      </c>
      <c r="G269" s="122" t="s">
        <v>1391</v>
      </c>
      <c r="H269" s="122" t="s">
        <v>76</v>
      </c>
      <c r="I269" s="122" t="s">
        <v>229</v>
      </c>
      <c r="J269" s="122" t="s">
        <v>53</v>
      </c>
      <c r="K269" s="122" t="s">
        <v>53</v>
      </c>
      <c r="L269" s="122" t="s">
        <v>805</v>
      </c>
      <c r="M269" s="122" t="s">
        <v>311</v>
      </c>
      <c r="N269" s="122" t="s">
        <v>635</v>
      </c>
      <c r="O269" s="122" t="s">
        <v>62</v>
      </c>
      <c r="P269" s="122" t="s">
        <v>1324</v>
      </c>
      <c r="Q269" s="122" t="s">
        <v>65</v>
      </c>
      <c r="R269" s="122" t="s">
        <v>57</v>
      </c>
      <c r="S269" s="122" t="s">
        <v>1216</v>
      </c>
      <c r="T269" s="123">
        <v>4.2</v>
      </c>
      <c r="U269" s="122" t="s">
        <v>1392</v>
      </c>
      <c r="V269" s="125">
        <v>5.8999999999999999E-3</v>
      </c>
      <c r="W269" s="125">
        <v>2.912E-2</v>
      </c>
      <c r="X269" s="122" t="s">
        <v>620</v>
      </c>
      <c r="Y269" s="133"/>
      <c r="Z269" s="123">
        <v>1500000</v>
      </c>
      <c r="AA269" s="123">
        <v>1</v>
      </c>
      <c r="AB269" s="123">
        <v>104.71</v>
      </c>
      <c r="AC269" s="122"/>
      <c r="AD269" s="123">
        <v>1570.65</v>
      </c>
      <c r="AE269" s="122"/>
      <c r="AF269" s="122"/>
      <c r="AG269" s="122"/>
      <c r="AH269" s="125">
        <v>1.07E-3</v>
      </c>
      <c r="AI269" s="125">
        <v>2.053E-2</v>
      </c>
      <c r="AJ269" s="126">
        <v>1.07E-3</v>
      </c>
      <c r="AK269" s="159"/>
    </row>
    <row r="270" spans="1:37" x14ac:dyDescent="0.2">
      <c r="A270" s="121" t="s">
        <v>1223</v>
      </c>
      <c r="B270" s="122" t="s">
        <v>1224</v>
      </c>
      <c r="C270" s="122" t="s">
        <v>1419</v>
      </c>
      <c r="D270" s="122" t="s">
        <v>1420</v>
      </c>
      <c r="E270" s="122" t="s">
        <v>429</v>
      </c>
      <c r="F270" s="122" t="s">
        <v>1421</v>
      </c>
      <c r="G270" s="122" t="s">
        <v>1422</v>
      </c>
      <c r="H270" s="122" t="s">
        <v>76</v>
      </c>
      <c r="I270" s="122" t="s">
        <v>228</v>
      </c>
      <c r="J270" s="122" t="s">
        <v>53</v>
      </c>
      <c r="K270" s="122" t="s">
        <v>53</v>
      </c>
      <c r="L270" s="122" t="s">
        <v>805</v>
      </c>
      <c r="M270" s="122" t="s">
        <v>311</v>
      </c>
      <c r="N270" s="122" t="s">
        <v>269</v>
      </c>
      <c r="O270" s="122" t="s">
        <v>62</v>
      </c>
      <c r="P270" s="122" t="s">
        <v>1423</v>
      </c>
      <c r="Q270" s="122" t="s">
        <v>70</v>
      </c>
      <c r="R270" s="122" t="s">
        <v>57</v>
      </c>
      <c r="S270" s="122" t="s">
        <v>1216</v>
      </c>
      <c r="T270" s="123">
        <v>7.48</v>
      </c>
      <c r="U270" s="122" t="s">
        <v>1424</v>
      </c>
      <c r="V270" s="125">
        <v>5.0200000000000002E-2</v>
      </c>
      <c r="W270" s="125">
        <v>5.0930000000000003E-2</v>
      </c>
      <c r="X270" s="122" t="s">
        <v>620</v>
      </c>
      <c r="Y270" s="133"/>
      <c r="Z270" s="123">
        <v>1430000</v>
      </c>
      <c r="AA270" s="123">
        <v>1</v>
      </c>
      <c r="AB270" s="123">
        <v>100.3</v>
      </c>
      <c r="AC270" s="122"/>
      <c r="AD270" s="123">
        <v>1434.29</v>
      </c>
      <c r="AE270" s="122"/>
      <c r="AF270" s="122"/>
      <c r="AG270" s="122"/>
      <c r="AH270" s="125">
        <v>5.11E-3</v>
      </c>
      <c r="AI270" s="125">
        <v>1.874E-2</v>
      </c>
      <c r="AJ270" s="126">
        <v>9.7000000000000005E-4</v>
      </c>
      <c r="AK270" s="159"/>
    </row>
    <row r="271" spans="1:37" x14ac:dyDescent="0.2">
      <c r="A271" s="121" t="s">
        <v>1223</v>
      </c>
      <c r="B271" s="122" t="s">
        <v>1224</v>
      </c>
      <c r="C271" s="122" t="s">
        <v>1419</v>
      </c>
      <c r="D271" s="122" t="s">
        <v>1420</v>
      </c>
      <c r="E271" s="122" t="s">
        <v>429</v>
      </c>
      <c r="F271" s="122" t="s">
        <v>1425</v>
      </c>
      <c r="G271" s="122" t="s">
        <v>1426</v>
      </c>
      <c r="H271" s="122" t="s">
        <v>76</v>
      </c>
      <c r="I271" s="122" t="s">
        <v>228</v>
      </c>
      <c r="J271" s="122" t="s">
        <v>53</v>
      </c>
      <c r="K271" s="122" t="s">
        <v>53</v>
      </c>
      <c r="L271" s="122" t="s">
        <v>805</v>
      </c>
      <c r="M271" s="122" t="s">
        <v>311</v>
      </c>
      <c r="N271" s="122" t="s">
        <v>269</v>
      </c>
      <c r="O271" s="122" t="s">
        <v>62</v>
      </c>
      <c r="P271" s="122" t="s">
        <v>1423</v>
      </c>
      <c r="Q271" s="122" t="s">
        <v>70</v>
      </c>
      <c r="R271" s="122" t="s">
        <v>57</v>
      </c>
      <c r="S271" s="122" t="s">
        <v>1216</v>
      </c>
      <c r="T271" s="123">
        <v>8.1</v>
      </c>
      <c r="U271" s="122" t="s">
        <v>1427</v>
      </c>
      <c r="V271" s="125">
        <v>5.0200000000000002E-2</v>
      </c>
      <c r="W271" s="125">
        <v>5.1049999999999998E-2</v>
      </c>
      <c r="X271" s="122" t="s">
        <v>620</v>
      </c>
      <c r="Y271" s="133"/>
      <c r="Z271" s="123">
        <v>1430000</v>
      </c>
      <c r="AA271" s="123">
        <v>1</v>
      </c>
      <c r="AB271" s="123">
        <v>100.2</v>
      </c>
      <c r="AC271" s="122"/>
      <c r="AD271" s="123">
        <v>1432.86</v>
      </c>
      <c r="AE271" s="122"/>
      <c r="AF271" s="122"/>
      <c r="AG271" s="122"/>
      <c r="AH271" s="125">
        <v>5.11E-3</v>
      </c>
      <c r="AI271" s="125">
        <v>1.873E-2</v>
      </c>
      <c r="AJ271" s="126">
        <v>9.7000000000000005E-4</v>
      </c>
      <c r="AK271" s="159"/>
    </row>
    <row r="272" spans="1:37" x14ac:dyDescent="0.2">
      <c r="A272" s="121" t="s">
        <v>1223</v>
      </c>
      <c r="B272" s="122" t="s">
        <v>1224</v>
      </c>
      <c r="C272" s="122" t="s">
        <v>1407</v>
      </c>
      <c r="D272" s="122" t="s">
        <v>1408</v>
      </c>
      <c r="E272" s="122" t="s">
        <v>429</v>
      </c>
      <c r="F272" s="122" t="s">
        <v>1409</v>
      </c>
      <c r="G272" s="122" t="s">
        <v>1410</v>
      </c>
      <c r="H272" s="122" t="s">
        <v>76</v>
      </c>
      <c r="I272" s="122" t="s">
        <v>229</v>
      </c>
      <c r="J272" s="122" t="s">
        <v>53</v>
      </c>
      <c r="K272" s="122" t="s">
        <v>53</v>
      </c>
      <c r="L272" s="122" t="s">
        <v>805</v>
      </c>
      <c r="M272" s="122" t="s">
        <v>311</v>
      </c>
      <c r="N272" s="122" t="s">
        <v>256</v>
      </c>
      <c r="O272" s="122" t="s">
        <v>62</v>
      </c>
      <c r="P272" s="122" t="s">
        <v>1369</v>
      </c>
      <c r="Q272" s="122" t="s">
        <v>65</v>
      </c>
      <c r="R272" s="122" t="s">
        <v>57</v>
      </c>
      <c r="S272" s="122" t="s">
        <v>1216</v>
      </c>
      <c r="T272" s="123">
        <v>3.63</v>
      </c>
      <c r="U272" s="122" t="s">
        <v>1411</v>
      </c>
      <c r="V272" s="125">
        <v>2.5899999999999999E-2</v>
      </c>
      <c r="W272" s="125">
        <v>2.6700000000000002E-2</v>
      </c>
      <c r="X272" s="122" t="s">
        <v>620</v>
      </c>
      <c r="Y272" s="133"/>
      <c r="Z272" s="123">
        <v>1299000</v>
      </c>
      <c r="AA272" s="123">
        <v>1</v>
      </c>
      <c r="AB272" s="123">
        <v>107.69</v>
      </c>
      <c r="AC272" s="122"/>
      <c r="AD272" s="123">
        <v>1398.893</v>
      </c>
      <c r="AE272" s="122"/>
      <c r="AF272" s="122"/>
      <c r="AG272" s="122"/>
      <c r="AH272" s="125">
        <v>1.9E-3</v>
      </c>
      <c r="AI272" s="125">
        <v>1.8280000000000001E-2</v>
      </c>
      <c r="AJ272" s="126">
        <v>9.5E-4</v>
      </c>
      <c r="AK272" s="159"/>
    </row>
    <row r="273" spans="1:37" x14ac:dyDescent="0.2">
      <c r="A273" s="121" t="s">
        <v>1223</v>
      </c>
      <c r="B273" s="122" t="s">
        <v>1224</v>
      </c>
      <c r="C273" s="122" t="s">
        <v>1326</v>
      </c>
      <c r="D273" s="122" t="s">
        <v>1327</v>
      </c>
      <c r="E273" s="122" t="s">
        <v>429</v>
      </c>
      <c r="F273" s="122" t="s">
        <v>1412</v>
      </c>
      <c r="G273" s="122" t="s">
        <v>1413</v>
      </c>
      <c r="H273" s="122" t="s">
        <v>76</v>
      </c>
      <c r="I273" s="122" t="s">
        <v>229</v>
      </c>
      <c r="J273" s="122" t="s">
        <v>53</v>
      </c>
      <c r="K273" s="122" t="s">
        <v>53</v>
      </c>
      <c r="L273" s="122" t="s">
        <v>805</v>
      </c>
      <c r="M273" s="122" t="s">
        <v>311</v>
      </c>
      <c r="N273" s="122" t="s">
        <v>256</v>
      </c>
      <c r="O273" s="122" t="s">
        <v>62</v>
      </c>
      <c r="P273" s="122" t="s">
        <v>1330</v>
      </c>
      <c r="Q273" s="122" t="s">
        <v>65</v>
      </c>
      <c r="R273" s="122" t="s">
        <v>57</v>
      </c>
      <c r="S273" s="122" t="s">
        <v>1216</v>
      </c>
      <c r="T273" s="123">
        <v>3.47</v>
      </c>
      <c r="U273" s="122" t="s">
        <v>1414</v>
      </c>
      <c r="V273" s="125">
        <v>1.3899999999999999E-2</v>
      </c>
      <c r="W273" s="125">
        <v>2.511E-2</v>
      </c>
      <c r="X273" s="122" t="s">
        <v>620</v>
      </c>
      <c r="Y273" s="133"/>
      <c r="Z273" s="123">
        <v>1198400.01</v>
      </c>
      <c r="AA273" s="123">
        <v>1</v>
      </c>
      <c r="AB273" s="123">
        <v>107.22</v>
      </c>
      <c r="AC273" s="122"/>
      <c r="AD273" s="123">
        <v>1284.924</v>
      </c>
      <c r="AE273" s="122"/>
      <c r="AF273" s="122"/>
      <c r="AG273" s="122"/>
      <c r="AH273" s="125">
        <v>7.5000000000000002E-4</v>
      </c>
      <c r="AI273" s="125">
        <v>1.6789999999999999E-2</v>
      </c>
      <c r="AJ273" s="126">
        <v>8.7000000000000001E-4</v>
      </c>
      <c r="AK273" s="159"/>
    </row>
    <row r="274" spans="1:37" x14ac:dyDescent="0.2">
      <c r="A274" s="121" t="s">
        <v>1223</v>
      </c>
      <c r="B274" s="122" t="s">
        <v>1224</v>
      </c>
      <c r="C274" s="122" t="s">
        <v>1398</v>
      </c>
      <c r="D274" s="122" t="s">
        <v>1399</v>
      </c>
      <c r="E274" s="122" t="s">
        <v>429</v>
      </c>
      <c r="F274" s="122" t="s">
        <v>1436</v>
      </c>
      <c r="G274" s="122" t="s">
        <v>1437</v>
      </c>
      <c r="H274" s="122" t="s">
        <v>76</v>
      </c>
      <c r="I274" s="122" t="s">
        <v>229</v>
      </c>
      <c r="J274" s="122" t="s">
        <v>53</v>
      </c>
      <c r="K274" s="122" t="s">
        <v>53</v>
      </c>
      <c r="L274" s="122" t="s">
        <v>805</v>
      </c>
      <c r="M274" s="122" t="s">
        <v>311</v>
      </c>
      <c r="N274" s="122" t="s">
        <v>636</v>
      </c>
      <c r="O274" s="122" t="s">
        <v>62</v>
      </c>
      <c r="P274" s="122" t="s">
        <v>1402</v>
      </c>
      <c r="Q274" s="122" t="s">
        <v>70</v>
      </c>
      <c r="R274" s="122" t="s">
        <v>57</v>
      </c>
      <c r="S274" s="122" t="s">
        <v>1216</v>
      </c>
      <c r="T274" s="123">
        <v>4.7</v>
      </c>
      <c r="U274" s="122" t="s">
        <v>1438</v>
      </c>
      <c r="V274" s="125">
        <v>1.7899999999999999E-2</v>
      </c>
      <c r="W274" s="125">
        <v>5.3999999999999999E-2</v>
      </c>
      <c r="X274" s="122" t="s">
        <v>620</v>
      </c>
      <c r="Y274" s="133"/>
      <c r="Z274" s="123">
        <v>1157293.21</v>
      </c>
      <c r="AA274" s="123">
        <v>1</v>
      </c>
      <c r="AB274" s="123">
        <v>100.05</v>
      </c>
      <c r="AC274" s="122"/>
      <c r="AD274" s="123">
        <v>1157.8720000000001</v>
      </c>
      <c r="AE274" s="122"/>
      <c r="AF274" s="122"/>
      <c r="AG274" s="122"/>
      <c r="AH274" s="125">
        <v>8.3000000000000001E-4</v>
      </c>
      <c r="AI274" s="125">
        <v>1.5129999999999999E-2</v>
      </c>
      <c r="AJ274" s="126">
        <v>7.9000000000000001E-4</v>
      </c>
      <c r="AK274" s="159"/>
    </row>
    <row r="275" spans="1:37" x14ac:dyDescent="0.2">
      <c r="A275" s="121" t="s">
        <v>1223</v>
      </c>
      <c r="B275" s="122" t="s">
        <v>1224</v>
      </c>
      <c r="C275" s="122" t="s">
        <v>1326</v>
      </c>
      <c r="D275" s="122" t="s">
        <v>1327</v>
      </c>
      <c r="E275" s="122" t="s">
        <v>429</v>
      </c>
      <c r="F275" s="122" t="s">
        <v>1439</v>
      </c>
      <c r="G275" s="122" t="s">
        <v>1440</v>
      </c>
      <c r="H275" s="122" t="s">
        <v>76</v>
      </c>
      <c r="I275" s="122" t="s">
        <v>229</v>
      </c>
      <c r="J275" s="122" t="s">
        <v>53</v>
      </c>
      <c r="K275" s="122" t="s">
        <v>53</v>
      </c>
      <c r="L275" s="122" t="s">
        <v>805</v>
      </c>
      <c r="M275" s="122" t="s">
        <v>311</v>
      </c>
      <c r="N275" s="122" t="s">
        <v>256</v>
      </c>
      <c r="O275" s="122" t="s">
        <v>62</v>
      </c>
      <c r="P275" s="122" t="s">
        <v>1330</v>
      </c>
      <c r="Q275" s="122" t="s">
        <v>65</v>
      </c>
      <c r="R275" s="122" t="s">
        <v>57</v>
      </c>
      <c r="S275" s="122" t="s">
        <v>1216</v>
      </c>
      <c r="T275" s="123">
        <v>3.09</v>
      </c>
      <c r="U275" s="122" t="s">
        <v>1441</v>
      </c>
      <c r="V275" s="125">
        <v>1E-3</v>
      </c>
      <c r="W275" s="125">
        <v>2.5270000000000001E-2</v>
      </c>
      <c r="X275" s="122" t="s">
        <v>620</v>
      </c>
      <c r="Y275" s="133"/>
      <c r="Z275" s="123">
        <v>1015000.01</v>
      </c>
      <c r="AA275" s="123">
        <v>1</v>
      </c>
      <c r="AB275" s="123">
        <v>107.45</v>
      </c>
      <c r="AC275" s="122"/>
      <c r="AD275" s="123">
        <v>1090.6179999999999</v>
      </c>
      <c r="AE275" s="122"/>
      <c r="AF275" s="122"/>
      <c r="AG275" s="122"/>
      <c r="AH275" s="125">
        <v>1.0300000000000001E-3</v>
      </c>
      <c r="AI275" s="125">
        <v>1.4250000000000001E-2</v>
      </c>
      <c r="AJ275" s="126">
        <v>7.3999999999999999E-4</v>
      </c>
      <c r="AK275" s="159"/>
    </row>
    <row r="276" spans="1:37" x14ac:dyDescent="0.2">
      <c r="A276" s="121" t="s">
        <v>1223</v>
      </c>
      <c r="B276" s="122" t="s">
        <v>1224</v>
      </c>
      <c r="C276" s="122" t="s">
        <v>1365</v>
      </c>
      <c r="D276" s="122" t="s">
        <v>1366</v>
      </c>
      <c r="E276" s="122" t="s">
        <v>429</v>
      </c>
      <c r="F276" s="122" t="s">
        <v>1404</v>
      </c>
      <c r="G276" s="122" t="s">
        <v>1405</v>
      </c>
      <c r="H276" s="122" t="s">
        <v>76</v>
      </c>
      <c r="I276" s="122" t="s">
        <v>228</v>
      </c>
      <c r="J276" s="122" t="s">
        <v>53</v>
      </c>
      <c r="K276" s="122" t="s">
        <v>53</v>
      </c>
      <c r="L276" s="122" t="s">
        <v>805</v>
      </c>
      <c r="M276" s="122" t="s">
        <v>311</v>
      </c>
      <c r="N276" s="122" t="s">
        <v>269</v>
      </c>
      <c r="O276" s="122" t="s">
        <v>62</v>
      </c>
      <c r="P276" s="122" t="s">
        <v>1369</v>
      </c>
      <c r="Q276" s="122" t="s">
        <v>65</v>
      </c>
      <c r="R276" s="122" t="s">
        <v>57</v>
      </c>
      <c r="S276" s="122" t="s">
        <v>1216</v>
      </c>
      <c r="T276" s="123">
        <v>7.14</v>
      </c>
      <c r="U276" s="122" t="s">
        <v>1406</v>
      </c>
      <c r="V276" s="125">
        <v>5.3100000000000001E-2</v>
      </c>
      <c r="W276" s="125">
        <v>4.8640000000000003E-2</v>
      </c>
      <c r="X276" s="122" t="s">
        <v>620</v>
      </c>
      <c r="Y276" s="133"/>
      <c r="Z276" s="123">
        <v>967963.79</v>
      </c>
      <c r="AA276" s="123">
        <v>1</v>
      </c>
      <c r="AB276" s="123">
        <v>104.46</v>
      </c>
      <c r="AC276" s="122"/>
      <c r="AD276" s="123">
        <v>1011.135</v>
      </c>
      <c r="AE276" s="122"/>
      <c r="AF276" s="122"/>
      <c r="AG276" s="122"/>
      <c r="AH276" s="125">
        <v>7.6000000000000004E-4</v>
      </c>
      <c r="AI276" s="125">
        <v>1.321E-2</v>
      </c>
      <c r="AJ276" s="126">
        <v>6.8999999999999997E-4</v>
      </c>
      <c r="AK276" s="159"/>
    </row>
    <row r="277" spans="1:37" x14ac:dyDescent="0.2">
      <c r="A277" s="121" t="s">
        <v>1223</v>
      </c>
      <c r="B277" s="122" t="s">
        <v>1224</v>
      </c>
      <c r="C277" s="122" t="s">
        <v>1407</v>
      </c>
      <c r="D277" s="122" t="s">
        <v>1408</v>
      </c>
      <c r="E277" s="122" t="s">
        <v>429</v>
      </c>
      <c r="F277" s="122" t="s">
        <v>1428</v>
      </c>
      <c r="G277" s="122" t="s">
        <v>1429</v>
      </c>
      <c r="H277" s="122" t="s">
        <v>76</v>
      </c>
      <c r="I277" s="122" t="s">
        <v>229</v>
      </c>
      <c r="J277" s="122" t="s">
        <v>53</v>
      </c>
      <c r="K277" s="122" t="s">
        <v>53</v>
      </c>
      <c r="L277" s="122" t="s">
        <v>805</v>
      </c>
      <c r="M277" s="122" t="s">
        <v>311</v>
      </c>
      <c r="N277" s="122" t="s">
        <v>256</v>
      </c>
      <c r="O277" s="122" t="s">
        <v>62</v>
      </c>
      <c r="P277" s="122" t="s">
        <v>1369</v>
      </c>
      <c r="Q277" s="122" t="s">
        <v>65</v>
      </c>
      <c r="R277" s="122" t="s">
        <v>57</v>
      </c>
      <c r="S277" s="122" t="s">
        <v>1216</v>
      </c>
      <c r="T277" s="123">
        <v>0.74</v>
      </c>
      <c r="U277" s="122" t="s">
        <v>1430</v>
      </c>
      <c r="V277" s="125">
        <v>2E-3</v>
      </c>
      <c r="W277" s="125">
        <v>3.9070000000000001E-2</v>
      </c>
      <c r="X277" s="122" t="s">
        <v>620</v>
      </c>
      <c r="Y277" s="133"/>
      <c r="Z277" s="123">
        <v>871753.04</v>
      </c>
      <c r="AA277" s="123">
        <v>1</v>
      </c>
      <c r="AB277" s="123">
        <v>114.5</v>
      </c>
      <c r="AC277" s="122"/>
      <c r="AD277" s="123">
        <v>998.15700000000004</v>
      </c>
      <c r="AE277" s="122"/>
      <c r="AF277" s="122"/>
      <c r="AG277" s="122"/>
      <c r="AH277" s="125">
        <v>3.13E-3</v>
      </c>
      <c r="AI277" s="125">
        <v>1.304E-2</v>
      </c>
      <c r="AJ277" s="126">
        <v>6.8000000000000005E-4</v>
      </c>
      <c r="AK277" s="159"/>
    </row>
    <row r="278" spans="1:37" x14ac:dyDescent="0.2">
      <c r="A278" s="121" t="s">
        <v>1223</v>
      </c>
      <c r="B278" s="122" t="s">
        <v>1224</v>
      </c>
      <c r="C278" s="122" t="s">
        <v>1431</v>
      </c>
      <c r="D278" s="122" t="s">
        <v>1432</v>
      </c>
      <c r="E278" s="122" t="s">
        <v>429</v>
      </c>
      <c r="F278" s="122" t="s">
        <v>1433</v>
      </c>
      <c r="G278" s="122" t="s">
        <v>1434</v>
      </c>
      <c r="H278" s="122" t="s">
        <v>76</v>
      </c>
      <c r="I278" s="122" t="s">
        <v>229</v>
      </c>
      <c r="J278" s="122" t="s">
        <v>53</v>
      </c>
      <c r="K278" s="122" t="s">
        <v>53</v>
      </c>
      <c r="L278" s="122" t="s">
        <v>805</v>
      </c>
      <c r="M278" s="122" t="s">
        <v>311</v>
      </c>
      <c r="N278" s="122" t="s">
        <v>636</v>
      </c>
      <c r="O278" s="122" t="s">
        <v>62</v>
      </c>
      <c r="P278" s="122" t="s">
        <v>1423</v>
      </c>
      <c r="Q278" s="122" t="s">
        <v>70</v>
      </c>
      <c r="R278" s="122" t="s">
        <v>57</v>
      </c>
      <c r="S278" s="122" t="s">
        <v>1216</v>
      </c>
      <c r="T278" s="123">
        <v>0.81</v>
      </c>
      <c r="U278" s="122" t="s">
        <v>1435</v>
      </c>
      <c r="V278" s="125">
        <v>2.5700000000000001E-2</v>
      </c>
      <c r="W278" s="125">
        <v>3.9320000000000001E-2</v>
      </c>
      <c r="X278" s="122" t="s">
        <v>620</v>
      </c>
      <c r="Y278" s="133"/>
      <c r="Z278" s="123">
        <v>821244.21</v>
      </c>
      <c r="AA278" s="123">
        <v>1</v>
      </c>
      <c r="AB278" s="123">
        <v>119.85</v>
      </c>
      <c r="AC278" s="122"/>
      <c r="AD278" s="123">
        <v>984.26099999999997</v>
      </c>
      <c r="AE278" s="122"/>
      <c r="AF278" s="122"/>
      <c r="AG278" s="122"/>
      <c r="AH278" s="125">
        <v>7.7999999999999999E-4</v>
      </c>
      <c r="AI278" s="125">
        <v>1.286E-2</v>
      </c>
      <c r="AJ278" s="126">
        <v>6.7000000000000002E-4</v>
      </c>
      <c r="AK278" s="159"/>
    </row>
    <row r="279" spans="1:37" x14ac:dyDescent="0.2">
      <c r="A279" s="121" t="s">
        <v>1223</v>
      </c>
      <c r="B279" s="122" t="s">
        <v>1224</v>
      </c>
      <c r="C279" s="122" t="s">
        <v>1320</v>
      </c>
      <c r="D279" s="122" t="s">
        <v>1321</v>
      </c>
      <c r="E279" s="122" t="s">
        <v>429</v>
      </c>
      <c r="F279" s="122" t="s">
        <v>1452</v>
      </c>
      <c r="G279" s="122" t="s">
        <v>1453</v>
      </c>
      <c r="H279" s="122" t="s">
        <v>76</v>
      </c>
      <c r="I279" s="122" t="s">
        <v>229</v>
      </c>
      <c r="J279" s="122" t="s">
        <v>53</v>
      </c>
      <c r="K279" s="122" t="s">
        <v>53</v>
      </c>
      <c r="L279" s="122" t="s">
        <v>805</v>
      </c>
      <c r="M279" s="122" t="s">
        <v>311</v>
      </c>
      <c r="N279" s="122" t="s">
        <v>269</v>
      </c>
      <c r="O279" s="122" t="s">
        <v>62</v>
      </c>
      <c r="P279" s="122" t="s">
        <v>1454</v>
      </c>
      <c r="Q279" s="122" t="s">
        <v>70</v>
      </c>
      <c r="R279" s="122" t="s">
        <v>57</v>
      </c>
      <c r="S279" s="122" t="s">
        <v>1216</v>
      </c>
      <c r="T279" s="123">
        <v>4.29</v>
      </c>
      <c r="U279" s="122" t="s">
        <v>1455</v>
      </c>
      <c r="V279" s="125">
        <v>4.6899999999999997E-2</v>
      </c>
      <c r="W279" s="125">
        <v>4.6339999999999999E-2</v>
      </c>
      <c r="X279" s="122" t="s">
        <v>620</v>
      </c>
      <c r="Y279" s="133"/>
      <c r="Z279" s="123">
        <v>960000</v>
      </c>
      <c r="AA279" s="123">
        <v>1</v>
      </c>
      <c r="AB279" s="123">
        <v>100.58</v>
      </c>
      <c r="AC279" s="122"/>
      <c r="AD279" s="123">
        <v>965.56799999999998</v>
      </c>
      <c r="AE279" s="122"/>
      <c r="AF279" s="122"/>
      <c r="AG279" s="122"/>
      <c r="AH279" s="125">
        <v>1.92E-3</v>
      </c>
      <c r="AI279" s="125">
        <v>1.2619999999999999E-2</v>
      </c>
      <c r="AJ279" s="126">
        <v>6.6E-4</v>
      </c>
      <c r="AK279" s="159"/>
    </row>
    <row r="280" spans="1:37" x14ac:dyDescent="0.2">
      <c r="A280" s="121" t="s">
        <v>1223</v>
      </c>
      <c r="B280" s="122" t="s">
        <v>1224</v>
      </c>
      <c r="C280" s="122" t="s">
        <v>1340</v>
      </c>
      <c r="D280" s="122" t="s">
        <v>1341</v>
      </c>
      <c r="E280" s="122" t="s">
        <v>429</v>
      </c>
      <c r="F280" s="122" t="s">
        <v>1459</v>
      </c>
      <c r="G280" s="122" t="s">
        <v>1460</v>
      </c>
      <c r="H280" s="122" t="s">
        <v>76</v>
      </c>
      <c r="I280" s="122" t="s">
        <v>229</v>
      </c>
      <c r="J280" s="122" t="s">
        <v>53</v>
      </c>
      <c r="K280" s="122" t="s">
        <v>53</v>
      </c>
      <c r="L280" s="122" t="s">
        <v>805</v>
      </c>
      <c r="M280" s="122" t="s">
        <v>311</v>
      </c>
      <c r="N280" s="122" t="s">
        <v>256</v>
      </c>
      <c r="O280" s="122" t="s">
        <v>62</v>
      </c>
      <c r="P280" s="122" t="s">
        <v>1330</v>
      </c>
      <c r="Q280" s="122" t="s">
        <v>65</v>
      </c>
      <c r="R280" s="122" t="s">
        <v>57</v>
      </c>
      <c r="S280" s="122" t="s">
        <v>1216</v>
      </c>
      <c r="T280" s="123">
        <v>3.95</v>
      </c>
      <c r="U280" s="122" t="s">
        <v>1461</v>
      </c>
      <c r="V280" s="125">
        <v>1.9900000000000001E-2</v>
      </c>
      <c r="W280" s="125">
        <v>2.537E-2</v>
      </c>
      <c r="X280" s="122" t="s">
        <v>620</v>
      </c>
      <c r="Y280" s="133"/>
      <c r="Z280" s="123">
        <v>864000</v>
      </c>
      <c r="AA280" s="123">
        <v>1</v>
      </c>
      <c r="AB280" s="123">
        <v>105.83</v>
      </c>
      <c r="AC280" s="122"/>
      <c r="AD280" s="123">
        <v>914.37099999999998</v>
      </c>
      <c r="AE280" s="122"/>
      <c r="AF280" s="122"/>
      <c r="AG280" s="122"/>
      <c r="AH280" s="125">
        <v>3.6000000000000002E-4</v>
      </c>
      <c r="AI280" s="125">
        <v>1.1950000000000001E-2</v>
      </c>
      <c r="AJ280" s="126">
        <v>6.2E-4</v>
      </c>
      <c r="AK280" s="159"/>
    </row>
    <row r="281" spans="1:37" x14ac:dyDescent="0.2">
      <c r="A281" s="121" t="s">
        <v>1223</v>
      </c>
      <c r="B281" s="122" t="s">
        <v>1224</v>
      </c>
      <c r="C281" s="122" t="s">
        <v>1398</v>
      </c>
      <c r="D281" s="122" t="s">
        <v>1399</v>
      </c>
      <c r="E281" s="122" t="s">
        <v>429</v>
      </c>
      <c r="F281" s="122" t="s">
        <v>1400</v>
      </c>
      <c r="G281" s="122" t="s">
        <v>1401</v>
      </c>
      <c r="H281" s="122" t="s">
        <v>76</v>
      </c>
      <c r="I281" s="122" t="s">
        <v>229</v>
      </c>
      <c r="J281" s="122" t="s">
        <v>53</v>
      </c>
      <c r="K281" s="122" t="s">
        <v>53</v>
      </c>
      <c r="L281" s="122" t="s">
        <v>805</v>
      </c>
      <c r="M281" s="122" t="s">
        <v>311</v>
      </c>
      <c r="N281" s="122" t="s">
        <v>636</v>
      </c>
      <c r="O281" s="122" t="s">
        <v>62</v>
      </c>
      <c r="P281" s="122" t="s">
        <v>1402</v>
      </c>
      <c r="Q281" s="122" t="s">
        <v>70</v>
      </c>
      <c r="R281" s="122" t="s">
        <v>57</v>
      </c>
      <c r="S281" s="122" t="s">
        <v>1216</v>
      </c>
      <c r="T281" s="123">
        <v>1.21</v>
      </c>
      <c r="U281" s="122" t="s">
        <v>1403</v>
      </c>
      <c r="V281" s="125">
        <v>0.04</v>
      </c>
      <c r="W281" s="125">
        <v>4.7050000000000002E-2</v>
      </c>
      <c r="X281" s="122" t="s">
        <v>620</v>
      </c>
      <c r="Y281" s="133"/>
      <c r="Z281" s="123">
        <v>733022.46</v>
      </c>
      <c r="AA281" s="123">
        <v>1</v>
      </c>
      <c r="AB281" s="123">
        <v>118.67</v>
      </c>
      <c r="AC281" s="122"/>
      <c r="AD281" s="123">
        <v>869.87800000000004</v>
      </c>
      <c r="AE281" s="122"/>
      <c r="AF281" s="122"/>
      <c r="AG281" s="122"/>
      <c r="AH281" s="125">
        <v>5.0000000000000001E-4</v>
      </c>
      <c r="AI281" s="125">
        <v>1.137E-2</v>
      </c>
      <c r="AJ281" s="126">
        <v>5.9000000000000003E-4</v>
      </c>
      <c r="AK281" s="159"/>
    </row>
    <row r="282" spans="1:37" x14ac:dyDescent="0.2">
      <c r="A282" s="121" t="s">
        <v>1223</v>
      </c>
      <c r="B282" s="122" t="s">
        <v>1224</v>
      </c>
      <c r="C282" s="122" t="s">
        <v>1442</v>
      </c>
      <c r="D282" s="122" t="s">
        <v>1443</v>
      </c>
      <c r="E282" s="122" t="s">
        <v>429</v>
      </c>
      <c r="F282" s="122" t="s">
        <v>1444</v>
      </c>
      <c r="G282" s="122" t="s">
        <v>1445</v>
      </c>
      <c r="H282" s="122" t="s">
        <v>76</v>
      </c>
      <c r="I282" s="122" t="s">
        <v>229</v>
      </c>
      <c r="J282" s="122" t="s">
        <v>53</v>
      </c>
      <c r="K282" s="122" t="s">
        <v>53</v>
      </c>
      <c r="L282" s="122" t="s">
        <v>805</v>
      </c>
      <c r="M282" s="122" t="s">
        <v>311</v>
      </c>
      <c r="N282" s="122" t="s">
        <v>635</v>
      </c>
      <c r="O282" s="122" t="s">
        <v>62</v>
      </c>
      <c r="P282" s="122" t="s">
        <v>1324</v>
      </c>
      <c r="Q282" s="122" t="s">
        <v>65</v>
      </c>
      <c r="R282" s="122" t="s">
        <v>57</v>
      </c>
      <c r="S282" s="122" t="s">
        <v>1216</v>
      </c>
      <c r="T282" s="123">
        <v>1.76</v>
      </c>
      <c r="U282" s="122" t="s">
        <v>1281</v>
      </c>
      <c r="V282" s="125">
        <v>2.3400000000000001E-2</v>
      </c>
      <c r="W282" s="125">
        <v>2.962E-2</v>
      </c>
      <c r="X282" s="122" t="s">
        <v>620</v>
      </c>
      <c r="Y282" s="133"/>
      <c r="Z282" s="123">
        <v>728813.34</v>
      </c>
      <c r="AA282" s="123">
        <v>1</v>
      </c>
      <c r="AB282" s="123">
        <v>118.73</v>
      </c>
      <c r="AC282" s="122"/>
      <c r="AD282" s="123">
        <v>865.32</v>
      </c>
      <c r="AE282" s="122"/>
      <c r="AF282" s="122"/>
      <c r="AG282" s="122"/>
      <c r="AH282" s="125">
        <v>4.4999999999999999E-4</v>
      </c>
      <c r="AI282" s="125">
        <v>1.1310000000000001E-2</v>
      </c>
      <c r="AJ282" s="126">
        <v>5.9000000000000003E-4</v>
      </c>
      <c r="AK282" s="159"/>
    </row>
    <row r="283" spans="1:37" x14ac:dyDescent="0.2">
      <c r="A283" s="121" t="s">
        <v>1223</v>
      </c>
      <c r="B283" s="122" t="s">
        <v>1224</v>
      </c>
      <c r="C283" s="122" t="s">
        <v>1398</v>
      </c>
      <c r="D283" s="122" t="s">
        <v>1399</v>
      </c>
      <c r="E283" s="122" t="s">
        <v>429</v>
      </c>
      <c r="F283" s="122" t="s">
        <v>1456</v>
      </c>
      <c r="G283" s="122" t="s">
        <v>1457</v>
      </c>
      <c r="H283" s="122" t="s">
        <v>76</v>
      </c>
      <c r="I283" s="122" t="s">
        <v>229</v>
      </c>
      <c r="J283" s="122" t="s">
        <v>53</v>
      </c>
      <c r="K283" s="122" t="s">
        <v>53</v>
      </c>
      <c r="L283" s="122" t="s">
        <v>805</v>
      </c>
      <c r="M283" s="122" t="s">
        <v>311</v>
      </c>
      <c r="N283" s="122" t="s">
        <v>636</v>
      </c>
      <c r="O283" s="122" t="s">
        <v>62</v>
      </c>
      <c r="P283" s="122" t="s">
        <v>1402</v>
      </c>
      <c r="Q283" s="122" t="s">
        <v>70</v>
      </c>
      <c r="R283" s="122" t="s">
        <v>57</v>
      </c>
      <c r="S283" s="122" t="s">
        <v>1216</v>
      </c>
      <c r="T283" s="123">
        <v>2.2400000000000002</v>
      </c>
      <c r="U283" s="122" t="s">
        <v>1458</v>
      </c>
      <c r="V283" s="125">
        <v>3.2800000000000003E-2</v>
      </c>
      <c r="W283" s="125">
        <v>4.6240000000000003E-2</v>
      </c>
      <c r="X283" s="122" t="s">
        <v>620</v>
      </c>
      <c r="Y283" s="133"/>
      <c r="Z283" s="123">
        <v>660471.56000000006</v>
      </c>
      <c r="AA283" s="123">
        <v>1</v>
      </c>
      <c r="AB283" s="123">
        <v>117.77</v>
      </c>
      <c r="AC283" s="122"/>
      <c r="AD283" s="123">
        <v>777.83699999999999</v>
      </c>
      <c r="AE283" s="122"/>
      <c r="AF283" s="122"/>
      <c r="AG283" s="122"/>
      <c r="AH283" s="125">
        <v>4.6000000000000001E-4</v>
      </c>
      <c r="AI283" s="125">
        <v>1.017E-2</v>
      </c>
      <c r="AJ283" s="126">
        <v>5.2999999999999998E-4</v>
      </c>
      <c r="AK283" s="159"/>
    </row>
    <row r="284" spans="1:37" x14ac:dyDescent="0.2">
      <c r="A284" s="121" t="s">
        <v>1223</v>
      </c>
      <c r="B284" s="122" t="s">
        <v>1224</v>
      </c>
      <c r="C284" s="122" t="s">
        <v>1446</v>
      </c>
      <c r="D284" s="122" t="s">
        <v>1447</v>
      </c>
      <c r="E284" s="122" t="s">
        <v>429</v>
      </c>
      <c r="F284" s="122" t="s">
        <v>1448</v>
      </c>
      <c r="G284" s="122" t="s">
        <v>1449</v>
      </c>
      <c r="H284" s="122" t="s">
        <v>76</v>
      </c>
      <c r="I284" s="122" t="s">
        <v>228</v>
      </c>
      <c r="J284" s="122" t="s">
        <v>53</v>
      </c>
      <c r="K284" s="122" t="s">
        <v>53</v>
      </c>
      <c r="L284" s="122" t="s">
        <v>805</v>
      </c>
      <c r="M284" s="122" t="s">
        <v>311</v>
      </c>
      <c r="N284" s="122" t="s">
        <v>156</v>
      </c>
      <c r="O284" s="122" t="s">
        <v>62</v>
      </c>
      <c r="P284" s="122" t="s">
        <v>1450</v>
      </c>
      <c r="Q284" s="122" t="s">
        <v>65</v>
      </c>
      <c r="R284" s="122" t="s">
        <v>57</v>
      </c>
      <c r="S284" s="122" t="s">
        <v>1216</v>
      </c>
      <c r="T284" s="123">
        <v>2.8</v>
      </c>
      <c r="U284" s="122" t="s">
        <v>1451</v>
      </c>
      <c r="V284" s="125">
        <v>2.5000000000000001E-2</v>
      </c>
      <c r="W284" s="125">
        <v>4.972E-2</v>
      </c>
      <c r="X284" s="122" t="s">
        <v>620</v>
      </c>
      <c r="Y284" s="133"/>
      <c r="Z284" s="123">
        <v>779220.1</v>
      </c>
      <c r="AA284" s="123">
        <v>1</v>
      </c>
      <c r="AB284" s="123">
        <v>93.71</v>
      </c>
      <c r="AC284" s="122"/>
      <c r="AD284" s="123">
        <v>730.20699999999999</v>
      </c>
      <c r="AE284" s="122"/>
      <c r="AF284" s="122"/>
      <c r="AG284" s="122"/>
      <c r="AH284" s="125">
        <v>1.17E-3</v>
      </c>
      <c r="AI284" s="125">
        <v>9.5399999999999999E-3</v>
      </c>
      <c r="AJ284" s="126">
        <v>5.0000000000000001E-4</v>
      </c>
      <c r="AK284" s="159"/>
    </row>
    <row r="285" spans="1:37" x14ac:dyDescent="0.2">
      <c r="A285" s="121" t="s">
        <v>1223</v>
      </c>
      <c r="B285" s="122" t="s">
        <v>1224</v>
      </c>
      <c r="C285" s="122" t="s">
        <v>1332</v>
      </c>
      <c r="D285" s="122" t="s">
        <v>1333</v>
      </c>
      <c r="E285" s="122" t="s">
        <v>430</v>
      </c>
      <c r="F285" s="122" t="s">
        <v>1467</v>
      </c>
      <c r="G285" s="122" t="s">
        <v>1468</v>
      </c>
      <c r="H285" s="122" t="s">
        <v>76</v>
      </c>
      <c r="I285" s="122" t="s">
        <v>229</v>
      </c>
      <c r="J285" s="122" t="s">
        <v>53</v>
      </c>
      <c r="K285" s="122" t="s">
        <v>53</v>
      </c>
      <c r="L285" s="122" t="s">
        <v>805</v>
      </c>
      <c r="M285" s="122" t="s">
        <v>311</v>
      </c>
      <c r="N285" s="122" t="s">
        <v>156</v>
      </c>
      <c r="O285" s="122" t="s">
        <v>62</v>
      </c>
      <c r="P285" s="122" t="s">
        <v>1215</v>
      </c>
      <c r="Q285" s="122" t="s">
        <v>70</v>
      </c>
      <c r="R285" s="122" t="s">
        <v>57</v>
      </c>
      <c r="S285" s="122" t="s">
        <v>1216</v>
      </c>
      <c r="T285" s="123">
        <v>0.41</v>
      </c>
      <c r="U285" s="122" t="s">
        <v>1469</v>
      </c>
      <c r="V285" s="125">
        <v>4.4999999999999998E-2</v>
      </c>
      <c r="W285" s="125">
        <v>5.2880000000000003E-2</v>
      </c>
      <c r="X285" s="122" t="s">
        <v>620</v>
      </c>
      <c r="Y285" s="133"/>
      <c r="Z285" s="123">
        <v>434463.5</v>
      </c>
      <c r="AA285" s="123">
        <v>1</v>
      </c>
      <c r="AB285" s="123">
        <v>120.41</v>
      </c>
      <c r="AC285" s="122"/>
      <c r="AD285" s="123">
        <v>523.13800000000003</v>
      </c>
      <c r="AE285" s="122"/>
      <c r="AF285" s="122"/>
      <c r="AG285" s="122"/>
      <c r="AH285" s="125">
        <v>2.9E-4</v>
      </c>
      <c r="AI285" s="125">
        <v>6.8399999999999997E-3</v>
      </c>
      <c r="AJ285" s="126">
        <v>3.6000000000000002E-4</v>
      </c>
      <c r="AK285" s="159"/>
    </row>
    <row r="286" spans="1:37" x14ac:dyDescent="0.2">
      <c r="A286" s="121" t="s">
        <v>1223</v>
      </c>
      <c r="B286" s="122" t="s">
        <v>1224</v>
      </c>
      <c r="C286" s="122" t="s">
        <v>1494</v>
      </c>
      <c r="D286" s="122" t="s">
        <v>1495</v>
      </c>
      <c r="E286" s="122" t="s">
        <v>429</v>
      </c>
      <c r="F286" s="122" t="s">
        <v>1496</v>
      </c>
      <c r="G286" s="122" t="s">
        <v>1497</v>
      </c>
      <c r="H286" s="122" t="s">
        <v>76</v>
      </c>
      <c r="I286" s="122" t="s">
        <v>229</v>
      </c>
      <c r="J286" s="122" t="s">
        <v>53</v>
      </c>
      <c r="K286" s="122" t="s">
        <v>53</v>
      </c>
      <c r="L286" s="122" t="s">
        <v>805</v>
      </c>
      <c r="M286" s="122" t="s">
        <v>311</v>
      </c>
      <c r="N286" s="122" t="s">
        <v>256</v>
      </c>
      <c r="O286" s="122" t="s">
        <v>62</v>
      </c>
      <c r="P286" s="122" t="s">
        <v>1330</v>
      </c>
      <c r="Q286" s="122" t="s">
        <v>65</v>
      </c>
      <c r="R286" s="122" t="s">
        <v>57</v>
      </c>
      <c r="S286" s="122" t="s">
        <v>1216</v>
      </c>
      <c r="T286" s="123">
        <v>2.2599999999999998</v>
      </c>
      <c r="U286" s="122" t="s">
        <v>1498</v>
      </c>
      <c r="V286" s="125">
        <v>1.4999999999999999E-2</v>
      </c>
      <c r="W286" s="125">
        <v>2.5770000000000001E-2</v>
      </c>
      <c r="X286" s="122" t="s">
        <v>620</v>
      </c>
      <c r="Y286" s="133"/>
      <c r="Z286" s="123">
        <v>438799.72</v>
      </c>
      <c r="AA286" s="123">
        <v>1</v>
      </c>
      <c r="AB286" s="123">
        <v>116.97</v>
      </c>
      <c r="AC286" s="122"/>
      <c r="AD286" s="123">
        <v>513.26400000000001</v>
      </c>
      <c r="AE286" s="122"/>
      <c r="AF286" s="122"/>
      <c r="AG286" s="122"/>
      <c r="AH286" s="125">
        <v>1.89E-3</v>
      </c>
      <c r="AI286" s="125">
        <v>6.7099999999999998E-3</v>
      </c>
      <c r="AJ286" s="126">
        <v>3.5E-4</v>
      </c>
      <c r="AK286" s="159"/>
    </row>
    <row r="287" spans="1:37" x14ac:dyDescent="0.2">
      <c r="A287" s="121" t="s">
        <v>1223</v>
      </c>
      <c r="B287" s="122" t="s">
        <v>1224</v>
      </c>
      <c r="C287" s="122" t="s">
        <v>1477</v>
      </c>
      <c r="D287" s="122" t="s">
        <v>1478</v>
      </c>
      <c r="E287" s="122" t="s">
        <v>429</v>
      </c>
      <c r="F287" s="122" t="s">
        <v>1479</v>
      </c>
      <c r="G287" s="122" t="s">
        <v>1480</v>
      </c>
      <c r="H287" s="122" t="s">
        <v>76</v>
      </c>
      <c r="I287" s="122" t="s">
        <v>228</v>
      </c>
      <c r="J287" s="122" t="s">
        <v>53</v>
      </c>
      <c r="K287" s="122" t="s">
        <v>53</v>
      </c>
      <c r="L287" s="122" t="s">
        <v>805</v>
      </c>
      <c r="M287" s="122" t="s">
        <v>311</v>
      </c>
      <c r="N287" s="122" t="s">
        <v>634</v>
      </c>
      <c r="O287" s="122" t="s">
        <v>62</v>
      </c>
      <c r="P287" s="122" t="s">
        <v>1324</v>
      </c>
      <c r="Q287" s="122" t="s">
        <v>65</v>
      </c>
      <c r="R287" s="122" t="s">
        <v>57</v>
      </c>
      <c r="S287" s="122" t="s">
        <v>1216</v>
      </c>
      <c r="T287" s="123">
        <v>2.41</v>
      </c>
      <c r="U287" s="122" t="s">
        <v>1481</v>
      </c>
      <c r="V287" s="125">
        <v>5.0900000000000001E-2</v>
      </c>
      <c r="W287" s="125">
        <v>4.582E-2</v>
      </c>
      <c r="X287" s="122" t="s">
        <v>620</v>
      </c>
      <c r="Y287" s="133"/>
      <c r="Z287" s="123">
        <v>317138.94</v>
      </c>
      <c r="AA287" s="123">
        <v>1</v>
      </c>
      <c r="AB287" s="123">
        <v>101.07</v>
      </c>
      <c r="AC287" s="123">
        <v>99.462999999999994</v>
      </c>
      <c r="AD287" s="123">
        <v>419.995</v>
      </c>
      <c r="AE287" s="122"/>
      <c r="AF287" s="122"/>
      <c r="AG287" s="122"/>
      <c r="AH287" s="125">
        <v>7.6999999999999996E-4</v>
      </c>
      <c r="AI287" s="125">
        <v>6.79E-3</v>
      </c>
      <c r="AJ287" s="126">
        <v>3.5E-4</v>
      </c>
      <c r="AK287" s="159"/>
    </row>
    <row r="288" spans="1:37" x14ac:dyDescent="0.2">
      <c r="A288" s="121" t="s">
        <v>1223</v>
      </c>
      <c r="B288" s="122" t="s">
        <v>1224</v>
      </c>
      <c r="C288" s="122" t="s">
        <v>1393</v>
      </c>
      <c r="D288" s="122" t="s">
        <v>1394</v>
      </c>
      <c r="E288" s="122" t="s">
        <v>429</v>
      </c>
      <c r="F288" s="122" t="s">
        <v>1470</v>
      </c>
      <c r="G288" s="122" t="s">
        <v>1471</v>
      </c>
      <c r="H288" s="122" t="s">
        <v>76</v>
      </c>
      <c r="I288" s="122" t="s">
        <v>229</v>
      </c>
      <c r="J288" s="122" t="s">
        <v>53</v>
      </c>
      <c r="K288" s="122" t="s">
        <v>53</v>
      </c>
      <c r="L288" s="122" t="s">
        <v>805</v>
      </c>
      <c r="M288" s="122" t="s">
        <v>311</v>
      </c>
      <c r="N288" s="122" t="s">
        <v>269</v>
      </c>
      <c r="O288" s="122" t="s">
        <v>62</v>
      </c>
      <c r="P288" s="122" t="s">
        <v>1377</v>
      </c>
      <c r="Q288" s="122" t="s">
        <v>70</v>
      </c>
      <c r="R288" s="122" t="s">
        <v>57</v>
      </c>
      <c r="S288" s="122" t="s">
        <v>1216</v>
      </c>
      <c r="T288" s="123">
        <v>1.23</v>
      </c>
      <c r="U288" s="122" t="s">
        <v>1430</v>
      </c>
      <c r="V288" s="125">
        <v>2.4E-2</v>
      </c>
      <c r="W288" s="125">
        <v>2.9489999999999999E-2</v>
      </c>
      <c r="X288" s="122" t="s">
        <v>620</v>
      </c>
      <c r="Y288" s="133"/>
      <c r="Z288" s="123">
        <v>350757.32</v>
      </c>
      <c r="AA288" s="123">
        <v>1</v>
      </c>
      <c r="AB288" s="123">
        <v>118.57</v>
      </c>
      <c r="AC288" s="122"/>
      <c r="AD288" s="123">
        <v>415.89299999999997</v>
      </c>
      <c r="AE288" s="122"/>
      <c r="AF288" s="122"/>
      <c r="AG288" s="122"/>
      <c r="AH288" s="125">
        <v>1.1900000000000001E-3</v>
      </c>
      <c r="AI288" s="125">
        <v>5.4400000000000004E-3</v>
      </c>
      <c r="AJ288" s="126">
        <v>2.7999999999999998E-4</v>
      </c>
      <c r="AK288" s="159"/>
    </row>
    <row r="289" spans="1:37" x14ac:dyDescent="0.2">
      <c r="A289" s="121" t="s">
        <v>1223</v>
      </c>
      <c r="B289" s="122" t="s">
        <v>1224</v>
      </c>
      <c r="C289" s="122" t="s">
        <v>1472</v>
      </c>
      <c r="D289" s="122" t="s">
        <v>1473</v>
      </c>
      <c r="E289" s="122" t="s">
        <v>429</v>
      </c>
      <c r="F289" s="122" t="s">
        <v>1474</v>
      </c>
      <c r="G289" s="122" t="s">
        <v>1475</v>
      </c>
      <c r="H289" s="122" t="s">
        <v>76</v>
      </c>
      <c r="I289" s="122" t="s">
        <v>228</v>
      </c>
      <c r="J289" s="122" t="s">
        <v>53</v>
      </c>
      <c r="K289" s="122" t="s">
        <v>53</v>
      </c>
      <c r="L289" s="122" t="s">
        <v>805</v>
      </c>
      <c r="M289" s="122" t="s">
        <v>311</v>
      </c>
      <c r="N289" s="122" t="s">
        <v>260</v>
      </c>
      <c r="O289" s="122" t="s">
        <v>62</v>
      </c>
      <c r="P289" s="122" t="s">
        <v>1454</v>
      </c>
      <c r="Q289" s="122" t="s">
        <v>70</v>
      </c>
      <c r="R289" s="122" t="s">
        <v>57</v>
      </c>
      <c r="S289" s="122" t="s">
        <v>1216</v>
      </c>
      <c r="T289" s="123">
        <v>0.17</v>
      </c>
      <c r="U289" s="122" t="s">
        <v>1476</v>
      </c>
      <c r="V289" s="125">
        <v>3.6499999999999998E-2</v>
      </c>
      <c r="W289" s="125">
        <v>4.367E-2</v>
      </c>
      <c r="X289" s="122" t="s">
        <v>620</v>
      </c>
      <c r="Y289" s="133"/>
      <c r="Z289" s="123">
        <v>380589.18</v>
      </c>
      <c r="AA289" s="123">
        <v>1</v>
      </c>
      <c r="AB289" s="123">
        <v>101.1</v>
      </c>
      <c r="AC289" s="122"/>
      <c r="AD289" s="123">
        <v>384.77600000000001</v>
      </c>
      <c r="AE289" s="122"/>
      <c r="AF289" s="122"/>
      <c r="AG289" s="122"/>
      <c r="AH289" s="125">
        <v>7.1000000000000002E-4</v>
      </c>
      <c r="AI289" s="125">
        <v>5.0299999999999997E-3</v>
      </c>
      <c r="AJ289" s="126">
        <v>2.5999999999999998E-4</v>
      </c>
      <c r="AK289" s="159"/>
    </row>
    <row r="290" spans="1:37" x14ac:dyDescent="0.2">
      <c r="A290" s="121" t="s">
        <v>1223</v>
      </c>
      <c r="B290" s="122" t="s">
        <v>1224</v>
      </c>
      <c r="C290" s="122" t="s">
        <v>1332</v>
      </c>
      <c r="D290" s="122" t="s">
        <v>1333</v>
      </c>
      <c r="E290" s="122" t="s">
        <v>430</v>
      </c>
      <c r="F290" s="122" t="s">
        <v>1485</v>
      </c>
      <c r="G290" s="122" t="s">
        <v>1486</v>
      </c>
      <c r="H290" s="122" t="s">
        <v>76</v>
      </c>
      <c r="I290" s="122" t="s">
        <v>229</v>
      </c>
      <c r="J290" s="122" t="s">
        <v>53</v>
      </c>
      <c r="K290" s="122" t="s">
        <v>53</v>
      </c>
      <c r="L290" s="122" t="s">
        <v>805</v>
      </c>
      <c r="M290" s="122" t="s">
        <v>311</v>
      </c>
      <c r="N290" s="122" t="s">
        <v>156</v>
      </c>
      <c r="O290" s="122" t="s">
        <v>62</v>
      </c>
      <c r="P290" s="122" t="s">
        <v>1330</v>
      </c>
      <c r="Q290" s="122" t="s">
        <v>65</v>
      </c>
      <c r="R290" s="122" t="s">
        <v>57</v>
      </c>
      <c r="S290" s="122" t="s">
        <v>1216</v>
      </c>
      <c r="T290" s="123">
        <v>7.58</v>
      </c>
      <c r="U290" s="122" t="s">
        <v>1487</v>
      </c>
      <c r="V290" s="125">
        <v>2.9899999999999999E-2</v>
      </c>
      <c r="W290" s="125">
        <v>2.7470000000000001E-2</v>
      </c>
      <c r="X290" s="122" t="s">
        <v>620</v>
      </c>
      <c r="Y290" s="133"/>
      <c r="Z290" s="123">
        <v>361000</v>
      </c>
      <c r="AA290" s="123">
        <v>1</v>
      </c>
      <c r="AB290" s="123">
        <v>105.38</v>
      </c>
      <c r="AC290" s="122"/>
      <c r="AD290" s="123">
        <v>380.42200000000003</v>
      </c>
      <c r="AE290" s="122"/>
      <c r="AF290" s="122"/>
      <c r="AG290" s="122"/>
      <c r="AH290" s="125">
        <v>9.3000000000000005E-4</v>
      </c>
      <c r="AI290" s="125">
        <v>4.9699999999999996E-3</v>
      </c>
      <c r="AJ290" s="126">
        <v>2.5999999999999998E-4</v>
      </c>
      <c r="AK290" s="159"/>
    </row>
    <row r="291" spans="1:37" x14ac:dyDescent="0.2">
      <c r="A291" s="121" t="s">
        <v>1223</v>
      </c>
      <c r="B291" s="122" t="s">
        <v>1224</v>
      </c>
      <c r="C291" s="122" t="s">
        <v>1419</v>
      </c>
      <c r="D291" s="122" t="s">
        <v>1420</v>
      </c>
      <c r="E291" s="122" t="s">
        <v>429</v>
      </c>
      <c r="F291" s="122" t="s">
        <v>1488</v>
      </c>
      <c r="G291" s="122" t="s">
        <v>1489</v>
      </c>
      <c r="H291" s="122" t="s">
        <v>76</v>
      </c>
      <c r="I291" s="122" t="s">
        <v>229</v>
      </c>
      <c r="J291" s="122" t="s">
        <v>53</v>
      </c>
      <c r="K291" s="122" t="s">
        <v>53</v>
      </c>
      <c r="L291" s="122" t="s">
        <v>805</v>
      </c>
      <c r="M291" s="122" t="s">
        <v>311</v>
      </c>
      <c r="N291" s="122" t="s">
        <v>269</v>
      </c>
      <c r="O291" s="122" t="s">
        <v>62</v>
      </c>
      <c r="P291" s="122" t="s">
        <v>1423</v>
      </c>
      <c r="Q291" s="122" t="s">
        <v>70</v>
      </c>
      <c r="R291" s="122" t="s">
        <v>57</v>
      </c>
      <c r="S291" s="122" t="s">
        <v>1216</v>
      </c>
      <c r="T291" s="123">
        <v>3.74</v>
      </c>
      <c r="U291" s="122" t="s">
        <v>1490</v>
      </c>
      <c r="V291" s="125">
        <v>5.1700000000000003E-2</v>
      </c>
      <c r="W291" s="125">
        <v>4.6330000000000003E-2</v>
      </c>
      <c r="X291" s="122" t="s">
        <v>620</v>
      </c>
      <c r="Y291" s="133"/>
      <c r="Z291" s="123">
        <v>314953</v>
      </c>
      <c r="AA291" s="123">
        <v>1</v>
      </c>
      <c r="AB291" s="123">
        <v>103.93</v>
      </c>
      <c r="AC291" s="122"/>
      <c r="AD291" s="123">
        <v>327.33100000000002</v>
      </c>
      <c r="AE291" s="122"/>
      <c r="AF291" s="122"/>
      <c r="AG291" s="122"/>
      <c r="AH291" s="125">
        <v>5.1999999999999995E-4</v>
      </c>
      <c r="AI291" s="125">
        <v>4.28E-3</v>
      </c>
      <c r="AJ291" s="126">
        <v>2.2000000000000001E-4</v>
      </c>
      <c r="AK291" s="159"/>
    </row>
    <row r="292" spans="1:37" x14ac:dyDescent="0.2">
      <c r="A292" s="121" t="s">
        <v>1223</v>
      </c>
      <c r="B292" s="122" t="s">
        <v>1224</v>
      </c>
      <c r="C292" s="122" t="s">
        <v>1320</v>
      </c>
      <c r="D292" s="122" t="s">
        <v>1321</v>
      </c>
      <c r="E292" s="122" t="s">
        <v>429</v>
      </c>
      <c r="F292" s="122" t="s">
        <v>1482</v>
      </c>
      <c r="G292" s="122" t="s">
        <v>1483</v>
      </c>
      <c r="H292" s="122" t="s">
        <v>76</v>
      </c>
      <c r="I292" s="122" t="s">
        <v>228</v>
      </c>
      <c r="J292" s="122" t="s">
        <v>53</v>
      </c>
      <c r="K292" s="122" t="s">
        <v>53</v>
      </c>
      <c r="L292" s="122" t="s">
        <v>805</v>
      </c>
      <c r="M292" s="122" t="s">
        <v>311</v>
      </c>
      <c r="N292" s="122" t="s">
        <v>269</v>
      </c>
      <c r="O292" s="122" t="s">
        <v>62</v>
      </c>
      <c r="P292" s="122" t="s">
        <v>1454</v>
      </c>
      <c r="Q292" s="122" t="s">
        <v>70</v>
      </c>
      <c r="R292" s="122" t="s">
        <v>57</v>
      </c>
      <c r="S292" s="122" t="s">
        <v>1216</v>
      </c>
      <c r="T292" s="123">
        <v>3.4</v>
      </c>
      <c r="U292" s="122" t="s">
        <v>1484</v>
      </c>
      <c r="V292" s="125">
        <v>2.6200000000000001E-2</v>
      </c>
      <c r="W292" s="125">
        <v>4.512E-2</v>
      </c>
      <c r="X292" s="122" t="s">
        <v>620</v>
      </c>
      <c r="Y292" s="133"/>
      <c r="Z292" s="123">
        <v>318012</v>
      </c>
      <c r="AA292" s="123">
        <v>1</v>
      </c>
      <c r="AB292" s="123">
        <v>95.06</v>
      </c>
      <c r="AC292" s="122"/>
      <c r="AD292" s="123">
        <v>302.30200000000002</v>
      </c>
      <c r="AE292" s="122"/>
      <c r="AF292" s="122"/>
      <c r="AG292" s="122"/>
      <c r="AH292" s="125">
        <v>2.5000000000000001E-4</v>
      </c>
      <c r="AI292" s="125">
        <v>3.9500000000000004E-3</v>
      </c>
      <c r="AJ292" s="126">
        <v>2.1000000000000001E-4</v>
      </c>
      <c r="AK292" s="159"/>
    </row>
    <row r="293" spans="1:37" x14ac:dyDescent="0.2">
      <c r="A293" s="121" t="s">
        <v>1223</v>
      </c>
      <c r="B293" s="122" t="s">
        <v>1224</v>
      </c>
      <c r="C293" s="122" t="s">
        <v>1393</v>
      </c>
      <c r="D293" s="122" t="s">
        <v>1394</v>
      </c>
      <c r="E293" s="122" t="s">
        <v>429</v>
      </c>
      <c r="F293" s="122" t="s">
        <v>1491</v>
      </c>
      <c r="G293" s="122" t="s">
        <v>1492</v>
      </c>
      <c r="H293" s="122" t="s">
        <v>76</v>
      </c>
      <c r="I293" s="122" t="s">
        <v>228</v>
      </c>
      <c r="J293" s="122" t="s">
        <v>53</v>
      </c>
      <c r="K293" s="122" t="s">
        <v>53</v>
      </c>
      <c r="L293" s="122" t="s">
        <v>805</v>
      </c>
      <c r="M293" s="122" t="s">
        <v>311</v>
      </c>
      <c r="N293" s="122" t="s">
        <v>269</v>
      </c>
      <c r="O293" s="122" t="s">
        <v>62</v>
      </c>
      <c r="P293" s="122" t="s">
        <v>1377</v>
      </c>
      <c r="Q293" s="122" t="s">
        <v>70</v>
      </c>
      <c r="R293" s="122" t="s">
        <v>57</v>
      </c>
      <c r="S293" s="122" t="s">
        <v>1216</v>
      </c>
      <c r="T293" s="123">
        <v>2.14</v>
      </c>
      <c r="U293" s="122" t="s">
        <v>1493</v>
      </c>
      <c r="V293" s="125">
        <v>4.36E-2</v>
      </c>
      <c r="W293" s="125">
        <v>4.4060000000000002E-2</v>
      </c>
      <c r="X293" s="122" t="s">
        <v>620</v>
      </c>
      <c r="Y293" s="133"/>
      <c r="Z293" s="123">
        <v>278180</v>
      </c>
      <c r="AA293" s="123">
        <v>1</v>
      </c>
      <c r="AB293" s="123">
        <v>101.09</v>
      </c>
      <c r="AC293" s="122"/>
      <c r="AD293" s="123">
        <v>281.21199999999999</v>
      </c>
      <c r="AE293" s="122"/>
      <c r="AF293" s="122"/>
      <c r="AG293" s="122"/>
      <c r="AH293" s="125">
        <v>9.3000000000000005E-4</v>
      </c>
      <c r="AI293" s="125">
        <v>3.6800000000000001E-3</v>
      </c>
      <c r="AJ293" s="126">
        <v>1.9000000000000001E-4</v>
      </c>
      <c r="AK293" s="159"/>
    </row>
    <row r="294" spans="1:37" x14ac:dyDescent="0.2">
      <c r="A294" s="121" t="s">
        <v>1223</v>
      </c>
      <c r="B294" s="122" t="s">
        <v>1224</v>
      </c>
      <c r="C294" s="122" t="s">
        <v>1462</v>
      </c>
      <c r="D294" s="122" t="s">
        <v>1463</v>
      </c>
      <c r="E294" s="122" t="s">
        <v>429</v>
      </c>
      <c r="F294" s="122" t="s">
        <v>1464</v>
      </c>
      <c r="G294" s="122" t="s">
        <v>1465</v>
      </c>
      <c r="H294" s="122" t="s">
        <v>76</v>
      </c>
      <c r="I294" s="122" t="s">
        <v>229</v>
      </c>
      <c r="J294" s="122" t="s">
        <v>53</v>
      </c>
      <c r="K294" s="122" t="s">
        <v>53</v>
      </c>
      <c r="L294" s="122" t="s">
        <v>805</v>
      </c>
      <c r="M294" s="122" t="s">
        <v>311</v>
      </c>
      <c r="N294" s="122" t="s">
        <v>156</v>
      </c>
      <c r="O294" s="122" t="s">
        <v>62</v>
      </c>
      <c r="P294" s="122" t="s">
        <v>1369</v>
      </c>
      <c r="Q294" s="122" t="s">
        <v>65</v>
      </c>
      <c r="R294" s="122" t="s">
        <v>57</v>
      </c>
      <c r="S294" s="122" t="s">
        <v>1216</v>
      </c>
      <c r="T294" s="123">
        <v>1.62</v>
      </c>
      <c r="U294" s="122" t="s">
        <v>1466</v>
      </c>
      <c r="V294" s="125">
        <v>1.9400000000000001E-2</v>
      </c>
      <c r="W294" s="125">
        <v>2.6239999999999999E-2</v>
      </c>
      <c r="X294" s="122" t="s">
        <v>620</v>
      </c>
      <c r="Y294" s="133"/>
      <c r="Z294" s="123">
        <v>171693.83</v>
      </c>
      <c r="AA294" s="123">
        <v>1</v>
      </c>
      <c r="AB294" s="123">
        <v>119.07</v>
      </c>
      <c r="AC294" s="122"/>
      <c r="AD294" s="123">
        <v>204.43600000000001</v>
      </c>
      <c r="AE294" s="122"/>
      <c r="AF294" s="122"/>
      <c r="AG294" s="122"/>
      <c r="AH294" s="125">
        <v>7.1000000000000002E-4</v>
      </c>
      <c r="AI294" s="125">
        <v>2.6700000000000001E-3</v>
      </c>
      <c r="AJ294" s="126">
        <v>1.3999999999999999E-4</v>
      </c>
      <c r="AK294" s="159"/>
    </row>
    <row r="295" spans="1:37" x14ac:dyDescent="0.2">
      <c r="A295" s="121" t="s">
        <v>1223</v>
      </c>
      <c r="B295" s="122" t="s">
        <v>1224</v>
      </c>
      <c r="C295" s="122" t="s">
        <v>1419</v>
      </c>
      <c r="D295" s="122" t="s">
        <v>1420</v>
      </c>
      <c r="E295" s="122" t="s">
        <v>429</v>
      </c>
      <c r="F295" s="122" t="s">
        <v>1509</v>
      </c>
      <c r="G295" s="122" t="s">
        <v>1510</v>
      </c>
      <c r="H295" s="122" t="s">
        <v>76</v>
      </c>
      <c r="I295" s="122" t="s">
        <v>229</v>
      </c>
      <c r="J295" s="122" t="s">
        <v>53</v>
      </c>
      <c r="K295" s="122" t="s">
        <v>53</v>
      </c>
      <c r="L295" s="122" t="s">
        <v>805</v>
      </c>
      <c r="M295" s="122" t="s">
        <v>311</v>
      </c>
      <c r="N295" s="122" t="s">
        <v>269</v>
      </c>
      <c r="O295" s="122" t="s">
        <v>62</v>
      </c>
      <c r="P295" s="122" t="s">
        <v>1423</v>
      </c>
      <c r="Q295" s="122" t="s">
        <v>70</v>
      </c>
      <c r="R295" s="122" t="s">
        <v>57</v>
      </c>
      <c r="S295" s="122" t="s">
        <v>1216</v>
      </c>
      <c r="T295" s="123">
        <v>4.5999999999999996</v>
      </c>
      <c r="U295" s="122" t="s">
        <v>1511</v>
      </c>
      <c r="V295" s="125">
        <v>5.3999999999999999E-2</v>
      </c>
      <c r="W295" s="125">
        <v>4.7530000000000003E-2</v>
      </c>
      <c r="X295" s="122" t="s">
        <v>620</v>
      </c>
      <c r="Y295" s="133"/>
      <c r="Z295" s="123">
        <v>170706</v>
      </c>
      <c r="AA295" s="123">
        <v>1</v>
      </c>
      <c r="AB295" s="123">
        <v>104.57</v>
      </c>
      <c r="AC295" s="122"/>
      <c r="AD295" s="123">
        <v>178.50700000000001</v>
      </c>
      <c r="AE295" s="122"/>
      <c r="AF295" s="122"/>
      <c r="AG295" s="122"/>
      <c r="AH295" s="125">
        <v>2.9999999999999997E-4</v>
      </c>
      <c r="AI295" s="125">
        <v>2.33E-3</v>
      </c>
      <c r="AJ295" s="126">
        <v>1.2E-4</v>
      </c>
      <c r="AK295" s="159"/>
    </row>
    <row r="296" spans="1:37" x14ac:dyDescent="0.2">
      <c r="A296" s="121" t="s">
        <v>1223</v>
      </c>
      <c r="B296" s="122" t="s">
        <v>1224</v>
      </c>
      <c r="C296" s="122" t="s">
        <v>1504</v>
      </c>
      <c r="D296" s="122" t="s">
        <v>1505</v>
      </c>
      <c r="E296" s="122" t="s">
        <v>429</v>
      </c>
      <c r="F296" s="122" t="s">
        <v>1506</v>
      </c>
      <c r="G296" s="122" t="s">
        <v>1507</v>
      </c>
      <c r="H296" s="122" t="s">
        <v>76</v>
      </c>
      <c r="I296" s="122" t="s">
        <v>229</v>
      </c>
      <c r="J296" s="122" t="s">
        <v>53</v>
      </c>
      <c r="K296" s="122" t="s">
        <v>53</v>
      </c>
      <c r="L296" s="122" t="s">
        <v>805</v>
      </c>
      <c r="M296" s="122" t="s">
        <v>311</v>
      </c>
      <c r="N296" s="122" t="s">
        <v>269</v>
      </c>
      <c r="O296" s="122" t="s">
        <v>62</v>
      </c>
      <c r="P296" s="122" t="s">
        <v>1324</v>
      </c>
      <c r="Q296" s="122" t="s">
        <v>65</v>
      </c>
      <c r="R296" s="122" t="s">
        <v>57</v>
      </c>
      <c r="S296" s="122" t="s">
        <v>1216</v>
      </c>
      <c r="T296" s="123">
        <v>3.56</v>
      </c>
      <c r="U296" s="122" t="s">
        <v>1508</v>
      </c>
      <c r="V296" s="125">
        <v>4.4000000000000003E-3</v>
      </c>
      <c r="W296" s="125">
        <v>2.683E-2</v>
      </c>
      <c r="X296" s="122" t="s">
        <v>620</v>
      </c>
      <c r="Y296" s="133"/>
      <c r="Z296" s="123">
        <v>139359.44</v>
      </c>
      <c r="AA296" s="123">
        <v>1</v>
      </c>
      <c r="AB296" s="123">
        <v>109.63</v>
      </c>
      <c r="AC296" s="122"/>
      <c r="AD296" s="123">
        <v>152.78</v>
      </c>
      <c r="AE296" s="122"/>
      <c r="AF296" s="122"/>
      <c r="AG296" s="122"/>
      <c r="AH296" s="125">
        <v>1.2E-4</v>
      </c>
      <c r="AI296" s="125">
        <v>2E-3</v>
      </c>
      <c r="AJ296" s="126">
        <v>1E-4</v>
      </c>
      <c r="AK296" s="159"/>
    </row>
    <row r="297" spans="1:37" x14ac:dyDescent="0.2">
      <c r="A297" s="121" t="s">
        <v>1223</v>
      </c>
      <c r="B297" s="122" t="s">
        <v>1224</v>
      </c>
      <c r="C297" s="122" t="s">
        <v>1462</v>
      </c>
      <c r="D297" s="122" t="s">
        <v>1463</v>
      </c>
      <c r="E297" s="122" t="s">
        <v>429</v>
      </c>
      <c r="F297" s="122" t="s">
        <v>1512</v>
      </c>
      <c r="G297" s="122" t="s">
        <v>1513</v>
      </c>
      <c r="H297" s="122" t="s">
        <v>76</v>
      </c>
      <c r="I297" s="122" t="s">
        <v>229</v>
      </c>
      <c r="J297" s="122" t="s">
        <v>53</v>
      </c>
      <c r="K297" s="122" t="s">
        <v>53</v>
      </c>
      <c r="L297" s="122" t="s">
        <v>805</v>
      </c>
      <c r="M297" s="122" t="s">
        <v>311</v>
      </c>
      <c r="N297" s="122" t="s">
        <v>156</v>
      </c>
      <c r="O297" s="122" t="s">
        <v>62</v>
      </c>
      <c r="P297" s="122" t="s">
        <v>1369</v>
      </c>
      <c r="Q297" s="122" t="s">
        <v>65</v>
      </c>
      <c r="R297" s="122" t="s">
        <v>57</v>
      </c>
      <c r="S297" s="122" t="s">
        <v>1216</v>
      </c>
      <c r="T297" s="123">
        <v>2.61</v>
      </c>
      <c r="U297" s="122" t="s">
        <v>1514</v>
      </c>
      <c r="V297" s="125">
        <v>1.23E-2</v>
      </c>
      <c r="W297" s="125">
        <v>2.6530000000000001E-2</v>
      </c>
      <c r="X297" s="122" t="s">
        <v>620</v>
      </c>
      <c r="Y297" s="133"/>
      <c r="Z297" s="123">
        <v>69864.02</v>
      </c>
      <c r="AA297" s="123">
        <v>1</v>
      </c>
      <c r="AB297" s="123">
        <v>115.53</v>
      </c>
      <c r="AC297" s="122"/>
      <c r="AD297" s="123">
        <v>80.713999999999999</v>
      </c>
      <c r="AE297" s="122"/>
      <c r="AF297" s="122"/>
      <c r="AG297" s="122"/>
      <c r="AH297" s="125">
        <v>6.9999999999999994E-5</v>
      </c>
      <c r="AI297" s="125">
        <v>1.0499999999999999E-3</v>
      </c>
      <c r="AJ297" s="126">
        <v>5.0000000000000002E-5</v>
      </c>
      <c r="AK297" s="159"/>
    </row>
    <row r="298" spans="1:37" x14ac:dyDescent="0.2">
      <c r="A298" s="121" t="s">
        <v>1223</v>
      </c>
      <c r="B298" s="122" t="s">
        <v>1224</v>
      </c>
      <c r="C298" s="122" t="s">
        <v>1520</v>
      </c>
      <c r="D298" s="122" t="s">
        <v>1521</v>
      </c>
      <c r="E298" s="122" t="s">
        <v>429</v>
      </c>
      <c r="F298" s="122" t="s">
        <v>1522</v>
      </c>
      <c r="G298" s="122" t="s">
        <v>1523</v>
      </c>
      <c r="H298" s="122" t="s">
        <v>76</v>
      </c>
      <c r="I298" s="122" t="s">
        <v>228</v>
      </c>
      <c r="J298" s="122" t="s">
        <v>53</v>
      </c>
      <c r="K298" s="122" t="s">
        <v>53</v>
      </c>
      <c r="L298" s="122" t="s">
        <v>805</v>
      </c>
      <c r="M298" s="122" t="s">
        <v>311</v>
      </c>
      <c r="N298" s="122" t="s">
        <v>269</v>
      </c>
      <c r="O298" s="122" t="s">
        <v>62</v>
      </c>
      <c r="P298" s="122" t="s">
        <v>1454</v>
      </c>
      <c r="Q298" s="122" t="s">
        <v>70</v>
      </c>
      <c r="R298" s="122" t="s">
        <v>57</v>
      </c>
      <c r="S298" s="122" t="s">
        <v>1216</v>
      </c>
      <c r="T298" s="123">
        <v>1</v>
      </c>
      <c r="U298" s="122" t="s">
        <v>1524</v>
      </c>
      <c r="V298" s="125">
        <v>2.9399999999999999E-2</v>
      </c>
      <c r="W298" s="125">
        <v>4.4350000000000001E-2</v>
      </c>
      <c r="X298" s="122" t="s">
        <v>620</v>
      </c>
      <c r="Y298" s="133"/>
      <c r="Z298" s="123">
        <v>65025.99</v>
      </c>
      <c r="AA298" s="123">
        <v>1</v>
      </c>
      <c r="AB298" s="123">
        <v>98.58</v>
      </c>
      <c r="AC298" s="122"/>
      <c r="AD298" s="123">
        <v>64.102999999999994</v>
      </c>
      <c r="AE298" s="122"/>
      <c r="AF298" s="122"/>
      <c r="AG298" s="122"/>
      <c r="AH298" s="125">
        <v>1.1999999999999999E-3</v>
      </c>
      <c r="AI298" s="125">
        <v>8.4000000000000003E-4</v>
      </c>
      <c r="AJ298" s="126">
        <v>4.0000000000000003E-5</v>
      </c>
      <c r="AK298" s="159"/>
    </row>
    <row r="299" spans="1:37" x14ac:dyDescent="0.2">
      <c r="A299" s="121" t="s">
        <v>1223</v>
      </c>
      <c r="B299" s="122" t="s">
        <v>1224</v>
      </c>
      <c r="C299" s="122" t="s">
        <v>1515</v>
      </c>
      <c r="D299" s="122" t="s">
        <v>1516</v>
      </c>
      <c r="E299" s="122" t="s">
        <v>429</v>
      </c>
      <c r="F299" s="122" t="s">
        <v>1517</v>
      </c>
      <c r="G299" s="122" t="s">
        <v>1518</v>
      </c>
      <c r="H299" s="122" t="s">
        <v>76</v>
      </c>
      <c r="I299" s="122" t="s">
        <v>229</v>
      </c>
      <c r="J299" s="122" t="s">
        <v>53</v>
      </c>
      <c r="K299" s="122" t="s">
        <v>53</v>
      </c>
      <c r="L299" s="122" t="s">
        <v>805</v>
      </c>
      <c r="M299" s="122" t="s">
        <v>311</v>
      </c>
      <c r="N299" s="122" t="s">
        <v>635</v>
      </c>
      <c r="O299" s="122" t="s">
        <v>62</v>
      </c>
      <c r="P299" s="122" t="s">
        <v>1377</v>
      </c>
      <c r="Q299" s="122" t="s">
        <v>70</v>
      </c>
      <c r="R299" s="122" t="s">
        <v>57</v>
      </c>
      <c r="S299" s="122" t="s">
        <v>1216</v>
      </c>
      <c r="T299" s="123">
        <v>1.96</v>
      </c>
      <c r="U299" s="122" t="s">
        <v>1519</v>
      </c>
      <c r="V299" s="125">
        <v>1.9599999999999999E-2</v>
      </c>
      <c r="W299" s="125">
        <v>2.981E-2</v>
      </c>
      <c r="X299" s="122" t="s">
        <v>620</v>
      </c>
      <c r="Y299" s="133"/>
      <c r="Z299" s="123">
        <v>53633</v>
      </c>
      <c r="AA299" s="123">
        <v>1</v>
      </c>
      <c r="AB299" s="123">
        <v>118.11</v>
      </c>
      <c r="AC299" s="122"/>
      <c r="AD299" s="123">
        <v>63.345999999999997</v>
      </c>
      <c r="AE299" s="122"/>
      <c r="AF299" s="122"/>
      <c r="AG299" s="122"/>
      <c r="AH299" s="125">
        <v>5.0000000000000002E-5</v>
      </c>
      <c r="AI299" s="125">
        <v>8.3000000000000001E-4</v>
      </c>
      <c r="AJ299" s="126">
        <v>4.0000000000000003E-5</v>
      </c>
      <c r="AK299" s="159"/>
    </row>
    <row r="300" spans="1:37" x14ac:dyDescent="0.2">
      <c r="A300" s="121" t="s">
        <v>1223</v>
      </c>
      <c r="B300" s="122" t="s">
        <v>1224</v>
      </c>
      <c r="C300" s="122" t="s">
        <v>1393</v>
      </c>
      <c r="D300" s="122" t="s">
        <v>1394</v>
      </c>
      <c r="E300" s="122" t="s">
        <v>429</v>
      </c>
      <c r="F300" s="122" t="s">
        <v>1525</v>
      </c>
      <c r="G300" s="122" t="s">
        <v>1526</v>
      </c>
      <c r="H300" s="122" t="s">
        <v>76</v>
      </c>
      <c r="I300" s="122" t="s">
        <v>228</v>
      </c>
      <c r="J300" s="122" t="s">
        <v>53</v>
      </c>
      <c r="K300" s="122" t="s">
        <v>53</v>
      </c>
      <c r="L300" s="122" t="s">
        <v>805</v>
      </c>
      <c r="M300" s="122" t="s">
        <v>311</v>
      </c>
      <c r="N300" s="122" t="s">
        <v>269</v>
      </c>
      <c r="O300" s="122" t="s">
        <v>62</v>
      </c>
      <c r="P300" s="122" t="s">
        <v>1377</v>
      </c>
      <c r="Q300" s="122" t="s">
        <v>70</v>
      </c>
      <c r="R300" s="122" t="s">
        <v>57</v>
      </c>
      <c r="S300" s="122" t="s">
        <v>1216</v>
      </c>
      <c r="T300" s="123">
        <v>3.91</v>
      </c>
      <c r="U300" s="122" t="s">
        <v>1527</v>
      </c>
      <c r="V300" s="125">
        <v>3.95E-2</v>
      </c>
      <c r="W300" s="125">
        <v>4.3999999999999997E-2</v>
      </c>
      <c r="X300" s="122" t="s">
        <v>620</v>
      </c>
      <c r="Y300" s="133"/>
      <c r="Z300" s="123">
        <v>50991</v>
      </c>
      <c r="AA300" s="123">
        <v>1</v>
      </c>
      <c r="AB300" s="123">
        <v>99.43</v>
      </c>
      <c r="AC300" s="122"/>
      <c r="AD300" s="123">
        <v>50.7</v>
      </c>
      <c r="AE300" s="122"/>
      <c r="AF300" s="122"/>
      <c r="AG300" s="122"/>
      <c r="AH300" s="125">
        <v>2.1000000000000001E-4</v>
      </c>
      <c r="AI300" s="125">
        <v>6.6E-4</v>
      </c>
      <c r="AJ300" s="126">
        <v>3.0000000000000001E-5</v>
      </c>
      <c r="AK300" s="159"/>
    </row>
    <row r="301" spans="1:37" x14ac:dyDescent="0.2">
      <c r="A301" s="121" t="s">
        <v>1223</v>
      </c>
      <c r="B301" s="122" t="s">
        <v>1224</v>
      </c>
      <c r="C301" s="122" t="s">
        <v>1393</v>
      </c>
      <c r="D301" s="122" t="s">
        <v>1394</v>
      </c>
      <c r="E301" s="122" t="s">
        <v>429</v>
      </c>
      <c r="F301" s="122" t="s">
        <v>1395</v>
      </c>
      <c r="G301" s="122" t="s">
        <v>1396</v>
      </c>
      <c r="H301" s="122" t="s">
        <v>76</v>
      </c>
      <c r="I301" s="122" t="s">
        <v>228</v>
      </c>
      <c r="J301" s="122" t="s">
        <v>53</v>
      </c>
      <c r="K301" s="122" t="s">
        <v>53</v>
      </c>
      <c r="L301" s="122" t="s">
        <v>805</v>
      </c>
      <c r="M301" s="122" t="s">
        <v>311</v>
      </c>
      <c r="N301" s="122" t="s">
        <v>269</v>
      </c>
      <c r="O301" s="122" t="s">
        <v>62</v>
      </c>
      <c r="P301" s="122" t="s">
        <v>1377</v>
      </c>
      <c r="Q301" s="122" t="s">
        <v>70</v>
      </c>
      <c r="R301" s="122" t="s">
        <v>57</v>
      </c>
      <c r="S301" s="122" t="s">
        <v>1216</v>
      </c>
      <c r="T301" s="123">
        <v>3.05</v>
      </c>
      <c r="U301" s="122" t="s">
        <v>1397</v>
      </c>
      <c r="V301" s="125">
        <v>3.95E-2</v>
      </c>
      <c r="W301" s="125">
        <v>4.3029999999999999E-2</v>
      </c>
      <c r="X301" s="122" t="s">
        <v>620</v>
      </c>
      <c r="Y301" s="133"/>
      <c r="Z301" s="123">
        <v>29016</v>
      </c>
      <c r="AA301" s="123">
        <v>1</v>
      </c>
      <c r="AB301" s="123">
        <v>100.05</v>
      </c>
      <c r="AC301" s="122"/>
      <c r="AD301" s="123">
        <v>29.030999999999999</v>
      </c>
      <c r="AE301" s="122"/>
      <c r="AF301" s="122"/>
      <c r="AG301" s="122"/>
      <c r="AH301" s="125">
        <v>1.2E-4</v>
      </c>
      <c r="AI301" s="125">
        <v>3.8000000000000002E-4</v>
      </c>
      <c r="AJ301" s="126">
        <v>2.0000000000000002E-5</v>
      </c>
      <c r="AK301" s="159"/>
    </row>
    <row r="302" spans="1:37" x14ac:dyDescent="0.2">
      <c r="A302" s="121" t="s">
        <v>1223</v>
      </c>
      <c r="B302" s="122" t="s">
        <v>1224</v>
      </c>
      <c r="C302" s="122" t="s">
        <v>1499</v>
      </c>
      <c r="D302" s="122" t="s">
        <v>1500</v>
      </c>
      <c r="E302" s="122" t="s">
        <v>429</v>
      </c>
      <c r="F302" s="122" t="s">
        <v>1501</v>
      </c>
      <c r="G302" s="122" t="s">
        <v>1502</v>
      </c>
      <c r="H302" s="122" t="s">
        <v>76</v>
      </c>
      <c r="I302" s="122" t="s">
        <v>228</v>
      </c>
      <c r="J302" s="122" t="s">
        <v>53</v>
      </c>
      <c r="K302" s="122" t="s">
        <v>53</v>
      </c>
      <c r="L302" s="122" t="s">
        <v>805</v>
      </c>
      <c r="M302" s="122" t="s">
        <v>311</v>
      </c>
      <c r="N302" s="122" t="s">
        <v>692</v>
      </c>
      <c r="O302" s="122" t="s">
        <v>62</v>
      </c>
      <c r="P302" s="122" t="s">
        <v>1450</v>
      </c>
      <c r="Q302" s="122" t="s">
        <v>65</v>
      </c>
      <c r="R302" s="122" t="s">
        <v>57</v>
      </c>
      <c r="S302" s="122" t="s">
        <v>1216</v>
      </c>
      <c r="T302" s="123">
        <v>0.74</v>
      </c>
      <c r="U302" s="122" t="s">
        <v>1503</v>
      </c>
      <c r="V302" s="125">
        <v>0.04</v>
      </c>
      <c r="W302" s="125">
        <v>5.1470000000000002E-2</v>
      </c>
      <c r="X302" s="122" t="s">
        <v>620</v>
      </c>
      <c r="Y302" s="133"/>
      <c r="Z302" s="123">
        <v>23915.200000000001</v>
      </c>
      <c r="AA302" s="123">
        <v>1</v>
      </c>
      <c r="AB302" s="123">
        <v>100.23</v>
      </c>
      <c r="AC302" s="122"/>
      <c r="AD302" s="123">
        <v>23.97</v>
      </c>
      <c r="AE302" s="122"/>
      <c r="AF302" s="122"/>
      <c r="AG302" s="122"/>
      <c r="AH302" s="125">
        <v>3.6000000000000002E-4</v>
      </c>
      <c r="AI302" s="125">
        <v>3.1E-4</v>
      </c>
      <c r="AJ302" s="126">
        <v>2.0000000000000002E-5</v>
      </c>
      <c r="AK302" s="159"/>
    </row>
    <row r="303" spans="1:37" x14ac:dyDescent="0.2">
      <c r="A303" s="121" t="s">
        <v>1223</v>
      </c>
      <c r="B303" s="122" t="s">
        <v>1224</v>
      </c>
      <c r="C303" s="122" t="s">
        <v>1388</v>
      </c>
      <c r="D303" s="122" t="s">
        <v>1389</v>
      </c>
      <c r="E303" s="122" t="s">
        <v>429</v>
      </c>
      <c r="F303" s="122" t="s">
        <v>1528</v>
      </c>
      <c r="G303" s="122" t="s">
        <v>1529</v>
      </c>
      <c r="H303" s="122" t="s">
        <v>76</v>
      </c>
      <c r="I303" s="122" t="s">
        <v>228</v>
      </c>
      <c r="J303" s="122" t="s">
        <v>53</v>
      </c>
      <c r="K303" s="122" t="s">
        <v>53</v>
      </c>
      <c r="L303" s="122" t="s">
        <v>805</v>
      </c>
      <c r="M303" s="122" t="s">
        <v>311</v>
      </c>
      <c r="N303" s="122" t="s">
        <v>635</v>
      </c>
      <c r="O303" s="122" t="s">
        <v>62</v>
      </c>
      <c r="P303" s="122" t="s">
        <v>1324</v>
      </c>
      <c r="Q303" s="122" t="s">
        <v>65</v>
      </c>
      <c r="R303" s="122" t="s">
        <v>57</v>
      </c>
      <c r="S303" s="122" t="s">
        <v>1216</v>
      </c>
      <c r="T303" s="123">
        <v>4.5599999999999996</v>
      </c>
      <c r="U303" s="122" t="s">
        <v>1530</v>
      </c>
      <c r="V303" s="125">
        <v>2.5499999999999998E-2</v>
      </c>
      <c r="W303" s="125">
        <v>4.9169999999999998E-2</v>
      </c>
      <c r="X303" s="122" t="s">
        <v>620</v>
      </c>
      <c r="Y303" s="133"/>
      <c r="Z303" s="123">
        <v>22793.75</v>
      </c>
      <c r="AA303" s="123">
        <v>1</v>
      </c>
      <c r="AB303" s="123">
        <v>90.63</v>
      </c>
      <c r="AC303" s="122"/>
      <c r="AD303" s="123">
        <v>20.658000000000001</v>
      </c>
      <c r="AE303" s="122"/>
      <c r="AF303" s="122"/>
      <c r="AG303" s="122"/>
      <c r="AH303" s="125">
        <v>1.0000000000000001E-5</v>
      </c>
      <c r="AI303" s="125">
        <v>2.7E-4</v>
      </c>
      <c r="AJ303" s="126">
        <v>1.0000000000000001E-5</v>
      </c>
      <c r="AK303" s="159"/>
    </row>
    <row r="304" spans="1:37" x14ac:dyDescent="0.2">
      <c r="A304" s="121" t="s">
        <v>1223</v>
      </c>
      <c r="B304" s="122" t="s">
        <v>1225</v>
      </c>
      <c r="C304" s="122" t="s">
        <v>1340</v>
      </c>
      <c r="D304" s="122" t="s">
        <v>1341</v>
      </c>
      <c r="E304" s="122" t="s">
        <v>429</v>
      </c>
      <c r="F304" s="122" t="s">
        <v>1353</v>
      </c>
      <c r="G304" s="122" t="s">
        <v>1354</v>
      </c>
      <c r="H304" s="122" t="s">
        <v>76</v>
      </c>
      <c r="I304" s="122" t="s">
        <v>229</v>
      </c>
      <c r="J304" s="122" t="s">
        <v>53</v>
      </c>
      <c r="K304" s="122" t="s">
        <v>53</v>
      </c>
      <c r="L304" s="122" t="s">
        <v>805</v>
      </c>
      <c r="M304" s="122" t="s">
        <v>311</v>
      </c>
      <c r="N304" s="122" t="s">
        <v>256</v>
      </c>
      <c r="O304" s="122" t="s">
        <v>62</v>
      </c>
      <c r="P304" s="122" t="s">
        <v>1330</v>
      </c>
      <c r="Q304" s="122" t="s">
        <v>65</v>
      </c>
      <c r="R304" s="122" t="s">
        <v>57</v>
      </c>
      <c r="S304" s="122" t="s">
        <v>1216</v>
      </c>
      <c r="T304" s="123">
        <v>1.98</v>
      </c>
      <c r="U304" s="122" t="s">
        <v>1355</v>
      </c>
      <c r="V304" s="125">
        <v>1.2200000000000001E-2</v>
      </c>
      <c r="W304" s="125">
        <v>2.5819999999999999E-2</v>
      </c>
      <c r="X304" s="122" t="s">
        <v>620</v>
      </c>
      <c r="Y304" s="133"/>
      <c r="Z304" s="123">
        <v>69707</v>
      </c>
      <c r="AA304" s="123">
        <v>1</v>
      </c>
      <c r="AB304" s="123">
        <v>116.7</v>
      </c>
      <c r="AC304" s="122"/>
      <c r="AD304" s="123">
        <v>81.347999999999999</v>
      </c>
      <c r="AE304" s="122"/>
      <c r="AF304" s="122"/>
      <c r="AG304" s="122"/>
      <c r="AH304" s="125">
        <v>2.0000000000000002E-5</v>
      </c>
      <c r="AI304" s="125">
        <v>7.0800000000000002E-2</v>
      </c>
      <c r="AJ304" s="126">
        <v>8.0599999999999995E-3</v>
      </c>
      <c r="AK304" s="159"/>
    </row>
    <row r="305" spans="1:37" x14ac:dyDescent="0.2">
      <c r="A305" s="121" t="s">
        <v>1223</v>
      </c>
      <c r="B305" s="122" t="s">
        <v>1225</v>
      </c>
      <c r="C305" s="122" t="s">
        <v>1431</v>
      </c>
      <c r="D305" s="122" t="s">
        <v>1432</v>
      </c>
      <c r="E305" s="122" t="s">
        <v>429</v>
      </c>
      <c r="F305" s="122" t="s">
        <v>1551</v>
      </c>
      <c r="G305" s="122" t="s">
        <v>1552</v>
      </c>
      <c r="H305" s="122" t="s">
        <v>76</v>
      </c>
      <c r="I305" s="122" t="s">
        <v>229</v>
      </c>
      <c r="J305" s="122" t="s">
        <v>53</v>
      </c>
      <c r="K305" s="122" t="s">
        <v>313</v>
      </c>
      <c r="L305" s="122" t="s">
        <v>805</v>
      </c>
      <c r="M305" s="122" t="s">
        <v>311</v>
      </c>
      <c r="N305" s="122" t="s">
        <v>636</v>
      </c>
      <c r="O305" s="122" t="s">
        <v>62</v>
      </c>
      <c r="P305" s="122" t="s">
        <v>1423</v>
      </c>
      <c r="Q305" s="122" t="s">
        <v>70</v>
      </c>
      <c r="R305" s="122" t="s">
        <v>57</v>
      </c>
      <c r="S305" s="122" t="s">
        <v>1216</v>
      </c>
      <c r="T305" s="123">
        <v>4.24</v>
      </c>
      <c r="U305" s="122" t="s">
        <v>1553</v>
      </c>
      <c r="V305" s="125">
        <v>1.54E-2</v>
      </c>
      <c r="W305" s="125">
        <v>3.066E-2</v>
      </c>
      <c r="X305" s="122" t="s">
        <v>620</v>
      </c>
      <c r="Y305" s="133"/>
      <c r="Z305" s="123">
        <v>64000</v>
      </c>
      <c r="AA305" s="123">
        <v>1</v>
      </c>
      <c r="AB305" s="123">
        <v>108.24</v>
      </c>
      <c r="AC305" s="122"/>
      <c r="AD305" s="123">
        <v>69.274000000000001</v>
      </c>
      <c r="AE305" s="122"/>
      <c r="AF305" s="122"/>
      <c r="AG305" s="122"/>
      <c r="AH305" s="125">
        <v>1.1E-4</v>
      </c>
      <c r="AI305" s="125">
        <v>6.0290000000000003E-2</v>
      </c>
      <c r="AJ305" s="126">
        <v>6.8599999999999998E-3</v>
      </c>
      <c r="AK305" s="159"/>
    </row>
    <row r="306" spans="1:37" x14ac:dyDescent="0.2">
      <c r="A306" s="121" t="s">
        <v>1223</v>
      </c>
      <c r="B306" s="122" t="s">
        <v>1225</v>
      </c>
      <c r="C306" s="122" t="s">
        <v>1365</v>
      </c>
      <c r="D306" s="122" t="s">
        <v>1366</v>
      </c>
      <c r="E306" s="122" t="s">
        <v>429</v>
      </c>
      <c r="F306" s="122" t="s">
        <v>1367</v>
      </c>
      <c r="G306" s="122" t="s">
        <v>1368</v>
      </c>
      <c r="H306" s="122" t="s">
        <v>76</v>
      </c>
      <c r="I306" s="122" t="s">
        <v>228</v>
      </c>
      <c r="J306" s="122" t="s">
        <v>53</v>
      </c>
      <c r="K306" s="122" t="s">
        <v>53</v>
      </c>
      <c r="L306" s="122" t="s">
        <v>805</v>
      </c>
      <c r="M306" s="122" t="s">
        <v>311</v>
      </c>
      <c r="N306" s="122" t="s">
        <v>269</v>
      </c>
      <c r="O306" s="122" t="s">
        <v>62</v>
      </c>
      <c r="P306" s="122" t="s">
        <v>1369</v>
      </c>
      <c r="Q306" s="122" t="s">
        <v>65</v>
      </c>
      <c r="R306" s="122" t="s">
        <v>57</v>
      </c>
      <c r="S306" s="122" t="s">
        <v>1216</v>
      </c>
      <c r="T306" s="123">
        <v>4.26</v>
      </c>
      <c r="U306" s="122" t="s">
        <v>1266</v>
      </c>
      <c r="V306" s="125">
        <v>2.64E-2</v>
      </c>
      <c r="W306" s="125">
        <v>4.6050000000000001E-2</v>
      </c>
      <c r="X306" s="122" t="s">
        <v>620</v>
      </c>
      <c r="Y306" s="133"/>
      <c r="Z306" s="123">
        <v>65103.15</v>
      </c>
      <c r="AA306" s="123">
        <v>1</v>
      </c>
      <c r="AB306" s="123">
        <v>92.3</v>
      </c>
      <c r="AC306" s="122"/>
      <c r="AD306" s="123">
        <v>60.09</v>
      </c>
      <c r="AE306" s="122"/>
      <c r="AF306" s="122"/>
      <c r="AG306" s="122"/>
      <c r="AH306" s="125">
        <v>4.0000000000000003E-5</v>
      </c>
      <c r="AI306" s="125">
        <v>5.2299999999999999E-2</v>
      </c>
      <c r="AJ306" s="126">
        <v>5.9500000000000004E-3</v>
      </c>
      <c r="AK306" s="159"/>
    </row>
    <row r="307" spans="1:37" x14ac:dyDescent="0.2">
      <c r="A307" s="121" t="s">
        <v>1223</v>
      </c>
      <c r="B307" s="122" t="s">
        <v>1225</v>
      </c>
      <c r="C307" s="122" t="s">
        <v>1332</v>
      </c>
      <c r="D307" s="122" t="s">
        <v>1333</v>
      </c>
      <c r="E307" s="122" t="s">
        <v>430</v>
      </c>
      <c r="F307" s="122" t="s">
        <v>1334</v>
      </c>
      <c r="G307" s="122" t="s">
        <v>1335</v>
      </c>
      <c r="H307" s="122" t="s">
        <v>76</v>
      </c>
      <c r="I307" s="122" t="s">
        <v>229</v>
      </c>
      <c r="J307" s="122" t="s">
        <v>53</v>
      </c>
      <c r="K307" s="122" t="s">
        <v>53</v>
      </c>
      <c r="L307" s="122" t="s">
        <v>805</v>
      </c>
      <c r="M307" s="122" t="s">
        <v>311</v>
      </c>
      <c r="N307" s="122" t="s">
        <v>156</v>
      </c>
      <c r="O307" s="122" t="s">
        <v>62</v>
      </c>
      <c r="P307" s="122" t="s">
        <v>1215</v>
      </c>
      <c r="Q307" s="122" t="s">
        <v>70</v>
      </c>
      <c r="R307" s="122" t="s">
        <v>57</v>
      </c>
      <c r="S307" s="122" t="s">
        <v>1216</v>
      </c>
      <c r="T307" s="123">
        <v>9.81</v>
      </c>
      <c r="U307" s="122" t="s">
        <v>1336</v>
      </c>
      <c r="V307" s="125">
        <v>3.2000000000000001E-2</v>
      </c>
      <c r="W307" s="125">
        <v>2.8129999999999999E-2</v>
      </c>
      <c r="X307" s="122" t="s">
        <v>620</v>
      </c>
      <c r="Y307" s="133"/>
      <c r="Z307" s="123">
        <v>50560</v>
      </c>
      <c r="AA307" s="123">
        <v>1</v>
      </c>
      <c r="AB307" s="123">
        <v>112.97</v>
      </c>
      <c r="AC307" s="122"/>
      <c r="AD307" s="123">
        <v>57.118000000000002</v>
      </c>
      <c r="AE307" s="122"/>
      <c r="AF307" s="122"/>
      <c r="AG307" s="122"/>
      <c r="AH307" s="125">
        <v>1.0000000000000001E-5</v>
      </c>
      <c r="AI307" s="125">
        <v>4.9709999999999997E-2</v>
      </c>
      <c r="AJ307" s="126">
        <v>5.6600000000000001E-3</v>
      </c>
      <c r="AK307" s="159"/>
    </row>
    <row r="308" spans="1:37" x14ac:dyDescent="0.2">
      <c r="A308" s="121" t="s">
        <v>1223</v>
      </c>
      <c r="B308" s="122" t="s">
        <v>1225</v>
      </c>
      <c r="C308" s="122" t="s">
        <v>1407</v>
      </c>
      <c r="D308" s="122" t="s">
        <v>1408</v>
      </c>
      <c r="E308" s="122" t="s">
        <v>429</v>
      </c>
      <c r="F308" s="122" t="s">
        <v>1409</v>
      </c>
      <c r="G308" s="122" t="s">
        <v>1410</v>
      </c>
      <c r="H308" s="122" t="s">
        <v>76</v>
      </c>
      <c r="I308" s="122" t="s">
        <v>229</v>
      </c>
      <c r="J308" s="122" t="s">
        <v>53</v>
      </c>
      <c r="K308" s="122" t="s">
        <v>53</v>
      </c>
      <c r="L308" s="122" t="s">
        <v>805</v>
      </c>
      <c r="M308" s="122" t="s">
        <v>311</v>
      </c>
      <c r="N308" s="122" t="s">
        <v>256</v>
      </c>
      <c r="O308" s="122" t="s">
        <v>62</v>
      </c>
      <c r="P308" s="122" t="s">
        <v>1369</v>
      </c>
      <c r="Q308" s="122" t="s">
        <v>65</v>
      </c>
      <c r="R308" s="122" t="s">
        <v>57</v>
      </c>
      <c r="S308" s="122" t="s">
        <v>1216</v>
      </c>
      <c r="T308" s="123">
        <v>3.63</v>
      </c>
      <c r="U308" s="122" t="s">
        <v>1411</v>
      </c>
      <c r="V308" s="125">
        <v>2.5899999999999999E-2</v>
      </c>
      <c r="W308" s="125">
        <v>2.6700000000000002E-2</v>
      </c>
      <c r="X308" s="122" t="s">
        <v>620</v>
      </c>
      <c r="Y308" s="133"/>
      <c r="Z308" s="123">
        <v>41000</v>
      </c>
      <c r="AA308" s="123">
        <v>1</v>
      </c>
      <c r="AB308" s="123">
        <v>107.69</v>
      </c>
      <c r="AC308" s="122"/>
      <c r="AD308" s="123">
        <v>44.152999999999999</v>
      </c>
      <c r="AE308" s="122"/>
      <c r="AF308" s="122"/>
      <c r="AG308" s="122"/>
      <c r="AH308" s="125">
        <v>6.0000000000000002E-5</v>
      </c>
      <c r="AI308" s="125">
        <v>3.8429999999999999E-2</v>
      </c>
      <c r="AJ308" s="126">
        <v>4.3699999999999998E-3</v>
      </c>
      <c r="AK308" s="159"/>
    </row>
    <row r="309" spans="1:37" x14ac:dyDescent="0.2">
      <c r="A309" s="121" t="s">
        <v>1223</v>
      </c>
      <c r="B309" s="122" t="s">
        <v>1225</v>
      </c>
      <c r="C309" s="122" t="s">
        <v>1415</v>
      </c>
      <c r="D309" s="122" t="s">
        <v>1416</v>
      </c>
      <c r="E309" s="122" t="s">
        <v>429</v>
      </c>
      <c r="F309" s="122" t="s">
        <v>1417</v>
      </c>
      <c r="G309" s="122" t="s">
        <v>1418</v>
      </c>
      <c r="H309" s="122" t="s">
        <v>76</v>
      </c>
      <c r="I309" s="122" t="s">
        <v>228</v>
      </c>
      <c r="J309" s="122" t="s">
        <v>53</v>
      </c>
      <c r="K309" s="122" t="s">
        <v>53</v>
      </c>
      <c r="L309" s="122" t="s">
        <v>805</v>
      </c>
      <c r="M309" s="122" t="s">
        <v>311</v>
      </c>
      <c r="N309" s="122" t="s">
        <v>269</v>
      </c>
      <c r="O309" s="122" t="s">
        <v>62</v>
      </c>
      <c r="P309" s="122" t="s">
        <v>1369</v>
      </c>
      <c r="Q309" s="122" t="s">
        <v>65</v>
      </c>
      <c r="R309" s="122" t="s">
        <v>57</v>
      </c>
      <c r="S309" s="122" t="s">
        <v>1216</v>
      </c>
      <c r="T309" s="123">
        <v>4.45</v>
      </c>
      <c r="U309" s="122" t="s">
        <v>1325</v>
      </c>
      <c r="V309" s="125">
        <v>5.2499999999999998E-2</v>
      </c>
      <c r="W309" s="125">
        <v>4.6359999999999998E-2</v>
      </c>
      <c r="X309" s="122" t="s">
        <v>620</v>
      </c>
      <c r="Y309" s="133"/>
      <c r="Z309" s="123">
        <v>41000</v>
      </c>
      <c r="AA309" s="123">
        <v>1</v>
      </c>
      <c r="AB309" s="123">
        <v>105.15</v>
      </c>
      <c r="AC309" s="122"/>
      <c r="AD309" s="123">
        <v>43.112000000000002</v>
      </c>
      <c r="AE309" s="122"/>
      <c r="AF309" s="122"/>
      <c r="AG309" s="122"/>
      <c r="AH309" s="125">
        <v>5.0000000000000002E-5</v>
      </c>
      <c r="AI309" s="125">
        <v>3.7519999999999998E-2</v>
      </c>
      <c r="AJ309" s="126">
        <v>4.2700000000000004E-3</v>
      </c>
      <c r="AK309" s="159"/>
    </row>
    <row r="310" spans="1:37" x14ac:dyDescent="0.2">
      <c r="A310" s="121" t="s">
        <v>1223</v>
      </c>
      <c r="B310" s="122" t="s">
        <v>1225</v>
      </c>
      <c r="C310" s="122" t="s">
        <v>1326</v>
      </c>
      <c r="D310" s="122" t="s">
        <v>1327</v>
      </c>
      <c r="E310" s="122" t="s">
        <v>429</v>
      </c>
      <c r="F310" s="122" t="s">
        <v>1379</v>
      </c>
      <c r="G310" s="122" t="s">
        <v>1380</v>
      </c>
      <c r="H310" s="122" t="s">
        <v>76</v>
      </c>
      <c r="I310" s="122" t="s">
        <v>229</v>
      </c>
      <c r="J310" s="122" t="s">
        <v>53</v>
      </c>
      <c r="K310" s="122" t="s">
        <v>53</v>
      </c>
      <c r="L310" s="122" t="s">
        <v>805</v>
      </c>
      <c r="M310" s="122" t="s">
        <v>311</v>
      </c>
      <c r="N310" s="122" t="s">
        <v>256</v>
      </c>
      <c r="O310" s="122" t="s">
        <v>62</v>
      </c>
      <c r="P310" s="122" t="s">
        <v>1330</v>
      </c>
      <c r="Q310" s="122" t="s">
        <v>65</v>
      </c>
      <c r="R310" s="122" t="s">
        <v>57</v>
      </c>
      <c r="S310" s="122" t="s">
        <v>1216</v>
      </c>
      <c r="T310" s="123">
        <v>2.5499999999999998</v>
      </c>
      <c r="U310" s="122" t="s">
        <v>1381</v>
      </c>
      <c r="V310" s="125">
        <v>1.7500000000000002E-2</v>
      </c>
      <c r="W310" s="125">
        <v>2.563E-2</v>
      </c>
      <c r="X310" s="122" t="s">
        <v>620</v>
      </c>
      <c r="Y310" s="133"/>
      <c r="Z310" s="123">
        <v>33951.4</v>
      </c>
      <c r="AA310" s="123">
        <v>1</v>
      </c>
      <c r="AB310" s="123">
        <v>117.2</v>
      </c>
      <c r="AC310" s="122"/>
      <c r="AD310" s="123">
        <v>39.790999999999997</v>
      </c>
      <c r="AE310" s="122"/>
      <c r="AF310" s="122"/>
      <c r="AG310" s="122"/>
      <c r="AH310" s="125">
        <v>2.0000000000000002E-5</v>
      </c>
      <c r="AI310" s="125">
        <v>3.4630000000000001E-2</v>
      </c>
      <c r="AJ310" s="126">
        <v>3.9399999999999999E-3</v>
      </c>
      <c r="AK310" s="159"/>
    </row>
    <row r="311" spans="1:37" x14ac:dyDescent="0.2">
      <c r="A311" s="121" t="s">
        <v>1223</v>
      </c>
      <c r="B311" s="122" t="s">
        <v>1225</v>
      </c>
      <c r="C311" s="122" t="s">
        <v>1542</v>
      </c>
      <c r="D311" s="122" t="s">
        <v>1543</v>
      </c>
      <c r="E311" s="122" t="s">
        <v>429</v>
      </c>
      <c r="F311" s="122" t="s">
        <v>1554</v>
      </c>
      <c r="G311" s="122" t="s">
        <v>1555</v>
      </c>
      <c r="H311" s="122" t="s">
        <v>76</v>
      </c>
      <c r="I311" s="122" t="s">
        <v>229</v>
      </c>
      <c r="J311" s="122" t="s">
        <v>53</v>
      </c>
      <c r="K311" s="122" t="s">
        <v>53</v>
      </c>
      <c r="L311" s="122" t="s">
        <v>805</v>
      </c>
      <c r="M311" s="122" t="s">
        <v>311</v>
      </c>
      <c r="N311" s="122" t="s">
        <v>635</v>
      </c>
      <c r="O311" s="122" t="s">
        <v>62</v>
      </c>
      <c r="P311" s="122" t="s">
        <v>1546</v>
      </c>
      <c r="Q311" s="122" t="s">
        <v>65</v>
      </c>
      <c r="R311" s="122" t="s">
        <v>57</v>
      </c>
      <c r="S311" s="122" t="s">
        <v>1216</v>
      </c>
      <c r="T311" s="123">
        <v>9.6300000000000008</v>
      </c>
      <c r="U311" s="122" t="s">
        <v>1556</v>
      </c>
      <c r="V311" s="125">
        <v>1.6899999999999998E-2</v>
      </c>
      <c r="W311" s="125">
        <v>2.9389999999999999E-2</v>
      </c>
      <c r="X311" s="122" t="s">
        <v>620</v>
      </c>
      <c r="Y311" s="133"/>
      <c r="Z311" s="123">
        <v>36854</v>
      </c>
      <c r="AA311" s="123">
        <v>1</v>
      </c>
      <c r="AB311" s="123">
        <v>104.3</v>
      </c>
      <c r="AC311" s="122"/>
      <c r="AD311" s="123">
        <v>38.439</v>
      </c>
      <c r="AE311" s="122"/>
      <c r="AF311" s="122"/>
      <c r="AG311" s="122"/>
      <c r="AH311" s="125">
        <v>1.0000000000000001E-5</v>
      </c>
      <c r="AI311" s="125">
        <v>3.3450000000000001E-2</v>
      </c>
      <c r="AJ311" s="126">
        <v>3.81E-3</v>
      </c>
      <c r="AK311" s="159"/>
    </row>
    <row r="312" spans="1:37" x14ac:dyDescent="0.2">
      <c r="A312" s="121" t="s">
        <v>1223</v>
      </c>
      <c r="B312" s="122" t="s">
        <v>1225</v>
      </c>
      <c r="C312" s="122" t="s">
        <v>1446</v>
      </c>
      <c r="D312" s="122" t="s">
        <v>1447</v>
      </c>
      <c r="E312" s="122" t="s">
        <v>429</v>
      </c>
      <c r="F312" s="122" t="s">
        <v>1448</v>
      </c>
      <c r="G312" s="122" t="s">
        <v>1449</v>
      </c>
      <c r="H312" s="122" t="s">
        <v>76</v>
      </c>
      <c r="I312" s="122" t="s">
        <v>228</v>
      </c>
      <c r="J312" s="122" t="s">
        <v>53</v>
      </c>
      <c r="K312" s="122" t="s">
        <v>53</v>
      </c>
      <c r="L312" s="122" t="s">
        <v>805</v>
      </c>
      <c r="M312" s="122" t="s">
        <v>311</v>
      </c>
      <c r="N312" s="122" t="s">
        <v>156</v>
      </c>
      <c r="O312" s="122" t="s">
        <v>62</v>
      </c>
      <c r="P312" s="122" t="s">
        <v>1450</v>
      </c>
      <c r="Q312" s="122" t="s">
        <v>65</v>
      </c>
      <c r="R312" s="122" t="s">
        <v>57</v>
      </c>
      <c r="S312" s="122" t="s">
        <v>1216</v>
      </c>
      <c r="T312" s="123">
        <v>2.8</v>
      </c>
      <c r="U312" s="122" t="s">
        <v>1451</v>
      </c>
      <c r="V312" s="125">
        <v>2.5000000000000001E-2</v>
      </c>
      <c r="W312" s="125">
        <v>4.972E-2</v>
      </c>
      <c r="X312" s="122" t="s">
        <v>620</v>
      </c>
      <c r="Y312" s="133"/>
      <c r="Z312" s="123">
        <v>39000</v>
      </c>
      <c r="AA312" s="123">
        <v>1</v>
      </c>
      <c r="AB312" s="123">
        <v>93.71</v>
      </c>
      <c r="AC312" s="122"/>
      <c r="AD312" s="123">
        <v>36.546999999999997</v>
      </c>
      <c r="AE312" s="122"/>
      <c r="AF312" s="122"/>
      <c r="AG312" s="122"/>
      <c r="AH312" s="125">
        <v>6.0000000000000002E-5</v>
      </c>
      <c r="AI312" s="125">
        <v>3.1809999999999998E-2</v>
      </c>
      <c r="AJ312" s="126">
        <v>3.62E-3</v>
      </c>
      <c r="AK312" s="159"/>
    </row>
    <row r="313" spans="1:37" x14ac:dyDescent="0.2">
      <c r="A313" s="121" t="s">
        <v>1223</v>
      </c>
      <c r="B313" s="122" t="s">
        <v>1225</v>
      </c>
      <c r="C313" s="122" t="s">
        <v>1365</v>
      </c>
      <c r="D313" s="122" t="s">
        <v>1366</v>
      </c>
      <c r="E313" s="122" t="s">
        <v>429</v>
      </c>
      <c r="F313" s="122" t="s">
        <v>1404</v>
      </c>
      <c r="G313" s="122" t="s">
        <v>1405</v>
      </c>
      <c r="H313" s="122" t="s">
        <v>76</v>
      </c>
      <c r="I313" s="122" t="s">
        <v>228</v>
      </c>
      <c r="J313" s="122" t="s">
        <v>53</v>
      </c>
      <c r="K313" s="122" t="s">
        <v>53</v>
      </c>
      <c r="L313" s="122" t="s">
        <v>805</v>
      </c>
      <c r="M313" s="122" t="s">
        <v>311</v>
      </c>
      <c r="N313" s="122" t="s">
        <v>269</v>
      </c>
      <c r="O313" s="122" t="s">
        <v>62</v>
      </c>
      <c r="P313" s="122" t="s">
        <v>1369</v>
      </c>
      <c r="Q313" s="122" t="s">
        <v>65</v>
      </c>
      <c r="R313" s="122" t="s">
        <v>57</v>
      </c>
      <c r="S313" s="122" t="s">
        <v>1216</v>
      </c>
      <c r="T313" s="123">
        <v>7.14</v>
      </c>
      <c r="U313" s="122" t="s">
        <v>1406</v>
      </c>
      <c r="V313" s="125">
        <v>5.3100000000000001E-2</v>
      </c>
      <c r="W313" s="125">
        <v>4.8640000000000003E-2</v>
      </c>
      <c r="X313" s="122" t="s">
        <v>620</v>
      </c>
      <c r="Y313" s="133"/>
      <c r="Z313" s="123">
        <v>33855.69</v>
      </c>
      <c r="AA313" s="123">
        <v>1</v>
      </c>
      <c r="AB313" s="123">
        <v>104.46</v>
      </c>
      <c r="AC313" s="122"/>
      <c r="AD313" s="123">
        <v>35.366</v>
      </c>
      <c r="AE313" s="122"/>
      <c r="AF313" s="122"/>
      <c r="AG313" s="122"/>
      <c r="AH313" s="125">
        <v>3.0000000000000001E-5</v>
      </c>
      <c r="AI313" s="125">
        <v>3.0779999999999998E-2</v>
      </c>
      <c r="AJ313" s="126">
        <v>3.5000000000000001E-3</v>
      </c>
      <c r="AK313" s="159"/>
    </row>
    <row r="314" spans="1:37" x14ac:dyDescent="0.2">
      <c r="A314" s="121" t="s">
        <v>1223</v>
      </c>
      <c r="B314" s="122" t="s">
        <v>1225</v>
      </c>
      <c r="C314" s="122" t="s">
        <v>1393</v>
      </c>
      <c r="D314" s="122" t="s">
        <v>1394</v>
      </c>
      <c r="E314" s="122" t="s">
        <v>429</v>
      </c>
      <c r="F314" s="122" t="s">
        <v>1470</v>
      </c>
      <c r="G314" s="122" t="s">
        <v>1471</v>
      </c>
      <c r="H314" s="122" t="s">
        <v>76</v>
      </c>
      <c r="I314" s="122" t="s">
        <v>229</v>
      </c>
      <c r="J314" s="122" t="s">
        <v>53</v>
      </c>
      <c r="K314" s="122" t="s">
        <v>53</v>
      </c>
      <c r="L314" s="122" t="s">
        <v>805</v>
      </c>
      <c r="M314" s="122" t="s">
        <v>311</v>
      </c>
      <c r="N314" s="122" t="s">
        <v>269</v>
      </c>
      <c r="O314" s="122" t="s">
        <v>62</v>
      </c>
      <c r="P314" s="122" t="s">
        <v>1377</v>
      </c>
      <c r="Q314" s="122" t="s">
        <v>70</v>
      </c>
      <c r="R314" s="122" t="s">
        <v>57</v>
      </c>
      <c r="S314" s="122" t="s">
        <v>1216</v>
      </c>
      <c r="T314" s="123">
        <v>1.23</v>
      </c>
      <c r="U314" s="122" t="s">
        <v>1430</v>
      </c>
      <c r="V314" s="125">
        <v>2.4E-2</v>
      </c>
      <c r="W314" s="125">
        <v>2.9489999999999999E-2</v>
      </c>
      <c r="X314" s="122" t="s">
        <v>620</v>
      </c>
      <c r="Y314" s="133"/>
      <c r="Z314" s="123">
        <v>28040.12</v>
      </c>
      <c r="AA314" s="123">
        <v>1</v>
      </c>
      <c r="AB314" s="123">
        <v>118.57</v>
      </c>
      <c r="AC314" s="122"/>
      <c r="AD314" s="123">
        <v>33.247</v>
      </c>
      <c r="AE314" s="122"/>
      <c r="AF314" s="122"/>
      <c r="AG314" s="122"/>
      <c r="AH314" s="125">
        <v>9.0000000000000006E-5</v>
      </c>
      <c r="AI314" s="125">
        <v>2.8930000000000001E-2</v>
      </c>
      <c r="AJ314" s="126">
        <v>3.29E-3</v>
      </c>
      <c r="AK314" s="159"/>
    </row>
    <row r="315" spans="1:37" x14ac:dyDescent="0.2">
      <c r="A315" s="121" t="s">
        <v>1223</v>
      </c>
      <c r="B315" s="122" t="s">
        <v>1225</v>
      </c>
      <c r="C315" s="122" t="s">
        <v>1494</v>
      </c>
      <c r="D315" s="122" t="s">
        <v>1495</v>
      </c>
      <c r="E315" s="122" t="s">
        <v>429</v>
      </c>
      <c r="F315" s="122" t="s">
        <v>1496</v>
      </c>
      <c r="G315" s="122" t="s">
        <v>1497</v>
      </c>
      <c r="H315" s="122" t="s">
        <v>76</v>
      </c>
      <c r="I315" s="122" t="s">
        <v>229</v>
      </c>
      <c r="J315" s="122" t="s">
        <v>53</v>
      </c>
      <c r="K315" s="122" t="s">
        <v>53</v>
      </c>
      <c r="L315" s="122" t="s">
        <v>805</v>
      </c>
      <c r="M315" s="122" t="s">
        <v>311</v>
      </c>
      <c r="N315" s="122" t="s">
        <v>256</v>
      </c>
      <c r="O315" s="122" t="s">
        <v>62</v>
      </c>
      <c r="P315" s="122" t="s">
        <v>1330</v>
      </c>
      <c r="Q315" s="122" t="s">
        <v>65</v>
      </c>
      <c r="R315" s="122" t="s">
        <v>57</v>
      </c>
      <c r="S315" s="122" t="s">
        <v>1216</v>
      </c>
      <c r="T315" s="123">
        <v>2.2599999999999998</v>
      </c>
      <c r="U315" s="122" t="s">
        <v>1498</v>
      </c>
      <c r="V315" s="125">
        <v>1.4999999999999999E-2</v>
      </c>
      <c r="W315" s="125">
        <v>2.5770000000000001E-2</v>
      </c>
      <c r="X315" s="122" t="s">
        <v>620</v>
      </c>
      <c r="Y315" s="133"/>
      <c r="Z315" s="123">
        <v>27849.85</v>
      </c>
      <c r="AA315" s="123">
        <v>1</v>
      </c>
      <c r="AB315" s="123">
        <v>116.97</v>
      </c>
      <c r="AC315" s="122"/>
      <c r="AD315" s="123">
        <v>32.576000000000001</v>
      </c>
      <c r="AE315" s="122"/>
      <c r="AF315" s="122"/>
      <c r="AG315" s="122"/>
      <c r="AH315" s="125">
        <v>1.2E-4</v>
      </c>
      <c r="AI315" s="125">
        <v>2.835E-2</v>
      </c>
      <c r="AJ315" s="126">
        <v>3.2299999999999998E-3</v>
      </c>
      <c r="AK315" s="159"/>
    </row>
    <row r="316" spans="1:37" x14ac:dyDescent="0.2">
      <c r="A316" s="121" t="s">
        <v>1223</v>
      </c>
      <c r="B316" s="122" t="s">
        <v>1225</v>
      </c>
      <c r="C316" s="122" t="s">
        <v>1348</v>
      </c>
      <c r="D316" s="122" t="s">
        <v>1349</v>
      </c>
      <c r="E316" s="122" t="s">
        <v>429</v>
      </c>
      <c r="F316" s="122" t="s">
        <v>1382</v>
      </c>
      <c r="G316" s="122" t="s">
        <v>1383</v>
      </c>
      <c r="H316" s="122" t="s">
        <v>76</v>
      </c>
      <c r="I316" s="122" t="s">
        <v>229</v>
      </c>
      <c r="J316" s="122" t="s">
        <v>53</v>
      </c>
      <c r="K316" s="122" t="s">
        <v>53</v>
      </c>
      <c r="L316" s="122" t="s">
        <v>805</v>
      </c>
      <c r="M316" s="122" t="s">
        <v>311</v>
      </c>
      <c r="N316" s="122" t="s">
        <v>256</v>
      </c>
      <c r="O316" s="122" t="s">
        <v>62</v>
      </c>
      <c r="P316" s="122" t="s">
        <v>1330</v>
      </c>
      <c r="Q316" s="122" t="s">
        <v>65</v>
      </c>
      <c r="R316" s="122" t="s">
        <v>57</v>
      </c>
      <c r="S316" s="122" t="s">
        <v>1216</v>
      </c>
      <c r="T316" s="123">
        <v>4.1399999999999997</v>
      </c>
      <c r="U316" s="122" t="s">
        <v>1384</v>
      </c>
      <c r="V316" s="125">
        <v>2.0199999999999999E-2</v>
      </c>
      <c r="W316" s="125">
        <v>2.5350000000000001E-2</v>
      </c>
      <c r="X316" s="122" t="s">
        <v>620</v>
      </c>
      <c r="Y316" s="133"/>
      <c r="Z316" s="123">
        <v>29000</v>
      </c>
      <c r="AA316" s="123">
        <v>1</v>
      </c>
      <c r="AB316" s="123">
        <v>105.02</v>
      </c>
      <c r="AC316" s="122"/>
      <c r="AD316" s="123">
        <v>30.456</v>
      </c>
      <c r="AE316" s="122"/>
      <c r="AF316" s="122"/>
      <c r="AG316" s="122"/>
      <c r="AH316" s="125">
        <v>1.0000000000000001E-5</v>
      </c>
      <c r="AI316" s="125">
        <v>2.6509999999999999E-2</v>
      </c>
      <c r="AJ316" s="126">
        <v>3.0200000000000001E-3</v>
      </c>
      <c r="AK316" s="159"/>
    </row>
    <row r="317" spans="1:37" x14ac:dyDescent="0.2">
      <c r="A317" s="121" t="s">
        <v>1223</v>
      </c>
      <c r="B317" s="122" t="s">
        <v>1225</v>
      </c>
      <c r="C317" s="122" t="s">
        <v>1575</v>
      </c>
      <c r="D317" s="122" t="s">
        <v>1576</v>
      </c>
      <c r="E317" s="122" t="s">
        <v>429</v>
      </c>
      <c r="F317" s="122" t="s">
        <v>1577</v>
      </c>
      <c r="G317" s="122" t="s">
        <v>1578</v>
      </c>
      <c r="H317" s="122" t="s">
        <v>76</v>
      </c>
      <c r="I317" s="122" t="s">
        <v>229</v>
      </c>
      <c r="J317" s="122" t="s">
        <v>53</v>
      </c>
      <c r="K317" s="122" t="s">
        <v>53</v>
      </c>
      <c r="L317" s="122" t="s">
        <v>805</v>
      </c>
      <c r="M317" s="122" t="s">
        <v>311</v>
      </c>
      <c r="N317" s="122" t="s">
        <v>635</v>
      </c>
      <c r="O317" s="122" t="s">
        <v>62</v>
      </c>
      <c r="P317" s="122" t="s">
        <v>1377</v>
      </c>
      <c r="Q317" s="122" t="s">
        <v>70</v>
      </c>
      <c r="R317" s="122" t="s">
        <v>57</v>
      </c>
      <c r="S317" s="122" t="s">
        <v>1216</v>
      </c>
      <c r="T317" s="123">
        <v>3.52</v>
      </c>
      <c r="U317" s="122" t="s">
        <v>1579</v>
      </c>
      <c r="V317" s="125">
        <v>1.17E-2</v>
      </c>
      <c r="W317" s="125">
        <v>2.8369999999999999E-2</v>
      </c>
      <c r="X317" s="122" t="s">
        <v>620</v>
      </c>
      <c r="Y317" s="133"/>
      <c r="Z317" s="123">
        <v>26204.639999999999</v>
      </c>
      <c r="AA317" s="123">
        <v>1</v>
      </c>
      <c r="AB317" s="123">
        <v>111.54</v>
      </c>
      <c r="AC317" s="122"/>
      <c r="AD317" s="123">
        <v>29.228999999999999</v>
      </c>
      <c r="AE317" s="122"/>
      <c r="AF317" s="122"/>
      <c r="AG317" s="122"/>
      <c r="AH317" s="125">
        <v>4.0000000000000003E-5</v>
      </c>
      <c r="AI317" s="125">
        <v>2.5440000000000001E-2</v>
      </c>
      <c r="AJ317" s="126">
        <v>2.8999999999999998E-3</v>
      </c>
      <c r="AK317" s="159"/>
    </row>
    <row r="318" spans="1:37" x14ac:dyDescent="0.2">
      <c r="A318" s="121" t="s">
        <v>1223</v>
      </c>
      <c r="B318" s="122" t="s">
        <v>1225</v>
      </c>
      <c r="C318" s="122" t="s">
        <v>1320</v>
      </c>
      <c r="D318" s="122" t="s">
        <v>1321</v>
      </c>
      <c r="E318" s="122" t="s">
        <v>429</v>
      </c>
      <c r="F318" s="122" t="s">
        <v>1452</v>
      </c>
      <c r="G318" s="122" t="s">
        <v>1453</v>
      </c>
      <c r="H318" s="122" t="s">
        <v>76</v>
      </c>
      <c r="I318" s="122" t="s">
        <v>229</v>
      </c>
      <c r="J318" s="122" t="s">
        <v>53</v>
      </c>
      <c r="K318" s="122" t="s">
        <v>53</v>
      </c>
      <c r="L318" s="122" t="s">
        <v>805</v>
      </c>
      <c r="M318" s="122" t="s">
        <v>311</v>
      </c>
      <c r="N318" s="122" t="s">
        <v>269</v>
      </c>
      <c r="O318" s="122" t="s">
        <v>62</v>
      </c>
      <c r="P318" s="122" t="s">
        <v>1454</v>
      </c>
      <c r="Q318" s="122" t="s">
        <v>70</v>
      </c>
      <c r="R318" s="122" t="s">
        <v>57</v>
      </c>
      <c r="S318" s="122" t="s">
        <v>1216</v>
      </c>
      <c r="T318" s="123">
        <v>4.29</v>
      </c>
      <c r="U318" s="122" t="s">
        <v>1455</v>
      </c>
      <c r="V318" s="125">
        <v>4.6899999999999997E-2</v>
      </c>
      <c r="W318" s="125">
        <v>4.6339999999999999E-2</v>
      </c>
      <c r="X318" s="122" t="s">
        <v>620</v>
      </c>
      <c r="Y318" s="133"/>
      <c r="Z318" s="123">
        <v>29000</v>
      </c>
      <c r="AA318" s="123">
        <v>1</v>
      </c>
      <c r="AB318" s="123">
        <v>100.58</v>
      </c>
      <c r="AC318" s="122"/>
      <c r="AD318" s="123">
        <v>29.167999999999999</v>
      </c>
      <c r="AE318" s="122"/>
      <c r="AF318" s="122"/>
      <c r="AG318" s="122"/>
      <c r="AH318" s="125">
        <v>6.0000000000000002E-5</v>
      </c>
      <c r="AI318" s="125">
        <v>2.538E-2</v>
      </c>
      <c r="AJ318" s="126">
        <v>2.8900000000000002E-3</v>
      </c>
      <c r="AK318" s="159"/>
    </row>
    <row r="319" spans="1:37" x14ac:dyDescent="0.2">
      <c r="A319" s="121" t="s">
        <v>1223</v>
      </c>
      <c r="B319" s="122" t="s">
        <v>1225</v>
      </c>
      <c r="C319" s="122" t="s">
        <v>1340</v>
      </c>
      <c r="D319" s="122" t="s">
        <v>1341</v>
      </c>
      <c r="E319" s="122" t="s">
        <v>429</v>
      </c>
      <c r="F319" s="122" t="s">
        <v>1362</v>
      </c>
      <c r="G319" s="122" t="s">
        <v>1363</v>
      </c>
      <c r="H319" s="122" t="s">
        <v>76</v>
      </c>
      <c r="I319" s="122" t="s">
        <v>229</v>
      </c>
      <c r="J319" s="122" t="s">
        <v>53</v>
      </c>
      <c r="K319" s="122" t="s">
        <v>53</v>
      </c>
      <c r="L319" s="122" t="s">
        <v>805</v>
      </c>
      <c r="M319" s="122" t="s">
        <v>311</v>
      </c>
      <c r="N319" s="122" t="s">
        <v>256</v>
      </c>
      <c r="O319" s="122" t="s">
        <v>62</v>
      </c>
      <c r="P319" s="122" t="s">
        <v>1215</v>
      </c>
      <c r="Q319" s="122" t="s">
        <v>70</v>
      </c>
      <c r="R319" s="122" t="s">
        <v>57</v>
      </c>
      <c r="S319" s="122" t="s">
        <v>1216</v>
      </c>
      <c r="T319" s="123">
        <v>1.17</v>
      </c>
      <c r="U319" s="122" t="s">
        <v>1364</v>
      </c>
      <c r="V319" s="125">
        <v>5.0000000000000001E-3</v>
      </c>
      <c r="W319" s="125">
        <v>2.9000000000000001E-2</v>
      </c>
      <c r="X319" s="122" t="s">
        <v>620</v>
      </c>
      <c r="Y319" s="133"/>
      <c r="Z319" s="123">
        <v>24148</v>
      </c>
      <c r="AA319" s="123">
        <v>1</v>
      </c>
      <c r="AB319" s="123">
        <v>114.73</v>
      </c>
      <c r="AC319" s="122"/>
      <c r="AD319" s="123">
        <v>27.704999999999998</v>
      </c>
      <c r="AE319" s="122"/>
      <c r="AF319" s="122"/>
      <c r="AG319" s="122"/>
      <c r="AH319" s="125">
        <v>3.0000000000000001E-5</v>
      </c>
      <c r="AI319" s="125">
        <v>2.4109999999999999E-2</v>
      </c>
      <c r="AJ319" s="126">
        <v>2.7399999999999998E-3</v>
      </c>
      <c r="AK319" s="159"/>
    </row>
    <row r="320" spans="1:37" x14ac:dyDescent="0.2">
      <c r="A320" s="121" t="s">
        <v>1223</v>
      </c>
      <c r="B320" s="122" t="s">
        <v>1225</v>
      </c>
      <c r="C320" s="122" t="s">
        <v>1340</v>
      </c>
      <c r="D320" s="122" t="s">
        <v>1341</v>
      </c>
      <c r="E320" s="122" t="s">
        <v>429</v>
      </c>
      <c r="F320" s="122" t="s">
        <v>1459</v>
      </c>
      <c r="G320" s="122" t="s">
        <v>1460</v>
      </c>
      <c r="H320" s="122" t="s">
        <v>76</v>
      </c>
      <c r="I320" s="122" t="s">
        <v>229</v>
      </c>
      <c r="J320" s="122" t="s">
        <v>53</v>
      </c>
      <c r="K320" s="122" t="s">
        <v>53</v>
      </c>
      <c r="L320" s="122" t="s">
        <v>805</v>
      </c>
      <c r="M320" s="122" t="s">
        <v>311</v>
      </c>
      <c r="N320" s="122" t="s">
        <v>256</v>
      </c>
      <c r="O320" s="122" t="s">
        <v>62</v>
      </c>
      <c r="P320" s="122" t="s">
        <v>1330</v>
      </c>
      <c r="Q320" s="122" t="s">
        <v>65</v>
      </c>
      <c r="R320" s="122" t="s">
        <v>57</v>
      </c>
      <c r="S320" s="122" t="s">
        <v>1216</v>
      </c>
      <c r="T320" s="123">
        <v>3.95</v>
      </c>
      <c r="U320" s="122" t="s">
        <v>1461</v>
      </c>
      <c r="V320" s="125">
        <v>1.9900000000000001E-2</v>
      </c>
      <c r="W320" s="125">
        <v>2.537E-2</v>
      </c>
      <c r="X320" s="122" t="s">
        <v>620</v>
      </c>
      <c r="Y320" s="133"/>
      <c r="Z320" s="123">
        <v>26100</v>
      </c>
      <c r="AA320" s="123">
        <v>1</v>
      </c>
      <c r="AB320" s="123">
        <v>105.83</v>
      </c>
      <c r="AC320" s="122"/>
      <c r="AD320" s="123">
        <v>27.622</v>
      </c>
      <c r="AE320" s="122"/>
      <c r="AF320" s="122"/>
      <c r="AG320" s="122"/>
      <c r="AH320" s="125">
        <v>1.0000000000000001E-5</v>
      </c>
      <c r="AI320" s="125">
        <v>2.4039999999999999E-2</v>
      </c>
      <c r="AJ320" s="126">
        <v>2.7399999999999998E-3</v>
      </c>
      <c r="AK320" s="159"/>
    </row>
    <row r="321" spans="1:37" x14ac:dyDescent="0.2">
      <c r="A321" s="121" t="s">
        <v>1223</v>
      </c>
      <c r="B321" s="122" t="s">
        <v>1225</v>
      </c>
      <c r="C321" s="122" t="s">
        <v>1332</v>
      </c>
      <c r="D321" s="122" t="s">
        <v>1333</v>
      </c>
      <c r="E321" s="122" t="s">
        <v>430</v>
      </c>
      <c r="F321" s="122" t="s">
        <v>1467</v>
      </c>
      <c r="G321" s="122" t="s">
        <v>1468</v>
      </c>
      <c r="H321" s="122" t="s">
        <v>76</v>
      </c>
      <c r="I321" s="122" t="s">
        <v>229</v>
      </c>
      <c r="J321" s="122" t="s">
        <v>53</v>
      </c>
      <c r="K321" s="122" t="s">
        <v>53</v>
      </c>
      <c r="L321" s="122" t="s">
        <v>805</v>
      </c>
      <c r="M321" s="122" t="s">
        <v>311</v>
      </c>
      <c r="N321" s="122" t="s">
        <v>156</v>
      </c>
      <c r="O321" s="122" t="s">
        <v>62</v>
      </c>
      <c r="P321" s="122" t="s">
        <v>1215</v>
      </c>
      <c r="Q321" s="122" t="s">
        <v>70</v>
      </c>
      <c r="R321" s="122" t="s">
        <v>57</v>
      </c>
      <c r="S321" s="122" t="s">
        <v>1216</v>
      </c>
      <c r="T321" s="123">
        <v>0.41</v>
      </c>
      <c r="U321" s="122" t="s">
        <v>1469</v>
      </c>
      <c r="V321" s="125">
        <v>4.4999999999999998E-2</v>
      </c>
      <c r="W321" s="125">
        <v>5.2880000000000003E-2</v>
      </c>
      <c r="X321" s="122" t="s">
        <v>620</v>
      </c>
      <c r="Y321" s="133"/>
      <c r="Z321" s="123">
        <v>21323.5</v>
      </c>
      <c r="AA321" s="123">
        <v>1</v>
      </c>
      <c r="AB321" s="123">
        <v>120.41</v>
      </c>
      <c r="AC321" s="122"/>
      <c r="AD321" s="123">
        <v>25.675999999999998</v>
      </c>
      <c r="AE321" s="122"/>
      <c r="AF321" s="122"/>
      <c r="AG321" s="122"/>
      <c r="AH321" s="125">
        <v>1.0000000000000001E-5</v>
      </c>
      <c r="AI321" s="125">
        <v>2.2349999999999998E-2</v>
      </c>
      <c r="AJ321" s="126">
        <v>2.5400000000000002E-3</v>
      </c>
      <c r="AK321" s="159"/>
    </row>
    <row r="322" spans="1:37" x14ac:dyDescent="0.2">
      <c r="A322" s="121" t="s">
        <v>1223</v>
      </c>
      <c r="B322" s="122" t="s">
        <v>1225</v>
      </c>
      <c r="C322" s="122" t="s">
        <v>1332</v>
      </c>
      <c r="D322" s="122" t="s">
        <v>1333</v>
      </c>
      <c r="E322" s="122" t="s">
        <v>430</v>
      </c>
      <c r="F322" s="122" t="s">
        <v>1337</v>
      </c>
      <c r="G322" s="122" t="s">
        <v>1338</v>
      </c>
      <c r="H322" s="122" t="s">
        <v>76</v>
      </c>
      <c r="I322" s="122" t="s">
        <v>229</v>
      </c>
      <c r="J322" s="122" t="s">
        <v>53</v>
      </c>
      <c r="K322" s="122" t="s">
        <v>53</v>
      </c>
      <c r="L322" s="122" t="s">
        <v>805</v>
      </c>
      <c r="M322" s="122" t="s">
        <v>311</v>
      </c>
      <c r="N322" s="122" t="s">
        <v>156</v>
      </c>
      <c r="O322" s="122" t="s">
        <v>62</v>
      </c>
      <c r="P322" s="122" t="s">
        <v>1215</v>
      </c>
      <c r="Q322" s="122" t="s">
        <v>70</v>
      </c>
      <c r="R322" s="122" t="s">
        <v>57</v>
      </c>
      <c r="S322" s="122" t="s">
        <v>1216</v>
      </c>
      <c r="T322" s="123">
        <v>6.89</v>
      </c>
      <c r="U322" s="122" t="s">
        <v>1339</v>
      </c>
      <c r="V322" s="125">
        <v>0.03</v>
      </c>
      <c r="W322" s="125">
        <v>2.6270000000000002E-2</v>
      </c>
      <c r="X322" s="122" t="s">
        <v>620</v>
      </c>
      <c r="Y322" s="133"/>
      <c r="Z322" s="123">
        <v>22000</v>
      </c>
      <c r="AA322" s="123">
        <v>1</v>
      </c>
      <c r="AB322" s="123">
        <v>111.48</v>
      </c>
      <c r="AC322" s="122"/>
      <c r="AD322" s="123">
        <v>24.526</v>
      </c>
      <c r="AE322" s="122"/>
      <c r="AF322" s="122"/>
      <c r="AG322" s="122"/>
      <c r="AH322" s="125">
        <v>1.0000000000000001E-5</v>
      </c>
      <c r="AI322" s="125">
        <v>2.1340000000000001E-2</v>
      </c>
      <c r="AJ322" s="126">
        <v>2.4299999999999999E-3</v>
      </c>
      <c r="AK322" s="159"/>
    </row>
    <row r="323" spans="1:37" x14ac:dyDescent="0.2">
      <c r="A323" s="121" t="s">
        <v>1223</v>
      </c>
      <c r="B323" s="122" t="s">
        <v>1225</v>
      </c>
      <c r="C323" s="122" t="s">
        <v>1431</v>
      </c>
      <c r="D323" s="122" t="s">
        <v>1432</v>
      </c>
      <c r="E323" s="122" t="s">
        <v>429</v>
      </c>
      <c r="F323" s="122" t="s">
        <v>1433</v>
      </c>
      <c r="G323" s="122" t="s">
        <v>1434</v>
      </c>
      <c r="H323" s="122" t="s">
        <v>76</v>
      </c>
      <c r="I323" s="122" t="s">
        <v>229</v>
      </c>
      <c r="J323" s="122" t="s">
        <v>53</v>
      </c>
      <c r="K323" s="122" t="s">
        <v>53</v>
      </c>
      <c r="L323" s="122" t="s">
        <v>805</v>
      </c>
      <c r="M323" s="122" t="s">
        <v>311</v>
      </c>
      <c r="N323" s="122" t="s">
        <v>636</v>
      </c>
      <c r="O323" s="122" t="s">
        <v>62</v>
      </c>
      <c r="P323" s="122" t="s">
        <v>1423</v>
      </c>
      <c r="Q323" s="122" t="s">
        <v>70</v>
      </c>
      <c r="R323" s="122" t="s">
        <v>57</v>
      </c>
      <c r="S323" s="122" t="s">
        <v>1216</v>
      </c>
      <c r="T323" s="123">
        <v>0.81</v>
      </c>
      <c r="U323" s="122" t="s">
        <v>1435</v>
      </c>
      <c r="V323" s="125">
        <v>2.5700000000000001E-2</v>
      </c>
      <c r="W323" s="125">
        <v>3.9320000000000001E-2</v>
      </c>
      <c r="X323" s="122" t="s">
        <v>620</v>
      </c>
      <c r="Y323" s="133"/>
      <c r="Z323" s="123">
        <v>19845.41</v>
      </c>
      <c r="AA323" s="123">
        <v>1</v>
      </c>
      <c r="AB323" s="123">
        <v>119.85</v>
      </c>
      <c r="AC323" s="122"/>
      <c r="AD323" s="123">
        <v>23.785</v>
      </c>
      <c r="AE323" s="122"/>
      <c r="AF323" s="122"/>
      <c r="AG323" s="122"/>
      <c r="AH323" s="125">
        <v>2.0000000000000002E-5</v>
      </c>
      <c r="AI323" s="125">
        <v>2.07E-2</v>
      </c>
      <c r="AJ323" s="126">
        <v>2.3600000000000001E-3</v>
      </c>
      <c r="AK323" s="159"/>
    </row>
    <row r="324" spans="1:37" x14ac:dyDescent="0.2">
      <c r="A324" s="121" t="s">
        <v>1223</v>
      </c>
      <c r="B324" s="122" t="s">
        <v>1225</v>
      </c>
      <c r="C324" s="122" t="s">
        <v>1562</v>
      </c>
      <c r="D324" s="122" t="s">
        <v>1563</v>
      </c>
      <c r="E324" s="122" t="s">
        <v>429</v>
      </c>
      <c r="F324" s="122" t="s">
        <v>1564</v>
      </c>
      <c r="G324" s="122" t="s">
        <v>1565</v>
      </c>
      <c r="H324" s="122" t="s">
        <v>76</v>
      </c>
      <c r="I324" s="122" t="s">
        <v>228</v>
      </c>
      <c r="J324" s="122" t="s">
        <v>53</v>
      </c>
      <c r="K324" s="122" t="s">
        <v>53</v>
      </c>
      <c r="L324" s="122" t="s">
        <v>805</v>
      </c>
      <c r="M324" s="122" t="s">
        <v>311</v>
      </c>
      <c r="N324" s="122" t="s">
        <v>140</v>
      </c>
      <c r="O324" s="122" t="s">
        <v>62</v>
      </c>
      <c r="P324" s="122" t="s">
        <v>1402</v>
      </c>
      <c r="Q324" s="122" t="s">
        <v>70</v>
      </c>
      <c r="R324" s="122" t="s">
        <v>57</v>
      </c>
      <c r="S324" s="122" t="s">
        <v>1216</v>
      </c>
      <c r="T324" s="123">
        <v>1.57</v>
      </c>
      <c r="U324" s="122" t="s">
        <v>1493</v>
      </c>
      <c r="V324" s="125">
        <v>4.53E-2</v>
      </c>
      <c r="W324" s="125">
        <v>5.2519999999999997E-2</v>
      </c>
      <c r="X324" s="122" t="s">
        <v>620</v>
      </c>
      <c r="Y324" s="133"/>
      <c r="Z324" s="123">
        <v>23290.2</v>
      </c>
      <c r="AA324" s="123">
        <v>1</v>
      </c>
      <c r="AB324" s="123">
        <v>100.12</v>
      </c>
      <c r="AC324" s="122"/>
      <c r="AD324" s="123">
        <v>23.318000000000001</v>
      </c>
      <c r="AE324" s="122"/>
      <c r="AF324" s="122"/>
      <c r="AG324" s="122"/>
      <c r="AH324" s="125">
        <v>4.0000000000000003E-5</v>
      </c>
      <c r="AI324" s="125">
        <v>2.0289999999999999E-2</v>
      </c>
      <c r="AJ324" s="126">
        <v>2.31E-3</v>
      </c>
      <c r="AK324" s="159"/>
    </row>
    <row r="325" spans="1:37" x14ac:dyDescent="0.2">
      <c r="A325" s="121" t="s">
        <v>1223</v>
      </c>
      <c r="B325" s="122" t="s">
        <v>1225</v>
      </c>
      <c r="C325" s="122" t="s">
        <v>1407</v>
      </c>
      <c r="D325" s="122" t="s">
        <v>1408</v>
      </c>
      <c r="E325" s="122" t="s">
        <v>429</v>
      </c>
      <c r="F325" s="122" t="s">
        <v>1662</v>
      </c>
      <c r="G325" s="122" t="s">
        <v>1663</v>
      </c>
      <c r="H325" s="122" t="s">
        <v>76</v>
      </c>
      <c r="I325" s="122" t="s">
        <v>229</v>
      </c>
      <c r="J325" s="122" t="s">
        <v>53</v>
      </c>
      <c r="K325" s="122" t="s">
        <v>53</v>
      </c>
      <c r="L325" s="122" t="s">
        <v>805</v>
      </c>
      <c r="M325" s="122" t="s">
        <v>311</v>
      </c>
      <c r="N325" s="122" t="s">
        <v>256</v>
      </c>
      <c r="O325" s="122" t="s">
        <v>62</v>
      </c>
      <c r="P325" s="122" t="s">
        <v>1369</v>
      </c>
      <c r="Q325" s="122" t="s">
        <v>65</v>
      </c>
      <c r="R325" s="122" t="s">
        <v>57</v>
      </c>
      <c r="S325" s="122" t="s">
        <v>1216</v>
      </c>
      <c r="T325" s="123">
        <v>1.73</v>
      </c>
      <c r="U325" s="122" t="s">
        <v>1458</v>
      </c>
      <c r="V325" s="125">
        <v>2E-3</v>
      </c>
      <c r="W325" s="125">
        <v>2.708E-2</v>
      </c>
      <c r="X325" s="122" t="s">
        <v>620</v>
      </c>
      <c r="Y325" s="133"/>
      <c r="Z325" s="123">
        <v>19500</v>
      </c>
      <c r="AA325" s="123">
        <v>1</v>
      </c>
      <c r="AB325" s="123">
        <v>113.82</v>
      </c>
      <c r="AC325" s="122"/>
      <c r="AD325" s="123">
        <v>22.195</v>
      </c>
      <c r="AE325" s="122"/>
      <c r="AF325" s="122"/>
      <c r="AG325" s="122"/>
      <c r="AH325" s="125">
        <v>3.0000000000000001E-5</v>
      </c>
      <c r="AI325" s="125">
        <v>1.932E-2</v>
      </c>
      <c r="AJ325" s="126">
        <v>2.2000000000000001E-3</v>
      </c>
      <c r="AK325" s="159"/>
    </row>
    <row r="326" spans="1:37" x14ac:dyDescent="0.2">
      <c r="A326" s="121" t="s">
        <v>1223</v>
      </c>
      <c r="B326" s="122" t="s">
        <v>1225</v>
      </c>
      <c r="C326" s="122" t="s">
        <v>1393</v>
      </c>
      <c r="D326" s="122" t="s">
        <v>1394</v>
      </c>
      <c r="E326" s="122" t="s">
        <v>429</v>
      </c>
      <c r="F326" s="122" t="s">
        <v>1491</v>
      </c>
      <c r="G326" s="122" t="s">
        <v>1492</v>
      </c>
      <c r="H326" s="122" t="s">
        <v>76</v>
      </c>
      <c r="I326" s="122" t="s">
        <v>228</v>
      </c>
      <c r="J326" s="122" t="s">
        <v>53</v>
      </c>
      <c r="K326" s="122" t="s">
        <v>53</v>
      </c>
      <c r="L326" s="122" t="s">
        <v>805</v>
      </c>
      <c r="M326" s="122" t="s">
        <v>311</v>
      </c>
      <c r="N326" s="122" t="s">
        <v>269</v>
      </c>
      <c r="O326" s="122" t="s">
        <v>62</v>
      </c>
      <c r="P326" s="122" t="s">
        <v>1377</v>
      </c>
      <c r="Q326" s="122" t="s">
        <v>70</v>
      </c>
      <c r="R326" s="122" t="s">
        <v>57</v>
      </c>
      <c r="S326" s="122" t="s">
        <v>1216</v>
      </c>
      <c r="T326" s="123">
        <v>2.14</v>
      </c>
      <c r="U326" s="122" t="s">
        <v>1493</v>
      </c>
      <c r="V326" s="125">
        <v>4.36E-2</v>
      </c>
      <c r="W326" s="125">
        <v>4.4060000000000002E-2</v>
      </c>
      <c r="X326" s="122" t="s">
        <v>620</v>
      </c>
      <c r="Y326" s="133"/>
      <c r="Z326" s="123">
        <v>20991</v>
      </c>
      <c r="AA326" s="123">
        <v>1</v>
      </c>
      <c r="AB326" s="123">
        <v>101.09</v>
      </c>
      <c r="AC326" s="122"/>
      <c r="AD326" s="123">
        <v>21.22</v>
      </c>
      <c r="AE326" s="122"/>
      <c r="AF326" s="122"/>
      <c r="AG326" s="122"/>
      <c r="AH326" s="125">
        <v>6.9999999999999994E-5</v>
      </c>
      <c r="AI326" s="125">
        <v>1.847E-2</v>
      </c>
      <c r="AJ326" s="126">
        <v>2.0999999999999999E-3</v>
      </c>
      <c r="AK326" s="159"/>
    </row>
    <row r="327" spans="1:37" x14ac:dyDescent="0.2">
      <c r="A327" s="121" t="s">
        <v>1223</v>
      </c>
      <c r="B327" s="122" t="s">
        <v>1225</v>
      </c>
      <c r="C327" s="122" t="s">
        <v>1348</v>
      </c>
      <c r="D327" s="122" t="s">
        <v>1349</v>
      </c>
      <c r="E327" s="122" t="s">
        <v>429</v>
      </c>
      <c r="F327" s="122" t="s">
        <v>1350</v>
      </c>
      <c r="G327" s="122" t="s">
        <v>1351</v>
      </c>
      <c r="H327" s="122" t="s">
        <v>76</v>
      </c>
      <c r="I327" s="122" t="s">
        <v>229</v>
      </c>
      <c r="J327" s="122" t="s">
        <v>53</v>
      </c>
      <c r="K327" s="122" t="s">
        <v>53</v>
      </c>
      <c r="L327" s="122" t="s">
        <v>805</v>
      </c>
      <c r="M327" s="122" t="s">
        <v>311</v>
      </c>
      <c r="N327" s="122" t="s">
        <v>256</v>
      </c>
      <c r="O327" s="122" t="s">
        <v>62</v>
      </c>
      <c r="P327" s="122" t="s">
        <v>1215</v>
      </c>
      <c r="Q327" s="122" t="s">
        <v>70</v>
      </c>
      <c r="R327" s="122" t="s">
        <v>57</v>
      </c>
      <c r="S327" s="122" t="s">
        <v>1216</v>
      </c>
      <c r="T327" s="123">
        <v>4.1399999999999997</v>
      </c>
      <c r="U327" s="122" t="s">
        <v>1352</v>
      </c>
      <c r="V327" s="125">
        <v>1E-3</v>
      </c>
      <c r="W327" s="125">
        <v>2.5270000000000001E-2</v>
      </c>
      <c r="X327" s="122" t="s">
        <v>620</v>
      </c>
      <c r="Y327" s="133"/>
      <c r="Z327" s="123">
        <v>19560</v>
      </c>
      <c r="AA327" s="123">
        <v>1</v>
      </c>
      <c r="AB327" s="123">
        <v>104.89</v>
      </c>
      <c r="AC327" s="122"/>
      <c r="AD327" s="123">
        <v>20.515999999999998</v>
      </c>
      <c r="AE327" s="122"/>
      <c r="AF327" s="122"/>
      <c r="AG327" s="122"/>
      <c r="AH327" s="125">
        <v>0</v>
      </c>
      <c r="AI327" s="125">
        <v>1.7860000000000001E-2</v>
      </c>
      <c r="AJ327" s="126">
        <v>2.0300000000000001E-3</v>
      </c>
      <c r="AK327" s="159"/>
    </row>
    <row r="328" spans="1:37" x14ac:dyDescent="0.2">
      <c r="A328" s="121" t="s">
        <v>1223</v>
      </c>
      <c r="B328" s="122" t="s">
        <v>1225</v>
      </c>
      <c r="C328" s="122" t="s">
        <v>1566</v>
      </c>
      <c r="D328" s="122" t="s">
        <v>1567</v>
      </c>
      <c r="E328" s="122" t="s">
        <v>429</v>
      </c>
      <c r="F328" s="122" t="s">
        <v>1568</v>
      </c>
      <c r="G328" s="122" t="s">
        <v>1569</v>
      </c>
      <c r="H328" s="122" t="s">
        <v>76</v>
      </c>
      <c r="I328" s="122" t="s">
        <v>229</v>
      </c>
      <c r="J328" s="122" t="s">
        <v>53</v>
      </c>
      <c r="K328" s="122" t="s">
        <v>53</v>
      </c>
      <c r="L328" s="122" t="s">
        <v>805</v>
      </c>
      <c r="M328" s="122" t="s">
        <v>311</v>
      </c>
      <c r="N328" s="122" t="s">
        <v>156</v>
      </c>
      <c r="O328" s="122" t="s">
        <v>62</v>
      </c>
      <c r="P328" s="122" t="s">
        <v>1402</v>
      </c>
      <c r="Q328" s="122" t="s">
        <v>70</v>
      </c>
      <c r="R328" s="122" t="s">
        <v>57</v>
      </c>
      <c r="S328" s="122" t="s">
        <v>1216</v>
      </c>
      <c r="T328" s="123">
        <v>3.22</v>
      </c>
      <c r="U328" s="122" t="s">
        <v>1438</v>
      </c>
      <c r="V328" s="125">
        <v>1.7999999999999999E-2</v>
      </c>
      <c r="W328" s="125">
        <v>3.1859999999999999E-2</v>
      </c>
      <c r="X328" s="122" t="s">
        <v>620</v>
      </c>
      <c r="Y328" s="133"/>
      <c r="Z328" s="123">
        <v>17550</v>
      </c>
      <c r="AA328" s="123">
        <v>1</v>
      </c>
      <c r="AB328" s="123">
        <v>113.57</v>
      </c>
      <c r="AC328" s="122"/>
      <c r="AD328" s="123">
        <v>19.931999999999999</v>
      </c>
      <c r="AE328" s="122"/>
      <c r="AF328" s="122"/>
      <c r="AG328" s="122"/>
      <c r="AH328" s="125">
        <v>2.0000000000000002E-5</v>
      </c>
      <c r="AI328" s="125">
        <v>1.7350000000000001E-2</v>
      </c>
      <c r="AJ328" s="126">
        <v>1.97E-3</v>
      </c>
      <c r="AK328" s="159"/>
    </row>
    <row r="329" spans="1:37" x14ac:dyDescent="0.2">
      <c r="A329" s="121" t="s">
        <v>1223</v>
      </c>
      <c r="B329" s="122" t="s">
        <v>1225</v>
      </c>
      <c r="C329" s="122" t="s">
        <v>1557</v>
      </c>
      <c r="D329" s="122" t="s">
        <v>1558</v>
      </c>
      <c r="E329" s="122" t="s">
        <v>429</v>
      </c>
      <c r="F329" s="122" t="s">
        <v>1559</v>
      </c>
      <c r="G329" s="122" t="s">
        <v>1560</v>
      </c>
      <c r="H329" s="122" t="s">
        <v>76</v>
      </c>
      <c r="I329" s="122" t="s">
        <v>229</v>
      </c>
      <c r="J329" s="122" t="s">
        <v>53</v>
      </c>
      <c r="K329" s="122" t="s">
        <v>53</v>
      </c>
      <c r="L329" s="122" t="s">
        <v>805</v>
      </c>
      <c r="M329" s="122" t="s">
        <v>311</v>
      </c>
      <c r="N329" s="122" t="s">
        <v>635</v>
      </c>
      <c r="O329" s="122" t="s">
        <v>62</v>
      </c>
      <c r="P329" s="122" t="s">
        <v>1561</v>
      </c>
      <c r="Q329" s="122" t="s">
        <v>65</v>
      </c>
      <c r="R329" s="122" t="s">
        <v>57</v>
      </c>
      <c r="S329" s="122" t="s">
        <v>1216</v>
      </c>
      <c r="T329" s="123">
        <v>2.0099999999999998</v>
      </c>
      <c r="U329" s="122" t="s">
        <v>1493</v>
      </c>
      <c r="V329" s="125">
        <v>1.7999999999999999E-2</v>
      </c>
      <c r="W329" s="125">
        <v>0.03</v>
      </c>
      <c r="X329" s="122" t="s">
        <v>620</v>
      </c>
      <c r="Y329" s="133"/>
      <c r="Z329" s="123">
        <v>15827.25</v>
      </c>
      <c r="AA329" s="123">
        <v>1</v>
      </c>
      <c r="AB329" s="123">
        <v>116.94</v>
      </c>
      <c r="AC329" s="122"/>
      <c r="AD329" s="123">
        <v>18.507999999999999</v>
      </c>
      <c r="AE329" s="122"/>
      <c r="AF329" s="122"/>
      <c r="AG329" s="122"/>
      <c r="AH329" s="125">
        <v>2.0000000000000002E-5</v>
      </c>
      <c r="AI329" s="125">
        <v>1.6109999999999999E-2</v>
      </c>
      <c r="AJ329" s="126">
        <v>1.83E-3</v>
      </c>
      <c r="AK329" s="159"/>
    </row>
    <row r="330" spans="1:37" x14ac:dyDescent="0.2">
      <c r="A330" s="121" t="s">
        <v>1223</v>
      </c>
      <c r="B330" s="122" t="s">
        <v>1225</v>
      </c>
      <c r="C330" s="122" t="s">
        <v>1398</v>
      </c>
      <c r="D330" s="122" t="s">
        <v>1399</v>
      </c>
      <c r="E330" s="122" t="s">
        <v>429</v>
      </c>
      <c r="F330" s="122" t="s">
        <v>1436</v>
      </c>
      <c r="G330" s="122" t="s">
        <v>1437</v>
      </c>
      <c r="H330" s="122" t="s">
        <v>76</v>
      </c>
      <c r="I330" s="122" t="s">
        <v>229</v>
      </c>
      <c r="J330" s="122" t="s">
        <v>53</v>
      </c>
      <c r="K330" s="122" t="s">
        <v>53</v>
      </c>
      <c r="L330" s="122" t="s">
        <v>805</v>
      </c>
      <c r="M330" s="122" t="s">
        <v>311</v>
      </c>
      <c r="N330" s="122" t="s">
        <v>636</v>
      </c>
      <c r="O330" s="122" t="s">
        <v>62</v>
      </c>
      <c r="P330" s="122" t="s">
        <v>1402</v>
      </c>
      <c r="Q330" s="122" t="s">
        <v>70</v>
      </c>
      <c r="R330" s="122" t="s">
        <v>57</v>
      </c>
      <c r="S330" s="122" t="s">
        <v>1216</v>
      </c>
      <c r="T330" s="123">
        <v>4.7</v>
      </c>
      <c r="U330" s="122" t="s">
        <v>1438</v>
      </c>
      <c r="V330" s="125">
        <v>1.7899999999999999E-2</v>
      </c>
      <c r="W330" s="125">
        <v>5.3999999999999999E-2</v>
      </c>
      <c r="X330" s="122" t="s">
        <v>620</v>
      </c>
      <c r="Y330" s="133"/>
      <c r="Z330" s="123">
        <v>16784.25</v>
      </c>
      <c r="AA330" s="123">
        <v>1</v>
      </c>
      <c r="AB330" s="123">
        <v>100.05</v>
      </c>
      <c r="AC330" s="122"/>
      <c r="AD330" s="123">
        <v>16.792999999999999</v>
      </c>
      <c r="AE330" s="122"/>
      <c r="AF330" s="122"/>
      <c r="AG330" s="122"/>
      <c r="AH330" s="125">
        <v>1.0000000000000001E-5</v>
      </c>
      <c r="AI330" s="125">
        <v>1.461E-2</v>
      </c>
      <c r="AJ330" s="126">
        <v>1.66E-3</v>
      </c>
      <c r="AK330" s="159"/>
    </row>
    <row r="331" spans="1:37" x14ac:dyDescent="0.2">
      <c r="A331" s="121" t="s">
        <v>1223</v>
      </c>
      <c r="B331" s="122" t="s">
        <v>1225</v>
      </c>
      <c r="C331" s="122" t="s">
        <v>1570</v>
      </c>
      <c r="D331" s="122" t="s">
        <v>1571</v>
      </c>
      <c r="E331" s="122" t="s">
        <v>429</v>
      </c>
      <c r="F331" s="122" t="s">
        <v>1572</v>
      </c>
      <c r="G331" s="122" t="s">
        <v>1573</v>
      </c>
      <c r="H331" s="122" t="s">
        <v>76</v>
      </c>
      <c r="I331" s="122" t="s">
        <v>228</v>
      </c>
      <c r="J331" s="122" t="s">
        <v>53</v>
      </c>
      <c r="K331" s="122" t="s">
        <v>53</v>
      </c>
      <c r="L331" s="122" t="s">
        <v>805</v>
      </c>
      <c r="M331" s="122" t="s">
        <v>311</v>
      </c>
      <c r="N331" s="122" t="s">
        <v>635</v>
      </c>
      <c r="O331" s="122" t="s">
        <v>62</v>
      </c>
      <c r="P331" s="122" t="s">
        <v>1369</v>
      </c>
      <c r="Q331" s="122" t="s">
        <v>65</v>
      </c>
      <c r="R331" s="122" t="s">
        <v>57</v>
      </c>
      <c r="S331" s="122" t="s">
        <v>1216</v>
      </c>
      <c r="T331" s="123">
        <v>5.7</v>
      </c>
      <c r="U331" s="122" t="s">
        <v>1574</v>
      </c>
      <c r="V331" s="125">
        <v>4.9399999999999999E-2</v>
      </c>
      <c r="W331" s="125">
        <v>5.1290000000000002E-2</v>
      </c>
      <c r="X331" s="122" t="s">
        <v>620</v>
      </c>
      <c r="Y331" s="133"/>
      <c r="Z331" s="123">
        <v>15435.34</v>
      </c>
      <c r="AA331" s="123">
        <v>1</v>
      </c>
      <c r="AB331" s="123">
        <v>101.81</v>
      </c>
      <c r="AC331" s="122"/>
      <c r="AD331" s="123">
        <v>15.715</v>
      </c>
      <c r="AE331" s="122"/>
      <c r="AF331" s="122"/>
      <c r="AG331" s="122"/>
      <c r="AH331" s="125">
        <v>1.0000000000000001E-5</v>
      </c>
      <c r="AI331" s="125">
        <v>1.3679999999999999E-2</v>
      </c>
      <c r="AJ331" s="126">
        <v>1.56E-3</v>
      </c>
      <c r="AK331" s="159"/>
    </row>
    <row r="332" spans="1:37" x14ac:dyDescent="0.2">
      <c r="A332" s="121" t="s">
        <v>1223</v>
      </c>
      <c r="B332" s="122" t="s">
        <v>1225</v>
      </c>
      <c r="C332" s="122" t="s">
        <v>1472</v>
      </c>
      <c r="D332" s="122" t="s">
        <v>1473</v>
      </c>
      <c r="E332" s="122" t="s">
        <v>429</v>
      </c>
      <c r="F332" s="122" t="s">
        <v>1474</v>
      </c>
      <c r="G332" s="122" t="s">
        <v>1475</v>
      </c>
      <c r="H332" s="122" t="s">
        <v>76</v>
      </c>
      <c r="I332" s="122" t="s">
        <v>228</v>
      </c>
      <c r="J332" s="122" t="s">
        <v>53</v>
      </c>
      <c r="K332" s="122" t="s">
        <v>53</v>
      </c>
      <c r="L332" s="122" t="s">
        <v>805</v>
      </c>
      <c r="M332" s="122" t="s">
        <v>311</v>
      </c>
      <c r="N332" s="122" t="s">
        <v>260</v>
      </c>
      <c r="O332" s="122" t="s">
        <v>62</v>
      </c>
      <c r="P332" s="122" t="s">
        <v>1454</v>
      </c>
      <c r="Q332" s="122" t="s">
        <v>70</v>
      </c>
      <c r="R332" s="122" t="s">
        <v>57</v>
      </c>
      <c r="S332" s="122" t="s">
        <v>1216</v>
      </c>
      <c r="T332" s="123">
        <v>0.17</v>
      </c>
      <c r="U332" s="122" t="s">
        <v>1476</v>
      </c>
      <c r="V332" s="125">
        <v>3.6499999999999998E-2</v>
      </c>
      <c r="W332" s="125">
        <v>4.367E-2</v>
      </c>
      <c r="X332" s="122" t="s">
        <v>620</v>
      </c>
      <c r="Y332" s="133"/>
      <c r="Z332" s="123">
        <v>12865.11</v>
      </c>
      <c r="AA332" s="123">
        <v>1</v>
      </c>
      <c r="AB332" s="123">
        <v>101.1</v>
      </c>
      <c r="AC332" s="122"/>
      <c r="AD332" s="123">
        <v>13.007</v>
      </c>
      <c r="AE332" s="122"/>
      <c r="AF332" s="122"/>
      <c r="AG332" s="122"/>
      <c r="AH332" s="125">
        <v>2.0000000000000002E-5</v>
      </c>
      <c r="AI332" s="125">
        <v>1.132E-2</v>
      </c>
      <c r="AJ332" s="126">
        <v>1.2899999999999999E-3</v>
      </c>
      <c r="AK332" s="159"/>
    </row>
    <row r="333" spans="1:37" x14ac:dyDescent="0.2">
      <c r="A333" s="121" t="s">
        <v>1223</v>
      </c>
      <c r="B333" s="122" t="s">
        <v>1225</v>
      </c>
      <c r="C333" s="122" t="s">
        <v>1542</v>
      </c>
      <c r="D333" s="122" t="s">
        <v>1543</v>
      </c>
      <c r="E333" s="122" t="s">
        <v>429</v>
      </c>
      <c r="F333" s="122" t="s">
        <v>1582</v>
      </c>
      <c r="G333" s="122" t="s">
        <v>1583</v>
      </c>
      <c r="H333" s="122" t="s">
        <v>76</v>
      </c>
      <c r="I333" s="122" t="s">
        <v>229</v>
      </c>
      <c r="J333" s="122" t="s">
        <v>53</v>
      </c>
      <c r="K333" s="122" t="s">
        <v>53</v>
      </c>
      <c r="L333" s="122" t="s">
        <v>805</v>
      </c>
      <c r="M333" s="122" t="s">
        <v>311</v>
      </c>
      <c r="N333" s="122" t="s">
        <v>635</v>
      </c>
      <c r="O333" s="122" t="s">
        <v>62</v>
      </c>
      <c r="P333" s="122" t="s">
        <v>1584</v>
      </c>
      <c r="Q333" s="122" t="s">
        <v>70</v>
      </c>
      <c r="R333" s="122" t="s">
        <v>57</v>
      </c>
      <c r="S333" s="122" t="s">
        <v>1216</v>
      </c>
      <c r="T333" s="123">
        <v>1.71</v>
      </c>
      <c r="U333" s="122" t="s">
        <v>1458</v>
      </c>
      <c r="V333" s="125">
        <v>1.77E-2</v>
      </c>
      <c r="W333" s="125">
        <v>2.9059999999999999E-2</v>
      </c>
      <c r="X333" s="122" t="s">
        <v>620</v>
      </c>
      <c r="Y333" s="133"/>
      <c r="Z333" s="123">
        <v>10500</v>
      </c>
      <c r="AA333" s="123">
        <v>1</v>
      </c>
      <c r="AB333" s="123">
        <v>116.94</v>
      </c>
      <c r="AC333" s="122"/>
      <c r="AD333" s="123">
        <v>12.279</v>
      </c>
      <c r="AE333" s="122"/>
      <c r="AF333" s="122"/>
      <c r="AG333" s="122"/>
      <c r="AH333" s="125">
        <v>0</v>
      </c>
      <c r="AI333" s="125">
        <v>1.069E-2</v>
      </c>
      <c r="AJ333" s="126">
        <v>1.2199999999999999E-3</v>
      </c>
      <c r="AK333" s="159"/>
    </row>
    <row r="334" spans="1:37" x14ac:dyDescent="0.2">
      <c r="A334" s="121" t="s">
        <v>1223</v>
      </c>
      <c r="B334" s="122" t="s">
        <v>1225</v>
      </c>
      <c r="C334" s="122" t="s">
        <v>1585</v>
      </c>
      <c r="D334" s="122" t="s">
        <v>1586</v>
      </c>
      <c r="E334" s="122" t="s">
        <v>429</v>
      </c>
      <c r="F334" s="122" t="s">
        <v>1587</v>
      </c>
      <c r="G334" s="122" t="s">
        <v>1588</v>
      </c>
      <c r="H334" s="122" t="s">
        <v>76</v>
      </c>
      <c r="I334" s="122" t="s">
        <v>228</v>
      </c>
      <c r="J334" s="122" t="s">
        <v>53</v>
      </c>
      <c r="K334" s="122" t="s">
        <v>53</v>
      </c>
      <c r="L334" s="122" t="s">
        <v>805</v>
      </c>
      <c r="M334" s="122" t="s">
        <v>311</v>
      </c>
      <c r="N334" s="122" t="s">
        <v>265</v>
      </c>
      <c r="O334" s="122" t="s">
        <v>62</v>
      </c>
      <c r="P334" s="122" t="s">
        <v>1450</v>
      </c>
      <c r="Q334" s="122" t="s">
        <v>65</v>
      </c>
      <c r="R334" s="122" t="s">
        <v>57</v>
      </c>
      <c r="S334" s="122" t="s">
        <v>1216</v>
      </c>
      <c r="T334" s="123">
        <v>1.81</v>
      </c>
      <c r="U334" s="122" t="s">
        <v>1458</v>
      </c>
      <c r="V334" s="125">
        <v>2.1999999999999999E-2</v>
      </c>
      <c r="W334" s="125">
        <v>4.8329999999999998E-2</v>
      </c>
      <c r="X334" s="122" t="s">
        <v>620</v>
      </c>
      <c r="Y334" s="133"/>
      <c r="Z334" s="123">
        <v>11772.6</v>
      </c>
      <c r="AA334" s="123">
        <v>1</v>
      </c>
      <c r="AB334" s="123">
        <v>96.03</v>
      </c>
      <c r="AC334" s="122"/>
      <c r="AD334" s="123">
        <v>11.305</v>
      </c>
      <c r="AE334" s="122"/>
      <c r="AF334" s="122"/>
      <c r="AG334" s="122"/>
      <c r="AH334" s="125">
        <v>1.0000000000000001E-5</v>
      </c>
      <c r="AI334" s="125">
        <v>9.8399999999999998E-3</v>
      </c>
      <c r="AJ334" s="126">
        <v>1.1199999999999999E-3</v>
      </c>
      <c r="AK334" s="159"/>
    </row>
    <row r="335" spans="1:37" x14ac:dyDescent="0.2">
      <c r="A335" s="121" t="s">
        <v>1223</v>
      </c>
      <c r="B335" s="122" t="s">
        <v>1225</v>
      </c>
      <c r="C335" s="122" t="s">
        <v>1419</v>
      </c>
      <c r="D335" s="122" t="s">
        <v>1420</v>
      </c>
      <c r="E335" s="122" t="s">
        <v>429</v>
      </c>
      <c r="F335" s="122" t="s">
        <v>1488</v>
      </c>
      <c r="G335" s="122" t="s">
        <v>1489</v>
      </c>
      <c r="H335" s="122" t="s">
        <v>76</v>
      </c>
      <c r="I335" s="122" t="s">
        <v>229</v>
      </c>
      <c r="J335" s="122" t="s">
        <v>53</v>
      </c>
      <c r="K335" s="122" t="s">
        <v>53</v>
      </c>
      <c r="L335" s="122" t="s">
        <v>805</v>
      </c>
      <c r="M335" s="122" t="s">
        <v>311</v>
      </c>
      <c r="N335" s="122" t="s">
        <v>269</v>
      </c>
      <c r="O335" s="122" t="s">
        <v>62</v>
      </c>
      <c r="P335" s="122" t="s">
        <v>1423</v>
      </c>
      <c r="Q335" s="122" t="s">
        <v>70</v>
      </c>
      <c r="R335" s="122" t="s">
        <v>57</v>
      </c>
      <c r="S335" s="122" t="s">
        <v>1216</v>
      </c>
      <c r="T335" s="123">
        <v>3.74</v>
      </c>
      <c r="U335" s="122" t="s">
        <v>1490</v>
      </c>
      <c r="V335" s="125">
        <v>5.1700000000000003E-2</v>
      </c>
      <c r="W335" s="125">
        <v>4.6330000000000003E-2</v>
      </c>
      <c r="X335" s="122" t="s">
        <v>620</v>
      </c>
      <c r="Y335" s="133"/>
      <c r="Z335" s="123">
        <v>10661</v>
      </c>
      <c r="AA335" s="123">
        <v>1</v>
      </c>
      <c r="AB335" s="123">
        <v>103.93</v>
      </c>
      <c r="AC335" s="122"/>
      <c r="AD335" s="123">
        <v>11.08</v>
      </c>
      <c r="AE335" s="122"/>
      <c r="AF335" s="122"/>
      <c r="AG335" s="122"/>
      <c r="AH335" s="125">
        <v>2.0000000000000002E-5</v>
      </c>
      <c r="AI335" s="125">
        <v>9.6399999999999993E-3</v>
      </c>
      <c r="AJ335" s="126">
        <v>1.1000000000000001E-3</v>
      </c>
      <c r="AK335" s="159"/>
    </row>
    <row r="336" spans="1:37" x14ac:dyDescent="0.2">
      <c r="A336" s="121" t="s">
        <v>1223</v>
      </c>
      <c r="B336" s="122" t="s">
        <v>1225</v>
      </c>
      <c r="C336" s="122" t="s">
        <v>1373</v>
      </c>
      <c r="D336" s="122" t="s">
        <v>1374</v>
      </c>
      <c r="E336" s="122" t="s">
        <v>429</v>
      </c>
      <c r="F336" s="122" t="s">
        <v>1580</v>
      </c>
      <c r="G336" s="122" t="s">
        <v>1581</v>
      </c>
      <c r="H336" s="122" t="s">
        <v>76</v>
      </c>
      <c r="I336" s="122" t="s">
        <v>228</v>
      </c>
      <c r="J336" s="122" t="s">
        <v>53</v>
      </c>
      <c r="K336" s="122" t="s">
        <v>53</v>
      </c>
      <c r="L336" s="122" t="s">
        <v>805</v>
      </c>
      <c r="M336" s="122" t="s">
        <v>311</v>
      </c>
      <c r="N336" s="122" t="s">
        <v>269</v>
      </c>
      <c r="O336" s="122" t="s">
        <v>62</v>
      </c>
      <c r="P336" s="122" t="s">
        <v>1377</v>
      </c>
      <c r="Q336" s="122" t="s">
        <v>70</v>
      </c>
      <c r="R336" s="122" t="s">
        <v>57</v>
      </c>
      <c r="S336" s="122" t="s">
        <v>1216</v>
      </c>
      <c r="T336" s="123">
        <v>0.99</v>
      </c>
      <c r="U336" s="122" t="s">
        <v>1524</v>
      </c>
      <c r="V336" s="125">
        <v>1.84E-2</v>
      </c>
      <c r="W336" s="125">
        <v>4.7879999999999999E-2</v>
      </c>
      <c r="X336" s="122" t="s">
        <v>620</v>
      </c>
      <c r="Y336" s="133"/>
      <c r="Z336" s="123">
        <v>11191</v>
      </c>
      <c r="AA336" s="123">
        <v>1</v>
      </c>
      <c r="AB336" s="123">
        <v>97.22</v>
      </c>
      <c r="AC336" s="122"/>
      <c r="AD336" s="123">
        <v>10.88</v>
      </c>
      <c r="AE336" s="122"/>
      <c r="AF336" s="122"/>
      <c r="AG336" s="122"/>
      <c r="AH336" s="125">
        <v>4.0000000000000003E-5</v>
      </c>
      <c r="AI336" s="125">
        <v>9.4699999999999993E-3</v>
      </c>
      <c r="AJ336" s="126">
        <v>1.08E-3</v>
      </c>
      <c r="AK336" s="159"/>
    </row>
    <row r="337" spans="1:37" x14ac:dyDescent="0.2">
      <c r="A337" s="121" t="s">
        <v>1223</v>
      </c>
      <c r="B337" s="122" t="s">
        <v>1225</v>
      </c>
      <c r="C337" s="122" t="s">
        <v>1504</v>
      </c>
      <c r="D337" s="122" t="s">
        <v>1505</v>
      </c>
      <c r="E337" s="122" t="s">
        <v>429</v>
      </c>
      <c r="F337" s="122" t="s">
        <v>1506</v>
      </c>
      <c r="G337" s="122" t="s">
        <v>1507</v>
      </c>
      <c r="H337" s="122" t="s">
        <v>76</v>
      </c>
      <c r="I337" s="122" t="s">
        <v>229</v>
      </c>
      <c r="J337" s="122" t="s">
        <v>53</v>
      </c>
      <c r="K337" s="122" t="s">
        <v>53</v>
      </c>
      <c r="L337" s="122" t="s">
        <v>805</v>
      </c>
      <c r="M337" s="122" t="s">
        <v>311</v>
      </c>
      <c r="N337" s="122" t="s">
        <v>269</v>
      </c>
      <c r="O337" s="122" t="s">
        <v>62</v>
      </c>
      <c r="P337" s="122" t="s">
        <v>1324</v>
      </c>
      <c r="Q337" s="122" t="s">
        <v>65</v>
      </c>
      <c r="R337" s="122" t="s">
        <v>57</v>
      </c>
      <c r="S337" s="122" t="s">
        <v>1216</v>
      </c>
      <c r="T337" s="123">
        <v>3.56</v>
      </c>
      <c r="U337" s="122" t="s">
        <v>1508</v>
      </c>
      <c r="V337" s="125">
        <v>4.4000000000000003E-3</v>
      </c>
      <c r="W337" s="125">
        <v>2.683E-2</v>
      </c>
      <c r="X337" s="122" t="s">
        <v>620</v>
      </c>
      <c r="Y337" s="133"/>
      <c r="Z337" s="123">
        <v>9548</v>
      </c>
      <c r="AA337" s="123">
        <v>1</v>
      </c>
      <c r="AB337" s="123">
        <v>109.63</v>
      </c>
      <c r="AC337" s="122"/>
      <c r="AD337" s="123">
        <v>10.467000000000001</v>
      </c>
      <c r="AE337" s="122"/>
      <c r="AF337" s="122"/>
      <c r="AG337" s="122"/>
      <c r="AH337" s="125">
        <v>1.0000000000000001E-5</v>
      </c>
      <c r="AI337" s="125">
        <v>9.11E-3</v>
      </c>
      <c r="AJ337" s="126">
        <v>1.0399999999999999E-3</v>
      </c>
      <c r="AK337" s="159"/>
    </row>
    <row r="338" spans="1:37" x14ac:dyDescent="0.2">
      <c r="A338" s="121" t="s">
        <v>1223</v>
      </c>
      <c r="B338" s="122" t="s">
        <v>1225</v>
      </c>
      <c r="C338" s="122" t="s">
        <v>1708</v>
      </c>
      <c r="D338" s="122" t="s">
        <v>1709</v>
      </c>
      <c r="E338" s="122" t="s">
        <v>429</v>
      </c>
      <c r="F338" s="122" t="s">
        <v>1839</v>
      </c>
      <c r="G338" s="122" t="s">
        <v>1840</v>
      </c>
      <c r="H338" s="122" t="s">
        <v>76</v>
      </c>
      <c r="I338" s="122" t="s">
        <v>229</v>
      </c>
      <c r="J338" s="122" t="s">
        <v>53</v>
      </c>
      <c r="K338" s="122" t="s">
        <v>53</v>
      </c>
      <c r="L338" s="122" t="s">
        <v>805</v>
      </c>
      <c r="M338" s="122" t="s">
        <v>311</v>
      </c>
      <c r="N338" s="122" t="s">
        <v>692</v>
      </c>
      <c r="O338" s="122" t="s">
        <v>62</v>
      </c>
      <c r="P338" s="122"/>
      <c r="Q338" s="122" t="s">
        <v>298</v>
      </c>
      <c r="R338" s="122"/>
      <c r="S338" s="122" t="s">
        <v>1216</v>
      </c>
      <c r="T338" s="123">
        <v>2.1800000000000002</v>
      </c>
      <c r="U338" s="122" t="s">
        <v>1458</v>
      </c>
      <c r="V338" s="125">
        <v>3.6999999999999998E-2</v>
      </c>
      <c r="W338" s="125">
        <v>3.8769999999999999E-2</v>
      </c>
      <c r="X338" s="122" t="s">
        <v>620</v>
      </c>
      <c r="Y338" s="133"/>
      <c r="Z338" s="123">
        <v>8042.55</v>
      </c>
      <c r="AA338" s="123">
        <v>1</v>
      </c>
      <c r="AB338" s="123">
        <v>119.38</v>
      </c>
      <c r="AC338" s="122"/>
      <c r="AD338" s="123">
        <v>9.6010000000000009</v>
      </c>
      <c r="AE338" s="122"/>
      <c r="AF338" s="122"/>
      <c r="AG338" s="122"/>
      <c r="AH338" s="125">
        <v>2.0000000000000002E-5</v>
      </c>
      <c r="AI338" s="125">
        <v>8.3599999999999994E-3</v>
      </c>
      <c r="AJ338" s="126">
        <v>9.5E-4</v>
      </c>
      <c r="AK338" s="159"/>
    </row>
    <row r="339" spans="1:37" x14ac:dyDescent="0.2">
      <c r="A339" s="121" t="s">
        <v>1223</v>
      </c>
      <c r="B339" s="122" t="s">
        <v>1225</v>
      </c>
      <c r="C339" s="122" t="s">
        <v>1462</v>
      </c>
      <c r="D339" s="122" t="s">
        <v>1463</v>
      </c>
      <c r="E339" s="122" t="s">
        <v>429</v>
      </c>
      <c r="F339" s="122" t="s">
        <v>1464</v>
      </c>
      <c r="G339" s="122" t="s">
        <v>1465</v>
      </c>
      <c r="H339" s="122" t="s">
        <v>76</v>
      </c>
      <c r="I339" s="122" t="s">
        <v>229</v>
      </c>
      <c r="J339" s="122" t="s">
        <v>53</v>
      </c>
      <c r="K339" s="122" t="s">
        <v>53</v>
      </c>
      <c r="L339" s="122" t="s">
        <v>805</v>
      </c>
      <c r="M339" s="122" t="s">
        <v>311</v>
      </c>
      <c r="N339" s="122" t="s">
        <v>156</v>
      </c>
      <c r="O339" s="122" t="s">
        <v>62</v>
      </c>
      <c r="P339" s="122" t="s">
        <v>1369</v>
      </c>
      <c r="Q339" s="122" t="s">
        <v>65</v>
      </c>
      <c r="R339" s="122" t="s">
        <v>57</v>
      </c>
      <c r="S339" s="122" t="s">
        <v>1216</v>
      </c>
      <c r="T339" s="123">
        <v>1.62</v>
      </c>
      <c r="U339" s="122" t="s">
        <v>1466</v>
      </c>
      <c r="V339" s="125">
        <v>1.9400000000000001E-2</v>
      </c>
      <c r="W339" s="125">
        <v>2.6239999999999999E-2</v>
      </c>
      <c r="X339" s="122" t="s">
        <v>620</v>
      </c>
      <c r="Y339" s="133"/>
      <c r="Z339" s="123">
        <v>7662.27</v>
      </c>
      <c r="AA339" s="123">
        <v>1</v>
      </c>
      <c r="AB339" s="123">
        <v>119.07</v>
      </c>
      <c r="AC339" s="122"/>
      <c r="AD339" s="123">
        <v>9.1229999999999993</v>
      </c>
      <c r="AE339" s="122"/>
      <c r="AF339" s="122"/>
      <c r="AG339" s="122"/>
      <c r="AH339" s="125">
        <v>3.0000000000000001E-5</v>
      </c>
      <c r="AI339" s="125">
        <v>7.9399999999999991E-3</v>
      </c>
      <c r="AJ339" s="126">
        <v>8.9999999999999998E-4</v>
      </c>
      <c r="AK339" s="159"/>
    </row>
    <row r="340" spans="1:37" x14ac:dyDescent="0.2">
      <c r="A340" s="121" t="s">
        <v>1223</v>
      </c>
      <c r="B340" s="122" t="s">
        <v>1225</v>
      </c>
      <c r="C340" s="122" t="s">
        <v>1442</v>
      </c>
      <c r="D340" s="122" t="s">
        <v>1443</v>
      </c>
      <c r="E340" s="122" t="s">
        <v>429</v>
      </c>
      <c r="F340" s="122" t="s">
        <v>1444</v>
      </c>
      <c r="G340" s="122" t="s">
        <v>1445</v>
      </c>
      <c r="H340" s="122" t="s">
        <v>76</v>
      </c>
      <c r="I340" s="122" t="s">
        <v>229</v>
      </c>
      <c r="J340" s="122" t="s">
        <v>53</v>
      </c>
      <c r="K340" s="122" t="s">
        <v>53</v>
      </c>
      <c r="L340" s="122" t="s">
        <v>805</v>
      </c>
      <c r="M340" s="122" t="s">
        <v>311</v>
      </c>
      <c r="N340" s="122" t="s">
        <v>635</v>
      </c>
      <c r="O340" s="122" t="s">
        <v>62</v>
      </c>
      <c r="P340" s="122" t="s">
        <v>1324</v>
      </c>
      <c r="Q340" s="122" t="s">
        <v>65</v>
      </c>
      <c r="R340" s="122" t="s">
        <v>57</v>
      </c>
      <c r="S340" s="122" t="s">
        <v>1216</v>
      </c>
      <c r="T340" s="123">
        <v>1.76</v>
      </c>
      <c r="U340" s="122" t="s">
        <v>1281</v>
      </c>
      <c r="V340" s="125">
        <v>2.3400000000000001E-2</v>
      </c>
      <c r="W340" s="125">
        <v>2.962E-2</v>
      </c>
      <c r="X340" s="122" t="s">
        <v>620</v>
      </c>
      <c r="Y340" s="133"/>
      <c r="Z340" s="123">
        <v>7407.97</v>
      </c>
      <c r="AA340" s="123">
        <v>1</v>
      </c>
      <c r="AB340" s="123">
        <v>118.73</v>
      </c>
      <c r="AC340" s="122"/>
      <c r="AD340" s="123">
        <v>8.7949999999999999</v>
      </c>
      <c r="AE340" s="122"/>
      <c r="AF340" s="122"/>
      <c r="AG340" s="122"/>
      <c r="AH340" s="125">
        <v>0</v>
      </c>
      <c r="AI340" s="125">
        <v>7.6499999999999997E-3</v>
      </c>
      <c r="AJ340" s="126">
        <v>8.7000000000000001E-4</v>
      </c>
      <c r="AK340" s="159"/>
    </row>
    <row r="341" spans="1:37" x14ac:dyDescent="0.2">
      <c r="A341" s="121" t="s">
        <v>1223</v>
      </c>
      <c r="B341" s="122" t="s">
        <v>1225</v>
      </c>
      <c r="C341" s="122" t="s">
        <v>1320</v>
      </c>
      <c r="D341" s="122" t="s">
        <v>1321</v>
      </c>
      <c r="E341" s="122" t="s">
        <v>429</v>
      </c>
      <c r="F341" s="122" t="s">
        <v>1482</v>
      </c>
      <c r="G341" s="122" t="s">
        <v>1483</v>
      </c>
      <c r="H341" s="122" t="s">
        <v>76</v>
      </c>
      <c r="I341" s="122" t="s">
        <v>228</v>
      </c>
      <c r="J341" s="122" t="s">
        <v>53</v>
      </c>
      <c r="K341" s="122" t="s">
        <v>53</v>
      </c>
      <c r="L341" s="122" t="s">
        <v>805</v>
      </c>
      <c r="M341" s="122" t="s">
        <v>311</v>
      </c>
      <c r="N341" s="122" t="s">
        <v>269</v>
      </c>
      <c r="O341" s="122" t="s">
        <v>62</v>
      </c>
      <c r="P341" s="122" t="s">
        <v>1454</v>
      </c>
      <c r="Q341" s="122" t="s">
        <v>70</v>
      </c>
      <c r="R341" s="122" t="s">
        <v>57</v>
      </c>
      <c r="S341" s="122" t="s">
        <v>1216</v>
      </c>
      <c r="T341" s="123">
        <v>3.4</v>
      </c>
      <c r="U341" s="122" t="s">
        <v>1484</v>
      </c>
      <c r="V341" s="125">
        <v>2.6200000000000001E-2</v>
      </c>
      <c r="W341" s="125">
        <v>4.512E-2</v>
      </c>
      <c r="X341" s="122" t="s">
        <v>620</v>
      </c>
      <c r="Y341" s="133"/>
      <c r="Z341" s="123">
        <v>8998</v>
      </c>
      <c r="AA341" s="123">
        <v>1</v>
      </c>
      <c r="AB341" s="123">
        <v>95.06</v>
      </c>
      <c r="AC341" s="122"/>
      <c r="AD341" s="123">
        <v>8.5530000000000008</v>
      </c>
      <c r="AE341" s="122"/>
      <c r="AF341" s="122"/>
      <c r="AG341" s="122"/>
      <c r="AH341" s="125">
        <v>1.0000000000000001E-5</v>
      </c>
      <c r="AI341" s="125">
        <v>7.4400000000000004E-3</v>
      </c>
      <c r="AJ341" s="126">
        <v>8.4999999999999995E-4</v>
      </c>
      <c r="AK341" s="159"/>
    </row>
    <row r="342" spans="1:37" x14ac:dyDescent="0.2">
      <c r="A342" s="121" t="s">
        <v>1223</v>
      </c>
      <c r="B342" s="122" t="s">
        <v>1225</v>
      </c>
      <c r="C342" s="122" t="s">
        <v>1407</v>
      </c>
      <c r="D342" s="122" t="s">
        <v>1408</v>
      </c>
      <c r="E342" s="122" t="s">
        <v>429</v>
      </c>
      <c r="F342" s="122" t="s">
        <v>1428</v>
      </c>
      <c r="G342" s="122" t="s">
        <v>1429</v>
      </c>
      <c r="H342" s="122" t="s">
        <v>76</v>
      </c>
      <c r="I342" s="122" t="s">
        <v>229</v>
      </c>
      <c r="J342" s="122" t="s">
        <v>53</v>
      </c>
      <c r="K342" s="122" t="s">
        <v>53</v>
      </c>
      <c r="L342" s="122" t="s">
        <v>805</v>
      </c>
      <c r="M342" s="122" t="s">
        <v>311</v>
      </c>
      <c r="N342" s="122" t="s">
        <v>256</v>
      </c>
      <c r="O342" s="122" t="s">
        <v>62</v>
      </c>
      <c r="P342" s="122" t="s">
        <v>1369</v>
      </c>
      <c r="Q342" s="122" t="s">
        <v>65</v>
      </c>
      <c r="R342" s="122" t="s">
        <v>57</v>
      </c>
      <c r="S342" s="122" t="s">
        <v>1216</v>
      </c>
      <c r="T342" s="123">
        <v>0.74</v>
      </c>
      <c r="U342" s="122" t="s">
        <v>1430</v>
      </c>
      <c r="V342" s="125">
        <v>2E-3</v>
      </c>
      <c r="W342" s="125">
        <v>3.9070000000000001E-2</v>
      </c>
      <c r="X342" s="122" t="s">
        <v>620</v>
      </c>
      <c r="Y342" s="133"/>
      <c r="Z342" s="123">
        <v>7000</v>
      </c>
      <c r="AA342" s="123">
        <v>1</v>
      </c>
      <c r="AB342" s="123">
        <v>114.5</v>
      </c>
      <c r="AC342" s="122"/>
      <c r="AD342" s="123">
        <v>8.0150000000000006</v>
      </c>
      <c r="AE342" s="122"/>
      <c r="AF342" s="122"/>
      <c r="AG342" s="122"/>
      <c r="AH342" s="125">
        <v>3.0000000000000001E-5</v>
      </c>
      <c r="AI342" s="125">
        <v>6.9800000000000001E-3</v>
      </c>
      <c r="AJ342" s="126">
        <v>7.9000000000000001E-4</v>
      </c>
      <c r="AK342" s="159"/>
    </row>
    <row r="343" spans="1:37" x14ac:dyDescent="0.2">
      <c r="A343" s="121" t="s">
        <v>1223</v>
      </c>
      <c r="B343" s="122" t="s">
        <v>1225</v>
      </c>
      <c r="C343" s="122" t="s">
        <v>1589</v>
      </c>
      <c r="D343" s="122" t="s">
        <v>1590</v>
      </c>
      <c r="E343" s="122" t="s">
        <v>429</v>
      </c>
      <c r="F343" s="122" t="s">
        <v>1591</v>
      </c>
      <c r="G343" s="122" t="s">
        <v>1592</v>
      </c>
      <c r="H343" s="122" t="s">
        <v>76</v>
      </c>
      <c r="I343" s="122" t="s">
        <v>228</v>
      </c>
      <c r="J343" s="122" t="s">
        <v>53</v>
      </c>
      <c r="K343" s="122" t="s">
        <v>314</v>
      </c>
      <c r="L343" s="122" t="s">
        <v>805</v>
      </c>
      <c r="M343" s="122" t="s">
        <v>311</v>
      </c>
      <c r="N343" s="122" t="s">
        <v>636</v>
      </c>
      <c r="O343" s="122" t="s">
        <v>62</v>
      </c>
      <c r="P343" s="122" t="s">
        <v>1450</v>
      </c>
      <c r="Q343" s="122" t="s">
        <v>65</v>
      </c>
      <c r="R343" s="122" t="s">
        <v>57</v>
      </c>
      <c r="S343" s="122" t="s">
        <v>1216</v>
      </c>
      <c r="T343" s="123">
        <v>0.16</v>
      </c>
      <c r="U343" s="122" t="s">
        <v>1593</v>
      </c>
      <c r="V343" s="125">
        <v>3.95E-2</v>
      </c>
      <c r="W343" s="125">
        <v>5.3809999999999997E-2</v>
      </c>
      <c r="X343" s="122" t="s">
        <v>620</v>
      </c>
      <c r="Y343" s="133"/>
      <c r="Z343" s="123">
        <v>7500</v>
      </c>
      <c r="AA343" s="123">
        <v>1</v>
      </c>
      <c r="AB343" s="123">
        <v>101.1</v>
      </c>
      <c r="AC343" s="122"/>
      <c r="AD343" s="123">
        <v>7.5830000000000002</v>
      </c>
      <c r="AE343" s="122"/>
      <c r="AF343" s="122"/>
      <c r="AG343" s="122"/>
      <c r="AH343" s="125">
        <v>2.0000000000000002E-5</v>
      </c>
      <c r="AI343" s="125">
        <v>6.6E-3</v>
      </c>
      <c r="AJ343" s="126">
        <v>7.5000000000000002E-4</v>
      </c>
      <c r="AK343" s="159"/>
    </row>
    <row r="344" spans="1:37" x14ac:dyDescent="0.2">
      <c r="A344" s="121" t="s">
        <v>1223</v>
      </c>
      <c r="B344" s="122" t="s">
        <v>1225</v>
      </c>
      <c r="C344" s="122" t="s">
        <v>1398</v>
      </c>
      <c r="D344" s="122" t="s">
        <v>1399</v>
      </c>
      <c r="E344" s="122" t="s">
        <v>429</v>
      </c>
      <c r="F344" s="122" t="s">
        <v>1400</v>
      </c>
      <c r="G344" s="122" t="s">
        <v>1401</v>
      </c>
      <c r="H344" s="122" t="s">
        <v>76</v>
      </c>
      <c r="I344" s="122" t="s">
        <v>229</v>
      </c>
      <c r="J344" s="122" t="s">
        <v>53</v>
      </c>
      <c r="K344" s="122" t="s">
        <v>53</v>
      </c>
      <c r="L344" s="122" t="s">
        <v>805</v>
      </c>
      <c r="M344" s="122" t="s">
        <v>311</v>
      </c>
      <c r="N344" s="122" t="s">
        <v>636</v>
      </c>
      <c r="O344" s="122" t="s">
        <v>62</v>
      </c>
      <c r="P344" s="122" t="s">
        <v>1402</v>
      </c>
      <c r="Q344" s="122" t="s">
        <v>70</v>
      </c>
      <c r="R344" s="122" t="s">
        <v>57</v>
      </c>
      <c r="S344" s="122" t="s">
        <v>1216</v>
      </c>
      <c r="T344" s="123">
        <v>1.21</v>
      </c>
      <c r="U344" s="122" t="s">
        <v>1403</v>
      </c>
      <c r="V344" s="125">
        <v>0.04</v>
      </c>
      <c r="W344" s="125">
        <v>4.7050000000000002E-2</v>
      </c>
      <c r="X344" s="122" t="s">
        <v>620</v>
      </c>
      <c r="Y344" s="133"/>
      <c r="Z344" s="123">
        <v>6241.8</v>
      </c>
      <c r="AA344" s="123">
        <v>1</v>
      </c>
      <c r="AB344" s="123">
        <v>118.67</v>
      </c>
      <c r="AC344" s="122"/>
      <c r="AD344" s="123">
        <v>7.407</v>
      </c>
      <c r="AE344" s="122"/>
      <c r="AF344" s="122"/>
      <c r="AG344" s="122"/>
      <c r="AH344" s="125">
        <v>0</v>
      </c>
      <c r="AI344" s="125">
        <v>6.45E-3</v>
      </c>
      <c r="AJ344" s="126">
        <v>7.2999999999999996E-4</v>
      </c>
      <c r="AK344" s="159"/>
    </row>
    <row r="345" spans="1:37" x14ac:dyDescent="0.2">
      <c r="A345" s="121" t="s">
        <v>1223</v>
      </c>
      <c r="B345" s="122" t="s">
        <v>1225</v>
      </c>
      <c r="C345" s="122" t="s">
        <v>1575</v>
      </c>
      <c r="D345" s="122" t="s">
        <v>1576</v>
      </c>
      <c r="E345" s="122" t="s">
        <v>429</v>
      </c>
      <c r="F345" s="122" t="s">
        <v>1594</v>
      </c>
      <c r="G345" s="122" t="s">
        <v>1595</v>
      </c>
      <c r="H345" s="122" t="s">
        <v>76</v>
      </c>
      <c r="I345" s="122" t="s">
        <v>229</v>
      </c>
      <c r="J345" s="122" t="s">
        <v>53</v>
      </c>
      <c r="K345" s="122" t="s">
        <v>53</v>
      </c>
      <c r="L345" s="122" t="s">
        <v>805</v>
      </c>
      <c r="M345" s="122" t="s">
        <v>311</v>
      </c>
      <c r="N345" s="122" t="s">
        <v>635</v>
      </c>
      <c r="O345" s="122" t="s">
        <v>62</v>
      </c>
      <c r="P345" s="122" t="s">
        <v>1377</v>
      </c>
      <c r="Q345" s="122" t="s">
        <v>70</v>
      </c>
      <c r="R345" s="122" t="s">
        <v>57</v>
      </c>
      <c r="S345" s="122" t="s">
        <v>1216</v>
      </c>
      <c r="T345" s="123">
        <v>3.54</v>
      </c>
      <c r="U345" s="122" t="s">
        <v>1553</v>
      </c>
      <c r="V345" s="125">
        <v>1.3299999999999999E-2</v>
      </c>
      <c r="W345" s="125">
        <v>2.8760000000000001E-2</v>
      </c>
      <c r="X345" s="122" t="s">
        <v>620</v>
      </c>
      <c r="Y345" s="133"/>
      <c r="Z345" s="123">
        <v>6120</v>
      </c>
      <c r="AA345" s="123">
        <v>1</v>
      </c>
      <c r="AB345" s="123">
        <v>112.31</v>
      </c>
      <c r="AC345" s="122"/>
      <c r="AD345" s="123">
        <v>6.8730000000000002</v>
      </c>
      <c r="AE345" s="122"/>
      <c r="AF345" s="122"/>
      <c r="AG345" s="122"/>
      <c r="AH345" s="125">
        <v>1.0000000000000001E-5</v>
      </c>
      <c r="AI345" s="125">
        <v>5.9800000000000001E-3</v>
      </c>
      <c r="AJ345" s="126">
        <v>6.8000000000000005E-4</v>
      </c>
      <c r="AK345" s="159"/>
    </row>
    <row r="346" spans="1:37" x14ac:dyDescent="0.2">
      <c r="A346" s="121" t="s">
        <v>1223</v>
      </c>
      <c r="B346" s="122" t="s">
        <v>1225</v>
      </c>
      <c r="C346" s="122" t="s">
        <v>1596</v>
      </c>
      <c r="D346" s="122" t="s">
        <v>1597</v>
      </c>
      <c r="E346" s="122" t="s">
        <v>429</v>
      </c>
      <c r="F346" s="122" t="s">
        <v>1598</v>
      </c>
      <c r="G346" s="122" t="s">
        <v>1599</v>
      </c>
      <c r="H346" s="122" t="s">
        <v>76</v>
      </c>
      <c r="I346" s="122" t="s">
        <v>228</v>
      </c>
      <c r="J346" s="122" t="s">
        <v>53</v>
      </c>
      <c r="K346" s="122" t="s">
        <v>53</v>
      </c>
      <c r="L346" s="122" t="s">
        <v>805</v>
      </c>
      <c r="M346" s="122" t="s">
        <v>311</v>
      </c>
      <c r="N346" s="122" t="s">
        <v>635</v>
      </c>
      <c r="O346" s="122" t="s">
        <v>62</v>
      </c>
      <c r="P346" s="122" t="s">
        <v>1540</v>
      </c>
      <c r="Q346" s="122" t="s">
        <v>70</v>
      </c>
      <c r="R346" s="122" t="s">
        <v>57</v>
      </c>
      <c r="S346" s="122" t="s">
        <v>1216</v>
      </c>
      <c r="T346" s="123">
        <v>2.5</v>
      </c>
      <c r="U346" s="122" t="s">
        <v>1600</v>
      </c>
      <c r="V346" s="125">
        <v>3.04E-2</v>
      </c>
      <c r="W346" s="125">
        <v>4.7640000000000002E-2</v>
      </c>
      <c r="X346" s="122" t="s">
        <v>620</v>
      </c>
      <c r="Y346" s="133"/>
      <c r="Z346" s="123">
        <v>7066.94</v>
      </c>
      <c r="AA346" s="123">
        <v>1</v>
      </c>
      <c r="AB346" s="123">
        <v>96.71</v>
      </c>
      <c r="AC346" s="122"/>
      <c r="AD346" s="123">
        <v>6.8339999999999996</v>
      </c>
      <c r="AE346" s="122"/>
      <c r="AF346" s="122"/>
      <c r="AG346" s="122"/>
      <c r="AH346" s="125">
        <v>2.0000000000000002E-5</v>
      </c>
      <c r="AI346" s="125">
        <v>5.9500000000000004E-3</v>
      </c>
      <c r="AJ346" s="126">
        <v>6.8000000000000005E-4</v>
      </c>
      <c r="AK346" s="159"/>
    </row>
    <row r="347" spans="1:37" x14ac:dyDescent="0.2">
      <c r="A347" s="121" t="s">
        <v>1223</v>
      </c>
      <c r="B347" s="122" t="s">
        <v>1225</v>
      </c>
      <c r="C347" s="122" t="s">
        <v>1499</v>
      </c>
      <c r="D347" s="122" t="s">
        <v>1500</v>
      </c>
      <c r="E347" s="122" t="s">
        <v>429</v>
      </c>
      <c r="F347" s="122" t="s">
        <v>1501</v>
      </c>
      <c r="G347" s="122" t="s">
        <v>1502</v>
      </c>
      <c r="H347" s="122" t="s">
        <v>76</v>
      </c>
      <c r="I347" s="122" t="s">
        <v>228</v>
      </c>
      <c r="J347" s="122" t="s">
        <v>53</v>
      </c>
      <c r="K347" s="122" t="s">
        <v>53</v>
      </c>
      <c r="L347" s="122" t="s">
        <v>805</v>
      </c>
      <c r="M347" s="122" t="s">
        <v>311</v>
      </c>
      <c r="N347" s="122" t="s">
        <v>692</v>
      </c>
      <c r="O347" s="122" t="s">
        <v>62</v>
      </c>
      <c r="P347" s="122" t="s">
        <v>1450</v>
      </c>
      <c r="Q347" s="122" t="s">
        <v>65</v>
      </c>
      <c r="R347" s="122" t="s">
        <v>57</v>
      </c>
      <c r="S347" s="122" t="s">
        <v>1216</v>
      </c>
      <c r="T347" s="123">
        <v>0.74</v>
      </c>
      <c r="U347" s="122" t="s">
        <v>1503</v>
      </c>
      <c r="V347" s="125">
        <v>0.04</v>
      </c>
      <c r="W347" s="125">
        <v>5.1470000000000002E-2</v>
      </c>
      <c r="X347" s="122" t="s">
        <v>620</v>
      </c>
      <c r="Y347" s="133"/>
      <c r="Z347" s="123">
        <v>6263.46</v>
      </c>
      <c r="AA347" s="123">
        <v>1</v>
      </c>
      <c r="AB347" s="123">
        <v>100.23</v>
      </c>
      <c r="AC347" s="122"/>
      <c r="AD347" s="123">
        <v>6.2779999999999996</v>
      </c>
      <c r="AE347" s="122"/>
      <c r="AF347" s="122"/>
      <c r="AG347" s="122"/>
      <c r="AH347" s="125">
        <v>1E-4</v>
      </c>
      <c r="AI347" s="125">
        <v>5.4599999999999996E-3</v>
      </c>
      <c r="AJ347" s="126">
        <v>6.2E-4</v>
      </c>
      <c r="AK347" s="159"/>
    </row>
    <row r="348" spans="1:37" x14ac:dyDescent="0.2">
      <c r="A348" s="121" t="s">
        <v>1223</v>
      </c>
      <c r="B348" s="122" t="s">
        <v>1225</v>
      </c>
      <c r="C348" s="122" t="s">
        <v>1419</v>
      </c>
      <c r="D348" s="122" t="s">
        <v>1420</v>
      </c>
      <c r="E348" s="122" t="s">
        <v>429</v>
      </c>
      <c r="F348" s="122" t="s">
        <v>1509</v>
      </c>
      <c r="G348" s="122" t="s">
        <v>1510</v>
      </c>
      <c r="H348" s="122" t="s">
        <v>76</v>
      </c>
      <c r="I348" s="122" t="s">
        <v>229</v>
      </c>
      <c r="J348" s="122" t="s">
        <v>53</v>
      </c>
      <c r="K348" s="122" t="s">
        <v>53</v>
      </c>
      <c r="L348" s="122" t="s">
        <v>805</v>
      </c>
      <c r="M348" s="122" t="s">
        <v>311</v>
      </c>
      <c r="N348" s="122" t="s">
        <v>269</v>
      </c>
      <c r="O348" s="122" t="s">
        <v>62</v>
      </c>
      <c r="P348" s="122" t="s">
        <v>1423</v>
      </c>
      <c r="Q348" s="122" t="s">
        <v>70</v>
      </c>
      <c r="R348" s="122" t="s">
        <v>57</v>
      </c>
      <c r="S348" s="122" t="s">
        <v>1216</v>
      </c>
      <c r="T348" s="123">
        <v>4.5999999999999996</v>
      </c>
      <c r="U348" s="122" t="s">
        <v>1511</v>
      </c>
      <c r="V348" s="125">
        <v>5.3999999999999999E-2</v>
      </c>
      <c r="W348" s="125">
        <v>4.7530000000000003E-2</v>
      </c>
      <c r="X348" s="122" t="s">
        <v>620</v>
      </c>
      <c r="Y348" s="133"/>
      <c r="Z348" s="123">
        <v>5778</v>
      </c>
      <c r="AA348" s="123">
        <v>1</v>
      </c>
      <c r="AB348" s="123">
        <v>104.57</v>
      </c>
      <c r="AC348" s="122"/>
      <c r="AD348" s="123">
        <v>6.0419999999999998</v>
      </c>
      <c r="AE348" s="122"/>
      <c r="AF348" s="122"/>
      <c r="AG348" s="122"/>
      <c r="AH348" s="125">
        <v>1.0000000000000001E-5</v>
      </c>
      <c r="AI348" s="125">
        <v>5.2599999999999999E-3</v>
      </c>
      <c r="AJ348" s="126">
        <v>5.9999999999999995E-4</v>
      </c>
      <c r="AK348" s="159"/>
    </row>
    <row r="349" spans="1:37" x14ac:dyDescent="0.2">
      <c r="A349" s="121" t="s">
        <v>1223</v>
      </c>
      <c r="B349" s="122" t="s">
        <v>1225</v>
      </c>
      <c r="C349" s="122" t="s">
        <v>1860</v>
      </c>
      <c r="D349" s="122" t="s">
        <v>1861</v>
      </c>
      <c r="E349" s="122" t="s">
        <v>429</v>
      </c>
      <c r="F349" s="122" t="s">
        <v>1862</v>
      </c>
      <c r="G349" s="122" t="s">
        <v>1863</v>
      </c>
      <c r="H349" s="122" t="s">
        <v>76</v>
      </c>
      <c r="I349" s="122" t="s">
        <v>229</v>
      </c>
      <c r="J349" s="122" t="s">
        <v>53</v>
      </c>
      <c r="K349" s="122" t="s">
        <v>53</v>
      </c>
      <c r="L349" s="122" t="s">
        <v>805</v>
      </c>
      <c r="M349" s="122" t="s">
        <v>311</v>
      </c>
      <c r="N349" s="122" t="s">
        <v>635</v>
      </c>
      <c r="O349" s="122" t="s">
        <v>62</v>
      </c>
      <c r="P349" s="122" t="s">
        <v>1324</v>
      </c>
      <c r="Q349" s="122" t="s">
        <v>65</v>
      </c>
      <c r="R349" s="122" t="s">
        <v>57</v>
      </c>
      <c r="S349" s="122" t="s">
        <v>1216</v>
      </c>
      <c r="T349" s="123">
        <v>0.67</v>
      </c>
      <c r="U349" s="122" t="s">
        <v>1864</v>
      </c>
      <c r="V349" s="125">
        <v>1.6E-2</v>
      </c>
      <c r="W349" s="125">
        <v>3.6330000000000001E-2</v>
      </c>
      <c r="X349" s="122" t="s">
        <v>620</v>
      </c>
      <c r="Y349" s="133"/>
      <c r="Z349" s="123">
        <v>3836.38</v>
      </c>
      <c r="AA349" s="123">
        <v>1</v>
      </c>
      <c r="AB349" s="123">
        <v>119.36</v>
      </c>
      <c r="AC349" s="122"/>
      <c r="AD349" s="123">
        <v>4.5789999999999997</v>
      </c>
      <c r="AE349" s="122"/>
      <c r="AF349" s="122"/>
      <c r="AG349" s="122"/>
      <c r="AH349" s="125">
        <v>1.0000000000000001E-5</v>
      </c>
      <c r="AI349" s="125">
        <v>3.9899999999999996E-3</v>
      </c>
      <c r="AJ349" s="126">
        <v>4.4999999999999999E-4</v>
      </c>
      <c r="AK349" s="159"/>
    </row>
    <row r="350" spans="1:37" x14ac:dyDescent="0.2">
      <c r="A350" s="121" t="s">
        <v>1223</v>
      </c>
      <c r="B350" s="122" t="s">
        <v>1225</v>
      </c>
      <c r="C350" s="122" t="s">
        <v>1398</v>
      </c>
      <c r="D350" s="122" t="s">
        <v>1399</v>
      </c>
      <c r="E350" s="122" t="s">
        <v>429</v>
      </c>
      <c r="F350" s="122" t="s">
        <v>1456</v>
      </c>
      <c r="G350" s="122" t="s">
        <v>1457</v>
      </c>
      <c r="H350" s="122" t="s">
        <v>76</v>
      </c>
      <c r="I350" s="122" t="s">
        <v>229</v>
      </c>
      <c r="J350" s="122" t="s">
        <v>53</v>
      </c>
      <c r="K350" s="122" t="s">
        <v>53</v>
      </c>
      <c r="L350" s="122" t="s">
        <v>805</v>
      </c>
      <c r="M350" s="122" t="s">
        <v>311</v>
      </c>
      <c r="N350" s="122" t="s">
        <v>636</v>
      </c>
      <c r="O350" s="122" t="s">
        <v>62</v>
      </c>
      <c r="P350" s="122" t="s">
        <v>1402</v>
      </c>
      <c r="Q350" s="122" t="s">
        <v>70</v>
      </c>
      <c r="R350" s="122" t="s">
        <v>57</v>
      </c>
      <c r="S350" s="122" t="s">
        <v>1216</v>
      </c>
      <c r="T350" s="123">
        <v>2.2400000000000002</v>
      </c>
      <c r="U350" s="122" t="s">
        <v>1458</v>
      </c>
      <c r="V350" s="125">
        <v>3.2800000000000003E-2</v>
      </c>
      <c r="W350" s="125">
        <v>4.6240000000000003E-2</v>
      </c>
      <c r="X350" s="122" t="s">
        <v>620</v>
      </c>
      <c r="Y350" s="133"/>
      <c r="Z350" s="123">
        <v>3718</v>
      </c>
      <c r="AA350" s="123">
        <v>1</v>
      </c>
      <c r="AB350" s="123">
        <v>117.77</v>
      </c>
      <c r="AC350" s="122"/>
      <c r="AD350" s="123">
        <v>4.3789999999999996</v>
      </c>
      <c r="AE350" s="122"/>
      <c r="AF350" s="122"/>
      <c r="AG350" s="122"/>
      <c r="AH350" s="125">
        <v>0</v>
      </c>
      <c r="AI350" s="125">
        <v>3.81E-3</v>
      </c>
      <c r="AJ350" s="126">
        <v>4.2999999999999999E-4</v>
      </c>
      <c r="AK350" s="159"/>
    </row>
    <row r="351" spans="1:37" x14ac:dyDescent="0.2">
      <c r="A351" s="121" t="s">
        <v>1223</v>
      </c>
      <c r="B351" s="122" t="s">
        <v>1225</v>
      </c>
      <c r="C351" s="122" t="s">
        <v>1770</v>
      </c>
      <c r="D351" s="122" t="s">
        <v>1771</v>
      </c>
      <c r="E351" s="122" t="s">
        <v>429</v>
      </c>
      <c r="F351" s="122" t="s">
        <v>1858</v>
      </c>
      <c r="G351" s="122" t="s">
        <v>1859</v>
      </c>
      <c r="H351" s="122" t="s">
        <v>76</v>
      </c>
      <c r="I351" s="122" t="s">
        <v>228</v>
      </c>
      <c r="J351" s="122" t="s">
        <v>53</v>
      </c>
      <c r="K351" s="122" t="s">
        <v>53</v>
      </c>
      <c r="L351" s="122" t="s">
        <v>805</v>
      </c>
      <c r="M351" s="122" t="s">
        <v>311</v>
      </c>
      <c r="N351" s="122" t="s">
        <v>635</v>
      </c>
      <c r="O351" s="122" t="s">
        <v>62</v>
      </c>
      <c r="P351" s="122" t="s">
        <v>1454</v>
      </c>
      <c r="Q351" s="122" t="s">
        <v>70</v>
      </c>
      <c r="R351" s="122" t="s">
        <v>57</v>
      </c>
      <c r="S351" s="122" t="s">
        <v>1216</v>
      </c>
      <c r="T351" s="123">
        <v>1.65</v>
      </c>
      <c r="U351" s="122" t="s">
        <v>1458</v>
      </c>
      <c r="V351" s="125">
        <v>5.6500000000000002E-2</v>
      </c>
      <c r="W351" s="125">
        <v>4.8759999999999998E-2</v>
      </c>
      <c r="X351" s="122" t="s">
        <v>620</v>
      </c>
      <c r="Y351" s="133"/>
      <c r="Z351" s="123">
        <v>4235.29</v>
      </c>
      <c r="AA351" s="123">
        <v>1</v>
      </c>
      <c r="AB351" s="123">
        <v>102.79</v>
      </c>
      <c r="AC351" s="122"/>
      <c r="AD351" s="123">
        <v>4.3529999999999998</v>
      </c>
      <c r="AE351" s="122"/>
      <c r="AF351" s="122"/>
      <c r="AG351" s="122"/>
      <c r="AH351" s="125">
        <v>4.0000000000000003E-5</v>
      </c>
      <c r="AI351" s="125">
        <v>3.79E-3</v>
      </c>
      <c r="AJ351" s="126">
        <v>4.2999999999999999E-4</v>
      </c>
      <c r="AK351" s="159"/>
    </row>
    <row r="352" spans="1:37" x14ac:dyDescent="0.2">
      <c r="A352" s="121" t="s">
        <v>1223</v>
      </c>
      <c r="B352" s="122" t="s">
        <v>1225</v>
      </c>
      <c r="C352" s="122" t="s">
        <v>1520</v>
      </c>
      <c r="D352" s="122" t="s">
        <v>1521</v>
      </c>
      <c r="E352" s="122" t="s">
        <v>429</v>
      </c>
      <c r="F352" s="122" t="s">
        <v>1522</v>
      </c>
      <c r="G352" s="122" t="s">
        <v>1523</v>
      </c>
      <c r="H352" s="122" t="s">
        <v>76</v>
      </c>
      <c r="I352" s="122" t="s">
        <v>228</v>
      </c>
      <c r="J352" s="122" t="s">
        <v>53</v>
      </c>
      <c r="K352" s="122" t="s">
        <v>53</v>
      </c>
      <c r="L352" s="122" t="s">
        <v>805</v>
      </c>
      <c r="M352" s="122" t="s">
        <v>311</v>
      </c>
      <c r="N352" s="122" t="s">
        <v>269</v>
      </c>
      <c r="O352" s="122" t="s">
        <v>62</v>
      </c>
      <c r="P352" s="122" t="s">
        <v>1454</v>
      </c>
      <c r="Q352" s="122" t="s">
        <v>70</v>
      </c>
      <c r="R352" s="122" t="s">
        <v>57</v>
      </c>
      <c r="S352" s="122" t="s">
        <v>1216</v>
      </c>
      <c r="T352" s="123">
        <v>1</v>
      </c>
      <c r="U352" s="122" t="s">
        <v>1524</v>
      </c>
      <c r="V352" s="125">
        <v>2.9399999999999999E-2</v>
      </c>
      <c r="W352" s="125">
        <v>4.4350000000000001E-2</v>
      </c>
      <c r="X352" s="122" t="s">
        <v>620</v>
      </c>
      <c r="Y352" s="133"/>
      <c r="Z352" s="123">
        <v>4399.93</v>
      </c>
      <c r="AA352" s="123">
        <v>1</v>
      </c>
      <c r="AB352" s="123">
        <v>98.58</v>
      </c>
      <c r="AC352" s="122"/>
      <c r="AD352" s="123">
        <v>4.3369999999999997</v>
      </c>
      <c r="AE352" s="122"/>
      <c r="AF352" s="122"/>
      <c r="AG352" s="122"/>
      <c r="AH352" s="125">
        <v>8.0000000000000007E-5</v>
      </c>
      <c r="AI352" s="125">
        <v>3.7699999999999999E-3</v>
      </c>
      <c r="AJ352" s="126">
        <v>4.2999999999999999E-4</v>
      </c>
      <c r="AK352" s="159"/>
    </row>
    <row r="353" spans="1:37" x14ac:dyDescent="0.2">
      <c r="A353" s="121" t="s">
        <v>1223</v>
      </c>
      <c r="B353" s="122" t="s">
        <v>1225</v>
      </c>
      <c r="C353" s="122" t="s">
        <v>1601</v>
      </c>
      <c r="D353" s="122" t="s">
        <v>1602</v>
      </c>
      <c r="E353" s="122" t="s">
        <v>429</v>
      </c>
      <c r="F353" s="122" t="s">
        <v>1603</v>
      </c>
      <c r="G353" s="122" t="s">
        <v>1604</v>
      </c>
      <c r="H353" s="122" t="s">
        <v>76</v>
      </c>
      <c r="I353" s="122" t="s">
        <v>229</v>
      </c>
      <c r="J353" s="122" t="s">
        <v>53</v>
      </c>
      <c r="K353" s="122" t="s">
        <v>53</v>
      </c>
      <c r="L353" s="122" t="s">
        <v>805</v>
      </c>
      <c r="M353" s="122" t="s">
        <v>311</v>
      </c>
      <c r="N353" s="122" t="s">
        <v>633</v>
      </c>
      <c r="O353" s="122" t="s">
        <v>62</v>
      </c>
      <c r="P353" s="122" t="s">
        <v>1423</v>
      </c>
      <c r="Q353" s="122" t="s">
        <v>70</v>
      </c>
      <c r="R353" s="122" t="s">
        <v>57</v>
      </c>
      <c r="S353" s="122" t="s">
        <v>1216</v>
      </c>
      <c r="T353" s="123">
        <v>0.25</v>
      </c>
      <c r="U353" s="122" t="s">
        <v>1605</v>
      </c>
      <c r="V353" s="125">
        <v>1.8499999999999999E-2</v>
      </c>
      <c r="W353" s="125">
        <v>5.8279999999999998E-2</v>
      </c>
      <c r="X353" s="122" t="s">
        <v>620</v>
      </c>
      <c r="Y353" s="133"/>
      <c r="Z353" s="123">
        <v>3443.84</v>
      </c>
      <c r="AA353" s="123">
        <v>1</v>
      </c>
      <c r="AB353" s="123">
        <v>118.05</v>
      </c>
      <c r="AC353" s="122"/>
      <c r="AD353" s="123">
        <v>4.0650000000000004</v>
      </c>
      <c r="AE353" s="122"/>
      <c r="AF353" s="122"/>
      <c r="AG353" s="122"/>
      <c r="AH353" s="125">
        <v>2.0000000000000002E-5</v>
      </c>
      <c r="AI353" s="125">
        <v>3.5400000000000002E-3</v>
      </c>
      <c r="AJ353" s="126">
        <v>4.0000000000000002E-4</v>
      </c>
      <c r="AK353" s="159"/>
    </row>
    <row r="354" spans="1:37" x14ac:dyDescent="0.2">
      <c r="A354" s="121" t="s">
        <v>1223</v>
      </c>
      <c r="B354" s="122" t="s">
        <v>1225</v>
      </c>
      <c r="C354" s="122" t="s">
        <v>1703</v>
      </c>
      <c r="D354" s="122" t="s">
        <v>1704</v>
      </c>
      <c r="E354" s="122" t="s">
        <v>429</v>
      </c>
      <c r="F354" s="122" t="s">
        <v>1872</v>
      </c>
      <c r="G354" s="122" t="s">
        <v>1873</v>
      </c>
      <c r="H354" s="122" t="s">
        <v>76</v>
      </c>
      <c r="I354" s="122" t="s">
        <v>228</v>
      </c>
      <c r="J354" s="122" t="s">
        <v>53</v>
      </c>
      <c r="K354" s="122" t="s">
        <v>53</v>
      </c>
      <c r="L354" s="122" t="s">
        <v>805</v>
      </c>
      <c r="M354" s="122" t="s">
        <v>311</v>
      </c>
      <c r="N354" s="122" t="s">
        <v>263</v>
      </c>
      <c r="O354" s="122" t="s">
        <v>62</v>
      </c>
      <c r="P354" s="122" t="s">
        <v>1450</v>
      </c>
      <c r="Q354" s="122" t="s">
        <v>65</v>
      </c>
      <c r="R354" s="122" t="s">
        <v>57</v>
      </c>
      <c r="S354" s="122" t="s">
        <v>1216</v>
      </c>
      <c r="T354" s="123">
        <v>2.62</v>
      </c>
      <c r="U354" s="122" t="s">
        <v>1822</v>
      </c>
      <c r="V354" s="125">
        <v>2.6200000000000001E-2</v>
      </c>
      <c r="W354" s="125">
        <v>4.6080000000000003E-2</v>
      </c>
      <c r="X354" s="122" t="s">
        <v>620</v>
      </c>
      <c r="Y354" s="133"/>
      <c r="Z354" s="123">
        <v>3964.62</v>
      </c>
      <c r="AA354" s="123">
        <v>1</v>
      </c>
      <c r="AB354" s="123">
        <v>95.7</v>
      </c>
      <c r="AC354" s="122"/>
      <c r="AD354" s="123">
        <v>3.794</v>
      </c>
      <c r="AE354" s="122"/>
      <c r="AF354" s="122"/>
      <c r="AG354" s="122"/>
      <c r="AH354" s="125">
        <v>1.0000000000000001E-5</v>
      </c>
      <c r="AI354" s="125">
        <v>3.3E-3</v>
      </c>
      <c r="AJ354" s="126">
        <v>3.8000000000000002E-4</v>
      </c>
      <c r="AK354" s="159"/>
    </row>
    <row r="355" spans="1:37" x14ac:dyDescent="0.2">
      <c r="A355" s="121" t="s">
        <v>1223</v>
      </c>
      <c r="B355" s="122" t="s">
        <v>1225</v>
      </c>
      <c r="C355" s="122" t="s">
        <v>1393</v>
      </c>
      <c r="D355" s="122" t="s">
        <v>1394</v>
      </c>
      <c r="E355" s="122" t="s">
        <v>429</v>
      </c>
      <c r="F355" s="122" t="s">
        <v>1395</v>
      </c>
      <c r="G355" s="122" t="s">
        <v>1396</v>
      </c>
      <c r="H355" s="122" t="s">
        <v>76</v>
      </c>
      <c r="I355" s="122" t="s">
        <v>228</v>
      </c>
      <c r="J355" s="122" t="s">
        <v>53</v>
      </c>
      <c r="K355" s="122" t="s">
        <v>53</v>
      </c>
      <c r="L355" s="122" t="s">
        <v>805</v>
      </c>
      <c r="M355" s="122" t="s">
        <v>311</v>
      </c>
      <c r="N355" s="122" t="s">
        <v>269</v>
      </c>
      <c r="O355" s="122" t="s">
        <v>62</v>
      </c>
      <c r="P355" s="122" t="s">
        <v>1377</v>
      </c>
      <c r="Q355" s="122" t="s">
        <v>70</v>
      </c>
      <c r="R355" s="122" t="s">
        <v>57</v>
      </c>
      <c r="S355" s="122" t="s">
        <v>1216</v>
      </c>
      <c r="T355" s="123">
        <v>3.05</v>
      </c>
      <c r="U355" s="122" t="s">
        <v>1397</v>
      </c>
      <c r="V355" s="125">
        <v>3.95E-2</v>
      </c>
      <c r="W355" s="125">
        <v>4.3029999999999999E-2</v>
      </c>
      <c r="X355" s="122" t="s">
        <v>620</v>
      </c>
      <c r="Y355" s="133"/>
      <c r="Z355" s="123">
        <v>3473</v>
      </c>
      <c r="AA355" s="123">
        <v>1</v>
      </c>
      <c r="AB355" s="123">
        <v>100.05</v>
      </c>
      <c r="AC355" s="122"/>
      <c r="AD355" s="123">
        <v>3.4750000000000001</v>
      </c>
      <c r="AE355" s="122"/>
      <c r="AF355" s="122"/>
      <c r="AG355" s="122"/>
      <c r="AH355" s="125">
        <v>1.0000000000000001E-5</v>
      </c>
      <c r="AI355" s="125">
        <v>3.0200000000000001E-3</v>
      </c>
      <c r="AJ355" s="126">
        <v>3.4000000000000002E-4</v>
      </c>
      <c r="AK355" s="159"/>
    </row>
    <row r="356" spans="1:37" x14ac:dyDescent="0.2">
      <c r="A356" s="121" t="s">
        <v>1223</v>
      </c>
      <c r="B356" s="122" t="s">
        <v>1225</v>
      </c>
      <c r="C356" s="122" t="s">
        <v>1557</v>
      </c>
      <c r="D356" s="122" t="s">
        <v>1558</v>
      </c>
      <c r="E356" s="122" t="s">
        <v>429</v>
      </c>
      <c r="F356" s="122" t="s">
        <v>1865</v>
      </c>
      <c r="G356" s="122" t="s">
        <v>1866</v>
      </c>
      <c r="H356" s="122" t="s">
        <v>76</v>
      </c>
      <c r="I356" s="122" t="s">
        <v>229</v>
      </c>
      <c r="J356" s="122" t="s">
        <v>53</v>
      </c>
      <c r="K356" s="122" t="s">
        <v>53</v>
      </c>
      <c r="L356" s="122" t="s">
        <v>805</v>
      </c>
      <c r="M356" s="122" t="s">
        <v>311</v>
      </c>
      <c r="N356" s="122" t="s">
        <v>635</v>
      </c>
      <c r="O356" s="122" t="s">
        <v>62</v>
      </c>
      <c r="P356" s="122" t="s">
        <v>1750</v>
      </c>
      <c r="Q356" s="122" t="s">
        <v>65</v>
      </c>
      <c r="R356" s="122" t="s">
        <v>57</v>
      </c>
      <c r="S356" s="122" t="s">
        <v>1216</v>
      </c>
      <c r="T356" s="123">
        <v>1.23</v>
      </c>
      <c r="U356" s="122" t="s">
        <v>1403</v>
      </c>
      <c r="V356" s="125">
        <v>2.2499999999999999E-2</v>
      </c>
      <c r="W356" s="125">
        <v>3.3599999999999998E-2</v>
      </c>
      <c r="X356" s="122" t="s">
        <v>620</v>
      </c>
      <c r="Y356" s="133"/>
      <c r="Z356" s="123">
        <v>2747.43</v>
      </c>
      <c r="AA356" s="123">
        <v>1</v>
      </c>
      <c r="AB356" s="123">
        <v>117.81</v>
      </c>
      <c r="AC356" s="122"/>
      <c r="AD356" s="123">
        <v>3.2370000000000001</v>
      </c>
      <c r="AE356" s="122"/>
      <c r="AF356" s="122"/>
      <c r="AG356" s="122"/>
      <c r="AH356" s="125">
        <v>1.0000000000000001E-5</v>
      </c>
      <c r="AI356" s="125">
        <v>2.82E-3</v>
      </c>
      <c r="AJ356" s="126">
        <v>3.2000000000000003E-4</v>
      </c>
      <c r="AK356" s="159"/>
    </row>
    <row r="357" spans="1:37" x14ac:dyDescent="0.2">
      <c r="A357" s="121" t="s">
        <v>1223</v>
      </c>
      <c r="B357" s="122" t="s">
        <v>1225</v>
      </c>
      <c r="C357" s="122" t="s">
        <v>1393</v>
      </c>
      <c r="D357" s="122" t="s">
        <v>1394</v>
      </c>
      <c r="E357" s="122" t="s">
        <v>429</v>
      </c>
      <c r="F357" s="122" t="s">
        <v>1525</v>
      </c>
      <c r="G357" s="122" t="s">
        <v>1526</v>
      </c>
      <c r="H357" s="122" t="s">
        <v>76</v>
      </c>
      <c r="I357" s="122" t="s">
        <v>228</v>
      </c>
      <c r="J357" s="122" t="s">
        <v>53</v>
      </c>
      <c r="K357" s="122" t="s">
        <v>53</v>
      </c>
      <c r="L357" s="122" t="s">
        <v>805</v>
      </c>
      <c r="M357" s="122" t="s">
        <v>311</v>
      </c>
      <c r="N357" s="122" t="s">
        <v>269</v>
      </c>
      <c r="O357" s="122" t="s">
        <v>62</v>
      </c>
      <c r="P357" s="122" t="s">
        <v>1377</v>
      </c>
      <c r="Q357" s="122" t="s">
        <v>70</v>
      </c>
      <c r="R357" s="122" t="s">
        <v>57</v>
      </c>
      <c r="S357" s="122" t="s">
        <v>1216</v>
      </c>
      <c r="T357" s="123">
        <v>3.91</v>
      </c>
      <c r="U357" s="122" t="s">
        <v>1527</v>
      </c>
      <c r="V357" s="125">
        <v>3.95E-2</v>
      </c>
      <c r="W357" s="125">
        <v>4.3999999999999997E-2</v>
      </c>
      <c r="X357" s="122" t="s">
        <v>620</v>
      </c>
      <c r="Y357" s="133"/>
      <c r="Z357" s="123">
        <v>3227</v>
      </c>
      <c r="AA357" s="123">
        <v>1</v>
      </c>
      <c r="AB357" s="123">
        <v>99.43</v>
      </c>
      <c r="AC357" s="122"/>
      <c r="AD357" s="123">
        <v>3.2090000000000001</v>
      </c>
      <c r="AE357" s="122"/>
      <c r="AF357" s="122"/>
      <c r="AG357" s="122"/>
      <c r="AH357" s="125">
        <v>1.0000000000000001E-5</v>
      </c>
      <c r="AI357" s="125">
        <v>2.7899999999999999E-3</v>
      </c>
      <c r="AJ357" s="126">
        <v>3.2000000000000003E-4</v>
      </c>
      <c r="AK357" s="159"/>
    </row>
    <row r="358" spans="1:37" x14ac:dyDescent="0.2">
      <c r="A358" s="121" t="s">
        <v>1223</v>
      </c>
      <c r="B358" s="122" t="s">
        <v>1225</v>
      </c>
      <c r="C358" s="122" t="s">
        <v>1867</v>
      </c>
      <c r="D358" s="122" t="s">
        <v>1868</v>
      </c>
      <c r="E358" s="122" t="s">
        <v>429</v>
      </c>
      <c r="F358" s="122" t="s">
        <v>1869</v>
      </c>
      <c r="G358" s="122" t="s">
        <v>1870</v>
      </c>
      <c r="H358" s="122" t="s">
        <v>76</v>
      </c>
      <c r="I358" s="122" t="s">
        <v>228</v>
      </c>
      <c r="J358" s="122" t="s">
        <v>53</v>
      </c>
      <c r="K358" s="122" t="s">
        <v>53</v>
      </c>
      <c r="L358" s="122" t="s">
        <v>805</v>
      </c>
      <c r="M358" s="122" t="s">
        <v>311</v>
      </c>
      <c r="N358" s="122" t="s">
        <v>636</v>
      </c>
      <c r="O358" s="122" t="s">
        <v>62</v>
      </c>
      <c r="P358" s="122" t="s">
        <v>1402</v>
      </c>
      <c r="Q358" s="122" t="s">
        <v>70</v>
      </c>
      <c r="R358" s="122" t="s">
        <v>57</v>
      </c>
      <c r="S358" s="122" t="s">
        <v>1216</v>
      </c>
      <c r="T358" s="123">
        <v>2.25</v>
      </c>
      <c r="U358" s="122" t="s">
        <v>1871</v>
      </c>
      <c r="V358" s="125">
        <v>2.8500000000000001E-2</v>
      </c>
      <c r="W358" s="125">
        <v>5.2170000000000001E-2</v>
      </c>
      <c r="X358" s="122" t="s">
        <v>620</v>
      </c>
      <c r="Y358" s="133"/>
      <c r="Z358" s="123">
        <v>2352.9499999999998</v>
      </c>
      <c r="AA358" s="123">
        <v>1</v>
      </c>
      <c r="AB358" s="123">
        <v>95.9</v>
      </c>
      <c r="AC358" s="122"/>
      <c r="AD358" s="123">
        <v>2.2559999999999998</v>
      </c>
      <c r="AE358" s="122"/>
      <c r="AF358" s="122"/>
      <c r="AG358" s="122"/>
      <c r="AH358" s="125">
        <v>1.0000000000000001E-5</v>
      </c>
      <c r="AI358" s="125">
        <v>1.9599999999999999E-3</v>
      </c>
      <c r="AJ358" s="126">
        <v>2.2000000000000001E-4</v>
      </c>
      <c r="AK358" s="159"/>
    </row>
    <row r="359" spans="1:37" x14ac:dyDescent="0.2">
      <c r="A359" s="121" t="s">
        <v>1223</v>
      </c>
      <c r="B359" s="122" t="s">
        <v>1225</v>
      </c>
      <c r="C359" s="122" t="s">
        <v>1462</v>
      </c>
      <c r="D359" s="122" t="s">
        <v>1463</v>
      </c>
      <c r="E359" s="122" t="s">
        <v>429</v>
      </c>
      <c r="F359" s="122" t="s">
        <v>1512</v>
      </c>
      <c r="G359" s="122" t="s">
        <v>1513</v>
      </c>
      <c r="H359" s="122" t="s">
        <v>76</v>
      </c>
      <c r="I359" s="122" t="s">
        <v>229</v>
      </c>
      <c r="J359" s="122" t="s">
        <v>53</v>
      </c>
      <c r="K359" s="122" t="s">
        <v>53</v>
      </c>
      <c r="L359" s="122" t="s">
        <v>805</v>
      </c>
      <c r="M359" s="122" t="s">
        <v>311</v>
      </c>
      <c r="N359" s="122" t="s">
        <v>156</v>
      </c>
      <c r="O359" s="122" t="s">
        <v>62</v>
      </c>
      <c r="P359" s="122" t="s">
        <v>1369</v>
      </c>
      <c r="Q359" s="122" t="s">
        <v>65</v>
      </c>
      <c r="R359" s="122" t="s">
        <v>57</v>
      </c>
      <c r="S359" s="122" t="s">
        <v>1216</v>
      </c>
      <c r="T359" s="123">
        <v>2.61</v>
      </c>
      <c r="U359" s="122" t="s">
        <v>1514</v>
      </c>
      <c r="V359" s="125">
        <v>1.23E-2</v>
      </c>
      <c r="W359" s="125">
        <v>2.6530000000000001E-2</v>
      </c>
      <c r="X359" s="122" t="s">
        <v>620</v>
      </c>
      <c r="Y359" s="133"/>
      <c r="Z359" s="123">
        <v>1852.86</v>
      </c>
      <c r="AA359" s="123">
        <v>1</v>
      </c>
      <c r="AB359" s="123">
        <v>115.53</v>
      </c>
      <c r="AC359" s="122"/>
      <c r="AD359" s="123">
        <v>2.141</v>
      </c>
      <c r="AE359" s="122"/>
      <c r="AF359" s="122"/>
      <c r="AG359" s="122"/>
      <c r="AH359" s="125">
        <v>0</v>
      </c>
      <c r="AI359" s="125">
        <v>1.8600000000000001E-3</v>
      </c>
      <c r="AJ359" s="126">
        <v>2.1000000000000001E-4</v>
      </c>
      <c r="AK359" s="159"/>
    </row>
    <row r="360" spans="1:37" x14ac:dyDescent="0.2">
      <c r="A360" s="121" t="s">
        <v>1223</v>
      </c>
      <c r="B360" s="122" t="s">
        <v>1225</v>
      </c>
      <c r="C360" s="122" t="s">
        <v>1515</v>
      </c>
      <c r="D360" s="122" t="s">
        <v>1516</v>
      </c>
      <c r="E360" s="122" t="s">
        <v>429</v>
      </c>
      <c r="F360" s="122" t="s">
        <v>1517</v>
      </c>
      <c r="G360" s="122" t="s">
        <v>1518</v>
      </c>
      <c r="H360" s="122" t="s">
        <v>76</v>
      </c>
      <c r="I360" s="122" t="s">
        <v>229</v>
      </c>
      <c r="J360" s="122" t="s">
        <v>53</v>
      </c>
      <c r="K360" s="122" t="s">
        <v>53</v>
      </c>
      <c r="L360" s="122" t="s">
        <v>805</v>
      </c>
      <c r="M360" s="122" t="s">
        <v>311</v>
      </c>
      <c r="N360" s="122" t="s">
        <v>635</v>
      </c>
      <c r="O360" s="122" t="s">
        <v>62</v>
      </c>
      <c r="P360" s="122" t="s">
        <v>1377</v>
      </c>
      <c r="Q360" s="122" t="s">
        <v>70</v>
      </c>
      <c r="R360" s="122" t="s">
        <v>57</v>
      </c>
      <c r="S360" s="122" t="s">
        <v>1216</v>
      </c>
      <c r="T360" s="123">
        <v>1.96</v>
      </c>
      <c r="U360" s="122" t="s">
        <v>1519</v>
      </c>
      <c r="V360" s="125">
        <v>1.9599999999999999E-2</v>
      </c>
      <c r="W360" s="125">
        <v>2.981E-2</v>
      </c>
      <c r="X360" s="122" t="s">
        <v>620</v>
      </c>
      <c r="Y360" s="133"/>
      <c r="Z360" s="123">
        <v>1704</v>
      </c>
      <c r="AA360" s="123">
        <v>1</v>
      </c>
      <c r="AB360" s="123">
        <v>118.11</v>
      </c>
      <c r="AC360" s="122"/>
      <c r="AD360" s="123">
        <v>2.0129999999999999</v>
      </c>
      <c r="AE360" s="122"/>
      <c r="AF360" s="122"/>
      <c r="AG360" s="122"/>
      <c r="AH360" s="125">
        <v>0</v>
      </c>
      <c r="AI360" s="125">
        <v>1.75E-3</v>
      </c>
      <c r="AJ360" s="126">
        <v>2.0000000000000001E-4</v>
      </c>
      <c r="AK360" s="159"/>
    </row>
    <row r="361" spans="1:37" x14ac:dyDescent="0.2">
      <c r="A361" s="121" t="s">
        <v>1223</v>
      </c>
      <c r="B361" s="122" t="s">
        <v>1225</v>
      </c>
      <c r="C361" s="122" t="s">
        <v>1542</v>
      </c>
      <c r="D361" s="122" t="s">
        <v>1543</v>
      </c>
      <c r="E361" s="122" t="s">
        <v>429</v>
      </c>
      <c r="F361" s="122" t="s">
        <v>1820</v>
      </c>
      <c r="G361" s="122" t="s">
        <v>1821</v>
      </c>
      <c r="H361" s="122" t="s">
        <v>76</v>
      </c>
      <c r="I361" s="122" t="s">
        <v>229</v>
      </c>
      <c r="J361" s="122" t="s">
        <v>53</v>
      </c>
      <c r="K361" s="122" t="s">
        <v>53</v>
      </c>
      <c r="L361" s="122" t="s">
        <v>805</v>
      </c>
      <c r="M361" s="122" t="s">
        <v>311</v>
      </c>
      <c r="N361" s="122" t="s">
        <v>635</v>
      </c>
      <c r="O361" s="122" t="s">
        <v>62</v>
      </c>
      <c r="P361" s="122" t="s">
        <v>1584</v>
      </c>
      <c r="Q361" s="122" t="s">
        <v>70</v>
      </c>
      <c r="R361" s="122" t="s">
        <v>57</v>
      </c>
      <c r="S361" s="122" t="s">
        <v>1216</v>
      </c>
      <c r="T361" s="123">
        <v>2.4300000000000002</v>
      </c>
      <c r="U361" s="122" t="s">
        <v>1822</v>
      </c>
      <c r="V361" s="125">
        <v>1.34E-2</v>
      </c>
      <c r="W361" s="125">
        <v>2.8369999999999999E-2</v>
      </c>
      <c r="X361" s="122" t="s">
        <v>620</v>
      </c>
      <c r="Y361" s="133"/>
      <c r="Z361" s="123">
        <v>1007.45</v>
      </c>
      <c r="AA361" s="123">
        <v>1</v>
      </c>
      <c r="AB361" s="123">
        <v>116.33</v>
      </c>
      <c r="AC361" s="122"/>
      <c r="AD361" s="123">
        <v>1.1719999999999999</v>
      </c>
      <c r="AE361" s="122"/>
      <c r="AF361" s="122"/>
      <c r="AG361" s="122"/>
      <c r="AH361" s="125">
        <v>0</v>
      </c>
      <c r="AI361" s="125">
        <v>1.0200000000000001E-3</v>
      </c>
      <c r="AJ361" s="126">
        <v>1.2E-4</v>
      </c>
      <c r="AK361" s="159"/>
    </row>
    <row r="362" spans="1:37" x14ac:dyDescent="0.2">
      <c r="A362" s="121" t="s">
        <v>1223</v>
      </c>
      <c r="B362" s="122" t="s">
        <v>1225</v>
      </c>
      <c r="C362" s="122" t="s">
        <v>1770</v>
      </c>
      <c r="D362" s="122" t="s">
        <v>1771</v>
      </c>
      <c r="E362" s="122" t="s">
        <v>429</v>
      </c>
      <c r="F362" s="122" t="s">
        <v>1877</v>
      </c>
      <c r="G362" s="122" t="s">
        <v>1878</v>
      </c>
      <c r="H362" s="122" t="s">
        <v>76</v>
      </c>
      <c r="I362" s="122" t="s">
        <v>229</v>
      </c>
      <c r="J362" s="122" t="s">
        <v>53</v>
      </c>
      <c r="K362" s="122" t="s">
        <v>53</v>
      </c>
      <c r="L362" s="122" t="s">
        <v>805</v>
      </c>
      <c r="M362" s="122" t="s">
        <v>311</v>
      </c>
      <c r="N362" s="122" t="s">
        <v>635</v>
      </c>
      <c r="O362" s="122" t="s">
        <v>62</v>
      </c>
      <c r="P362" s="122" t="s">
        <v>1324</v>
      </c>
      <c r="Q362" s="122" t="s">
        <v>65</v>
      </c>
      <c r="R362" s="122" t="s">
        <v>57</v>
      </c>
      <c r="S362" s="122" t="s">
        <v>1216</v>
      </c>
      <c r="T362" s="123">
        <v>0.99</v>
      </c>
      <c r="U362" s="122" t="s">
        <v>1524</v>
      </c>
      <c r="V362" s="125">
        <v>2.4E-2</v>
      </c>
      <c r="W362" s="125">
        <v>3.2710000000000003E-2</v>
      </c>
      <c r="X362" s="122" t="s">
        <v>620</v>
      </c>
      <c r="Y362" s="133"/>
      <c r="Z362" s="123">
        <v>934.16</v>
      </c>
      <c r="AA362" s="123">
        <v>1</v>
      </c>
      <c r="AB362" s="123">
        <v>118.36</v>
      </c>
      <c r="AC362" s="122"/>
      <c r="AD362" s="123">
        <v>1.1060000000000001</v>
      </c>
      <c r="AE362" s="122"/>
      <c r="AF362" s="122"/>
      <c r="AG362" s="122"/>
      <c r="AH362" s="125">
        <v>0</v>
      </c>
      <c r="AI362" s="125">
        <v>9.6000000000000002E-4</v>
      </c>
      <c r="AJ362" s="126">
        <v>1.1E-4</v>
      </c>
      <c r="AK362" s="159"/>
    </row>
    <row r="363" spans="1:37" x14ac:dyDescent="0.2">
      <c r="A363" s="121" t="s">
        <v>1223</v>
      </c>
      <c r="B363" s="122" t="s">
        <v>1225</v>
      </c>
      <c r="C363" s="122" t="s">
        <v>1879</v>
      </c>
      <c r="D363" s="122" t="s">
        <v>1880</v>
      </c>
      <c r="E363" s="122" t="s">
        <v>429</v>
      </c>
      <c r="F363" s="122" t="s">
        <v>1881</v>
      </c>
      <c r="G363" s="122" t="s">
        <v>1882</v>
      </c>
      <c r="H363" s="122" t="s">
        <v>76</v>
      </c>
      <c r="I363" s="122" t="s">
        <v>228</v>
      </c>
      <c r="J363" s="122" t="s">
        <v>53</v>
      </c>
      <c r="K363" s="122" t="s">
        <v>53</v>
      </c>
      <c r="L363" s="122" t="s">
        <v>805</v>
      </c>
      <c r="M363" s="122" t="s">
        <v>311</v>
      </c>
      <c r="N363" s="122" t="s">
        <v>260</v>
      </c>
      <c r="O363" s="122" t="s">
        <v>62</v>
      </c>
      <c r="P363" s="122" t="s">
        <v>1369</v>
      </c>
      <c r="Q363" s="122" t="s">
        <v>65</v>
      </c>
      <c r="R363" s="122" t="s">
        <v>57</v>
      </c>
      <c r="S363" s="122" t="s">
        <v>1216</v>
      </c>
      <c r="T363" s="123">
        <v>1.37</v>
      </c>
      <c r="U363" s="122" t="s">
        <v>1883</v>
      </c>
      <c r="V363" s="125">
        <v>0.04</v>
      </c>
      <c r="W363" s="125">
        <v>4.6870000000000002E-2</v>
      </c>
      <c r="X363" s="122" t="s">
        <v>620</v>
      </c>
      <c r="Y363" s="133"/>
      <c r="Z363" s="123">
        <v>1024.2</v>
      </c>
      <c r="AA363" s="123">
        <v>1</v>
      </c>
      <c r="AB363" s="123">
        <v>100.15</v>
      </c>
      <c r="AC363" s="122"/>
      <c r="AD363" s="123">
        <v>1.026</v>
      </c>
      <c r="AE363" s="122"/>
      <c r="AF363" s="122"/>
      <c r="AG363" s="122"/>
      <c r="AH363" s="125">
        <v>0</v>
      </c>
      <c r="AI363" s="125">
        <v>8.8999999999999995E-4</v>
      </c>
      <c r="AJ363" s="126">
        <v>1E-4</v>
      </c>
      <c r="AK363" s="159"/>
    </row>
    <row r="364" spans="1:37" x14ac:dyDescent="0.2">
      <c r="A364" s="121" t="s">
        <v>1223</v>
      </c>
      <c r="B364" s="122" t="s">
        <v>1225</v>
      </c>
      <c r="C364" s="122" t="s">
        <v>1688</v>
      </c>
      <c r="D364" s="122" t="s">
        <v>1689</v>
      </c>
      <c r="E364" s="122" t="s">
        <v>429</v>
      </c>
      <c r="F364" s="122" t="s">
        <v>1884</v>
      </c>
      <c r="G364" s="122" t="s">
        <v>1885</v>
      </c>
      <c r="H364" s="122" t="s">
        <v>76</v>
      </c>
      <c r="I364" s="122" t="s">
        <v>228</v>
      </c>
      <c r="J364" s="122" t="s">
        <v>53</v>
      </c>
      <c r="K364" s="122" t="s">
        <v>53</v>
      </c>
      <c r="L364" s="122" t="s">
        <v>805</v>
      </c>
      <c r="M364" s="122" t="s">
        <v>311</v>
      </c>
      <c r="N364" s="122" t="s">
        <v>269</v>
      </c>
      <c r="O364" s="122" t="s">
        <v>62</v>
      </c>
      <c r="P364" s="122" t="s">
        <v>1540</v>
      </c>
      <c r="Q364" s="122" t="s">
        <v>70</v>
      </c>
      <c r="R364" s="122" t="s">
        <v>57</v>
      </c>
      <c r="S364" s="122" t="s">
        <v>1216</v>
      </c>
      <c r="T364" s="123">
        <v>0.13</v>
      </c>
      <c r="U364" s="122" t="s">
        <v>1886</v>
      </c>
      <c r="V364" s="125">
        <v>3.27E-2</v>
      </c>
      <c r="W364" s="125">
        <v>5.0990000000000001E-2</v>
      </c>
      <c r="X364" s="122" t="s">
        <v>620</v>
      </c>
      <c r="Y364" s="133"/>
      <c r="Z364" s="123">
        <v>921</v>
      </c>
      <c r="AA364" s="123">
        <v>1</v>
      </c>
      <c r="AB364" s="123">
        <v>101</v>
      </c>
      <c r="AC364" s="122"/>
      <c r="AD364" s="123">
        <v>0.93</v>
      </c>
      <c r="AE364" s="122"/>
      <c r="AF364" s="122"/>
      <c r="AG364" s="122"/>
      <c r="AH364" s="125">
        <v>0</v>
      </c>
      <c r="AI364" s="125">
        <v>8.0999999999999996E-4</v>
      </c>
      <c r="AJ364" s="126">
        <v>9.0000000000000006E-5</v>
      </c>
      <c r="AK364" s="159"/>
    </row>
    <row r="365" spans="1:37" x14ac:dyDescent="0.2">
      <c r="A365" s="121" t="s">
        <v>1223</v>
      </c>
      <c r="B365" s="122" t="s">
        <v>1225</v>
      </c>
      <c r="C365" s="122" t="s">
        <v>1635</v>
      </c>
      <c r="D365" s="122" t="s">
        <v>1636</v>
      </c>
      <c r="E365" s="122" t="s">
        <v>429</v>
      </c>
      <c r="F365" s="122" t="s">
        <v>1667</v>
      </c>
      <c r="G365" s="122" t="s">
        <v>1668</v>
      </c>
      <c r="H365" s="122" t="s">
        <v>76</v>
      </c>
      <c r="I365" s="122" t="s">
        <v>229</v>
      </c>
      <c r="J365" s="122" t="s">
        <v>53</v>
      </c>
      <c r="K365" s="122" t="s">
        <v>53</v>
      </c>
      <c r="L365" s="122" t="s">
        <v>805</v>
      </c>
      <c r="M365" s="122" t="s">
        <v>311</v>
      </c>
      <c r="N365" s="122" t="s">
        <v>635</v>
      </c>
      <c r="O365" s="122" t="s">
        <v>62</v>
      </c>
      <c r="P365" s="122" t="s">
        <v>1324</v>
      </c>
      <c r="Q365" s="122" t="s">
        <v>65</v>
      </c>
      <c r="R365" s="122" t="s">
        <v>57</v>
      </c>
      <c r="S365" s="122" t="s">
        <v>1216</v>
      </c>
      <c r="T365" s="123">
        <v>3.08</v>
      </c>
      <c r="U365" s="122" t="s">
        <v>1669</v>
      </c>
      <c r="V365" s="125">
        <v>2.2499999999999999E-2</v>
      </c>
      <c r="W365" s="125">
        <v>2.9219999999999999E-2</v>
      </c>
      <c r="X365" s="122" t="s">
        <v>620</v>
      </c>
      <c r="Y365" s="133"/>
      <c r="Z365" s="123">
        <v>648.63</v>
      </c>
      <c r="AA365" s="123">
        <v>1</v>
      </c>
      <c r="AB365" s="123">
        <v>118.47</v>
      </c>
      <c r="AC365" s="122"/>
      <c r="AD365" s="123">
        <v>0.76800000000000002</v>
      </c>
      <c r="AE365" s="122"/>
      <c r="AF365" s="122"/>
      <c r="AG365" s="122"/>
      <c r="AH365" s="125">
        <v>0</v>
      </c>
      <c r="AI365" s="125">
        <v>6.7000000000000002E-4</v>
      </c>
      <c r="AJ365" s="126">
        <v>8.0000000000000007E-5</v>
      </c>
      <c r="AK365" s="159"/>
    </row>
    <row r="366" spans="1:37" x14ac:dyDescent="0.2">
      <c r="A366" s="121" t="s">
        <v>1223</v>
      </c>
      <c r="B366" s="122" t="s">
        <v>1225</v>
      </c>
      <c r="C366" s="122" t="s">
        <v>1388</v>
      </c>
      <c r="D366" s="122" t="s">
        <v>1389</v>
      </c>
      <c r="E366" s="122" t="s">
        <v>429</v>
      </c>
      <c r="F366" s="122" t="s">
        <v>1528</v>
      </c>
      <c r="G366" s="122" t="s">
        <v>1529</v>
      </c>
      <c r="H366" s="122" t="s">
        <v>76</v>
      </c>
      <c r="I366" s="122" t="s">
        <v>228</v>
      </c>
      <c r="J366" s="122" t="s">
        <v>53</v>
      </c>
      <c r="K366" s="122" t="s">
        <v>53</v>
      </c>
      <c r="L366" s="122" t="s">
        <v>805</v>
      </c>
      <c r="M366" s="122" t="s">
        <v>311</v>
      </c>
      <c r="N366" s="122" t="s">
        <v>635</v>
      </c>
      <c r="O366" s="122" t="s">
        <v>62</v>
      </c>
      <c r="P366" s="122" t="s">
        <v>1324</v>
      </c>
      <c r="Q366" s="122" t="s">
        <v>65</v>
      </c>
      <c r="R366" s="122" t="s">
        <v>57</v>
      </c>
      <c r="S366" s="122" t="s">
        <v>1216</v>
      </c>
      <c r="T366" s="123">
        <v>4.5599999999999996</v>
      </c>
      <c r="U366" s="122" t="s">
        <v>1530</v>
      </c>
      <c r="V366" s="125">
        <v>2.5499999999999998E-2</v>
      </c>
      <c r="W366" s="125">
        <v>4.9169999999999998E-2</v>
      </c>
      <c r="X366" s="122" t="s">
        <v>620</v>
      </c>
      <c r="Y366" s="133"/>
      <c r="Z366" s="123">
        <v>724.38</v>
      </c>
      <c r="AA366" s="123">
        <v>1</v>
      </c>
      <c r="AB366" s="123">
        <v>90.63</v>
      </c>
      <c r="AC366" s="122"/>
      <c r="AD366" s="123">
        <v>0.65700000000000003</v>
      </c>
      <c r="AE366" s="122"/>
      <c r="AF366" s="122"/>
      <c r="AG366" s="122"/>
      <c r="AH366" s="125">
        <v>0</v>
      </c>
      <c r="AI366" s="125">
        <v>5.6999999999999998E-4</v>
      </c>
      <c r="AJ366" s="126">
        <v>6.9999999999999994E-5</v>
      </c>
      <c r="AK366" s="159"/>
    </row>
    <row r="367" spans="1:37" x14ac:dyDescent="0.2">
      <c r="A367" s="121" t="s">
        <v>1223</v>
      </c>
      <c r="B367" s="122" t="s">
        <v>1223</v>
      </c>
      <c r="C367" s="122" t="s">
        <v>1348</v>
      </c>
      <c r="D367" s="122" t="s">
        <v>1349</v>
      </c>
      <c r="E367" s="122" t="s">
        <v>429</v>
      </c>
      <c r="F367" s="122" t="s">
        <v>1382</v>
      </c>
      <c r="G367" s="122" t="s">
        <v>1383</v>
      </c>
      <c r="H367" s="122" t="s">
        <v>76</v>
      </c>
      <c r="I367" s="122" t="s">
        <v>229</v>
      </c>
      <c r="J367" s="122" t="s">
        <v>53</v>
      </c>
      <c r="K367" s="122" t="s">
        <v>53</v>
      </c>
      <c r="L367" s="122" t="s">
        <v>805</v>
      </c>
      <c r="M367" s="122" t="s">
        <v>311</v>
      </c>
      <c r="N367" s="122" t="s">
        <v>256</v>
      </c>
      <c r="O367" s="122" t="s">
        <v>62</v>
      </c>
      <c r="P367" s="122" t="s">
        <v>1330</v>
      </c>
      <c r="Q367" s="122" t="s">
        <v>65</v>
      </c>
      <c r="R367" s="122" t="s">
        <v>57</v>
      </c>
      <c r="S367" s="122" t="s">
        <v>1216</v>
      </c>
      <c r="T367" s="123">
        <v>4.1399999999999997</v>
      </c>
      <c r="U367" s="122" t="s">
        <v>1384</v>
      </c>
      <c r="V367" s="125">
        <v>2.0199999999999999E-2</v>
      </c>
      <c r="W367" s="125">
        <v>2.5350000000000001E-2</v>
      </c>
      <c r="X367" s="122" t="s">
        <v>620</v>
      </c>
      <c r="Y367" s="133"/>
      <c r="Z367" s="123">
        <v>112000000</v>
      </c>
      <c r="AA367" s="123">
        <v>1</v>
      </c>
      <c r="AB367" s="123">
        <v>105.02</v>
      </c>
      <c r="AC367" s="122"/>
      <c r="AD367" s="123">
        <v>117622.39999999999</v>
      </c>
      <c r="AE367" s="122"/>
      <c r="AF367" s="122"/>
      <c r="AG367" s="122"/>
      <c r="AH367" s="125">
        <v>3.1390000000000001E-2</v>
      </c>
      <c r="AI367" s="125">
        <v>3.1109999999999999E-2</v>
      </c>
      <c r="AJ367" s="126">
        <v>4.3099999999999996E-3</v>
      </c>
      <c r="AK367" s="159"/>
    </row>
    <row r="368" spans="1:37" x14ac:dyDescent="0.2">
      <c r="A368" s="121" t="s">
        <v>1223</v>
      </c>
      <c r="B368" s="122" t="s">
        <v>1223</v>
      </c>
      <c r="C368" s="122" t="s">
        <v>1617</v>
      </c>
      <c r="D368" s="122" t="s">
        <v>1618</v>
      </c>
      <c r="E368" s="122" t="s">
        <v>429</v>
      </c>
      <c r="F368" s="122" t="s">
        <v>1619</v>
      </c>
      <c r="G368" s="122" t="s">
        <v>1620</v>
      </c>
      <c r="H368" s="122" t="s">
        <v>76</v>
      </c>
      <c r="I368" s="122" t="s">
        <v>229</v>
      </c>
      <c r="J368" s="122" t="s">
        <v>53</v>
      </c>
      <c r="K368" s="122" t="s">
        <v>53</v>
      </c>
      <c r="L368" s="122" t="s">
        <v>805</v>
      </c>
      <c r="M368" s="122" t="s">
        <v>311</v>
      </c>
      <c r="N368" s="122" t="s">
        <v>256</v>
      </c>
      <c r="O368" s="122" t="s">
        <v>62</v>
      </c>
      <c r="P368" s="122" t="s">
        <v>1330</v>
      </c>
      <c r="Q368" s="122" t="s">
        <v>65</v>
      </c>
      <c r="R368" s="122" t="s">
        <v>57</v>
      </c>
      <c r="S368" s="122" t="s">
        <v>1216</v>
      </c>
      <c r="T368" s="123">
        <v>4.6500000000000004</v>
      </c>
      <c r="U368" s="122" t="s">
        <v>1621</v>
      </c>
      <c r="V368" s="125">
        <v>2.1090000000000001E-2</v>
      </c>
      <c r="W368" s="125">
        <v>2.5829999999999999E-2</v>
      </c>
      <c r="X368" s="122" t="s">
        <v>620</v>
      </c>
      <c r="Y368" s="133"/>
      <c r="Z368" s="123">
        <v>102466000</v>
      </c>
      <c r="AA368" s="123">
        <v>1</v>
      </c>
      <c r="AB368" s="123">
        <v>105.47</v>
      </c>
      <c r="AC368" s="122"/>
      <c r="AD368" s="123">
        <v>108070.89</v>
      </c>
      <c r="AE368" s="122"/>
      <c r="AF368" s="122"/>
      <c r="AG368" s="122"/>
      <c r="AH368" s="125">
        <v>3.9390000000000001E-2</v>
      </c>
      <c r="AI368" s="125">
        <v>2.8590000000000001E-2</v>
      </c>
      <c r="AJ368" s="126">
        <v>3.96E-3</v>
      </c>
      <c r="AK368" s="159"/>
    </row>
    <row r="369" spans="1:37" x14ac:dyDescent="0.2">
      <c r="A369" s="121" t="s">
        <v>1223</v>
      </c>
      <c r="B369" s="122" t="s">
        <v>1223</v>
      </c>
      <c r="C369" s="122" t="s">
        <v>1320</v>
      </c>
      <c r="D369" s="122" t="s">
        <v>1321</v>
      </c>
      <c r="E369" s="122" t="s">
        <v>429</v>
      </c>
      <c r="F369" s="122" t="s">
        <v>1322</v>
      </c>
      <c r="G369" s="122" t="s">
        <v>1323</v>
      </c>
      <c r="H369" s="122" t="s">
        <v>76</v>
      </c>
      <c r="I369" s="122" t="s">
        <v>228</v>
      </c>
      <c r="J369" s="122" t="s">
        <v>53</v>
      </c>
      <c r="K369" s="122" t="s">
        <v>53</v>
      </c>
      <c r="L369" s="122" t="s">
        <v>805</v>
      </c>
      <c r="M369" s="122" t="s">
        <v>311</v>
      </c>
      <c r="N369" s="122" t="s">
        <v>269</v>
      </c>
      <c r="O369" s="122" t="s">
        <v>62</v>
      </c>
      <c r="P369" s="122" t="s">
        <v>1324</v>
      </c>
      <c r="Q369" s="122" t="s">
        <v>65</v>
      </c>
      <c r="R369" s="122" t="s">
        <v>57</v>
      </c>
      <c r="S369" s="122" t="s">
        <v>1216</v>
      </c>
      <c r="T369" s="123">
        <v>5.2</v>
      </c>
      <c r="U369" s="122" t="s">
        <v>1325</v>
      </c>
      <c r="V369" s="125">
        <v>5.1499999999999997E-2</v>
      </c>
      <c r="W369" s="125">
        <v>4.6640000000000001E-2</v>
      </c>
      <c r="X369" s="122" t="s">
        <v>620</v>
      </c>
      <c r="Y369" s="133"/>
      <c r="Z369" s="123">
        <v>101599000</v>
      </c>
      <c r="AA369" s="123">
        <v>1</v>
      </c>
      <c r="AB369" s="123">
        <v>105.19</v>
      </c>
      <c r="AC369" s="122"/>
      <c r="AD369" s="123">
        <v>106871.988</v>
      </c>
      <c r="AE369" s="122"/>
      <c r="AF369" s="122"/>
      <c r="AG369" s="122"/>
      <c r="AH369" s="125">
        <v>0.10191</v>
      </c>
      <c r="AI369" s="125">
        <v>2.827E-2</v>
      </c>
      <c r="AJ369" s="126">
        <v>3.9199999999999999E-3</v>
      </c>
      <c r="AK369" s="159"/>
    </row>
    <row r="370" spans="1:37" x14ac:dyDescent="0.2">
      <c r="A370" s="121" t="s">
        <v>1223</v>
      </c>
      <c r="B370" s="122" t="s">
        <v>1223</v>
      </c>
      <c r="C370" s="122" t="s">
        <v>1348</v>
      </c>
      <c r="D370" s="122" t="s">
        <v>1349</v>
      </c>
      <c r="E370" s="122" t="s">
        <v>429</v>
      </c>
      <c r="F370" s="122" t="s">
        <v>1350</v>
      </c>
      <c r="G370" s="122" t="s">
        <v>1351</v>
      </c>
      <c r="H370" s="122" t="s">
        <v>76</v>
      </c>
      <c r="I370" s="122" t="s">
        <v>229</v>
      </c>
      <c r="J370" s="122" t="s">
        <v>53</v>
      </c>
      <c r="K370" s="122" t="s">
        <v>53</v>
      </c>
      <c r="L370" s="122" t="s">
        <v>805</v>
      </c>
      <c r="M370" s="122" t="s">
        <v>311</v>
      </c>
      <c r="N370" s="122" t="s">
        <v>256</v>
      </c>
      <c r="O370" s="122" t="s">
        <v>62</v>
      </c>
      <c r="P370" s="122" t="s">
        <v>1215</v>
      </c>
      <c r="Q370" s="122" t="s">
        <v>70</v>
      </c>
      <c r="R370" s="122" t="s">
        <v>57</v>
      </c>
      <c r="S370" s="122" t="s">
        <v>1216</v>
      </c>
      <c r="T370" s="123">
        <v>4.1399999999999997</v>
      </c>
      <c r="U370" s="122" t="s">
        <v>1352</v>
      </c>
      <c r="V370" s="125">
        <v>1E-3</v>
      </c>
      <c r="W370" s="125">
        <v>2.5270000000000001E-2</v>
      </c>
      <c r="X370" s="122" t="s">
        <v>620</v>
      </c>
      <c r="Y370" s="133"/>
      <c r="Z370" s="123">
        <v>98360232</v>
      </c>
      <c r="AA370" s="123">
        <v>1</v>
      </c>
      <c r="AB370" s="123">
        <v>104.89</v>
      </c>
      <c r="AC370" s="122"/>
      <c r="AD370" s="123">
        <v>103170.04700000001</v>
      </c>
      <c r="AE370" s="122"/>
      <c r="AF370" s="122"/>
      <c r="AG370" s="122"/>
      <c r="AH370" s="125">
        <v>2.2939999999999999E-2</v>
      </c>
      <c r="AI370" s="125">
        <v>2.7289999999999998E-2</v>
      </c>
      <c r="AJ370" s="126">
        <v>3.7799999999999999E-3</v>
      </c>
      <c r="AK370" s="159"/>
    </row>
    <row r="371" spans="1:37" x14ac:dyDescent="0.2">
      <c r="A371" s="121" t="s">
        <v>1223</v>
      </c>
      <c r="B371" s="122" t="s">
        <v>1223</v>
      </c>
      <c r="C371" s="122" t="s">
        <v>1332</v>
      </c>
      <c r="D371" s="122" t="s">
        <v>1333</v>
      </c>
      <c r="E371" s="122" t="s">
        <v>430</v>
      </c>
      <c r="F371" s="122" t="s">
        <v>1334</v>
      </c>
      <c r="G371" s="122" t="s">
        <v>1335</v>
      </c>
      <c r="H371" s="122" t="s">
        <v>76</v>
      </c>
      <c r="I371" s="122" t="s">
        <v>229</v>
      </c>
      <c r="J371" s="122" t="s">
        <v>53</v>
      </c>
      <c r="K371" s="122" t="s">
        <v>53</v>
      </c>
      <c r="L371" s="122" t="s">
        <v>805</v>
      </c>
      <c r="M371" s="122" t="s">
        <v>311</v>
      </c>
      <c r="N371" s="122" t="s">
        <v>156</v>
      </c>
      <c r="O371" s="122" t="s">
        <v>62</v>
      </c>
      <c r="P371" s="122" t="s">
        <v>1215</v>
      </c>
      <c r="Q371" s="122" t="s">
        <v>70</v>
      </c>
      <c r="R371" s="122" t="s">
        <v>57</v>
      </c>
      <c r="S371" s="122" t="s">
        <v>1216</v>
      </c>
      <c r="T371" s="123">
        <v>9.81</v>
      </c>
      <c r="U371" s="122" t="s">
        <v>1336</v>
      </c>
      <c r="V371" s="125">
        <v>3.2000000000000001E-2</v>
      </c>
      <c r="W371" s="125">
        <v>2.8129999999999999E-2</v>
      </c>
      <c r="X371" s="122" t="s">
        <v>620</v>
      </c>
      <c r="Y371" s="133"/>
      <c r="Z371" s="123">
        <v>86895761</v>
      </c>
      <c r="AA371" s="123">
        <v>1</v>
      </c>
      <c r="AB371" s="123">
        <v>112.97</v>
      </c>
      <c r="AC371" s="122"/>
      <c r="AD371" s="123">
        <v>98166.141000000003</v>
      </c>
      <c r="AE371" s="122"/>
      <c r="AF371" s="122"/>
      <c r="AG371" s="122"/>
      <c r="AH371" s="125">
        <v>1.7649999999999999E-2</v>
      </c>
      <c r="AI371" s="125">
        <v>2.597E-2</v>
      </c>
      <c r="AJ371" s="126">
        <v>3.5999999999999999E-3</v>
      </c>
      <c r="AK371" s="159"/>
    </row>
    <row r="372" spans="1:37" x14ac:dyDescent="0.2">
      <c r="A372" s="121" t="s">
        <v>1223</v>
      </c>
      <c r="B372" s="122" t="s">
        <v>1223</v>
      </c>
      <c r="C372" s="122" t="s">
        <v>1332</v>
      </c>
      <c r="D372" s="122" t="s">
        <v>1333</v>
      </c>
      <c r="E372" s="122" t="s">
        <v>430</v>
      </c>
      <c r="F372" s="122" t="s">
        <v>1337</v>
      </c>
      <c r="G372" s="122" t="s">
        <v>1338</v>
      </c>
      <c r="H372" s="122" t="s">
        <v>76</v>
      </c>
      <c r="I372" s="122" t="s">
        <v>229</v>
      </c>
      <c r="J372" s="122" t="s">
        <v>53</v>
      </c>
      <c r="K372" s="122" t="s">
        <v>53</v>
      </c>
      <c r="L372" s="122" t="s">
        <v>805</v>
      </c>
      <c r="M372" s="122" t="s">
        <v>311</v>
      </c>
      <c r="N372" s="122" t="s">
        <v>156</v>
      </c>
      <c r="O372" s="122" t="s">
        <v>62</v>
      </c>
      <c r="P372" s="122" t="s">
        <v>1215</v>
      </c>
      <c r="Q372" s="122" t="s">
        <v>70</v>
      </c>
      <c r="R372" s="122" t="s">
        <v>57</v>
      </c>
      <c r="S372" s="122" t="s">
        <v>1216</v>
      </c>
      <c r="T372" s="123">
        <v>6.89</v>
      </c>
      <c r="U372" s="122" t="s">
        <v>1339</v>
      </c>
      <c r="V372" s="125">
        <v>0.03</v>
      </c>
      <c r="W372" s="125">
        <v>2.6270000000000002E-2</v>
      </c>
      <c r="X372" s="122" t="s">
        <v>620</v>
      </c>
      <c r="Y372" s="133"/>
      <c r="Z372" s="123">
        <v>85820000</v>
      </c>
      <c r="AA372" s="123">
        <v>1</v>
      </c>
      <c r="AB372" s="123">
        <v>111.48</v>
      </c>
      <c r="AC372" s="122"/>
      <c r="AD372" s="123">
        <v>95672.135999999999</v>
      </c>
      <c r="AE372" s="122"/>
      <c r="AF372" s="122"/>
      <c r="AG372" s="122"/>
      <c r="AH372" s="125">
        <v>2.104E-2</v>
      </c>
      <c r="AI372" s="125">
        <v>2.5309999999999999E-2</v>
      </c>
      <c r="AJ372" s="126">
        <v>3.5000000000000001E-3</v>
      </c>
      <c r="AK372" s="159"/>
    </row>
    <row r="373" spans="1:37" x14ac:dyDescent="0.2">
      <c r="A373" s="121" t="s">
        <v>1223</v>
      </c>
      <c r="B373" s="122" t="s">
        <v>1223</v>
      </c>
      <c r="C373" s="122" t="s">
        <v>1340</v>
      </c>
      <c r="D373" s="122" t="s">
        <v>1341</v>
      </c>
      <c r="E373" s="122" t="s">
        <v>429</v>
      </c>
      <c r="F373" s="122" t="s">
        <v>1342</v>
      </c>
      <c r="G373" s="122" t="s">
        <v>1343</v>
      </c>
      <c r="H373" s="122" t="s">
        <v>76</v>
      </c>
      <c r="I373" s="122" t="s">
        <v>229</v>
      </c>
      <c r="J373" s="122" t="s">
        <v>53</v>
      </c>
      <c r="K373" s="122" t="s">
        <v>53</v>
      </c>
      <c r="L373" s="122" t="s">
        <v>805</v>
      </c>
      <c r="M373" s="122" t="s">
        <v>311</v>
      </c>
      <c r="N373" s="122" t="s">
        <v>256</v>
      </c>
      <c r="O373" s="122" t="s">
        <v>62</v>
      </c>
      <c r="P373" s="122" t="s">
        <v>1330</v>
      </c>
      <c r="Q373" s="122" t="s">
        <v>65</v>
      </c>
      <c r="R373" s="122" t="s">
        <v>57</v>
      </c>
      <c r="S373" s="122" t="s">
        <v>1216</v>
      </c>
      <c r="T373" s="123">
        <v>4.7300000000000004</v>
      </c>
      <c r="U373" s="122" t="s">
        <v>1344</v>
      </c>
      <c r="V373" s="125">
        <v>2E-3</v>
      </c>
      <c r="W373" s="125">
        <v>2.5559999999999999E-2</v>
      </c>
      <c r="X373" s="122" t="s">
        <v>620</v>
      </c>
      <c r="Y373" s="133"/>
      <c r="Z373" s="123">
        <v>81253066</v>
      </c>
      <c r="AA373" s="123">
        <v>1</v>
      </c>
      <c r="AB373" s="123">
        <v>106.44</v>
      </c>
      <c r="AC373" s="122"/>
      <c r="AD373" s="123">
        <v>86485.763000000006</v>
      </c>
      <c r="AE373" s="122"/>
      <c r="AF373" s="122"/>
      <c r="AG373" s="122"/>
      <c r="AH373" s="125">
        <v>2.349E-2</v>
      </c>
      <c r="AI373" s="125">
        <v>2.2880000000000001E-2</v>
      </c>
      <c r="AJ373" s="126">
        <v>3.1700000000000001E-3</v>
      </c>
      <c r="AK373" s="159"/>
    </row>
    <row r="374" spans="1:37" x14ac:dyDescent="0.2">
      <c r="A374" s="121" t="s">
        <v>1223</v>
      </c>
      <c r="B374" s="122" t="s">
        <v>1223</v>
      </c>
      <c r="C374" s="122" t="s">
        <v>1617</v>
      </c>
      <c r="D374" s="122" t="s">
        <v>1618</v>
      </c>
      <c r="E374" s="122" t="s">
        <v>429</v>
      </c>
      <c r="F374" s="122" t="s">
        <v>1622</v>
      </c>
      <c r="G374" s="122" t="s">
        <v>1623</v>
      </c>
      <c r="H374" s="122" t="s">
        <v>76</v>
      </c>
      <c r="I374" s="122" t="s">
        <v>229</v>
      </c>
      <c r="J374" s="122" t="s">
        <v>53</v>
      </c>
      <c r="K374" s="122" t="s">
        <v>53</v>
      </c>
      <c r="L374" s="122" t="s">
        <v>805</v>
      </c>
      <c r="M374" s="122" t="s">
        <v>311</v>
      </c>
      <c r="N374" s="122" t="s">
        <v>256</v>
      </c>
      <c r="O374" s="122" t="s">
        <v>62</v>
      </c>
      <c r="P374" s="122" t="s">
        <v>1330</v>
      </c>
      <c r="Q374" s="122" t="s">
        <v>65</v>
      </c>
      <c r="R374" s="122" t="s">
        <v>57</v>
      </c>
      <c r="S374" s="122" t="s">
        <v>1216</v>
      </c>
      <c r="T374" s="123">
        <v>4.57</v>
      </c>
      <c r="U374" s="122" t="s">
        <v>1621</v>
      </c>
      <c r="V374" s="125">
        <v>2.4E-2</v>
      </c>
      <c r="W374" s="125">
        <v>2.537E-2</v>
      </c>
      <c r="X374" s="122" t="s">
        <v>620</v>
      </c>
      <c r="Y374" s="133"/>
      <c r="Z374" s="123">
        <v>74600000</v>
      </c>
      <c r="AA374" s="123">
        <v>1</v>
      </c>
      <c r="AB374" s="123">
        <v>104.06</v>
      </c>
      <c r="AC374" s="122"/>
      <c r="AD374" s="123">
        <v>77628.759999999995</v>
      </c>
      <c r="AE374" s="122"/>
      <c r="AF374" s="122"/>
      <c r="AG374" s="122"/>
      <c r="AH374" s="125">
        <v>3.3869999999999997E-2</v>
      </c>
      <c r="AI374" s="125">
        <v>2.053E-2</v>
      </c>
      <c r="AJ374" s="126">
        <v>2.8400000000000001E-3</v>
      </c>
      <c r="AK374" s="159"/>
    </row>
    <row r="375" spans="1:37" x14ac:dyDescent="0.2">
      <c r="A375" s="121" t="s">
        <v>1223</v>
      </c>
      <c r="B375" s="122" t="s">
        <v>1223</v>
      </c>
      <c r="C375" s="122" t="s">
        <v>1340</v>
      </c>
      <c r="D375" s="122" t="s">
        <v>1341</v>
      </c>
      <c r="E375" s="122" t="s">
        <v>429</v>
      </c>
      <c r="F375" s="122" t="s">
        <v>1353</v>
      </c>
      <c r="G375" s="122" t="s">
        <v>1354</v>
      </c>
      <c r="H375" s="122" t="s">
        <v>76</v>
      </c>
      <c r="I375" s="122" t="s">
        <v>229</v>
      </c>
      <c r="J375" s="122" t="s">
        <v>53</v>
      </c>
      <c r="K375" s="122" t="s">
        <v>53</v>
      </c>
      <c r="L375" s="122" t="s">
        <v>805</v>
      </c>
      <c r="M375" s="122" t="s">
        <v>311</v>
      </c>
      <c r="N375" s="122" t="s">
        <v>256</v>
      </c>
      <c r="O375" s="122" t="s">
        <v>62</v>
      </c>
      <c r="P375" s="122" t="s">
        <v>1330</v>
      </c>
      <c r="Q375" s="122" t="s">
        <v>65</v>
      </c>
      <c r="R375" s="122" t="s">
        <v>57</v>
      </c>
      <c r="S375" s="122" t="s">
        <v>1216</v>
      </c>
      <c r="T375" s="123">
        <v>1.98</v>
      </c>
      <c r="U375" s="122" t="s">
        <v>1355</v>
      </c>
      <c r="V375" s="125">
        <v>1.2200000000000001E-2</v>
      </c>
      <c r="W375" s="125">
        <v>2.5819999999999999E-2</v>
      </c>
      <c r="X375" s="122" t="s">
        <v>620</v>
      </c>
      <c r="Y375" s="133"/>
      <c r="Z375" s="123">
        <v>61718764</v>
      </c>
      <c r="AA375" s="123">
        <v>1</v>
      </c>
      <c r="AB375" s="123">
        <v>116.7</v>
      </c>
      <c r="AC375" s="122"/>
      <c r="AD375" s="123">
        <v>72025.797999999995</v>
      </c>
      <c r="AE375" s="122"/>
      <c r="AF375" s="122"/>
      <c r="AG375" s="122"/>
      <c r="AH375" s="125">
        <v>2.0469999999999999E-2</v>
      </c>
      <c r="AI375" s="125">
        <v>1.9050000000000001E-2</v>
      </c>
      <c r="AJ375" s="126">
        <v>2.64E-3</v>
      </c>
      <c r="AK375" s="159"/>
    </row>
    <row r="376" spans="1:37" x14ac:dyDescent="0.2">
      <c r="A376" s="121" t="s">
        <v>1223</v>
      </c>
      <c r="B376" s="122" t="s">
        <v>1223</v>
      </c>
      <c r="C376" s="122" t="s">
        <v>1365</v>
      </c>
      <c r="D376" s="122" t="s">
        <v>1366</v>
      </c>
      <c r="E376" s="122" t="s">
        <v>429</v>
      </c>
      <c r="F376" s="122" t="s">
        <v>1367</v>
      </c>
      <c r="G376" s="122" t="s">
        <v>1368</v>
      </c>
      <c r="H376" s="122" t="s">
        <v>76</v>
      </c>
      <c r="I376" s="122" t="s">
        <v>228</v>
      </c>
      <c r="J376" s="122" t="s">
        <v>53</v>
      </c>
      <c r="K376" s="122" t="s">
        <v>53</v>
      </c>
      <c r="L376" s="122" t="s">
        <v>805</v>
      </c>
      <c r="M376" s="122" t="s">
        <v>311</v>
      </c>
      <c r="N376" s="122" t="s">
        <v>269</v>
      </c>
      <c r="O376" s="122" t="s">
        <v>62</v>
      </c>
      <c r="P376" s="122" t="s">
        <v>1369</v>
      </c>
      <c r="Q376" s="122" t="s">
        <v>65</v>
      </c>
      <c r="R376" s="122" t="s">
        <v>57</v>
      </c>
      <c r="S376" s="122" t="s">
        <v>1216</v>
      </c>
      <c r="T376" s="123">
        <v>4.26</v>
      </c>
      <c r="U376" s="122" t="s">
        <v>1266</v>
      </c>
      <c r="V376" s="125">
        <v>2.64E-2</v>
      </c>
      <c r="W376" s="125">
        <v>4.6050000000000001E-2</v>
      </c>
      <c r="X376" s="122" t="s">
        <v>620</v>
      </c>
      <c r="Y376" s="133"/>
      <c r="Z376" s="123">
        <v>68017219.430000007</v>
      </c>
      <c r="AA376" s="123">
        <v>1</v>
      </c>
      <c r="AB376" s="123">
        <v>92.3</v>
      </c>
      <c r="AC376" s="122"/>
      <c r="AD376" s="123">
        <v>62779.894</v>
      </c>
      <c r="AE376" s="122"/>
      <c r="AF376" s="122"/>
      <c r="AG376" s="122"/>
      <c r="AH376" s="125">
        <v>4.1570000000000003E-2</v>
      </c>
      <c r="AI376" s="125">
        <v>1.661E-2</v>
      </c>
      <c r="AJ376" s="126">
        <v>2.3E-3</v>
      </c>
      <c r="AK376" s="159"/>
    </row>
    <row r="377" spans="1:37" x14ac:dyDescent="0.2">
      <c r="A377" s="121" t="s">
        <v>1223</v>
      </c>
      <c r="B377" s="122" t="s">
        <v>1223</v>
      </c>
      <c r="C377" s="122" t="s">
        <v>1365</v>
      </c>
      <c r="D377" s="122" t="s">
        <v>1366</v>
      </c>
      <c r="E377" s="122" t="s">
        <v>429</v>
      </c>
      <c r="F377" s="122" t="s">
        <v>1370</v>
      </c>
      <c r="G377" s="122" t="s">
        <v>1371</v>
      </c>
      <c r="H377" s="122" t="s">
        <v>76</v>
      </c>
      <c r="I377" s="122" t="s">
        <v>229</v>
      </c>
      <c r="J377" s="122" t="s">
        <v>53</v>
      </c>
      <c r="K377" s="122" t="s">
        <v>53</v>
      </c>
      <c r="L377" s="122" t="s">
        <v>805</v>
      </c>
      <c r="M377" s="122" t="s">
        <v>311</v>
      </c>
      <c r="N377" s="122" t="s">
        <v>269</v>
      </c>
      <c r="O377" s="122" t="s">
        <v>62</v>
      </c>
      <c r="P377" s="122" t="s">
        <v>1369</v>
      </c>
      <c r="Q377" s="122" t="s">
        <v>65</v>
      </c>
      <c r="R377" s="122" t="s">
        <v>57</v>
      </c>
      <c r="S377" s="122" t="s">
        <v>1216</v>
      </c>
      <c r="T377" s="123">
        <v>6</v>
      </c>
      <c r="U377" s="122" t="s">
        <v>1372</v>
      </c>
      <c r="V377" s="125">
        <v>2.5000000000000001E-2</v>
      </c>
      <c r="W377" s="125">
        <v>4.709E-2</v>
      </c>
      <c r="X377" s="122" t="s">
        <v>620</v>
      </c>
      <c r="Y377" s="133"/>
      <c r="Z377" s="123">
        <v>70186560</v>
      </c>
      <c r="AA377" s="123">
        <v>1</v>
      </c>
      <c r="AB377" s="123">
        <v>88.03</v>
      </c>
      <c r="AC377" s="122"/>
      <c r="AD377" s="123">
        <v>61785.228999999999</v>
      </c>
      <c r="AE377" s="122"/>
      <c r="AF377" s="122"/>
      <c r="AG377" s="122"/>
      <c r="AH377" s="125">
        <v>5.2630000000000003E-2</v>
      </c>
      <c r="AI377" s="125">
        <v>1.634E-2</v>
      </c>
      <c r="AJ377" s="126">
        <v>2.2599999999999999E-3</v>
      </c>
      <c r="AK377" s="159"/>
    </row>
    <row r="378" spans="1:37" x14ac:dyDescent="0.2">
      <c r="A378" s="121" t="s">
        <v>1223</v>
      </c>
      <c r="B378" s="122" t="s">
        <v>1223</v>
      </c>
      <c r="C378" s="122" t="s">
        <v>1472</v>
      </c>
      <c r="D378" s="122" t="s">
        <v>1473</v>
      </c>
      <c r="E378" s="122" t="s">
        <v>429</v>
      </c>
      <c r="F378" s="122" t="s">
        <v>1624</v>
      </c>
      <c r="G378" s="122" t="s">
        <v>1625</v>
      </c>
      <c r="H378" s="122" t="s">
        <v>76</v>
      </c>
      <c r="I378" s="122" t="s">
        <v>228</v>
      </c>
      <c r="J378" s="122" t="s">
        <v>53</v>
      </c>
      <c r="K378" s="122" t="s">
        <v>53</v>
      </c>
      <c r="L378" s="122" t="s">
        <v>805</v>
      </c>
      <c r="M378" s="122" t="s">
        <v>311</v>
      </c>
      <c r="N378" s="122" t="s">
        <v>260</v>
      </c>
      <c r="O378" s="122" t="s">
        <v>62</v>
      </c>
      <c r="P378" s="122" t="s">
        <v>1454</v>
      </c>
      <c r="Q378" s="122" t="s">
        <v>70</v>
      </c>
      <c r="R378" s="122" t="s">
        <v>57</v>
      </c>
      <c r="S378" s="122" t="s">
        <v>1216</v>
      </c>
      <c r="T378" s="123">
        <v>7.17</v>
      </c>
      <c r="U378" s="122" t="s">
        <v>1626</v>
      </c>
      <c r="V378" s="125">
        <v>2.7900000000000001E-2</v>
      </c>
      <c r="W378" s="125">
        <v>4.6719999999999998E-2</v>
      </c>
      <c r="X378" s="122" t="s">
        <v>620</v>
      </c>
      <c r="Y378" s="133"/>
      <c r="Z378" s="123">
        <v>69600000</v>
      </c>
      <c r="AA378" s="123">
        <v>1</v>
      </c>
      <c r="AB378" s="123">
        <v>88.64</v>
      </c>
      <c r="AC378" s="122"/>
      <c r="AD378" s="123">
        <v>61693.440000000002</v>
      </c>
      <c r="AE378" s="122"/>
      <c r="AF378" s="122"/>
      <c r="AG378" s="122"/>
      <c r="AH378" s="125">
        <v>4.9610000000000001E-2</v>
      </c>
      <c r="AI378" s="125">
        <v>1.6320000000000001E-2</v>
      </c>
      <c r="AJ378" s="126">
        <v>2.2599999999999999E-3</v>
      </c>
      <c r="AK378" s="159"/>
    </row>
    <row r="379" spans="1:37" x14ac:dyDescent="0.2">
      <c r="A379" s="121" t="s">
        <v>1223</v>
      </c>
      <c r="B379" s="122" t="s">
        <v>1223</v>
      </c>
      <c r="C379" s="122" t="s">
        <v>1415</v>
      </c>
      <c r="D379" s="122" t="s">
        <v>1416</v>
      </c>
      <c r="E379" s="122" t="s">
        <v>429</v>
      </c>
      <c r="F379" s="122" t="s">
        <v>1417</v>
      </c>
      <c r="G379" s="122" t="s">
        <v>1418</v>
      </c>
      <c r="H379" s="122" t="s">
        <v>76</v>
      </c>
      <c r="I379" s="122" t="s">
        <v>228</v>
      </c>
      <c r="J379" s="122" t="s">
        <v>53</v>
      </c>
      <c r="K379" s="122" t="s">
        <v>53</v>
      </c>
      <c r="L379" s="122" t="s">
        <v>805</v>
      </c>
      <c r="M379" s="122" t="s">
        <v>311</v>
      </c>
      <c r="N379" s="122" t="s">
        <v>269</v>
      </c>
      <c r="O379" s="122" t="s">
        <v>62</v>
      </c>
      <c r="P379" s="122" t="s">
        <v>1369</v>
      </c>
      <c r="Q379" s="122" t="s">
        <v>65</v>
      </c>
      <c r="R379" s="122" t="s">
        <v>57</v>
      </c>
      <c r="S379" s="122" t="s">
        <v>1216</v>
      </c>
      <c r="T379" s="123">
        <v>4.45</v>
      </c>
      <c r="U379" s="122" t="s">
        <v>1325</v>
      </c>
      <c r="V379" s="125">
        <v>5.2499999999999998E-2</v>
      </c>
      <c r="W379" s="125">
        <v>4.6359999999999998E-2</v>
      </c>
      <c r="X379" s="122" t="s">
        <v>620</v>
      </c>
      <c r="Y379" s="133"/>
      <c r="Z379" s="123">
        <v>53003000</v>
      </c>
      <c r="AA379" s="123">
        <v>1</v>
      </c>
      <c r="AB379" s="123">
        <v>105.15</v>
      </c>
      <c r="AC379" s="122"/>
      <c r="AD379" s="123">
        <v>55732.654999999999</v>
      </c>
      <c r="AE379" s="122"/>
      <c r="AF379" s="122"/>
      <c r="AG379" s="122"/>
      <c r="AH379" s="125">
        <v>6.2359999999999999E-2</v>
      </c>
      <c r="AI379" s="125">
        <v>1.474E-2</v>
      </c>
      <c r="AJ379" s="126">
        <v>2.0400000000000001E-3</v>
      </c>
      <c r="AK379" s="159"/>
    </row>
    <row r="380" spans="1:37" x14ac:dyDescent="0.2">
      <c r="A380" s="121" t="s">
        <v>1223</v>
      </c>
      <c r="B380" s="122" t="s">
        <v>1223</v>
      </c>
      <c r="C380" s="122" t="s">
        <v>1542</v>
      </c>
      <c r="D380" s="122" t="s">
        <v>1543</v>
      </c>
      <c r="E380" s="122" t="s">
        <v>429</v>
      </c>
      <c r="F380" s="122" t="s">
        <v>1630</v>
      </c>
      <c r="G380" s="122" t="s">
        <v>1631</v>
      </c>
      <c r="H380" s="122" t="s">
        <v>76</v>
      </c>
      <c r="I380" s="122" t="s">
        <v>229</v>
      </c>
      <c r="J380" s="122" t="s">
        <v>53</v>
      </c>
      <c r="K380" s="122" t="s">
        <v>53</v>
      </c>
      <c r="L380" s="122" t="s">
        <v>805</v>
      </c>
      <c r="M380" s="122" t="s">
        <v>311</v>
      </c>
      <c r="N380" s="122" t="s">
        <v>635</v>
      </c>
      <c r="O380" s="122" t="s">
        <v>62</v>
      </c>
      <c r="P380" s="122" t="s">
        <v>1584</v>
      </c>
      <c r="Q380" s="122" t="s">
        <v>70</v>
      </c>
      <c r="R380" s="122" t="s">
        <v>57</v>
      </c>
      <c r="S380" s="122" t="s">
        <v>1216</v>
      </c>
      <c r="T380" s="123">
        <v>11.71</v>
      </c>
      <c r="U380" s="122" t="s">
        <v>1632</v>
      </c>
      <c r="V380" s="125">
        <v>3.6700000000000003E-2</v>
      </c>
      <c r="W380" s="125">
        <v>3.0810000000000001E-2</v>
      </c>
      <c r="X380" s="122" t="s">
        <v>620</v>
      </c>
      <c r="Y380" s="133"/>
      <c r="Z380" s="123">
        <v>48999000</v>
      </c>
      <c r="AA380" s="123">
        <v>1</v>
      </c>
      <c r="AB380" s="123">
        <v>112.94</v>
      </c>
      <c r="AC380" s="122"/>
      <c r="AD380" s="123">
        <v>55339.470999999998</v>
      </c>
      <c r="AE380" s="122"/>
      <c r="AF380" s="122"/>
      <c r="AG380" s="122"/>
      <c r="AH380" s="125">
        <v>9.6100000000000005E-3</v>
      </c>
      <c r="AI380" s="125">
        <v>1.464E-2</v>
      </c>
      <c r="AJ380" s="126">
        <v>2.0300000000000001E-3</v>
      </c>
      <c r="AK380" s="159"/>
    </row>
    <row r="381" spans="1:37" x14ac:dyDescent="0.2">
      <c r="A381" s="121" t="s">
        <v>1223</v>
      </c>
      <c r="B381" s="122" t="s">
        <v>1223</v>
      </c>
      <c r="C381" s="122" t="s">
        <v>1596</v>
      </c>
      <c r="D381" s="122" t="s">
        <v>1597</v>
      </c>
      <c r="E381" s="122" t="s">
        <v>429</v>
      </c>
      <c r="F381" s="122" t="s">
        <v>1633</v>
      </c>
      <c r="G381" s="122" t="s">
        <v>1634</v>
      </c>
      <c r="H381" s="122" t="s">
        <v>76</v>
      </c>
      <c r="I381" s="122" t="s">
        <v>228</v>
      </c>
      <c r="J381" s="122" t="s">
        <v>53</v>
      </c>
      <c r="K381" s="122" t="s">
        <v>53</v>
      </c>
      <c r="L381" s="122" t="s">
        <v>805</v>
      </c>
      <c r="M381" s="122" t="s">
        <v>311</v>
      </c>
      <c r="N381" s="122" t="s">
        <v>635</v>
      </c>
      <c r="O381" s="122" t="s">
        <v>62</v>
      </c>
      <c r="P381" s="122" t="s">
        <v>1540</v>
      </c>
      <c r="Q381" s="122" t="s">
        <v>70</v>
      </c>
      <c r="R381" s="122" t="s">
        <v>57</v>
      </c>
      <c r="S381" s="122" t="s">
        <v>1216</v>
      </c>
      <c r="T381" s="123">
        <v>6.31</v>
      </c>
      <c r="U381" s="122" t="s">
        <v>1392</v>
      </c>
      <c r="V381" s="125">
        <v>5.2900000000000003E-2</v>
      </c>
      <c r="W381" s="125">
        <v>5.0959999999999998E-2</v>
      </c>
      <c r="X381" s="122" t="s">
        <v>620</v>
      </c>
      <c r="Y381" s="133"/>
      <c r="Z381" s="123">
        <v>52901620</v>
      </c>
      <c r="AA381" s="123">
        <v>1</v>
      </c>
      <c r="AB381" s="123">
        <v>102.93</v>
      </c>
      <c r="AC381" s="122"/>
      <c r="AD381" s="123">
        <v>54451.637000000002</v>
      </c>
      <c r="AE381" s="122"/>
      <c r="AF381" s="122"/>
      <c r="AG381" s="122"/>
      <c r="AH381" s="125">
        <v>9.6269999999999994E-2</v>
      </c>
      <c r="AI381" s="125">
        <v>1.44E-2</v>
      </c>
      <c r="AJ381" s="126">
        <v>1.99E-3</v>
      </c>
      <c r="AK381" s="159"/>
    </row>
    <row r="382" spans="1:37" x14ac:dyDescent="0.2">
      <c r="A382" s="121" t="s">
        <v>1223</v>
      </c>
      <c r="B382" s="122" t="s">
        <v>1223</v>
      </c>
      <c r="C382" s="122" t="s">
        <v>1575</v>
      </c>
      <c r="D382" s="122" t="s">
        <v>1576</v>
      </c>
      <c r="E382" s="122" t="s">
        <v>429</v>
      </c>
      <c r="F382" s="122" t="s">
        <v>1627</v>
      </c>
      <c r="G382" s="122" t="s">
        <v>1628</v>
      </c>
      <c r="H382" s="122" t="s">
        <v>76</v>
      </c>
      <c r="I382" s="122" t="s">
        <v>229</v>
      </c>
      <c r="J382" s="122" t="s">
        <v>53</v>
      </c>
      <c r="K382" s="122" t="s">
        <v>53</v>
      </c>
      <c r="L382" s="122" t="s">
        <v>805</v>
      </c>
      <c r="M382" s="122" t="s">
        <v>311</v>
      </c>
      <c r="N382" s="122" t="s">
        <v>635</v>
      </c>
      <c r="O382" s="122" t="s">
        <v>62</v>
      </c>
      <c r="P382" s="122" t="s">
        <v>1377</v>
      </c>
      <c r="Q382" s="122" t="s">
        <v>70</v>
      </c>
      <c r="R382" s="122" t="s">
        <v>57</v>
      </c>
      <c r="S382" s="122" t="s">
        <v>1216</v>
      </c>
      <c r="T382" s="123">
        <v>4.68</v>
      </c>
      <c r="U382" s="122" t="s">
        <v>1629</v>
      </c>
      <c r="V382" s="125">
        <v>1.8700000000000001E-2</v>
      </c>
      <c r="W382" s="125">
        <v>2.937E-2</v>
      </c>
      <c r="X382" s="122" t="s">
        <v>620</v>
      </c>
      <c r="Y382" s="133"/>
      <c r="Z382" s="123">
        <v>48301911.170000002</v>
      </c>
      <c r="AA382" s="123">
        <v>1</v>
      </c>
      <c r="AB382" s="123">
        <v>109.28</v>
      </c>
      <c r="AC382" s="122"/>
      <c r="AD382" s="123">
        <v>52784.328999999998</v>
      </c>
      <c r="AE382" s="122"/>
      <c r="AF382" s="122"/>
      <c r="AG382" s="122"/>
      <c r="AH382" s="125">
        <v>4.9439999999999998E-2</v>
      </c>
      <c r="AI382" s="125">
        <v>1.396E-2</v>
      </c>
      <c r="AJ382" s="126">
        <v>1.9300000000000001E-3</v>
      </c>
      <c r="AK382" s="159"/>
    </row>
    <row r="383" spans="1:37" x14ac:dyDescent="0.2">
      <c r="A383" s="121" t="s">
        <v>1223</v>
      </c>
      <c r="B383" s="122" t="s">
        <v>1223</v>
      </c>
      <c r="C383" s="122" t="s">
        <v>1326</v>
      </c>
      <c r="D383" s="122" t="s">
        <v>1327</v>
      </c>
      <c r="E383" s="122" t="s">
        <v>429</v>
      </c>
      <c r="F383" s="122" t="s">
        <v>1328</v>
      </c>
      <c r="G383" s="122" t="s">
        <v>1329</v>
      </c>
      <c r="H383" s="122" t="s">
        <v>76</v>
      </c>
      <c r="I383" s="122" t="s">
        <v>228</v>
      </c>
      <c r="J383" s="122" t="s">
        <v>53</v>
      </c>
      <c r="K383" s="122" t="s">
        <v>53</v>
      </c>
      <c r="L383" s="122" t="s">
        <v>805</v>
      </c>
      <c r="M383" s="122" t="s">
        <v>311</v>
      </c>
      <c r="N383" s="122" t="s">
        <v>256</v>
      </c>
      <c r="O383" s="122" t="s">
        <v>62</v>
      </c>
      <c r="P383" s="122" t="s">
        <v>1330</v>
      </c>
      <c r="Q383" s="122" t="s">
        <v>65</v>
      </c>
      <c r="R383" s="122" t="s">
        <v>57</v>
      </c>
      <c r="S383" s="122" t="s">
        <v>1216</v>
      </c>
      <c r="T383" s="123">
        <v>4.54</v>
      </c>
      <c r="U383" s="122" t="s">
        <v>1331</v>
      </c>
      <c r="V383" s="125">
        <v>4.8800000000000003E-2</v>
      </c>
      <c r="W383" s="125">
        <v>4.4420000000000001E-2</v>
      </c>
      <c r="X383" s="122" t="s">
        <v>620</v>
      </c>
      <c r="Y383" s="133"/>
      <c r="Z383" s="123">
        <v>51000000</v>
      </c>
      <c r="AA383" s="123">
        <v>1</v>
      </c>
      <c r="AB383" s="123">
        <v>103.32</v>
      </c>
      <c r="AC383" s="122"/>
      <c r="AD383" s="123">
        <v>52693.2</v>
      </c>
      <c r="AE383" s="122"/>
      <c r="AF383" s="122"/>
      <c r="AG383" s="122"/>
      <c r="AH383" s="125">
        <v>3.236E-2</v>
      </c>
      <c r="AI383" s="125">
        <v>1.3939999999999999E-2</v>
      </c>
      <c r="AJ383" s="126">
        <v>1.9300000000000001E-3</v>
      </c>
      <c r="AK383" s="159"/>
    </row>
    <row r="384" spans="1:37" x14ac:dyDescent="0.2">
      <c r="A384" s="121" t="s">
        <v>1223</v>
      </c>
      <c r="B384" s="122" t="s">
        <v>1223</v>
      </c>
      <c r="C384" s="122" t="s">
        <v>1635</v>
      </c>
      <c r="D384" s="122" t="s">
        <v>1636</v>
      </c>
      <c r="E384" s="122" t="s">
        <v>429</v>
      </c>
      <c r="F384" s="122" t="s">
        <v>1637</v>
      </c>
      <c r="G384" s="122" t="s">
        <v>1638</v>
      </c>
      <c r="H384" s="122" t="s">
        <v>76</v>
      </c>
      <c r="I384" s="122" t="s">
        <v>229</v>
      </c>
      <c r="J384" s="122" t="s">
        <v>53</v>
      </c>
      <c r="K384" s="122" t="s">
        <v>53</v>
      </c>
      <c r="L384" s="122" t="s">
        <v>805</v>
      </c>
      <c r="M384" s="122" t="s">
        <v>311</v>
      </c>
      <c r="N384" s="122" t="s">
        <v>635</v>
      </c>
      <c r="O384" s="122" t="s">
        <v>62</v>
      </c>
      <c r="P384" s="122" t="s">
        <v>1324</v>
      </c>
      <c r="Q384" s="122" t="s">
        <v>65</v>
      </c>
      <c r="R384" s="122" t="s">
        <v>57</v>
      </c>
      <c r="S384" s="122" t="s">
        <v>1216</v>
      </c>
      <c r="T384" s="123">
        <v>5.35</v>
      </c>
      <c r="U384" s="122" t="s">
        <v>1639</v>
      </c>
      <c r="V384" s="125">
        <v>3.61E-2</v>
      </c>
      <c r="W384" s="125">
        <v>2.9260000000000001E-2</v>
      </c>
      <c r="X384" s="122" t="s">
        <v>620</v>
      </c>
      <c r="Y384" s="133"/>
      <c r="Z384" s="123">
        <v>45549245.609999999</v>
      </c>
      <c r="AA384" s="123">
        <v>1</v>
      </c>
      <c r="AB384" s="123">
        <v>113.95</v>
      </c>
      <c r="AC384" s="122"/>
      <c r="AD384" s="123">
        <v>51903.364999999998</v>
      </c>
      <c r="AE384" s="122"/>
      <c r="AF384" s="122"/>
      <c r="AG384" s="122"/>
      <c r="AH384" s="125">
        <v>2.0729999999999998E-2</v>
      </c>
      <c r="AI384" s="125">
        <v>1.3729999999999999E-2</v>
      </c>
      <c r="AJ384" s="126">
        <v>1.9E-3</v>
      </c>
      <c r="AK384" s="159"/>
    </row>
    <row r="385" spans="1:37" x14ac:dyDescent="0.2">
      <c r="A385" s="121" t="s">
        <v>1223</v>
      </c>
      <c r="B385" s="122" t="s">
        <v>1223</v>
      </c>
      <c r="C385" s="122" t="s">
        <v>1332</v>
      </c>
      <c r="D385" s="122" t="s">
        <v>1333</v>
      </c>
      <c r="E385" s="122" t="s">
        <v>430</v>
      </c>
      <c r="F385" s="122" t="s">
        <v>1385</v>
      </c>
      <c r="G385" s="122" t="s">
        <v>1386</v>
      </c>
      <c r="H385" s="122" t="s">
        <v>76</v>
      </c>
      <c r="I385" s="122" t="s">
        <v>229</v>
      </c>
      <c r="J385" s="122" t="s">
        <v>53</v>
      </c>
      <c r="K385" s="122" t="s">
        <v>53</v>
      </c>
      <c r="L385" s="122" t="s">
        <v>805</v>
      </c>
      <c r="M385" s="122" t="s">
        <v>311</v>
      </c>
      <c r="N385" s="122" t="s">
        <v>156</v>
      </c>
      <c r="O385" s="122" t="s">
        <v>62</v>
      </c>
      <c r="P385" s="122" t="s">
        <v>1215</v>
      </c>
      <c r="Q385" s="122" t="s">
        <v>70</v>
      </c>
      <c r="R385" s="122" t="s">
        <v>57</v>
      </c>
      <c r="S385" s="122" t="s">
        <v>1216</v>
      </c>
      <c r="T385" s="123">
        <v>4.93</v>
      </c>
      <c r="U385" s="122" t="s">
        <v>1387</v>
      </c>
      <c r="V385" s="125">
        <v>2.3900000000000001E-2</v>
      </c>
      <c r="W385" s="125">
        <v>2.596E-2</v>
      </c>
      <c r="X385" s="122" t="s">
        <v>620</v>
      </c>
      <c r="Y385" s="133"/>
      <c r="Z385" s="123">
        <v>38000000</v>
      </c>
      <c r="AA385" s="123">
        <v>1</v>
      </c>
      <c r="AB385" s="123">
        <v>117.27</v>
      </c>
      <c r="AC385" s="122"/>
      <c r="AD385" s="123">
        <v>44562.6</v>
      </c>
      <c r="AE385" s="122"/>
      <c r="AF385" s="122"/>
      <c r="AG385" s="122"/>
      <c r="AH385" s="125">
        <v>9.7699999999999992E-3</v>
      </c>
      <c r="AI385" s="125">
        <v>1.179E-2</v>
      </c>
      <c r="AJ385" s="126">
        <v>1.6299999999999999E-3</v>
      </c>
      <c r="AK385" s="159"/>
    </row>
    <row r="386" spans="1:37" x14ac:dyDescent="0.2">
      <c r="A386" s="121" t="s">
        <v>1223</v>
      </c>
      <c r="B386" s="122" t="s">
        <v>1223</v>
      </c>
      <c r="C386" s="122" t="s">
        <v>1645</v>
      </c>
      <c r="D386" s="122" t="s">
        <v>1646</v>
      </c>
      <c r="E386" s="122" t="s">
        <v>429</v>
      </c>
      <c r="F386" s="122" t="s">
        <v>1647</v>
      </c>
      <c r="G386" s="122" t="s">
        <v>1648</v>
      </c>
      <c r="H386" s="122" t="s">
        <v>76</v>
      </c>
      <c r="I386" s="122" t="s">
        <v>228</v>
      </c>
      <c r="J386" s="122" t="s">
        <v>53</v>
      </c>
      <c r="K386" s="122" t="s">
        <v>53</v>
      </c>
      <c r="L386" s="122" t="s">
        <v>805</v>
      </c>
      <c r="M386" s="122" t="s">
        <v>311</v>
      </c>
      <c r="N386" s="122" t="s">
        <v>265</v>
      </c>
      <c r="O386" s="122" t="s">
        <v>62</v>
      </c>
      <c r="P386" s="122" t="s">
        <v>1324</v>
      </c>
      <c r="Q386" s="122" t="s">
        <v>65</v>
      </c>
      <c r="R386" s="122" t="s">
        <v>57</v>
      </c>
      <c r="S386" s="122" t="s">
        <v>1216</v>
      </c>
      <c r="T386" s="123">
        <v>7.08</v>
      </c>
      <c r="U386" s="122" t="s">
        <v>1649</v>
      </c>
      <c r="V386" s="125">
        <v>2.4E-2</v>
      </c>
      <c r="W386" s="125">
        <v>4.6550000000000001E-2</v>
      </c>
      <c r="X386" s="122" t="s">
        <v>620</v>
      </c>
      <c r="Y386" s="133"/>
      <c r="Z386" s="123">
        <v>50800000</v>
      </c>
      <c r="AA386" s="123">
        <v>1</v>
      </c>
      <c r="AB386" s="123">
        <v>86.13</v>
      </c>
      <c r="AC386" s="122"/>
      <c r="AD386" s="123">
        <v>43754.04</v>
      </c>
      <c r="AE386" s="122"/>
      <c r="AF386" s="122"/>
      <c r="AG386" s="122"/>
      <c r="AH386" s="125">
        <v>3.2349999999999997E-2</v>
      </c>
      <c r="AI386" s="125">
        <v>1.157E-2</v>
      </c>
      <c r="AJ386" s="126">
        <v>1.6000000000000001E-3</v>
      </c>
      <c r="AK386" s="159"/>
    </row>
    <row r="387" spans="1:37" x14ac:dyDescent="0.2">
      <c r="A387" s="121" t="s">
        <v>1223</v>
      </c>
      <c r="B387" s="122" t="s">
        <v>1223</v>
      </c>
      <c r="C387" s="122" t="s">
        <v>1640</v>
      </c>
      <c r="D387" s="122" t="s">
        <v>1641</v>
      </c>
      <c r="E387" s="122" t="s">
        <v>429</v>
      </c>
      <c r="F387" s="122" t="s">
        <v>1642</v>
      </c>
      <c r="G387" s="122" t="s">
        <v>1643</v>
      </c>
      <c r="H387" s="122" t="s">
        <v>76</v>
      </c>
      <c r="I387" s="122" t="s">
        <v>229</v>
      </c>
      <c r="J387" s="122" t="s">
        <v>53</v>
      </c>
      <c r="K387" s="122" t="s">
        <v>53</v>
      </c>
      <c r="L387" s="122" t="s">
        <v>805</v>
      </c>
      <c r="M387" s="122" t="s">
        <v>311</v>
      </c>
      <c r="N387" s="122" t="s">
        <v>635</v>
      </c>
      <c r="O387" s="122" t="s">
        <v>62</v>
      </c>
      <c r="P387" s="122" t="s">
        <v>1561</v>
      </c>
      <c r="Q387" s="122" t="s">
        <v>65</v>
      </c>
      <c r="R387" s="122" t="s">
        <v>57</v>
      </c>
      <c r="S387" s="122" t="s">
        <v>1216</v>
      </c>
      <c r="T387" s="123">
        <v>5.32</v>
      </c>
      <c r="U387" s="122" t="s">
        <v>1644</v>
      </c>
      <c r="V387" s="125">
        <v>3.6799999999999999E-2</v>
      </c>
      <c r="W387" s="125">
        <v>3.2239999999999998E-2</v>
      </c>
      <c r="X387" s="122" t="s">
        <v>620</v>
      </c>
      <c r="Y387" s="133"/>
      <c r="Z387" s="123">
        <v>39696886</v>
      </c>
      <c r="AA387" s="123">
        <v>1</v>
      </c>
      <c r="AB387" s="123">
        <v>110.18</v>
      </c>
      <c r="AC387" s="122"/>
      <c r="AD387" s="123">
        <v>43738.029000000002</v>
      </c>
      <c r="AE387" s="122"/>
      <c r="AF387" s="122"/>
      <c r="AG387" s="122"/>
      <c r="AH387" s="125">
        <v>8.9469999999999994E-2</v>
      </c>
      <c r="AI387" s="125">
        <v>1.157E-2</v>
      </c>
      <c r="AJ387" s="126">
        <v>1.6000000000000001E-3</v>
      </c>
      <c r="AK387" s="159"/>
    </row>
    <row r="388" spans="1:37" x14ac:dyDescent="0.2">
      <c r="A388" s="121" t="s">
        <v>1223</v>
      </c>
      <c r="B388" s="122" t="s">
        <v>1223</v>
      </c>
      <c r="C388" s="122" t="s">
        <v>1542</v>
      </c>
      <c r="D388" s="122" t="s">
        <v>1543</v>
      </c>
      <c r="E388" s="122" t="s">
        <v>429</v>
      </c>
      <c r="F388" s="122" t="s">
        <v>1554</v>
      </c>
      <c r="G388" s="122" t="s">
        <v>1555</v>
      </c>
      <c r="H388" s="122" t="s">
        <v>76</v>
      </c>
      <c r="I388" s="122" t="s">
        <v>229</v>
      </c>
      <c r="J388" s="122" t="s">
        <v>53</v>
      </c>
      <c r="K388" s="122" t="s">
        <v>53</v>
      </c>
      <c r="L388" s="122" t="s">
        <v>805</v>
      </c>
      <c r="M388" s="122" t="s">
        <v>311</v>
      </c>
      <c r="N388" s="122" t="s">
        <v>635</v>
      </c>
      <c r="O388" s="122" t="s">
        <v>62</v>
      </c>
      <c r="P388" s="122" t="s">
        <v>1546</v>
      </c>
      <c r="Q388" s="122" t="s">
        <v>65</v>
      </c>
      <c r="R388" s="122" t="s">
        <v>57</v>
      </c>
      <c r="S388" s="122" t="s">
        <v>1216</v>
      </c>
      <c r="T388" s="123">
        <v>9.6300000000000008</v>
      </c>
      <c r="U388" s="122" t="s">
        <v>1556</v>
      </c>
      <c r="V388" s="125">
        <v>1.6899999999999998E-2</v>
      </c>
      <c r="W388" s="125">
        <v>2.9389999999999999E-2</v>
      </c>
      <c r="X388" s="122" t="s">
        <v>620</v>
      </c>
      <c r="Y388" s="133"/>
      <c r="Z388" s="123">
        <v>41521814</v>
      </c>
      <c r="AA388" s="123">
        <v>1</v>
      </c>
      <c r="AB388" s="123">
        <v>104.3</v>
      </c>
      <c r="AC388" s="122"/>
      <c r="AD388" s="123">
        <v>43307.252</v>
      </c>
      <c r="AE388" s="122"/>
      <c r="AF388" s="122"/>
      <c r="AG388" s="122"/>
      <c r="AH388" s="125">
        <v>9.5200000000000007E-3</v>
      </c>
      <c r="AI388" s="125">
        <v>1.146E-2</v>
      </c>
      <c r="AJ388" s="126">
        <v>1.5900000000000001E-3</v>
      </c>
      <c r="AK388" s="159"/>
    </row>
    <row r="389" spans="1:37" x14ac:dyDescent="0.2">
      <c r="A389" s="121" t="s">
        <v>1223</v>
      </c>
      <c r="B389" s="122" t="s">
        <v>1223</v>
      </c>
      <c r="C389" s="122" t="s">
        <v>1650</v>
      </c>
      <c r="D389" s="122" t="s">
        <v>1651</v>
      </c>
      <c r="E389" s="122" t="s">
        <v>429</v>
      </c>
      <c r="F389" s="122" t="s">
        <v>1652</v>
      </c>
      <c r="G389" s="122" t="s">
        <v>1653</v>
      </c>
      <c r="H389" s="122" t="s">
        <v>76</v>
      </c>
      <c r="I389" s="122" t="s">
        <v>228</v>
      </c>
      <c r="J389" s="122" t="s">
        <v>53</v>
      </c>
      <c r="K389" s="122" t="s">
        <v>53</v>
      </c>
      <c r="L389" s="122" t="s">
        <v>805</v>
      </c>
      <c r="M389" s="122" t="s">
        <v>311</v>
      </c>
      <c r="N389" s="122" t="s">
        <v>156</v>
      </c>
      <c r="O389" s="122" t="s">
        <v>62</v>
      </c>
      <c r="P389" s="122" t="s">
        <v>1450</v>
      </c>
      <c r="Q389" s="122" t="s">
        <v>65</v>
      </c>
      <c r="R389" s="122" t="s">
        <v>57</v>
      </c>
      <c r="S389" s="122" t="s">
        <v>1216</v>
      </c>
      <c r="T389" s="123">
        <v>3.89</v>
      </c>
      <c r="U389" s="122" t="s">
        <v>1654</v>
      </c>
      <c r="V389" s="125">
        <v>5.7500000000000002E-2</v>
      </c>
      <c r="W389" s="125">
        <v>5.0160000000000003E-2</v>
      </c>
      <c r="X389" s="122" t="s">
        <v>620</v>
      </c>
      <c r="Y389" s="133"/>
      <c r="Z389" s="123">
        <v>40203000</v>
      </c>
      <c r="AA389" s="123">
        <v>1</v>
      </c>
      <c r="AB389" s="123">
        <v>103.14</v>
      </c>
      <c r="AC389" s="122"/>
      <c r="AD389" s="123">
        <v>41465.374000000003</v>
      </c>
      <c r="AE389" s="122"/>
      <c r="AF389" s="122"/>
      <c r="AG389" s="122"/>
      <c r="AH389" s="125">
        <v>7.6579999999999995E-2</v>
      </c>
      <c r="AI389" s="125">
        <v>1.0970000000000001E-2</v>
      </c>
      <c r="AJ389" s="126">
        <v>1.5200000000000001E-3</v>
      </c>
      <c r="AK389" s="159"/>
    </row>
    <row r="390" spans="1:37" x14ac:dyDescent="0.2">
      <c r="A390" s="121" t="s">
        <v>1223</v>
      </c>
      <c r="B390" s="122" t="s">
        <v>1223</v>
      </c>
      <c r="C390" s="122" t="s">
        <v>1326</v>
      </c>
      <c r="D390" s="122" t="s">
        <v>1327</v>
      </c>
      <c r="E390" s="122" t="s">
        <v>429</v>
      </c>
      <c r="F390" s="122" t="s">
        <v>1379</v>
      </c>
      <c r="G390" s="122" t="s">
        <v>1380</v>
      </c>
      <c r="H390" s="122" t="s">
        <v>76</v>
      </c>
      <c r="I390" s="122" t="s">
        <v>229</v>
      </c>
      <c r="J390" s="122" t="s">
        <v>53</v>
      </c>
      <c r="K390" s="122" t="s">
        <v>53</v>
      </c>
      <c r="L390" s="122" t="s">
        <v>805</v>
      </c>
      <c r="M390" s="122" t="s">
        <v>311</v>
      </c>
      <c r="N390" s="122" t="s">
        <v>256</v>
      </c>
      <c r="O390" s="122" t="s">
        <v>62</v>
      </c>
      <c r="P390" s="122" t="s">
        <v>1330</v>
      </c>
      <c r="Q390" s="122" t="s">
        <v>65</v>
      </c>
      <c r="R390" s="122" t="s">
        <v>57</v>
      </c>
      <c r="S390" s="122" t="s">
        <v>1216</v>
      </c>
      <c r="T390" s="123">
        <v>2.5499999999999998</v>
      </c>
      <c r="U390" s="122" t="s">
        <v>1381</v>
      </c>
      <c r="V390" s="125">
        <v>1.7500000000000002E-2</v>
      </c>
      <c r="W390" s="125">
        <v>2.563E-2</v>
      </c>
      <c r="X390" s="122" t="s">
        <v>620</v>
      </c>
      <c r="Y390" s="133"/>
      <c r="Z390" s="123">
        <v>34622641.140000001</v>
      </c>
      <c r="AA390" s="123">
        <v>1</v>
      </c>
      <c r="AB390" s="123">
        <v>117.2</v>
      </c>
      <c r="AC390" s="122"/>
      <c r="AD390" s="123">
        <v>40577.735000000001</v>
      </c>
      <c r="AE390" s="122"/>
      <c r="AF390" s="122"/>
      <c r="AG390" s="122"/>
      <c r="AH390" s="125">
        <v>1.553E-2</v>
      </c>
      <c r="AI390" s="125">
        <v>1.073E-2</v>
      </c>
      <c r="AJ390" s="126">
        <v>1.49E-3</v>
      </c>
      <c r="AK390" s="159"/>
    </row>
    <row r="391" spans="1:37" x14ac:dyDescent="0.2">
      <c r="A391" s="121" t="s">
        <v>1223</v>
      </c>
      <c r="B391" s="122" t="s">
        <v>1223</v>
      </c>
      <c r="C391" s="122" t="s">
        <v>1570</v>
      </c>
      <c r="D391" s="122" t="s">
        <v>1571</v>
      </c>
      <c r="E391" s="122" t="s">
        <v>429</v>
      </c>
      <c r="F391" s="122" t="s">
        <v>1572</v>
      </c>
      <c r="G391" s="122" t="s">
        <v>1573</v>
      </c>
      <c r="H391" s="122" t="s">
        <v>76</v>
      </c>
      <c r="I391" s="122" t="s">
        <v>228</v>
      </c>
      <c r="J391" s="122" t="s">
        <v>53</v>
      </c>
      <c r="K391" s="122" t="s">
        <v>53</v>
      </c>
      <c r="L391" s="122" t="s">
        <v>805</v>
      </c>
      <c r="M391" s="122" t="s">
        <v>311</v>
      </c>
      <c r="N391" s="122" t="s">
        <v>635</v>
      </c>
      <c r="O391" s="122" t="s">
        <v>62</v>
      </c>
      <c r="P391" s="122" t="s">
        <v>1369</v>
      </c>
      <c r="Q391" s="122" t="s">
        <v>65</v>
      </c>
      <c r="R391" s="122" t="s">
        <v>57</v>
      </c>
      <c r="S391" s="122" t="s">
        <v>1216</v>
      </c>
      <c r="T391" s="123">
        <v>5.7</v>
      </c>
      <c r="U391" s="122" t="s">
        <v>1574</v>
      </c>
      <c r="V391" s="125">
        <v>4.9399999999999999E-2</v>
      </c>
      <c r="W391" s="125">
        <v>5.1290000000000002E-2</v>
      </c>
      <c r="X391" s="122" t="s">
        <v>620</v>
      </c>
      <c r="Y391" s="133"/>
      <c r="Z391" s="123">
        <v>39467393.490000002</v>
      </c>
      <c r="AA391" s="123">
        <v>1</v>
      </c>
      <c r="AB391" s="123">
        <v>101.81</v>
      </c>
      <c r="AC391" s="122"/>
      <c r="AD391" s="123">
        <v>40181.752999999997</v>
      </c>
      <c r="AE391" s="122"/>
      <c r="AF391" s="122"/>
      <c r="AG391" s="122"/>
      <c r="AH391" s="125">
        <v>2.121E-2</v>
      </c>
      <c r="AI391" s="125">
        <v>1.0630000000000001E-2</v>
      </c>
      <c r="AJ391" s="126">
        <v>1.47E-3</v>
      </c>
      <c r="AK391" s="159"/>
    </row>
    <row r="392" spans="1:37" x14ac:dyDescent="0.2">
      <c r="A392" s="121" t="s">
        <v>1223</v>
      </c>
      <c r="B392" s="122" t="s">
        <v>1223</v>
      </c>
      <c r="C392" s="122" t="s">
        <v>1340</v>
      </c>
      <c r="D392" s="122" t="s">
        <v>1341</v>
      </c>
      <c r="E392" s="122" t="s">
        <v>429</v>
      </c>
      <c r="F392" s="122" t="s">
        <v>1345</v>
      </c>
      <c r="G392" s="122" t="s">
        <v>1346</v>
      </c>
      <c r="H392" s="122" t="s">
        <v>76</v>
      </c>
      <c r="I392" s="122" t="s">
        <v>229</v>
      </c>
      <c r="J392" s="122" t="s">
        <v>53</v>
      </c>
      <c r="K392" s="122" t="s">
        <v>53</v>
      </c>
      <c r="L392" s="122" t="s">
        <v>805</v>
      </c>
      <c r="M392" s="122" t="s">
        <v>311</v>
      </c>
      <c r="N392" s="122" t="s">
        <v>256</v>
      </c>
      <c r="O392" s="122" t="s">
        <v>62</v>
      </c>
      <c r="P392" s="122" t="s">
        <v>1330</v>
      </c>
      <c r="Q392" s="122" t="s">
        <v>65</v>
      </c>
      <c r="R392" s="122" t="s">
        <v>57</v>
      </c>
      <c r="S392" s="122" t="s">
        <v>1216</v>
      </c>
      <c r="T392" s="123">
        <v>0.73</v>
      </c>
      <c r="U392" s="122" t="s">
        <v>1347</v>
      </c>
      <c r="V392" s="125">
        <v>3.8E-3</v>
      </c>
      <c r="W392" s="125">
        <v>3.2289999999999999E-2</v>
      </c>
      <c r="X392" s="122" t="s">
        <v>620</v>
      </c>
      <c r="Y392" s="133"/>
      <c r="Z392" s="123">
        <v>34930759</v>
      </c>
      <c r="AA392" s="123">
        <v>1</v>
      </c>
      <c r="AB392" s="123">
        <v>114.65</v>
      </c>
      <c r="AC392" s="122"/>
      <c r="AD392" s="123">
        <v>40048.114999999998</v>
      </c>
      <c r="AE392" s="122"/>
      <c r="AF392" s="122"/>
      <c r="AG392" s="122"/>
      <c r="AH392" s="125">
        <v>1.1639999999999999E-2</v>
      </c>
      <c r="AI392" s="125">
        <v>1.059E-2</v>
      </c>
      <c r="AJ392" s="126">
        <v>1.47E-3</v>
      </c>
      <c r="AK392" s="159"/>
    </row>
    <row r="393" spans="1:37" x14ac:dyDescent="0.2">
      <c r="A393" s="121" t="s">
        <v>1223</v>
      </c>
      <c r="B393" s="122" t="s">
        <v>1223</v>
      </c>
      <c r="C393" s="122" t="s">
        <v>1388</v>
      </c>
      <c r="D393" s="122" t="s">
        <v>1389</v>
      </c>
      <c r="E393" s="122" t="s">
        <v>429</v>
      </c>
      <c r="F393" s="122" t="s">
        <v>1390</v>
      </c>
      <c r="G393" s="122" t="s">
        <v>1391</v>
      </c>
      <c r="H393" s="122" t="s">
        <v>76</v>
      </c>
      <c r="I393" s="122" t="s">
        <v>229</v>
      </c>
      <c r="J393" s="122" t="s">
        <v>53</v>
      </c>
      <c r="K393" s="122" t="s">
        <v>53</v>
      </c>
      <c r="L393" s="122" t="s">
        <v>805</v>
      </c>
      <c r="M393" s="122" t="s">
        <v>311</v>
      </c>
      <c r="N393" s="122" t="s">
        <v>635</v>
      </c>
      <c r="O393" s="122" t="s">
        <v>62</v>
      </c>
      <c r="P393" s="122" t="s">
        <v>1324</v>
      </c>
      <c r="Q393" s="122" t="s">
        <v>65</v>
      </c>
      <c r="R393" s="122" t="s">
        <v>57</v>
      </c>
      <c r="S393" s="122" t="s">
        <v>1216</v>
      </c>
      <c r="T393" s="123">
        <v>4.2</v>
      </c>
      <c r="U393" s="122" t="s">
        <v>1392</v>
      </c>
      <c r="V393" s="125">
        <v>5.8999999999999999E-3</v>
      </c>
      <c r="W393" s="125">
        <v>2.912E-2</v>
      </c>
      <c r="X393" s="122" t="s">
        <v>620</v>
      </c>
      <c r="Y393" s="133"/>
      <c r="Z393" s="123">
        <v>38000000</v>
      </c>
      <c r="AA393" s="123">
        <v>1</v>
      </c>
      <c r="AB393" s="123">
        <v>104.71</v>
      </c>
      <c r="AC393" s="122"/>
      <c r="AD393" s="123">
        <v>39789.800000000003</v>
      </c>
      <c r="AE393" s="122"/>
      <c r="AF393" s="122"/>
      <c r="AG393" s="122"/>
      <c r="AH393" s="125">
        <v>2.7130000000000001E-2</v>
      </c>
      <c r="AI393" s="125">
        <v>1.0529999999999999E-2</v>
      </c>
      <c r="AJ393" s="126">
        <v>1.4599999999999999E-3</v>
      </c>
      <c r="AK393" s="159"/>
    </row>
    <row r="394" spans="1:37" x14ac:dyDescent="0.2">
      <c r="A394" s="121" t="s">
        <v>1223</v>
      </c>
      <c r="B394" s="122" t="s">
        <v>1223</v>
      </c>
      <c r="C394" s="122" t="s">
        <v>1570</v>
      </c>
      <c r="D394" s="122" t="s">
        <v>1571</v>
      </c>
      <c r="E394" s="122" t="s">
        <v>429</v>
      </c>
      <c r="F394" s="122" t="s">
        <v>1655</v>
      </c>
      <c r="G394" s="122" t="s">
        <v>1656</v>
      </c>
      <c r="H394" s="122" t="s">
        <v>76</v>
      </c>
      <c r="I394" s="122" t="s">
        <v>229</v>
      </c>
      <c r="J394" s="122" t="s">
        <v>53</v>
      </c>
      <c r="K394" s="122" t="s">
        <v>53</v>
      </c>
      <c r="L394" s="122" t="s">
        <v>805</v>
      </c>
      <c r="M394" s="122" t="s">
        <v>311</v>
      </c>
      <c r="N394" s="122" t="s">
        <v>635</v>
      </c>
      <c r="O394" s="122" t="s">
        <v>62</v>
      </c>
      <c r="P394" s="122" t="s">
        <v>1369</v>
      </c>
      <c r="Q394" s="122" t="s">
        <v>65</v>
      </c>
      <c r="R394" s="122" t="s">
        <v>57</v>
      </c>
      <c r="S394" s="122" t="s">
        <v>1216</v>
      </c>
      <c r="T394" s="123">
        <v>6.19</v>
      </c>
      <c r="U394" s="122" t="s">
        <v>1574</v>
      </c>
      <c r="V394" s="125">
        <v>2.5600000000000001E-2</v>
      </c>
      <c r="W394" s="125">
        <v>3.1859999999999999E-2</v>
      </c>
      <c r="X394" s="122" t="s">
        <v>620</v>
      </c>
      <c r="Y394" s="133"/>
      <c r="Z394" s="123">
        <v>35512459</v>
      </c>
      <c r="AA394" s="123">
        <v>1</v>
      </c>
      <c r="AB394" s="123">
        <v>108.14</v>
      </c>
      <c r="AC394" s="122"/>
      <c r="AD394" s="123">
        <v>38403.173000000003</v>
      </c>
      <c r="AE394" s="122"/>
      <c r="AF394" s="122"/>
      <c r="AG394" s="122"/>
      <c r="AH394" s="125">
        <v>3.381E-2</v>
      </c>
      <c r="AI394" s="125">
        <v>1.0160000000000001E-2</v>
      </c>
      <c r="AJ394" s="126">
        <v>1.41E-3</v>
      </c>
      <c r="AK394" s="159"/>
    </row>
    <row r="395" spans="1:37" x14ac:dyDescent="0.2">
      <c r="A395" s="121" t="s">
        <v>1223</v>
      </c>
      <c r="B395" s="122" t="s">
        <v>1223</v>
      </c>
      <c r="C395" s="122" t="s">
        <v>1340</v>
      </c>
      <c r="D395" s="122" t="s">
        <v>1341</v>
      </c>
      <c r="E395" s="122" t="s">
        <v>429</v>
      </c>
      <c r="F395" s="122" t="s">
        <v>1362</v>
      </c>
      <c r="G395" s="122" t="s">
        <v>1363</v>
      </c>
      <c r="H395" s="122" t="s">
        <v>76</v>
      </c>
      <c r="I395" s="122" t="s">
        <v>229</v>
      </c>
      <c r="J395" s="122" t="s">
        <v>53</v>
      </c>
      <c r="K395" s="122" t="s">
        <v>53</v>
      </c>
      <c r="L395" s="122" t="s">
        <v>805</v>
      </c>
      <c r="M395" s="122" t="s">
        <v>311</v>
      </c>
      <c r="N395" s="122" t="s">
        <v>256</v>
      </c>
      <c r="O395" s="122" t="s">
        <v>62</v>
      </c>
      <c r="P395" s="122" t="s">
        <v>1215</v>
      </c>
      <c r="Q395" s="122" t="s">
        <v>70</v>
      </c>
      <c r="R395" s="122" t="s">
        <v>57</v>
      </c>
      <c r="S395" s="122" t="s">
        <v>1216</v>
      </c>
      <c r="T395" s="123">
        <v>1.17</v>
      </c>
      <c r="U395" s="122" t="s">
        <v>1364</v>
      </c>
      <c r="V395" s="125">
        <v>5.0000000000000001E-3</v>
      </c>
      <c r="W395" s="125">
        <v>2.9000000000000001E-2</v>
      </c>
      <c r="X395" s="122" t="s">
        <v>620</v>
      </c>
      <c r="Y395" s="133"/>
      <c r="Z395" s="123">
        <v>30122322</v>
      </c>
      <c r="AA395" s="123">
        <v>1</v>
      </c>
      <c r="AB395" s="123">
        <v>114.73</v>
      </c>
      <c r="AC395" s="122"/>
      <c r="AD395" s="123">
        <v>34559.339999999997</v>
      </c>
      <c r="AE395" s="122"/>
      <c r="AF395" s="122"/>
      <c r="AG395" s="122"/>
      <c r="AH395" s="125">
        <v>3.9469999999999998E-2</v>
      </c>
      <c r="AI395" s="125">
        <v>9.1400000000000006E-3</v>
      </c>
      <c r="AJ395" s="126">
        <v>1.2700000000000001E-3</v>
      </c>
      <c r="AK395" s="159"/>
    </row>
    <row r="396" spans="1:37" x14ac:dyDescent="0.2">
      <c r="A396" s="121" t="s">
        <v>1223</v>
      </c>
      <c r="B396" s="122" t="s">
        <v>1223</v>
      </c>
      <c r="C396" s="122" t="s">
        <v>1575</v>
      </c>
      <c r="D396" s="122" t="s">
        <v>1576</v>
      </c>
      <c r="E396" s="122" t="s">
        <v>429</v>
      </c>
      <c r="F396" s="122" t="s">
        <v>1577</v>
      </c>
      <c r="G396" s="122" t="s">
        <v>1578</v>
      </c>
      <c r="H396" s="122" t="s">
        <v>76</v>
      </c>
      <c r="I396" s="122" t="s">
        <v>229</v>
      </c>
      <c r="J396" s="122" t="s">
        <v>53</v>
      </c>
      <c r="K396" s="122" t="s">
        <v>53</v>
      </c>
      <c r="L396" s="122" t="s">
        <v>805</v>
      </c>
      <c r="M396" s="122" t="s">
        <v>311</v>
      </c>
      <c r="N396" s="122" t="s">
        <v>635</v>
      </c>
      <c r="O396" s="122" t="s">
        <v>62</v>
      </c>
      <c r="P396" s="122" t="s">
        <v>1377</v>
      </c>
      <c r="Q396" s="122" t="s">
        <v>70</v>
      </c>
      <c r="R396" s="122" t="s">
        <v>57</v>
      </c>
      <c r="S396" s="122" t="s">
        <v>1216</v>
      </c>
      <c r="T396" s="123">
        <v>3.52</v>
      </c>
      <c r="U396" s="122" t="s">
        <v>1579</v>
      </c>
      <c r="V396" s="125">
        <v>1.17E-2</v>
      </c>
      <c r="W396" s="125">
        <v>2.8369999999999999E-2</v>
      </c>
      <c r="X396" s="122" t="s">
        <v>620</v>
      </c>
      <c r="Y396" s="133"/>
      <c r="Z396" s="123">
        <v>30312888.27</v>
      </c>
      <c r="AA396" s="123">
        <v>1</v>
      </c>
      <c r="AB396" s="123">
        <v>111.54</v>
      </c>
      <c r="AC396" s="122"/>
      <c r="AD396" s="123">
        <v>33810.995999999999</v>
      </c>
      <c r="AE396" s="122"/>
      <c r="AF396" s="122"/>
      <c r="AG396" s="122"/>
      <c r="AH396" s="125">
        <v>4.4019999999999997E-2</v>
      </c>
      <c r="AI396" s="125">
        <v>8.94E-3</v>
      </c>
      <c r="AJ396" s="126">
        <v>1.24E-3</v>
      </c>
      <c r="AK396" s="159"/>
    </row>
    <row r="397" spans="1:37" x14ac:dyDescent="0.2">
      <c r="A397" s="121" t="s">
        <v>1223</v>
      </c>
      <c r="B397" s="122" t="s">
        <v>1223</v>
      </c>
      <c r="C397" s="122" t="s">
        <v>1326</v>
      </c>
      <c r="D397" s="122" t="s">
        <v>1327</v>
      </c>
      <c r="E397" s="122" t="s">
        <v>429</v>
      </c>
      <c r="F397" s="122" t="s">
        <v>1412</v>
      </c>
      <c r="G397" s="122" t="s">
        <v>1413</v>
      </c>
      <c r="H397" s="122" t="s">
        <v>76</v>
      </c>
      <c r="I397" s="122" t="s">
        <v>229</v>
      </c>
      <c r="J397" s="122" t="s">
        <v>53</v>
      </c>
      <c r="K397" s="122" t="s">
        <v>53</v>
      </c>
      <c r="L397" s="122" t="s">
        <v>805</v>
      </c>
      <c r="M397" s="122" t="s">
        <v>311</v>
      </c>
      <c r="N397" s="122" t="s">
        <v>256</v>
      </c>
      <c r="O397" s="122" t="s">
        <v>62</v>
      </c>
      <c r="P397" s="122" t="s">
        <v>1330</v>
      </c>
      <c r="Q397" s="122" t="s">
        <v>65</v>
      </c>
      <c r="R397" s="122" t="s">
        <v>57</v>
      </c>
      <c r="S397" s="122" t="s">
        <v>1216</v>
      </c>
      <c r="T397" s="123">
        <v>3.47</v>
      </c>
      <c r="U397" s="122" t="s">
        <v>1414</v>
      </c>
      <c r="V397" s="125">
        <v>1.3899999999999999E-2</v>
      </c>
      <c r="W397" s="125">
        <v>2.511E-2</v>
      </c>
      <c r="X397" s="122" t="s">
        <v>620</v>
      </c>
      <c r="Y397" s="133"/>
      <c r="Z397" s="123">
        <v>30365600.379999999</v>
      </c>
      <c r="AA397" s="123">
        <v>1</v>
      </c>
      <c r="AB397" s="123">
        <v>107.22</v>
      </c>
      <c r="AC397" s="122"/>
      <c r="AD397" s="123">
        <v>32557.996999999999</v>
      </c>
      <c r="AE397" s="122"/>
      <c r="AF397" s="122"/>
      <c r="AG397" s="122"/>
      <c r="AH397" s="125">
        <v>1.898E-2</v>
      </c>
      <c r="AI397" s="125">
        <v>8.6099999999999996E-3</v>
      </c>
      <c r="AJ397" s="126">
        <v>1.1900000000000001E-3</v>
      </c>
      <c r="AK397" s="159"/>
    </row>
    <row r="398" spans="1:37" x14ac:dyDescent="0.2">
      <c r="A398" s="121" t="s">
        <v>1223</v>
      </c>
      <c r="B398" s="122" t="s">
        <v>1223</v>
      </c>
      <c r="C398" s="122" t="s">
        <v>1407</v>
      </c>
      <c r="D398" s="122" t="s">
        <v>1408</v>
      </c>
      <c r="E398" s="122" t="s">
        <v>429</v>
      </c>
      <c r="F398" s="122" t="s">
        <v>1409</v>
      </c>
      <c r="G398" s="122" t="s">
        <v>1410</v>
      </c>
      <c r="H398" s="122" t="s">
        <v>76</v>
      </c>
      <c r="I398" s="122" t="s">
        <v>229</v>
      </c>
      <c r="J398" s="122" t="s">
        <v>53</v>
      </c>
      <c r="K398" s="122" t="s">
        <v>53</v>
      </c>
      <c r="L398" s="122" t="s">
        <v>805</v>
      </c>
      <c r="M398" s="122" t="s">
        <v>311</v>
      </c>
      <c r="N398" s="122" t="s">
        <v>256</v>
      </c>
      <c r="O398" s="122" t="s">
        <v>62</v>
      </c>
      <c r="P398" s="122" t="s">
        <v>1369</v>
      </c>
      <c r="Q398" s="122" t="s">
        <v>65</v>
      </c>
      <c r="R398" s="122" t="s">
        <v>57</v>
      </c>
      <c r="S398" s="122" t="s">
        <v>1216</v>
      </c>
      <c r="T398" s="123">
        <v>3.63</v>
      </c>
      <c r="U398" s="122" t="s">
        <v>1411</v>
      </c>
      <c r="V398" s="125">
        <v>2.5899999999999999E-2</v>
      </c>
      <c r="W398" s="125">
        <v>2.6700000000000002E-2</v>
      </c>
      <c r="X398" s="122" t="s">
        <v>620</v>
      </c>
      <c r="Y398" s="133"/>
      <c r="Z398" s="123">
        <v>28878000</v>
      </c>
      <c r="AA398" s="123">
        <v>1</v>
      </c>
      <c r="AB398" s="123">
        <v>107.69</v>
      </c>
      <c r="AC398" s="122"/>
      <c r="AD398" s="123">
        <v>31098.718000000001</v>
      </c>
      <c r="AE398" s="122"/>
      <c r="AF398" s="122"/>
      <c r="AG398" s="122"/>
      <c r="AH398" s="125">
        <v>4.2290000000000001E-2</v>
      </c>
      <c r="AI398" s="125">
        <v>8.2299999999999995E-3</v>
      </c>
      <c r="AJ398" s="126">
        <v>1.14E-3</v>
      </c>
      <c r="AK398" s="159"/>
    </row>
    <row r="399" spans="1:37" x14ac:dyDescent="0.2">
      <c r="A399" s="121" t="s">
        <v>1223</v>
      </c>
      <c r="B399" s="122" t="s">
        <v>1223</v>
      </c>
      <c r="C399" s="122" t="s">
        <v>1657</v>
      </c>
      <c r="D399" s="122" t="s">
        <v>1658</v>
      </c>
      <c r="E399" s="122" t="s">
        <v>429</v>
      </c>
      <c r="F399" s="122" t="s">
        <v>1659</v>
      </c>
      <c r="G399" s="122" t="s">
        <v>1660</v>
      </c>
      <c r="H399" s="122" t="s">
        <v>76</v>
      </c>
      <c r="I399" s="122" t="s">
        <v>229</v>
      </c>
      <c r="J399" s="122" t="s">
        <v>53</v>
      </c>
      <c r="K399" s="122" t="s">
        <v>53</v>
      </c>
      <c r="L399" s="122" t="s">
        <v>805</v>
      </c>
      <c r="M399" s="122" t="s">
        <v>311</v>
      </c>
      <c r="N399" s="122" t="s">
        <v>635</v>
      </c>
      <c r="O399" s="122" t="s">
        <v>62</v>
      </c>
      <c r="P399" s="122" t="s">
        <v>1324</v>
      </c>
      <c r="Q399" s="122" t="s">
        <v>65</v>
      </c>
      <c r="R399" s="122" t="s">
        <v>57</v>
      </c>
      <c r="S399" s="122" t="s">
        <v>1216</v>
      </c>
      <c r="T399" s="123">
        <v>4.62</v>
      </c>
      <c r="U399" s="122" t="s">
        <v>1661</v>
      </c>
      <c r="V399" s="125">
        <v>9.1999999999999998E-3</v>
      </c>
      <c r="W399" s="125">
        <v>2.8649999999999998E-2</v>
      </c>
      <c r="X399" s="122" t="s">
        <v>620</v>
      </c>
      <c r="Y399" s="133"/>
      <c r="Z399" s="123">
        <v>28000000</v>
      </c>
      <c r="AA399" s="123">
        <v>1</v>
      </c>
      <c r="AB399" s="123">
        <v>109.54</v>
      </c>
      <c r="AC399" s="122"/>
      <c r="AD399" s="123">
        <v>30671.200000000001</v>
      </c>
      <c r="AE399" s="122"/>
      <c r="AF399" s="122"/>
      <c r="AG399" s="122"/>
      <c r="AH399" s="125">
        <v>1.082E-2</v>
      </c>
      <c r="AI399" s="125">
        <v>8.1099999999999992E-3</v>
      </c>
      <c r="AJ399" s="126">
        <v>1.1199999999999999E-3</v>
      </c>
      <c r="AK399" s="159"/>
    </row>
    <row r="400" spans="1:37" x14ac:dyDescent="0.2">
      <c r="A400" s="121" t="s">
        <v>1223</v>
      </c>
      <c r="B400" s="122" t="s">
        <v>1223</v>
      </c>
      <c r="C400" s="122" t="s">
        <v>1407</v>
      </c>
      <c r="D400" s="122" t="s">
        <v>1408</v>
      </c>
      <c r="E400" s="122" t="s">
        <v>429</v>
      </c>
      <c r="F400" s="122" t="s">
        <v>1662</v>
      </c>
      <c r="G400" s="122" t="s">
        <v>1663</v>
      </c>
      <c r="H400" s="122" t="s">
        <v>76</v>
      </c>
      <c r="I400" s="122" t="s">
        <v>229</v>
      </c>
      <c r="J400" s="122" t="s">
        <v>53</v>
      </c>
      <c r="K400" s="122" t="s">
        <v>53</v>
      </c>
      <c r="L400" s="122" t="s">
        <v>805</v>
      </c>
      <c r="M400" s="122" t="s">
        <v>311</v>
      </c>
      <c r="N400" s="122" t="s">
        <v>256</v>
      </c>
      <c r="O400" s="122" t="s">
        <v>62</v>
      </c>
      <c r="P400" s="122" t="s">
        <v>1369</v>
      </c>
      <c r="Q400" s="122" t="s">
        <v>65</v>
      </c>
      <c r="R400" s="122" t="s">
        <v>57</v>
      </c>
      <c r="S400" s="122" t="s">
        <v>1216</v>
      </c>
      <c r="T400" s="123">
        <v>1.73</v>
      </c>
      <c r="U400" s="122" t="s">
        <v>1458</v>
      </c>
      <c r="V400" s="125">
        <v>2E-3</v>
      </c>
      <c r="W400" s="125">
        <v>2.708E-2</v>
      </c>
      <c r="X400" s="122" t="s">
        <v>620</v>
      </c>
      <c r="Y400" s="133"/>
      <c r="Z400" s="123">
        <v>25972500</v>
      </c>
      <c r="AA400" s="123">
        <v>1</v>
      </c>
      <c r="AB400" s="123">
        <v>113.82</v>
      </c>
      <c r="AC400" s="122"/>
      <c r="AD400" s="123">
        <v>29561.9</v>
      </c>
      <c r="AE400" s="122"/>
      <c r="AF400" s="122"/>
      <c r="AG400" s="122"/>
      <c r="AH400" s="125">
        <v>4.1099999999999998E-2</v>
      </c>
      <c r="AI400" s="125">
        <v>7.8200000000000006E-3</v>
      </c>
      <c r="AJ400" s="126">
        <v>1.08E-3</v>
      </c>
      <c r="AK400" s="159"/>
    </row>
    <row r="401" spans="1:37" x14ac:dyDescent="0.2">
      <c r="A401" s="121" t="s">
        <v>1223</v>
      </c>
      <c r="B401" s="122" t="s">
        <v>1223</v>
      </c>
      <c r="C401" s="122" t="s">
        <v>1326</v>
      </c>
      <c r="D401" s="122" t="s">
        <v>1327</v>
      </c>
      <c r="E401" s="122" t="s">
        <v>429</v>
      </c>
      <c r="F401" s="122" t="s">
        <v>1439</v>
      </c>
      <c r="G401" s="122" t="s">
        <v>1440</v>
      </c>
      <c r="H401" s="122" t="s">
        <v>76</v>
      </c>
      <c r="I401" s="122" t="s">
        <v>229</v>
      </c>
      <c r="J401" s="122" t="s">
        <v>53</v>
      </c>
      <c r="K401" s="122" t="s">
        <v>53</v>
      </c>
      <c r="L401" s="122" t="s">
        <v>805</v>
      </c>
      <c r="M401" s="122" t="s">
        <v>311</v>
      </c>
      <c r="N401" s="122" t="s">
        <v>256</v>
      </c>
      <c r="O401" s="122" t="s">
        <v>62</v>
      </c>
      <c r="P401" s="122" t="s">
        <v>1330</v>
      </c>
      <c r="Q401" s="122" t="s">
        <v>65</v>
      </c>
      <c r="R401" s="122" t="s">
        <v>57</v>
      </c>
      <c r="S401" s="122" t="s">
        <v>1216</v>
      </c>
      <c r="T401" s="123">
        <v>3.09</v>
      </c>
      <c r="U401" s="122" t="s">
        <v>1441</v>
      </c>
      <c r="V401" s="125">
        <v>1E-3</v>
      </c>
      <c r="W401" s="125">
        <v>2.5270000000000001E-2</v>
      </c>
      <c r="X401" s="122" t="s">
        <v>620</v>
      </c>
      <c r="Y401" s="133"/>
      <c r="Z401" s="123">
        <v>27300000.34</v>
      </c>
      <c r="AA401" s="123">
        <v>1</v>
      </c>
      <c r="AB401" s="123">
        <v>107.45</v>
      </c>
      <c r="AC401" s="122"/>
      <c r="AD401" s="123">
        <v>29333.85</v>
      </c>
      <c r="AE401" s="122"/>
      <c r="AF401" s="122"/>
      <c r="AG401" s="122"/>
      <c r="AH401" s="125">
        <v>2.7740000000000001E-2</v>
      </c>
      <c r="AI401" s="125">
        <v>7.7600000000000004E-3</v>
      </c>
      <c r="AJ401" s="126">
        <v>1.07E-3</v>
      </c>
      <c r="AK401" s="159"/>
    </row>
    <row r="402" spans="1:37" x14ac:dyDescent="0.2">
      <c r="A402" s="121" t="s">
        <v>1223</v>
      </c>
      <c r="B402" s="122" t="s">
        <v>1223</v>
      </c>
      <c r="C402" s="122" t="s">
        <v>1670</v>
      </c>
      <c r="D402" s="122" t="s">
        <v>1671</v>
      </c>
      <c r="E402" s="122" t="s">
        <v>429</v>
      </c>
      <c r="F402" s="122" t="s">
        <v>1672</v>
      </c>
      <c r="G402" s="122" t="s">
        <v>1673</v>
      </c>
      <c r="H402" s="122" t="s">
        <v>76</v>
      </c>
      <c r="I402" s="122" t="s">
        <v>229</v>
      </c>
      <c r="J402" s="122" t="s">
        <v>53</v>
      </c>
      <c r="K402" s="122" t="s">
        <v>53</v>
      </c>
      <c r="L402" s="122" t="s">
        <v>805</v>
      </c>
      <c r="M402" s="122" t="s">
        <v>311</v>
      </c>
      <c r="N402" s="122" t="s">
        <v>140</v>
      </c>
      <c r="O402" s="122" t="s">
        <v>62</v>
      </c>
      <c r="P402" s="122" t="s">
        <v>1561</v>
      </c>
      <c r="Q402" s="122" t="s">
        <v>65</v>
      </c>
      <c r="R402" s="122" t="s">
        <v>57</v>
      </c>
      <c r="S402" s="122" t="s">
        <v>1216</v>
      </c>
      <c r="T402" s="123">
        <v>4.7</v>
      </c>
      <c r="U402" s="122" t="s">
        <v>1550</v>
      </c>
      <c r="V402" s="125">
        <v>4.0800000000000003E-2</v>
      </c>
      <c r="W402" s="125">
        <v>3.4079999999999999E-2</v>
      </c>
      <c r="X402" s="122" t="s">
        <v>620</v>
      </c>
      <c r="Y402" s="133"/>
      <c r="Z402" s="123">
        <v>26100000</v>
      </c>
      <c r="AA402" s="123">
        <v>1</v>
      </c>
      <c r="AB402" s="123">
        <v>111.71</v>
      </c>
      <c r="AC402" s="122"/>
      <c r="AD402" s="123">
        <v>29156.31</v>
      </c>
      <c r="AE402" s="122"/>
      <c r="AF402" s="122"/>
      <c r="AG402" s="122"/>
      <c r="AH402" s="125">
        <v>3.005E-2</v>
      </c>
      <c r="AI402" s="125">
        <v>7.7099999999999998E-3</v>
      </c>
      <c r="AJ402" s="126">
        <v>1.07E-3</v>
      </c>
      <c r="AK402" s="159"/>
    </row>
    <row r="403" spans="1:37" x14ac:dyDescent="0.2">
      <c r="A403" s="121" t="s">
        <v>1223</v>
      </c>
      <c r="B403" s="122" t="s">
        <v>1223</v>
      </c>
      <c r="C403" s="122" t="s">
        <v>1635</v>
      </c>
      <c r="D403" s="122" t="s">
        <v>1636</v>
      </c>
      <c r="E403" s="122" t="s">
        <v>429</v>
      </c>
      <c r="F403" s="122" t="s">
        <v>1677</v>
      </c>
      <c r="G403" s="122" t="s">
        <v>1678</v>
      </c>
      <c r="H403" s="122" t="s">
        <v>76</v>
      </c>
      <c r="I403" s="122" t="s">
        <v>229</v>
      </c>
      <c r="J403" s="122" t="s">
        <v>53</v>
      </c>
      <c r="K403" s="122" t="s">
        <v>53</v>
      </c>
      <c r="L403" s="122" t="s">
        <v>805</v>
      </c>
      <c r="M403" s="122" t="s">
        <v>311</v>
      </c>
      <c r="N403" s="122" t="s">
        <v>635</v>
      </c>
      <c r="O403" s="122" t="s">
        <v>62</v>
      </c>
      <c r="P403" s="122" t="s">
        <v>1324</v>
      </c>
      <c r="Q403" s="122" t="s">
        <v>65</v>
      </c>
      <c r="R403" s="122" t="s">
        <v>57</v>
      </c>
      <c r="S403" s="122" t="s">
        <v>1216</v>
      </c>
      <c r="T403" s="123">
        <v>3.49</v>
      </c>
      <c r="U403" s="122" t="s">
        <v>1679</v>
      </c>
      <c r="V403" s="125">
        <v>1.43E-2</v>
      </c>
      <c r="W403" s="125">
        <v>2.801E-2</v>
      </c>
      <c r="X403" s="122" t="s">
        <v>620</v>
      </c>
      <c r="Y403" s="133"/>
      <c r="Z403" s="123">
        <v>25014066.210000001</v>
      </c>
      <c r="AA403" s="123">
        <v>1</v>
      </c>
      <c r="AB403" s="123">
        <v>113.61</v>
      </c>
      <c r="AC403" s="122"/>
      <c r="AD403" s="123">
        <v>28418.481</v>
      </c>
      <c r="AE403" s="122"/>
      <c r="AF403" s="122"/>
      <c r="AG403" s="122"/>
      <c r="AH403" s="125">
        <v>1.2970000000000001E-2</v>
      </c>
      <c r="AI403" s="125">
        <v>7.5199999999999998E-3</v>
      </c>
      <c r="AJ403" s="126">
        <v>1.0399999999999999E-3</v>
      </c>
      <c r="AK403" s="159"/>
    </row>
    <row r="404" spans="1:37" x14ac:dyDescent="0.2">
      <c r="A404" s="121" t="s">
        <v>1223</v>
      </c>
      <c r="B404" s="122" t="s">
        <v>1223</v>
      </c>
      <c r="C404" s="122" t="s">
        <v>1419</v>
      </c>
      <c r="D404" s="122" t="s">
        <v>1420</v>
      </c>
      <c r="E404" s="122" t="s">
        <v>429</v>
      </c>
      <c r="F404" s="122" t="s">
        <v>1488</v>
      </c>
      <c r="G404" s="122" t="s">
        <v>1489</v>
      </c>
      <c r="H404" s="122" t="s">
        <v>76</v>
      </c>
      <c r="I404" s="122" t="s">
        <v>229</v>
      </c>
      <c r="J404" s="122" t="s">
        <v>53</v>
      </c>
      <c r="K404" s="122" t="s">
        <v>53</v>
      </c>
      <c r="L404" s="122" t="s">
        <v>805</v>
      </c>
      <c r="M404" s="122" t="s">
        <v>311</v>
      </c>
      <c r="N404" s="122" t="s">
        <v>269</v>
      </c>
      <c r="O404" s="122" t="s">
        <v>62</v>
      </c>
      <c r="P404" s="122" t="s">
        <v>1423</v>
      </c>
      <c r="Q404" s="122" t="s">
        <v>70</v>
      </c>
      <c r="R404" s="122" t="s">
        <v>57</v>
      </c>
      <c r="S404" s="122" t="s">
        <v>1216</v>
      </c>
      <c r="T404" s="123">
        <v>3.74</v>
      </c>
      <c r="U404" s="122" t="s">
        <v>1490</v>
      </c>
      <c r="V404" s="125">
        <v>5.1700000000000003E-2</v>
      </c>
      <c r="W404" s="125">
        <v>4.6330000000000003E-2</v>
      </c>
      <c r="X404" s="122" t="s">
        <v>620</v>
      </c>
      <c r="Y404" s="133"/>
      <c r="Z404" s="123">
        <v>27223087</v>
      </c>
      <c r="AA404" s="123">
        <v>1</v>
      </c>
      <c r="AB404" s="123">
        <v>103.93</v>
      </c>
      <c r="AC404" s="122"/>
      <c r="AD404" s="123">
        <v>28292.954000000002</v>
      </c>
      <c r="AE404" s="122"/>
      <c r="AF404" s="122"/>
      <c r="AG404" s="122"/>
      <c r="AH404" s="125">
        <v>4.4609999999999997E-2</v>
      </c>
      <c r="AI404" s="125">
        <v>7.4799999999999997E-3</v>
      </c>
      <c r="AJ404" s="126">
        <v>1.0399999999999999E-3</v>
      </c>
      <c r="AK404" s="159"/>
    </row>
    <row r="405" spans="1:37" x14ac:dyDescent="0.2">
      <c r="A405" s="121" t="s">
        <v>1223</v>
      </c>
      <c r="B405" s="122" t="s">
        <v>1223</v>
      </c>
      <c r="C405" s="122" t="s">
        <v>1536</v>
      </c>
      <c r="D405" s="122" t="s">
        <v>1537</v>
      </c>
      <c r="E405" s="122" t="s">
        <v>429</v>
      </c>
      <c r="F405" s="122" t="s">
        <v>1674</v>
      </c>
      <c r="G405" s="122" t="s">
        <v>1675</v>
      </c>
      <c r="H405" s="122" t="s">
        <v>76</v>
      </c>
      <c r="I405" s="122" t="s">
        <v>228</v>
      </c>
      <c r="J405" s="122" t="s">
        <v>53</v>
      </c>
      <c r="K405" s="122" t="s">
        <v>53</v>
      </c>
      <c r="L405" s="122" t="s">
        <v>805</v>
      </c>
      <c r="M405" s="122" t="s">
        <v>311</v>
      </c>
      <c r="N405" s="122" t="s">
        <v>259</v>
      </c>
      <c r="O405" s="122" t="s">
        <v>62</v>
      </c>
      <c r="P405" s="122" t="s">
        <v>1540</v>
      </c>
      <c r="Q405" s="122" t="s">
        <v>70</v>
      </c>
      <c r="R405" s="122" t="s">
        <v>57</v>
      </c>
      <c r="S405" s="122" t="s">
        <v>1216</v>
      </c>
      <c r="T405" s="123">
        <v>3.75</v>
      </c>
      <c r="U405" s="122" t="s">
        <v>1676</v>
      </c>
      <c r="V405" s="125">
        <v>6.3299999999999995E-2</v>
      </c>
      <c r="W405" s="125">
        <v>5.2659999999999998E-2</v>
      </c>
      <c r="X405" s="122" t="s">
        <v>620</v>
      </c>
      <c r="Y405" s="133"/>
      <c r="Z405" s="123">
        <v>27000000</v>
      </c>
      <c r="AA405" s="123">
        <v>1</v>
      </c>
      <c r="AB405" s="123">
        <v>104.74</v>
      </c>
      <c r="AC405" s="122"/>
      <c r="AD405" s="123">
        <v>28279.8</v>
      </c>
      <c r="AE405" s="122"/>
      <c r="AF405" s="122"/>
      <c r="AG405" s="122"/>
      <c r="AH405" s="125">
        <v>4.1099999999999998E-2</v>
      </c>
      <c r="AI405" s="125">
        <v>7.4799999999999997E-3</v>
      </c>
      <c r="AJ405" s="126">
        <v>1.0399999999999999E-3</v>
      </c>
      <c r="AK405" s="159"/>
    </row>
    <row r="406" spans="1:37" x14ac:dyDescent="0.2">
      <c r="A406" s="121" t="s">
        <v>1223</v>
      </c>
      <c r="B406" s="122" t="s">
        <v>1223</v>
      </c>
      <c r="C406" s="122" t="s">
        <v>1566</v>
      </c>
      <c r="D406" s="122" t="s">
        <v>1567</v>
      </c>
      <c r="E406" s="122" t="s">
        <v>429</v>
      </c>
      <c r="F406" s="122" t="s">
        <v>1664</v>
      </c>
      <c r="G406" s="122" t="s">
        <v>1665</v>
      </c>
      <c r="H406" s="122" t="s">
        <v>76</v>
      </c>
      <c r="I406" s="122" t="s">
        <v>229</v>
      </c>
      <c r="J406" s="122" t="s">
        <v>53</v>
      </c>
      <c r="K406" s="122" t="s">
        <v>53</v>
      </c>
      <c r="L406" s="122" t="s">
        <v>805</v>
      </c>
      <c r="M406" s="122" t="s">
        <v>311</v>
      </c>
      <c r="N406" s="122" t="s">
        <v>156</v>
      </c>
      <c r="O406" s="122" t="s">
        <v>62</v>
      </c>
      <c r="P406" s="122" t="s">
        <v>1402</v>
      </c>
      <c r="Q406" s="122" t="s">
        <v>70</v>
      </c>
      <c r="R406" s="122" t="s">
        <v>57</v>
      </c>
      <c r="S406" s="122" t="s">
        <v>1216</v>
      </c>
      <c r="T406" s="123">
        <v>5.54</v>
      </c>
      <c r="U406" s="122" t="s">
        <v>1666</v>
      </c>
      <c r="V406" s="125">
        <v>3.3000000000000002E-2</v>
      </c>
      <c r="W406" s="125">
        <v>3.5000000000000003E-2</v>
      </c>
      <c r="X406" s="122" t="s">
        <v>620</v>
      </c>
      <c r="Y406" s="133"/>
      <c r="Z406" s="123">
        <v>25830875.539999999</v>
      </c>
      <c r="AA406" s="123">
        <v>1</v>
      </c>
      <c r="AB406" s="123">
        <v>108.72</v>
      </c>
      <c r="AC406" s="122"/>
      <c r="AD406" s="123">
        <v>28083.328000000001</v>
      </c>
      <c r="AE406" s="122"/>
      <c r="AF406" s="122"/>
      <c r="AG406" s="122"/>
      <c r="AH406" s="125">
        <v>2.24E-2</v>
      </c>
      <c r="AI406" s="125">
        <v>7.43E-3</v>
      </c>
      <c r="AJ406" s="126">
        <v>1.0300000000000001E-3</v>
      </c>
      <c r="AK406" s="159"/>
    </row>
    <row r="407" spans="1:37" x14ac:dyDescent="0.2">
      <c r="A407" s="121" t="s">
        <v>1223</v>
      </c>
      <c r="B407" s="122" t="s">
        <v>1223</v>
      </c>
      <c r="C407" s="122" t="s">
        <v>1650</v>
      </c>
      <c r="D407" s="122" t="s">
        <v>1651</v>
      </c>
      <c r="E407" s="122" t="s">
        <v>429</v>
      </c>
      <c r="F407" s="122" t="s">
        <v>1685</v>
      </c>
      <c r="G407" s="122" t="s">
        <v>1686</v>
      </c>
      <c r="H407" s="122" t="s">
        <v>76</v>
      </c>
      <c r="I407" s="122" t="s">
        <v>228</v>
      </c>
      <c r="J407" s="122" t="s">
        <v>53</v>
      </c>
      <c r="K407" s="122" t="s">
        <v>53</v>
      </c>
      <c r="L407" s="122" t="s">
        <v>805</v>
      </c>
      <c r="M407" s="122" t="s">
        <v>311</v>
      </c>
      <c r="N407" s="122" t="s">
        <v>156</v>
      </c>
      <c r="O407" s="122" t="s">
        <v>62</v>
      </c>
      <c r="P407" s="122" t="s">
        <v>1450</v>
      </c>
      <c r="Q407" s="122" t="s">
        <v>65</v>
      </c>
      <c r="R407" s="122" t="s">
        <v>57</v>
      </c>
      <c r="S407" s="122" t="s">
        <v>1216</v>
      </c>
      <c r="T407" s="123">
        <v>5.74</v>
      </c>
      <c r="U407" s="122" t="s">
        <v>1687</v>
      </c>
      <c r="V407" s="125">
        <v>5.2499999999999998E-2</v>
      </c>
      <c r="W407" s="125">
        <v>5.3260000000000002E-2</v>
      </c>
      <c r="X407" s="122" t="s">
        <v>620</v>
      </c>
      <c r="Y407" s="133"/>
      <c r="Z407" s="123">
        <v>27000000</v>
      </c>
      <c r="AA407" s="123">
        <v>1</v>
      </c>
      <c r="AB407" s="123">
        <v>101.34</v>
      </c>
      <c r="AC407" s="122"/>
      <c r="AD407" s="123">
        <v>27361.8</v>
      </c>
      <c r="AE407" s="122"/>
      <c r="AF407" s="122"/>
      <c r="AG407" s="122"/>
      <c r="AH407" s="125">
        <v>4.1079999999999998E-2</v>
      </c>
      <c r="AI407" s="125">
        <v>7.2399999999999999E-3</v>
      </c>
      <c r="AJ407" s="126">
        <v>1E-3</v>
      </c>
      <c r="AK407" s="159"/>
    </row>
    <row r="408" spans="1:37" x14ac:dyDescent="0.2">
      <c r="A408" s="121" t="s">
        <v>1223</v>
      </c>
      <c r="B408" s="122" t="s">
        <v>1223</v>
      </c>
      <c r="C408" s="122" t="s">
        <v>1635</v>
      </c>
      <c r="D408" s="122" t="s">
        <v>1636</v>
      </c>
      <c r="E408" s="122" t="s">
        <v>429</v>
      </c>
      <c r="F408" s="122" t="s">
        <v>1667</v>
      </c>
      <c r="G408" s="122" t="s">
        <v>1668</v>
      </c>
      <c r="H408" s="122" t="s">
        <v>76</v>
      </c>
      <c r="I408" s="122" t="s">
        <v>229</v>
      </c>
      <c r="J408" s="122" t="s">
        <v>53</v>
      </c>
      <c r="K408" s="122" t="s">
        <v>53</v>
      </c>
      <c r="L408" s="122" t="s">
        <v>805</v>
      </c>
      <c r="M408" s="122" t="s">
        <v>311</v>
      </c>
      <c r="N408" s="122" t="s">
        <v>635</v>
      </c>
      <c r="O408" s="122" t="s">
        <v>62</v>
      </c>
      <c r="P408" s="122" t="s">
        <v>1324</v>
      </c>
      <c r="Q408" s="122" t="s">
        <v>65</v>
      </c>
      <c r="R408" s="122" t="s">
        <v>57</v>
      </c>
      <c r="S408" s="122" t="s">
        <v>1216</v>
      </c>
      <c r="T408" s="123">
        <v>3.08</v>
      </c>
      <c r="U408" s="122" t="s">
        <v>1669</v>
      </c>
      <c r="V408" s="125">
        <v>2.2499999999999999E-2</v>
      </c>
      <c r="W408" s="125">
        <v>2.9219999999999999E-2</v>
      </c>
      <c r="X408" s="122" t="s">
        <v>620</v>
      </c>
      <c r="Y408" s="133"/>
      <c r="Z408" s="123">
        <v>23089554.309999999</v>
      </c>
      <c r="AA408" s="123">
        <v>1</v>
      </c>
      <c r="AB408" s="123">
        <v>118.47</v>
      </c>
      <c r="AC408" s="122"/>
      <c r="AD408" s="123">
        <v>27354.195</v>
      </c>
      <c r="AE408" s="122"/>
      <c r="AF408" s="122"/>
      <c r="AG408" s="122"/>
      <c r="AH408" s="125">
        <v>1.329E-2</v>
      </c>
      <c r="AI408" s="125">
        <v>7.2399999999999999E-3</v>
      </c>
      <c r="AJ408" s="126">
        <v>1E-3</v>
      </c>
      <c r="AK408" s="159"/>
    </row>
    <row r="409" spans="1:37" x14ac:dyDescent="0.2">
      <c r="A409" s="121" t="s">
        <v>1223</v>
      </c>
      <c r="B409" s="122" t="s">
        <v>1223</v>
      </c>
      <c r="C409" s="122" t="s">
        <v>1688</v>
      </c>
      <c r="D409" s="122" t="s">
        <v>1689</v>
      </c>
      <c r="E409" s="122" t="s">
        <v>429</v>
      </c>
      <c r="F409" s="122" t="s">
        <v>1690</v>
      </c>
      <c r="G409" s="122" t="s">
        <v>1691</v>
      </c>
      <c r="H409" s="122" t="s">
        <v>76</v>
      </c>
      <c r="I409" s="122" t="s">
        <v>228</v>
      </c>
      <c r="J409" s="122" t="s">
        <v>53</v>
      </c>
      <c r="K409" s="122" t="s">
        <v>53</v>
      </c>
      <c r="L409" s="122" t="s">
        <v>805</v>
      </c>
      <c r="M409" s="122" t="s">
        <v>311</v>
      </c>
      <c r="N409" s="122" t="s">
        <v>269</v>
      </c>
      <c r="O409" s="122" t="s">
        <v>62</v>
      </c>
      <c r="P409" s="122" t="s">
        <v>1540</v>
      </c>
      <c r="Q409" s="122" t="s">
        <v>70</v>
      </c>
      <c r="R409" s="122" t="s">
        <v>57</v>
      </c>
      <c r="S409" s="122" t="s">
        <v>1216</v>
      </c>
      <c r="T409" s="123">
        <v>5.95</v>
      </c>
      <c r="U409" s="122" t="s">
        <v>1692</v>
      </c>
      <c r="V409" s="125">
        <v>5.1299999999999998E-2</v>
      </c>
      <c r="W409" s="125">
        <v>5.135E-2</v>
      </c>
      <c r="X409" s="122" t="s">
        <v>620</v>
      </c>
      <c r="Y409" s="133"/>
      <c r="Z409" s="123">
        <v>27200000</v>
      </c>
      <c r="AA409" s="123">
        <v>1</v>
      </c>
      <c r="AB409" s="123">
        <v>100.43</v>
      </c>
      <c r="AC409" s="122"/>
      <c r="AD409" s="123">
        <v>27316.959999999999</v>
      </c>
      <c r="AE409" s="122"/>
      <c r="AF409" s="122"/>
      <c r="AG409" s="122"/>
      <c r="AH409" s="125">
        <v>7.986E-2</v>
      </c>
      <c r="AI409" s="125">
        <v>7.2300000000000003E-3</v>
      </c>
      <c r="AJ409" s="126">
        <v>1E-3</v>
      </c>
      <c r="AK409" s="159"/>
    </row>
    <row r="410" spans="1:37" x14ac:dyDescent="0.2">
      <c r="A410" s="121" t="s">
        <v>1223</v>
      </c>
      <c r="B410" s="122" t="s">
        <v>1223</v>
      </c>
      <c r="C410" s="122" t="s">
        <v>1708</v>
      </c>
      <c r="D410" s="122" t="s">
        <v>1709</v>
      </c>
      <c r="E410" s="122" t="s">
        <v>429</v>
      </c>
      <c r="F410" s="122" t="s">
        <v>1710</v>
      </c>
      <c r="G410" s="122" t="s">
        <v>1711</v>
      </c>
      <c r="H410" s="122" t="s">
        <v>76</v>
      </c>
      <c r="I410" s="122" t="s">
        <v>229</v>
      </c>
      <c r="J410" s="122" t="s">
        <v>53</v>
      </c>
      <c r="K410" s="122" t="s">
        <v>53</v>
      </c>
      <c r="L410" s="122" t="s">
        <v>805</v>
      </c>
      <c r="M410" s="122" t="s">
        <v>311</v>
      </c>
      <c r="N410" s="122" t="s">
        <v>692</v>
      </c>
      <c r="O410" s="122" t="s">
        <v>62</v>
      </c>
      <c r="P410" s="122"/>
      <c r="Q410" s="122" t="s">
        <v>298</v>
      </c>
      <c r="R410" s="122"/>
      <c r="S410" s="122" t="s">
        <v>1216</v>
      </c>
      <c r="T410" s="123">
        <v>6.48</v>
      </c>
      <c r="U410" s="122" t="s">
        <v>1712</v>
      </c>
      <c r="V410" s="125">
        <v>4.1000000000000002E-2</v>
      </c>
      <c r="W410" s="125">
        <v>3.7769999999999998E-2</v>
      </c>
      <c r="X410" s="122" t="s">
        <v>620</v>
      </c>
      <c r="Y410" s="133"/>
      <c r="Z410" s="123">
        <v>25988000</v>
      </c>
      <c r="AA410" s="123">
        <v>1</v>
      </c>
      <c r="AB410" s="123">
        <v>104.73</v>
      </c>
      <c r="AC410" s="122"/>
      <c r="AD410" s="123">
        <v>27217.232</v>
      </c>
      <c r="AE410" s="122"/>
      <c r="AF410" s="122"/>
      <c r="AG410" s="122"/>
      <c r="AH410" s="125">
        <v>9.2810000000000004E-2</v>
      </c>
      <c r="AI410" s="125">
        <v>7.1999999999999998E-3</v>
      </c>
      <c r="AJ410" s="126">
        <v>1E-3</v>
      </c>
      <c r="AK410" s="159"/>
    </row>
    <row r="411" spans="1:37" x14ac:dyDescent="0.2">
      <c r="A411" s="121" t="s">
        <v>1223</v>
      </c>
      <c r="B411" s="122" t="s">
        <v>1223</v>
      </c>
      <c r="C411" s="122" t="s">
        <v>1419</v>
      </c>
      <c r="D411" s="122" t="s">
        <v>1420</v>
      </c>
      <c r="E411" s="122" t="s">
        <v>429</v>
      </c>
      <c r="F411" s="122" t="s">
        <v>1421</v>
      </c>
      <c r="G411" s="122" t="s">
        <v>1422</v>
      </c>
      <c r="H411" s="122" t="s">
        <v>76</v>
      </c>
      <c r="I411" s="122" t="s">
        <v>228</v>
      </c>
      <c r="J411" s="122" t="s">
        <v>53</v>
      </c>
      <c r="K411" s="122" t="s">
        <v>53</v>
      </c>
      <c r="L411" s="122" t="s">
        <v>805</v>
      </c>
      <c r="M411" s="122" t="s">
        <v>311</v>
      </c>
      <c r="N411" s="122" t="s">
        <v>269</v>
      </c>
      <c r="O411" s="122" t="s">
        <v>62</v>
      </c>
      <c r="P411" s="122" t="s">
        <v>1423</v>
      </c>
      <c r="Q411" s="122" t="s">
        <v>70</v>
      </c>
      <c r="R411" s="122" t="s">
        <v>57</v>
      </c>
      <c r="S411" s="122" t="s">
        <v>1216</v>
      </c>
      <c r="T411" s="123">
        <v>7.48</v>
      </c>
      <c r="U411" s="122" t="s">
        <v>1424</v>
      </c>
      <c r="V411" s="125">
        <v>5.0200000000000002E-2</v>
      </c>
      <c r="W411" s="125">
        <v>5.0930000000000003E-2</v>
      </c>
      <c r="X411" s="122" t="s">
        <v>620</v>
      </c>
      <c r="Y411" s="133"/>
      <c r="Z411" s="123">
        <v>27000000</v>
      </c>
      <c r="AA411" s="123">
        <v>1</v>
      </c>
      <c r="AB411" s="123">
        <v>100.3</v>
      </c>
      <c r="AC411" s="122"/>
      <c r="AD411" s="123">
        <v>27081</v>
      </c>
      <c r="AE411" s="122"/>
      <c r="AF411" s="122"/>
      <c r="AG411" s="122"/>
      <c r="AH411" s="125">
        <v>9.6500000000000002E-2</v>
      </c>
      <c r="AI411" s="125">
        <v>7.1599999999999997E-3</v>
      </c>
      <c r="AJ411" s="126">
        <v>9.8999999999999999E-4</v>
      </c>
      <c r="AK411" s="159"/>
    </row>
    <row r="412" spans="1:37" x14ac:dyDescent="0.2">
      <c r="A412" s="121" t="s">
        <v>1223</v>
      </c>
      <c r="B412" s="122" t="s">
        <v>1223</v>
      </c>
      <c r="C412" s="122" t="s">
        <v>1419</v>
      </c>
      <c r="D412" s="122" t="s">
        <v>1420</v>
      </c>
      <c r="E412" s="122" t="s">
        <v>429</v>
      </c>
      <c r="F412" s="122" t="s">
        <v>1425</v>
      </c>
      <c r="G412" s="122" t="s">
        <v>1426</v>
      </c>
      <c r="H412" s="122" t="s">
        <v>76</v>
      </c>
      <c r="I412" s="122" t="s">
        <v>228</v>
      </c>
      <c r="J412" s="122" t="s">
        <v>53</v>
      </c>
      <c r="K412" s="122" t="s">
        <v>53</v>
      </c>
      <c r="L412" s="122" t="s">
        <v>805</v>
      </c>
      <c r="M412" s="122" t="s">
        <v>311</v>
      </c>
      <c r="N412" s="122" t="s">
        <v>269</v>
      </c>
      <c r="O412" s="122" t="s">
        <v>62</v>
      </c>
      <c r="P412" s="122" t="s">
        <v>1423</v>
      </c>
      <c r="Q412" s="122" t="s">
        <v>70</v>
      </c>
      <c r="R412" s="122" t="s">
        <v>57</v>
      </c>
      <c r="S412" s="122" t="s">
        <v>1216</v>
      </c>
      <c r="T412" s="123">
        <v>8.1</v>
      </c>
      <c r="U412" s="122" t="s">
        <v>1427</v>
      </c>
      <c r="V412" s="125">
        <v>5.0200000000000002E-2</v>
      </c>
      <c r="W412" s="125">
        <v>5.1049999999999998E-2</v>
      </c>
      <c r="X412" s="122" t="s">
        <v>620</v>
      </c>
      <c r="Y412" s="133"/>
      <c r="Z412" s="123">
        <v>27000000</v>
      </c>
      <c r="AA412" s="123">
        <v>1</v>
      </c>
      <c r="AB412" s="123">
        <v>100.2</v>
      </c>
      <c r="AC412" s="122"/>
      <c r="AD412" s="123">
        <v>27054</v>
      </c>
      <c r="AE412" s="122"/>
      <c r="AF412" s="122"/>
      <c r="AG412" s="122"/>
      <c r="AH412" s="125">
        <v>9.6500000000000002E-2</v>
      </c>
      <c r="AI412" s="125">
        <v>7.1599999999999997E-3</v>
      </c>
      <c r="AJ412" s="126">
        <v>9.8999999999999999E-4</v>
      </c>
      <c r="AK412" s="159"/>
    </row>
    <row r="413" spans="1:37" x14ac:dyDescent="0.2">
      <c r="A413" s="121" t="s">
        <v>1223</v>
      </c>
      <c r="B413" s="122" t="s">
        <v>1223</v>
      </c>
      <c r="C413" s="122" t="s">
        <v>1703</v>
      </c>
      <c r="D413" s="122" t="s">
        <v>1704</v>
      </c>
      <c r="E413" s="122" t="s">
        <v>429</v>
      </c>
      <c r="F413" s="122" t="s">
        <v>1705</v>
      </c>
      <c r="G413" s="122" t="s">
        <v>1706</v>
      </c>
      <c r="H413" s="122" t="s">
        <v>76</v>
      </c>
      <c r="I413" s="122" t="s">
        <v>228</v>
      </c>
      <c r="J413" s="122" t="s">
        <v>53</v>
      </c>
      <c r="K413" s="122" t="s">
        <v>53</v>
      </c>
      <c r="L413" s="122" t="s">
        <v>805</v>
      </c>
      <c r="M413" s="122" t="s">
        <v>311</v>
      </c>
      <c r="N413" s="122"/>
      <c r="O413" s="122" t="s">
        <v>62</v>
      </c>
      <c r="P413" s="122" t="s">
        <v>1450</v>
      </c>
      <c r="Q413" s="122" t="s">
        <v>65</v>
      </c>
      <c r="R413" s="122" t="s">
        <v>57</v>
      </c>
      <c r="S413" s="122" t="s">
        <v>1216</v>
      </c>
      <c r="T413" s="123">
        <v>7.16</v>
      </c>
      <c r="U413" s="122" t="s">
        <v>1707</v>
      </c>
      <c r="V413" s="125">
        <v>5.2200000000000003E-2</v>
      </c>
      <c r="W413" s="125">
        <v>5.1330000000000001E-2</v>
      </c>
      <c r="X413" s="122" t="s">
        <v>620</v>
      </c>
      <c r="Y413" s="133"/>
      <c r="Z413" s="123">
        <v>26522000</v>
      </c>
      <c r="AA413" s="123">
        <v>1</v>
      </c>
      <c r="AB413" s="123">
        <v>101.86</v>
      </c>
      <c r="AC413" s="122"/>
      <c r="AD413" s="123">
        <v>27015.309000000001</v>
      </c>
      <c r="AE413" s="122"/>
      <c r="AF413" s="122"/>
      <c r="AG413" s="122"/>
      <c r="AH413" s="125">
        <v>8.8410000000000002E-2</v>
      </c>
      <c r="AI413" s="125">
        <v>7.1500000000000001E-3</v>
      </c>
      <c r="AJ413" s="126">
        <v>9.8999999999999999E-4</v>
      </c>
      <c r="AK413" s="159"/>
    </row>
    <row r="414" spans="1:37" x14ac:dyDescent="0.2">
      <c r="A414" s="121" t="s">
        <v>1223</v>
      </c>
      <c r="B414" s="122" t="s">
        <v>1223</v>
      </c>
      <c r="C414" s="122" t="s">
        <v>1348</v>
      </c>
      <c r="D414" s="122" t="s">
        <v>1349</v>
      </c>
      <c r="E414" s="122" t="s">
        <v>429</v>
      </c>
      <c r="F414" s="122" t="s">
        <v>1356</v>
      </c>
      <c r="G414" s="122" t="s">
        <v>1357</v>
      </c>
      <c r="H414" s="122" t="s">
        <v>76</v>
      </c>
      <c r="I414" s="122" t="s">
        <v>229</v>
      </c>
      <c r="J414" s="122" t="s">
        <v>53</v>
      </c>
      <c r="K414" s="122" t="s">
        <v>53</v>
      </c>
      <c r="L414" s="122" t="s">
        <v>805</v>
      </c>
      <c r="M414" s="122" t="s">
        <v>311</v>
      </c>
      <c r="N414" s="122" t="s">
        <v>256</v>
      </c>
      <c r="O414" s="122" t="s">
        <v>62</v>
      </c>
      <c r="P414" s="122" t="s">
        <v>1215</v>
      </c>
      <c r="Q414" s="122" t="s">
        <v>70</v>
      </c>
      <c r="R414" s="122" t="s">
        <v>57</v>
      </c>
      <c r="S414" s="122" t="s">
        <v>1216</v>
      </c>
      <c r="T414" s="123">
        <v>6.71</v>
      </c>
      <c r="U414" s="122" t="s">
        <v>1358</v>
      </c>
      <c r="V414" s="125">
        <v>2.5999999999999999E-2</v>
      </c>
      <c r="W414" s="125">
        <v>2.5489999999999999E-2</v>
      </c>
      <c r="X414" s="122" t="s">
        <v>620</v>
      </c>
      <c r="Y414" s="133"/>
      <c r="Z414" s="123">
        <v>26700000</v>
      </c>
      <c r="AA414" s="123">
        <v>1</v>
      </c>
      <c r="AB414" s="123">
        <v>101.17</v>
      </c>
      <c r="AC414" s="122"/>
      <c r="AD414" s="123">
        <v>27012.39</v>
      </c>
      <c r="AE414" s="122"/>
      <c r="AF414" s="122"/>
      <c r="AG414" s="122"/>
      <c r="AH414" s="125">
        <v>1.4540000000000001E-2</v>
      </c>
      <c r="AI414" s="125">
        <v>7.1500000000000001E-3</v>
      </c>
      <c r="AJ414" s="126">
        <v>9.8999999999999999E-4</v>
      </c>
      <c r="AK414" s="159"/>
    </row>
    <row r="415" spans="1:37" x14ac:dyDescent="0.2">
      <c r="A415" s="121" t="s">
        <v>1223</v>
      </c>
      <c r="B415" s="122" t="s">
        <v>1223</v>
      </c>
      <c r="C415" s="122" t="s">
        <v>1575</v>
      </c>
      <c r="D415" s="122" t="s">
        <v>1576</v>
      </c>
      <c r="E415" s="122" t="s">
        <v>429</v>
      </c>
      <c r="F415" s="122" t="s">
        <v>1700</v>
      </c>
      <c r="G415" s="122" t="s">
        <v>1701</v>
      </c>
      <c r="H415" s="122" t="s">
        <v>76</v>
      </c>
      <c r="I415" s="122" t="s">
        <v>229</v>
      </c>
      <c r="J415" s="122" t="s">
        <v>53</v>
      </c>
      <c r="K415" s="122" t="s">
        <v>53</v>
      </c>
      <c r="L415" s="122" t="s">
        <v>805</v>
      </c>
      <c r="M415" s="122" t="s">
        <v>311</v>
      </c>
      <c r="N415" s="122" t="s">
        <v>635</v>
      </c>
      <c r="O415" s="122" t="s">
        <v>62</v>
      </c>
      <c r="P415" s="122" t="s">
        <v>1377</v>
      </c>
      <c r="Q415" s="122" t="s">
        <v>70</v>
      </c>
      <c r="R415" s="122" t="s">
        <v>57</v>
      </c>
      <c r="S415" s="122" t="s">
        <v>1216</v>
      </c>
      <c r="T415" s="123">
        <v>7.01</v>
      </c>
      <c r="U415" s="122" t="s">
        <v>1702</v>
      </c>
      <c r="V415" s="125">
        <v>3.0599999999999999E-2</v>
      </c>
      <c r="W415" s="125">
        <v>3.1539999999999999E-2</v>
      </c>
      <c r="X415" s="122" t="s">
        <v>620</v>
      </c>
      <c r="Y415" s="133"/>
      <c r="Z415" s="123">
        <v>26700000</v>
      </c>
      <c r="AA415" s="123">
        <v>1</v>
      </c>
      <c r="AB415" s="123">
        <v>101.01</v>
      </c>
      <c r="AC415" s="122"/>
      <c r="AD415" s="123">
        <v>26969.67</v>
      </c>
      <c r="AE415" s="122"/>
      <c r="AF415" s="122"/>
      <c r="AG415" s="122"/>
      <c r="AH415" s="125">
        <v>2.469E-2</v>
      </c>
      <c r="AI415" s="125">
        <v>7.1300000000000001E-3</v>
      </c>
      <c r="AJ415" s="126">
        <v>9.8999999999999999E-4</v>
      </c>
      <c r="AK415" s="159"/>
    </row>
    <row r="416" spans="1:37" x14ac:dyDescent="0.2">
      <c r="A416" s="121" t="s">
        <v>1223</v>
      </c>
      <c r="B416" s="122" t="s">
        <v>1223</v>
      </c>
      <c r="C416" s="122" t="s">
        <v>1696</v>
      </c>
      <c r="D416" s="122" t="s">
        <v>1697</v>
      </c>
      <c r="E416" s="122" t="s">
        <v>429</v>
      </c>
      <c r="F416" s="122" t="s">
        <v>1698</v>
      </c>
      <c r="G416" s="122" t="s">
        <v>1699</v>
      </c>
      <c r="H416" s="122" t="s">
        <v>76</v>
      </c>
      <c r="I416" s="122" t="s">
        <v>228</v>
      </c>
      <c r="J416" s="122" t="s">
        <v>53</v>
      </c>
      <c r="K416" s="122" t="s">
        <v>53</v>
      </c>
      <c r="L416" s="122" t="s">
        <v>805</v>
      </c>
      <c r="M416" s="122" t="s">
        <v>311</v>
      </c>
      <c r="N416" s="122" t="s">
        <v>635</v>
      </c>
      <c r="O416" s="122" t="s">
        <v>62</v>
      </c>
      <c r="P416" s="122" t="s">
        <v>1324</v>
      </c>
      <c r="Q416" s="122" t="s">
        <v>65</v>
      </c>
      <c r="R416" s="122" t="s">
        <v>57</v>
      </c>
      <c r="S416" s="122" t="s">
        <v>1216</v>
      </c>
      <c r="T416" s="123">
        <v>6.71</v>
      </c>
      <c r="U416" s="122" t="s">
        <v>1392</v>
      </c>
      <c r="V416" s="125">
        <v>5.2900000000000003E-2</v>
      </c>
      <c r="W416" s="125">
        <v>4.7379999999999999E-2</v>
      </c>
      <c r="X416" s="122" t="s">
        <v>620</v>
      </c>
      <c r="Y416" s="133"/>
      <c r="Z416" s="123">
        <v>25500000</v>
      </c>
      <c r="AA416" s="123">
        <v>1</v>
      </c>
      <c r="AB416" s="123">
        <v>105.74</v>
      </c>
      <c r="AC416" s="122"/>
      <c r="AD416" s="123">
        <v>26963.7</v>
      </c>
      <c r="AE416" s="122"/>
      <c r="AF416" s="122"/>
      <c r="AG416" s="122"/>
      <c r="AH416" s="125">
        <v>0.16700000000000001</v>
      </c>
      <c r="AI416" s="125">
        <v>7.1300000000000001E-3</v>
      </c>
      <c r="AJ416" s="126">
        <v>9.8999999999999999E-4</v>
      </c>
      <c r="AK416" s="159"/>
    </row>
    <row r="417" spans="1:37" x14ac:dyDescent="0.2">
      <c r="A417" s="121" t="s">
        <v>1223</v>
      </c>
      <c r="B417" s="122" t="s">
        <v>1223</v>
      </c>
      <c r="C417" s="122" t="s">
        <v>1348</v>
      </c>
      <c r="D417" s="122" t="s">
        <v>1349</v>
      </c>
      <c r="E417" s="122" t="s">
        <v>429</v>
      </c>
      <c r="F417" s="122" t="s">
        <v>1359</v>
      </c>
      <c r="G417" s="122" t="s">
        <v>1360</v>
      </c>
      <c r="H417" s="122" t="s">
        <v>76</v>
      </c>
      <c r="I417" s="122" t="s">
        <v>228</v>
      </c>
      <c r="J417" s="122" t="s">
        <v>53</v>
      </c>
      <c r="K417" s="122" t="s">
        <v>53</v>
      </c>
      <c r="L417" s="122" t="s">
        <v>805</v>
      </c>
      <c r="M417" s="122" t="s">
        <v>311</v>
      </c>
      <c r="N417" s="122" t="s">
        <v>256</v>
      </c>
      <c r="O417" s="122" t="s">
        <v>62</v>
      </c>
      <c r="P417" s="122" t="s">
        <v>1215</v>
      </c>
      <c r="Q417" s="122" t="s">
        <v>70</v>
      </c>
      <c r="R417" s="122" t="s">
        <v>57</v>
      </c>
      <c r="S417" s="122" t="s">
        <v>1216</v>
      </c>
      <c r="T417" s="123">
        <v>5.78</v>
      </c>
      <c r="U417" s="122" t="s">
        <v>1361</v>
      </c>
      <c r="V417" s="125">
        <v>4.5900000000000003E-2</v>
      </c>
      <c r="W417" s="125">
        <v>4.5379999999999997E-2</v>
      </c>
      <c r="X417" s="122" t="s">
        <v>620</v>
      </c>
      <c r="Y417" s="133"/>
      <c r="Z417" s="123">
        <v>26700000</v>
      </c>
      <c r="AA417" s="123">
        <v>1</v>
      </c>
      <c r="AB417" s="123">
        <v>100.58</v>
      </c>
      <c r="AC417" s="122"/>
      <c r="AD417" s="123">
        <v>26854.86</v>
      </c>
      <c r="AE417" s="122"/>
      <c r="AF417" s="122"/>
      <c r="AG417" s="122"/>
      <c r="AH417" s="125">
        <v>1.4290000000000001E-2</v>
      </c>
      <c r="AI417" s="125">
        <v>7.1000000000000004E-3</v>
      </c>
      <c r="AJ417" s="126">
        <v>9.7999999999999997E-4</v>
      </c>
      <c r="AK417" s="159"/>
    </row>
    <row r="418" spans="1:37" x14ac:dyDescent="0.2">
      <c r="A418" s="121" t="s">
        <v>1223</v>
      </c>
      <c r="B418" s="122" t="s">
        <v>1223</v>
      </c>
      <c r="C418" s="122" t="s">
        <v>1442</v>
      </c>
      <c r="D418" s="122" t="s">
        <v>1443</v>
      </c>
      <c r="E418" s="122" t="s">
        <v>429</v>
      </c>
      <c r="F418" s="122" t="s">
        <v>1693</v>
      </c>
      <c r="G418" s="122" t="s">
        <v>1694</v>
      </c>
      <c r="H418" s="122" t="s">
        <v>76</v>
      </c>
      <c r="I418" s="122" t="s">
        <v>229</v>
      </c>
      <c r="J418" s="122" t="s">
        <v>53</v>
      </c>
      <c r="K418" s="122" t="s">
        <v>53</v>
      </c>
      <c r="L418" s="122" t="s">
        <v>805</v>
      </c>
      <c r="M418" s="122" t="s">
        <v>311</v>
      </c>
      <c r="N418" s="122" t="s">
        <v>635</v>
      </c>
      <c r="O418" s="122" t="s">
        <v>62</v>
      </c>
      <c r="P418" s="122" t="s">
        <v>1324</v>
      </c>
      <c r="Q418" s="122" t="s">
        <v>65</v>
      </c>
      <c r="R418" s="122" t="s">
        <v>57</v>
      </c>
      <c r="S418" s="122" t="s">
        <v>1216</v>
      </c>
      <c r="T418" s="123">
        <v>6.97</v>
      </c>
      <c r="U418" s="122" t="s">
        <v>1695</v>
      </c>
      <c r="V418" s="125">
        <v>3.5999999999999997E-2</v>
      </c>
      <c r="W418" s="125">
        <v>2.9839999999999998E-2</v>
      </c>
      <c r="X418" s="122" t="s">
        <v>620</v>
      </c>
      <c r="Y418" s="133"/>
      <c r="Z418" s="123">
        <v>24600000</v>
      </c>
      <c r="AA418" s="123">
        <v>1</v>
      </c>
      <c r="AB418" s="123">
        <v>109.05</v>
      </c>
      <c r="AC418" s="122"/>
      <c r="AD418" s="123">
        <v>26826.3</v>
      </c>
      <c r="AE418" s="122"/>
      <c r="AF418" s="122"/>
      <c r="AG418" s="122"/>
      <c r="AH418" s="125">
        <v>2.811E-2</v>
      </c>
      <c r="AI418" s="125">
        <v>7.1000000000000004E-3</v>
      </c>
      <c r="AJ418" s="126">
        <v>9.7999999999999997E-4</v>
      </c>
      <c r="AK418" s="159"/>
    </row>
    <row r="419" spans="1:37" x14ac:dyDescent="0.2">
      <c r="A419" s="121" t="s">
        <v>1223</v>
      </c>
      <c r="B419" s="122" t="s">
        <v>1223</v>
      </c>
      <c r="C419" s="122" t="s">
        <v>1575</v>
      </c>
      <c r="D419" s="122" t="s">
        <v>1576</v>
      </c>
      <c r="E419" s="122" t="s">
        <v>429</v>
      </c>
      <c r="F419" s="122" t="s">
        <v>1682</v>
      </c>
      <c r="G419" s="122" t="s">
        <v>1683</v>
      </c>
      <c r="H419" s="122" t="s">
        <v>76</v>
      </c>
      <c r="I419" s="122" t="s">
        <v>229</v>
      </c>
      <c r="J419" s="122" t="s">
        <v>53</v>
      </c>
      <c r="K419" s="122" t="s">
        <v>53</v>
      </c>
      <c r="L419" s="122" t="s">
        <v>805</v>
      </c>
      <c r="M419" s="122" t="s">
        <v>311</v>
      </c>
      <c r="N419" s="122" t="s">
        <v>635</v>
      </c>
      <c r="O419" s="122" t="s">
        <v>62</v>
      </c>
      <c r="P419" s="122" t="s">
        <v>1324</v>
      </c>
      <c r="Q419" s="122" t="s">
        <v>65</v>
      </c>
      <c r="R419" s="122" t="s">
        <v>57</v>
      </c>
      <c r="S419" s="122" t="s">
        <v>1216</v>
      </c>
      <c r="T419" s="123">
        <v>2.7</v>
      </c>
      <c r="U419" s="122" t="s">
        <v>1684</v>
      </c>
      <c r="V419" s="125">
        <v>7.7999999999999996E-3</v>
      </c>
      <c r="W419" s="125">
        <v>2.708E-2</v>
      </c>
      <c r="X419" s="122" t="s">
        <v>620</v>
      </c>
      <c r="Y419" s="133"/>
      <c r="Z419" s="123">
        <v>23900000</v>
      </c>
      <c r="AA419" s="123">
        <v>1</v>
      </c>
      <c r="AB419" s="123">
        <v>111.71</v>
      </c>
      <c r="AC419" s="122"/>
      <c r="AD419" s="123">
        <v>26698.69</v>
      </c>
      <c r="AE419" s="122"/>
      <c r="AF419" s="122"/>
      <c r="AG419" s="122"/>
      <c r="AH419" s="125">
        <v>4.1209999999999997E-2</v>
      </c>
      <c r="AI419" s="125">
        <v>7.0600000000000003E-3</v>
      </c>
      <c r="AJ419" s="126">
        <v>9.7999999999999997E-4</v>
      </c>
      <c r="AK419" s="159"/>
    </row>
    <row r="420" spans="1:37" x14ac:dyDescent="0.2">
      <c r="A420" s="121" t="s">
        <v>1223</v>
      </c>
      <c r="B420" s="122" t="s">
        <v>1223</v>
      </c>
      <c r="C420" s="122" t="s">
        <v>1657</v>
      </c>
      <c r="D420" s="122" t="s">
        <v>1658</v>
      </c>
      <c r="E420" s="122" t="s">
        <v>429</v>
      </c>
      <c r="F420" s="122" t="s">
        <v>1680</v>
      </c>
      <c r="G420" s="122" t="s">
        <v>1681</v>
      </c>
      <c r="H420" s="122" t="s">
        <v>76</v>
      </c>
      <c r="I420" s="122" t="s">
        <v>228</v>
      </c>
      <c r="J420" s="122" t="s">
        <v>53</v>
      </c>
      <c r="K420" s="122" t="s">
        <v>53</v>
      </c>
      <c r="L420" s="122" t="s">
        <v>805</v>
      </c>
      <c r="M420" s="122" t="s">
        <v>311</v>
      </c>
      <c r="N420" s="122" t="s">
        <v>635</v>
      </c>
      <c r="O420" s="122" t="s">
        <v>62</v>
      </c>
      <c r="P420" s="122" t="s">
        <v>1324</v>
      </c>
      <c r="Q420" s="122" t="s">
        <v>65</v>
      </c>
      <c r="R420" s="122" t="s">
        <v>57</v>
      </c>
      <c r="S420" s="122" t="s">
        <v>1216</v>
      </c>
      <c r="T420" s="123">
        <v>4.42</v>
      </c>
      <c r="U420" s="122" t="s">
        <v>1661</v>
      </c>
      <c r="V420" s="125">
        <v>2.4400000000000002E-2</v>
      </c>
      <c r="W420" s="125">
        <v>4.6820000000000001E-2</v>
      </c>
      <c r="X420" s="122" t="s">
        <v>620</v>
      </c>
      <c r="Y420" s="133"/>
      <c r="Z420" s="123">
        <v>28000000</v>
      </c>
      <c r="AA420" s="123">
        <v>1</v>
      </c>
      <c r="AB420" s="123">
        <v>92.45</v>
      </c>
      <c r="AC420" s="122"/>
      <c r="AD420" s="123">
        <v>25886</v>
      </c>
      <c r="AE420" s="122"/>
      <c r="AF420" s="122"/>
      <c r="AG420" s="122"/>
      <c r="AH420" s="125">
        <v>2.3040000000000001E-2</v>
      </c>
      <c r="AI420" s="125">
        <v>6.8500000000000002E-3</v>
      </c>
      <c r="AJ420" s="126">
        <v>9.5E-4</v>
      </c>
      <c r="AK420" s="159"/>
    </row>
    <row r="421" spans="1:37" x14ac:dyDescent="0.2">
      <c r="A421" s="121" t="s">
        <v>1223</v>
      </c>
      <c r="B421" s="122" t="s">
        <v>1223</v>
      </c>
      <c r="C421" s="122" t="s">
        <v>1713</v>
      </c>
      <c r="D421" s="122" t="s">
        <v>1714</v>
      </c>
      <c r="E421" s="122" t="s">
        <v>429</v>
      </c>
      <c r="F421" s="122" t="s">
        <v>1720</v>
      </c>
      <c r="G421" s="122" t="s">
        <v>1721</v>
      </c>
      <c r="H421" s="122" t="s">
        <v>76</v>
      </c>
      <c r="I421" s="122" t="s">
        <v>228</v>
      </c>
      <c r="J421" s="122" t="s">
        <v>53</v>
      </c>
      <c r="K421" s="122" t="s">
        <v>314</v>
      </c>
      <c r="L421" s="122" t="s">
        <v>805</v>
      </c>
      <c r="M421" s="122" t="s">
        <v>311</v>
      </c>
      <c r="N421" s="122" t="s">
        <v>636</v>
      </c>
      <c r="O421" s="122" t="s">
        <v>62</v>
      </c>
      <c r="P421" s="122" t="s">
        <v>1369</v>
      </c>
      <c r="Q421" s="122" t="s">
        <v>65</v>
      </c>
      <c r="R421" s="122" t="s">
        <v>57</v>
      </c>
      <c r="S421" s="122" t="s">
        <v>1216</v>
      </c>
      <c r="T421" s="123">
        <v>4.1500000000000004</v>
      </c>
      <c r="U421" s="122" t="s">
        <v>1455</v>
      </c>
      <c r="V421" s="125">
        <v>5.8000000000000003E-2</v>
      </c>
      <c r="W421" s="125">
        <v>5.7189999999999998E-2</v>
      </c>
      <c r="X421" s="122" t="s">
        <v>620</v>
      </c>
      <c r="Y421" s="133"/>
      <c r="Z421" s="123">
        <v>25226000</v>
      </c>
      <c r="AA421" s="123">
        <v>1</v>
      </c>
      <c r="AB421" s="123">
        <v>102.45</v>
      </c>
      <c r="AC421" s="122"/>
      <c r="AD421" s="123">
        <v>25844.037</v>
      </c>
      <c r="AE421" s="122"/>
      <c r="AF421" s="122"/>
      <c r="AG421" s="122"/>
      <c r="AH421" s="125">
        <v>7.2069999999999995E-2</v>
      </c>
      <c r="AI421" s="125">
        <v>6.8399999999999997E-3</v>
      </c>
      <c r="AJ421" s="126">
        <v>9.5E-4</v>
      </c>
      <c r="AK421" s="159"/>
    </row>
    <row r="422" spans="1:37" x14ac:dyDescent="0.2">
      <c r="A422" s="121" t="s">
        <v>1223</v>
      </c>
      <c r="B422" s="122" t="s">
        <v>1223</v>
      </c>
      <c r="C422" s="122" t="s">
        <v>1713</v>
      </c>
      <c r="D422" s="122" t="s">
        <v>1714</v>
      </c>
      <c r="E422" s="122" t="s">
        <v>429</v>
      </c>
      <c r="F422" s="122" t="s">
        <v>1715</v>
      </c>
      <c r="G422" s="122" t="s">
        <v>1716</v>
      </c>
      <c r="H422" s="122" t="s">
        <v>76</v>
      </c>
      <c r="I422" s="122" t="s">
        <v>228</v>
      </c>
      <c r="J422" s="122" t="s">
        <v>53</v>
      </c>
      <c r="K422" s="122" t="s">
        <v>314</v>
      </c>
      <c r="L422" s="122" t="s">
        <v>805</v>
      </c>
      <c r="M422" s="122" t="s">
        <v>311</v>
      </c>
      <c r="N422" s="122" t="s">
        <v>636</v>
      </c>
      <c r="O422" s="122" t="s">
        <v>62</v>
      </c>
      <c r="P422" s="122" t="s">
        <v>1369</v>
      </c>
      <c r="Q422" s="122" t="s">
        <v>65</v>
      </c>
      <c r="R422" s="122" t="s">
        <v>57</v>
      </c>
      <c r="S422" s="122" t="s">
        <v>1216</v>
      </c>
      <c r="T422" s="123">
        <v>5.48</v>
      </c>
      <c r="U422" s="122" t="s">
        <v>1717</v>
      </c>
      <c r="V422" s="125">
        <v>6.5000000000000002E-2</v>
      </c>
      <c r="W422" s="125">
        <v>5.892E-2</v>
      </c>
      <c r="X422" s="122" t="s">
        <v>620</v>
      </c>
      <c r="Y422" s="133"/>
      <c r="Z422" s="123">
        <v>24192500</v>
      </c>
      <c r="AA422" s="123">
        <v>1</v>
      </c>
      <c r="AB422" s="123">
        <v>106.8</v>
      </c>
      <c r="AC422" s="122"/>
      <c r="AD422" s="123">
        <v>25837.59</v>
      </c>
      <c r="AE422" s="122"/>
      <c r="AF422" s="122"/>
      <c r="AG422" s="122"/>
      <c r="AH422" s="125">
        <v>4.0289999999999999E-2</v>
      </c>
      <c r="AI422" s="125">
        <v>6.8300000000000001E-3</v>
      </c>
      <c r="AJ422" s="126">
        <v>9.5E-4</v>
      </c>
      <c r="AK422" s="159"/>
    </row>
    <row r="423" spans="1:37" x14ac:dyDescent="0.2">
      <c r="A423" s="121" t="s">
        <v>1223</v>
      </c>
      <c r="B423" s="122" t="s">
        <v>1223</v>
      </c>
      <c r="C423" s="122" t="s">
        <v>1566</v>
      </c>
      <c r="D423" s="122" t="s">
        <v>1567</v>
      </c>
      <c r="E423" s="122" t="s">
        <v>429</v>
      </c>
      <c r="F423" s="122" t="s">
        <v>1568</v>
      </c>
      <c r="G423" s="122" t="s">
        <v>1569</v>
      </c>
      <c r="H423" s="122" t="s">
        <v>76</v>
      </c>
      <c r="I423" s="122" t="s">
        <v>229</v>
      </c>
      <c r="J423" s="122" t="s">
        <v>53</v>
      </c>
      <c r="K423" s="122" t="s">
        <v>53</v>
      </c>
      <c r="L423" s="122" t="s">
        <v>805</v>
      </c>
      <c r="M423" s="122" t="s">
        <v>311</v>
      </c>
      <c r="N423" s="122" t="s">
        <v>156</v>
      </c>
      <c r="O423" s="122" t="s">
        <v>62</v>
      </c>
      <c r="P423" s="122" t="s">
        <v>1402</v>
      </c>
      <c r="Q423" s="122" t="s">
        <v>70</v>
      </c>
      <c r="R423" s="122" t="s">
        <v>57</v>
      </c>
      <c r="S423" s="122" t="s">
        <v>1216</v>
      </c>
      <c r="T423" s="123">
        <v>3.22</v>
      </c>
      <c r="U423" s="122" t="s">
        <v>1438</v>
      </c>
      <c r="V423" s="125">
        <v>1.7999999999999999E-2</v>
      </c>
      <c r="W423" s="125">
        <v>3.1859999999999999E-2</v>
      </c>
      <c r="X423" s="122" t="s">
        <v>620</v>
      </c>
      <c r="Y423" s="133"/>
      <c r="Z423" s="123">
        <v>22620648.300000001</v>
      </c>
      <c r="AA423" s="123">
        <v>1</v>
      </c>
      <c r="AB423" s="123">
        <v>113.57</v>
      </c>
      <c r="AC423" s="122"/>
      <c r="AD423" s="123">
        <v>25690.27</v>
      </c>
      <c r="AE423" s="122"/>
      <c r="AF423" s="122"/>
      <c r="AG423" s="122"/>
      <c r="AH423" s="125">
        <v>2.7629999999999998E-2</v>
      </c>
      <c r="AI423" s="125">
        <v>6.7999999999999996E-3</v>
      </c>
      <c r="AJ423" s="126">
        <v>9.3999999999999997E-4</v>
      </c>
      <c r="AK423" s="159"/>
    </row>
    <row r="424" spans="1:37" x14ac:dyDescent="0.2">
      <c r="A424" s="121" t="s">
        <v>1223</v>
      </c>
      <c r="B424" s="122" t="s">
        <v>1223</v>
      </c>
      <c r="C424" s="122" t="s">
        <v>1431</v>
      </c>
      <c r="D424" s="122" t="s">
        <v>1432</v>
      </c>
      <c r="E424" s="122" t="s">
        <v>429</v>
      </c>
      <c r="F424" s="122" t="s">
        <v>1718</v>
      </c>
      <c r="G424" s="122" t="s">
        <v>1719</v>
      </c>
      <c r="H424" s="122" t="s">
        <v>76</v>
      </c>
      <c r="I424" s="122" t="s">
        <v>229</v>
      </c>
      <c r="J424" s="122" t="s">
        <v>53</v>
      </c>
      <c r="K424" s="122" t="s">
        <v>53</v>
      </c>
      <c r="L424" s="122" t="s">
        <v>805</v>
      </c>
      <c r="M424" s="122" t="s">
        <v>311</v>
      </c>
      <c r="N424" s="122" t="s">
        <v>636</v>
      </c>
      <c r="O424" s="122" t="s">
        <v>62</v>
      </c>
      <c r="P424" s="122" t="s">
        <v>1450</v>
      </c>
      <c r="Q424" s="122" t="s">
        <v>65</v>
      </c>
      <c r="R424" s="122" t="s">
        <v>57</v>
      </c>
      <c r="S424" s="122" t="s">
        <v>1216</v>
      </c>
      <c r="T424" s="123">
        <v>6.47</v>
      </c>
      <c r="U424" s="122" t="s">
        <v>1666</v>
      </c>
      <c r="V424" s="125">
        <v>4.02E-2</v>
      </c>
      <c r="W424" s="125">
        <v>3.2960000000000003E-2</v>
      </c>
      <c r="X424" s="122" t="s">
        <v>620</v>
      </c>
      <c r="Y424" s="133"/>
      <c r="Z424" s="123">
        <v>23195000</v>
      </c>
      <c r="AA424" s="123">
        <v>1</v>
      </c>
      <c r="AB424" s="123">
        <v>108.86</v>
      </c>
      <c r="AC424" s="122"/>
      <c r="AD424" s="123">
        <v>25250.077000000001</v>
      </c>
      <c r="AE424" s="122"/>
      <c r="AF424" s="122"/>
      <c r="AG424" s="122"/>
      <c r="AH424" s="125">
        <v>2.8750000000000001E-2</v>
      </c>
      <c r="AI424" s="125">
        <v>6.6800000000000002E-3</v>
      </c>
      <c r="AJ424" s="126">
        <v>9.2000000000000003E-4</v>
      </c>
      <c r="AK424" s="159"/>
    </row>
    <row r="425" spans="1:37" x14ac:dyDescent="0.2">
      <c r="A425" s="121" t="s">
        <v>1223</v>
      </c>
      <c r="B425" s="122" t="s">
        <v>1223</v>
      </c>
      <c r="C425" s="122" t="s">
        <v>1373</v>
      </c>
      <c r="D425" s="122" t="s">
        <v>1374</v>
      </c>
      <c r="E425" s="122" t="s">
        <v>429</v>
      </c>
      <c r="F425" s="122" t="s">
        <v>1375</v>
      </c>
      <c r="G425" s="122" t="s">
        <v>1376</v>
      </c>
      <c r="H425" s="122" t="s">
        <v>76</v>
      </c>
      <c r="I425" s="122" t="s">
        <v>229</v>
      </c>
      <c r="J425" s="122" t="s">
        <v>53</v>
      </c>
      <c r="K425" s="122" t="s">
        <v>53</v>
      </c>
      <c r="L425" s="122" t="s">
        <v>805</v>
      </c>
      <c r="M425" s="122" t="s">
        <v>311</v>
      </c>
      <c r="N425" s="122" t="s">
        <v>269</v>
      </c>
      <c r="O425" s="122" t="s">
        <v>62</v>
      </c>
      <c r="P425" s="122" t="s">
        <v>1377</v>
      </c>
      <c r="Q425" s="122" t="s">
        <v>70</v>
      </c>
      <c r="R425" s="122" t="s">
        <v>57</v>
      </c>
      <c r="S425" s="122" t="s">
        <v>1216</v>
      </c>
      <c r="T425" s="123">
        <v>6</v>
      </c>
      <c r="U425" s="122" t="s">
        <v>1378</v>
      </c>
      <c r="V425" s="125">
        <v>5.0529999999999999E-2</v>
      </c>
      <c r="W425" s="125">
        <v>4.7419999999999997E-2</v>
      </c>
      <c r="X425" s="122" t="s">
        <v>620</v>
      </c>
      <c r="Y425" s="133"/>
      <c r="Z425" s="123">
        <v>24500000</v>
      </c>
      <c r="AA425" s="123">
        <v>1</v>
      </c>
      <c r="AB425" s="123">
        <v>101.96</v>
      </c>
      <c r="AC425" s="122"/>
      <c r="AD425" s="123">
        <v>24980.2</v>
      </c>
      <c r="AE425" s="122"/>
      <c r="AF425" s="122"/>
      <c r="AG425" s="122"/>
      <c r="AH425" s="125">
        <v>6.1249999999999999E-2</v>
      </c>
      <c r="AI425" s="125">
        <v>6.6100000000000004E-3</v>
      </c>
      <c r="AJ425" s="126">
        <v>9.2000000000000003E-4</v>
      </c>
      <c r="AK425" s="159"/>
    </row>
    <row r="426" spans="1:37" x14ac:dyDescent="0.2">
      <c r="A426" s="121" t="s">
        <v>1223</v>
      </c>
      <c r="B426" s="122" t="s">
        <v>1223</v>
      </c>
      <c r="C426" s="122" t="s">
        <v>1393</v>
      </c>
      <c r="D426" s="122" t="s">
        <v>1394</v>
      </c>
      <c r="E426" s="122" t="s">
        <v>429</v>
      </c>
      <c r="F426" s="122" t="s">
        <v>1722</v>
      </c>
      <c r="G426" s="122" t="s">
        <v>1723</v>
      </c>
      <c r="H426" s="122" t="s">
        <v>76</v>
      </c>
      <c r="I426" s="122" t="s">
        <v>228</v>
      </c>
      <c r="J426" s="122" t="s">
        <v>53</v>
      </c>
      <c r="K426" s="122" t="s">
        <v>53</v>
      </c>
      <c r="L426" s="122" t="s">
        <v>805</v>
      </c>
      <c r="M426" s="122" t="s">
        <v>311</v>
      </c>
      <c r="N426" s="122" t="s">
        <v>269</v>
      </c>
      <c r="O426" s="122" t="s">
        <v>62</v>
      </c>
      <c r="P426" s="122" t="s">
        <v>1369</v>
      </c>
      <c r="Q426" s="122" t="s">
        <v>65</v>
      </c>
      <c r="R426" s="122" t="s">
        <v>57</v>
      </c>
      <c r="S426" s="122" t="s">
        <v>1216</v>
      </c>
      <c r="T426" s="123">
        <v>6.61</v>
      </c>
      <c r="U426" s="122" t="s">
        <v>1644</v>
      </c>
      <c r="V426" s="125">
        <v>6.0199999999999997E-2</v>
      </c>
      <c r="W426" s="125">
        <v>4.7629999999999999E-2</v>
      </c>
      <c r="X426" s="122" t="s">
        <v>620</v>
      </c>
      <c r="Y426" s="133"/>
      <c r="Z426" s="123">
        <v>22492000</v>
      </c>
      <c r="AA426" s="123">
        <v>1</v>
      </c>
      <c r="AB426" s="123">
        <v>110.37</v>
      </c>
      <c r="AC426" s="122"/>
      <c r="AD426" s="123">
        <v>24824.42</v>
      </c>
      <c r="AE426" s="122"/>
      <c r="AF426" s="122"/>
      <c r="AG426" s="122"/>
      <c r="AH426" s="125">
        <v>4.4979999999999999E-2</v>
      </c>
      <c r="AI426" s="125">
        <v>6.5700000000000003E-3</v>
      </c>
      <c r="AJ426" s="126">
        <v>9.1E-4</v>
      </c>
      <c r="AK426" s="159"/>
    </row>
    <row r="427" spans="1:37" x14ac:dyDescent="0.2">
      <c r="A427" s="121" t="s">
        <v>1223</v>
      </c>
      <c r="B427" s="122" t="s">
        <v>1223</v>
      </c>
      <c r="C427" s="122" t="s">
        <v>1727</v>
      </c>
      <c r="D427" s="122" t="s">
        <v>1728</v>
      </c>
      <c r="E427" s="122" t="s">
        <v>429</v>
      </c>
      <c r="F427" s="122" t="s">
        <v>1729</v>
      </c>
      <c r="G427" s="122" t="s">
        <v>1730</v>
      </c>
      <c r="H427" s="122" t="s">
        <v>76</v>
      </c>
      <c r="I427" s="122" t="s">
        <v>228</v>
      </c>
      <c r="J427" s="122" t="s">
        <v>53</v>
      </c>
      <c r="K427" s="122" t="s">
        <v>53</v>
      </c>
      <c r="L427" s="122" t="s">
        <v>805</v>
      </c>
      <c r="M427" s="122" t="s">
        <v>311</v>
      </c>
      <c r="N427" s="122" t="s">
        <v>269</v>
      </c>
      <c r="O427" s="122" t="s">
        <v>62</v>
      </c>
      <c r="P427" s="122" t="s">
        <v>1454</v>
      </c>
      <c r="Q427" s="122" t="s">
        <v>70</v>
      </c>
      <c r="R427" s="122" t="s">
        <v>57</v>
      </c>
      <c r="S427" s="122" t="s">
        <v>1216</v>
      </c>
      <c r="T427" s="123">
        <v>4.6900000000000004</v>
      </c>
      <c r="U427" s="122" t="s">
        <v>1427</v>
      </c>
      <c r="V427" s="125">
        <v>1.95E-2</v>
      </c>
      <c r="W427" s="125">
        <v>4.5310000000000003E-2</v>
      </c>
      <c r="X427" s="122" t="s">
        <v>620</v>
      </c>
      <c r="Y427" s="133"/>
      <c r="Z427" s="123">
        <v>27588757.309999999</v>
      </c>
      <c r="AA427" s="123">
        <v>1</v>
      </c>
      <c r="AB427" s="123">
        <v>89.16</v>
      </c>
      <c r="AC427" s="122"/>
      <c r="AD427" s="123">
        <v>24598.135999999999</v>
      </c>
      <c r="AE427" s="122"/>
      <c r="AF427" s="122"/>
      <c r="AG427" s="122"/>
      <c r="AH427" s="125">
        <v>2.8809999999999999E-2</v>
      </c>
      <c r="AI427" s="125">
        <v>6.5100000000000002E-3</v>
      </c>
      <c r="AJ427" s="126">
        <v>8.9999999999999998E-4</v>
      </c>
      <c r="AK427" s="159"/>
    </row>
    <row r="428" spans="1:37" x14ac:dyDescent="0.2">
      <c r="A428" s="121" t="s">
        <v>1223</v>
      </c>
      <c r="B428" s="122" t="s">
        <v>1223</v>
      </c>
      <c r="C428" s="122" t="s">
        <v>1326</v>
      </c>
      <c r="D428" s="122" t="s">
        <v>1327</v>
      </c>
      <c r="E428" s="122" t="s">
        <v>429</v>
      </c>
      <c r="F428" s="122" t="s">
        <v>1740</v>
      </c>
      <c r="G428" s="122" t="s">
        <v>1741</v>
      </c>
      <c r="H428" s="122" t="s">
        <v>76</v>
      </c>
      <c r="I428" s="122" t="s">
        <v>229</v>
      </c>
      <c r="J428" s="122" t="s">
        <v>53</v>
      </c>
      <c r="K428" s="122" t="s">
        <v>53</v>
      </c>
      <c r="L428" s="122" t="s">
        <v>805</v>
      </c>
      <c r="M428" s="122" t="s">
        <v>311</v>
      </c>
      <c r="N428" s="122" t="s">
        <v>256</v>
      </c>
      <c r="O428" s="122" t="s">
        <v>62</v>
      </c>
      <c r="P428" s="122" t="s">
        <v>1330</v>
      </c>
      <c r="Q428" s="122" t="s">
        <v>65</v>
      </c>
      <c r="R428" s="122" t="s">
        <v>57</v>
      </c>
      <c r="S428" s="122" t="s">
        <v>1216</v>
      </c>
      <c r="T428" s="123">
        <v>1.56</v>
      </c>
      <c r="U428" s="122" t="s">
        <v>1742</v>
      </c>
      <c r="V428" s="125">
        <v>6.0000000000000001E-3</v>
      </c>
      <c r="W428" s="125">
        <v>2.6890000000000001E-2</v>
      </c>
      <c r="X428" s="122" t="s">
        <v>620</v>
      </c>
      <c r="Y428" s="133"/>
      <c r="Z428" s="123">
        <v>21090300.469999999</v>
      </c>
      <c r="AA428" s="123">
        <v>1</v>
      </c>
      <c r="AB428" s="123">
        <v>116.21</v>
      </c>
      <c r="AC428" s="122"/>
      <c r="AD428" s="123">
        <v>24509.038</v>
      </c>
      <c r="AE428" s="122"/>
      <c r="AF428" s="122"/>
      <c r="AG428" s="122"/>
      <c r="AH428" s="125">
        <v>3.1609999999999999E-2</v>
      </c>
      <c r="AI428" s="125">
        <v>6.4799999999999996E-3</v>
      </c>
      <c r="AJ428" s="126">
        <v>8.9999999999999998E-4</v>
      </c>
      <c r="AK428" s="159"/>
    </row>
    <row r="429" spans="1:37" x14ac:dyDescent="0.2">
      <c r="A429" s="121" t="s">
        <v>1223</v>
      </c>
      <c r="B429" s="122" t="s">
        <v>1223</v>
      </c>
      <c r="C429" s="122" t="s">
        <v>1612</v>
      </c>
      <c r="D429" s="122" t="s">
        <v>1613</v>
      </c>
      <c r="E429" s="122" t="s">
        <v>429</v>
      </c>
      <c r="F429" s="122" t="s">
        <v>1731</v>
      </c>
      <c r="G429" s="122" t="s">
        <v>1732</v>
      </c>
      <c r="H429" s="122" t="s">
        <v>76</v>
      </c>
      <c r="I429" s="122" t="s">
        <v>229</v>
      </c>
      <c r="J429" s="122" t="s">
        <v>53</v>
      </c>
      <c r="K429" s="122" t="s">
        <v>53</v>
      </c>
      <c r="L429" s="122" t="s">
        <v>805</v>
      </c>
      <c r="M429" s="122" t="s">
        <v>311</v>
      </c>
      <c r="N429" s="122" t="s">
        <v>635</v>
      </c>
      <c r="O429" s="122" t="s">
        <v>62</v>
      </c>
      <c r="P429" s="122" t="s">
        <v>1450</v>
      </c>
      <c r="Q429" s="122" t="s">
        <v>65</v>
      </c>
      <c r="R429" s="122" t="s">
        <v>57</v>
      </c>
      <c r="S429" s="122" t="s">
        <v>1216</v>
      </c>
      <c r="T429" s="123">
        <v>5.0599999999999996</v>
      </c>
      <c r="U429" s="122" t="s">
        <v>1372</v>
      </c>
      <c r="V429" s="125">
        <v>9.7000000000000003E-3</v>
      </c>
      <c r="W429" s="125">
        <v>3.1390000000000001E-2</v>
      </c>
      <c r="X429" s="122" t="s">
        <v>620</v>
      </c>
      <c r="Y429" s="133"/>
      <c r="Z429" s="123">
        <v>23152941.059999999</v>
      </c>
      <c r="AA429" s="123">
        <v>1</v>
      </c>
      <c r="AB429" s="123">
        <v>104.98</v>
      </c>
      <c r="AC429" s="122"/>
      <c r="AD429" s="123">
        <v>24305.957999999999</v>
      </c>
      <c r="AE429" s="122"/>
      <c r="AF429" s="122"/>
      <c r="AG429" s="122"/>
      <c r="AH429" s="125">
        <v>3.9669999999999997E-2</v>
      </c>
      <c r="AI429" s="125">
        <v>6.43E-3</v>
      </c>
      <c r="AJ429" s="126">
        <v>8.8999999999999995E-4</v>
      </c>
      <c r="AK429" s="159"/>
    </row>
    <row r="430" spans="1:37" x14ac:dyDescent="0.2">
      <c r="A430" s="121" t="s">
        <v>1223</v>
      </c>
      <c r="B430" s="122" t="s">
        <v>1223</v>
      </c>
      <c r="C430" s="122" t="s">
        <v>1735</v>
      </c>
      <c r="D430" s="122" t="s">
        <v>1736</v>
      </c>
      <c r="E430" s="122" t="s">
        <v>429</v>
      </c>
      <c r="F430" s="122" t="s">
        <v>1737</v>
      </c>
      <c r="G430" s="122" t="s">
        <v>1738</v>
      </c>
      <c r="H430" s="122" t="s">
        <v>76</v>
      </c>
      <c r="I430" s="122" t="s">
        <v>228</v>
      </c>
      <c r="J430" s="122" t="s">
        <v>53</v>
      </c>
      <c r="K430" s="122" t="s">
        <v>53</v>
      </c>
      <c r="L430" s="122" t="s">
        <v>805</v>
      </c>
      <c r="M430" s="122" t="s">
        <v>311</v>
      </c>
      <c r="N430" s="122" t="s">
        <v>140</v>
      </c>
      <c r="O430" s="122" t="s">
        <v>62</v>
      </c>
      <c r="P430" s="122" t="s">
        <v>1423</v>
      </c>
      <c r="Q430" s="122" t="s">
        <v>70</v>
      </c>
      <c r="R430" s="122" t="s">
        <v>57</v>
      </c>
      <c r="S430" s="122" t="s">
        <v>1216</v>
      </c>
      <c r="T430" s="123">
        <v>4.1100000000000003</v>
      </c>
      <c r="U430" s="122" t="s">
        <v>1739</v>
      </c>
      <c r="V430" s="125">
        <v>6.1199999999999997E-2</v>
      </c>
      <c r="W430" s="125">
        <v>4.9270000000000001E-2</v>
      </c>
      <c r="X430" s="122" t="s">
        <v>620</v>
      </c>
      <c r="Y430" s="133"/>
      <c r="Z430" s="123">
        <v>22672000</v>
      </c>
      <c r="AA430" s="123">
        <v>1</v>
      </c>
      <c r="AB430" s="123">
        <v>106.72</v>
      </c>
      <c r="AC430" s="122"/>
      <c r="AD430" s="123">
        <v>24195.558000000001</v>
      </c>
      <c r="AE430" s="122"/>
      <c r="AF430" s="122"/>
      <c r="AG430" s="122"/>
      <c r="AH430" s="125">
        <v>7.979E-2</v>
      </c>
      <c r="AI430" s="125">
        <v>6.4000000000000003E-3</v>
      </c>
      <c r="AJ430" s="126">
        <v>8.8999999999999995E-4</v>
      </c>
      <c r="AK430" s="159"/>
    </row>
    <row r="431" spans="1:37" x14ac:dyDescent="0.2">
      <c r="A431" s="121" t="s">
        <v>1223</v>
      </c>
      <c r="B431" s="122" t="s">
        <v>1223</v>
      </c>
      <c r="C431" s="122" t="s">
        <v>1340</v>
      </c>
      <c r="D431" s="122" t="s">
        <v>1341</v>
      </c>
      <c r="E431" s="122" t="s">
        <v>429</v>
      </c>
      <c r="F431" s="122" t="s">
        <v>1724</v>
      </c>
      <c r="G431" s="122" t="s">
        <v>1725</v>
      </c>
      <c r="H431" s="122" t="s">
        <v>76</v>
      </c>
      <c r="I431" s="122" t="s">
        <v>229</v>
      </c>
      <c r="J431" s="122" t="s">
        <v>53</v>
      </c>
      <c r="K431" s="122" t="s">
        <v>53</v>
      </c>
      <c r="L431" s="122" t="s">
        <v>805</v>
      </c>
      <c r="M431" s="122" t="s">
        <v>311</v>
      </c>
      <c r="N431" s="122" t="s">
        <v>256</v>
      </c>
      <c r="O431" s="122" t="s">
        <v>62</v>
      </c>
      <c r="P431" s="122" t="s">
        <v>1330</v>
      </c>
      <c r="Q431" s="122" t="s">
        <v>65</v>
      </c>
      <c r="R431" s="122" t="s">
        <v>57</v>
      </c>
      <c r="S431" s="122" t="s">
        <v>1216</v>
      </c>
      <c r="T431" s="123">
        <v>3.02</v>
      </c>
      <c r="U431" s="122" t="s">
        <v>1726</v>
      </c>
      <c r="V431" s="125">
        <v>1.6400000000000001E-2</v>
      </c>
      <c r="W431" s="125">
        <v>2.5909999999999999E-2</v>
      </c>
      <c r="X431" s="122" t="s">
        <v>620</v>
      </c>
      <c r="Y431" s="133"/>
      <c r="Z431" s="123">
        <v>21778400.940000001</v>
      </c>
      <c r="AA431" s="123">
        <v>1</v>
      </c>
      <c r="AB431" s="123">
        <v>108.49</v>
      </c>
      <c r="AC431" s="122"/>
      <c r="AD431" s="123">
        <v>23627.386999999999</v>
      </c>
      <c r="AE431" s="122"/>
      <c r="AF431" s="122"/>
      <c r="AG431" s="122"/>
      <c r="AH431" s="125">
        <v>2.3140000000000001E-2</v>
      </c>
      <c r="AI431" s="125">
        <v>6.2500000000000003E-3</v>
      </c>
      <c r="AJ431" s="126">
        <v>8.7000000000000001E-4</v>
      </c>
      <c r="AK431" s="159"/>
    </row>
    <row r="432" spans="1:37" x14ac:dyDescent="0.2">
      <c r="A432" s="121" t="s">
        <v>1223</v>
      </c>
      <c r="B432" s="122" t="s">
        <v>1223</v>
      </c>
      <c r="C432" s="122" t="s">
        <v>1542</v>
      </c>
      <c r="D432" s="122" t="s">
        <v>1543</v>
      </c>
      <c r="E432" s="122" t="s">
        <v>429</v>
      </c>
      <c r="F432" s="122" t="s">
        <v>1544</v>
      </c>
      <c r="G432" s="122" t="s">
        <v>1545</v>
      </c>
      <c r="H432" s="122" t="s">
        <v>76</v>
      </c>
      <c r="I432" s="122" t="s">
        <v>229</v>
      </c>
      <c r="J432" s="122" t="s">
        <v>53</v>
      </c>
      <c r="K432" s="122" t="s">
        <v>53</v>
      </c>
      <c r="L432" s="122" t="s">
        <v>805</v>
      </c>
      <c r="M432" s="122" t="s">
        <v>311</v>
      </c>
      <c r="N432" s="122" t="s">
        <v>635</v>
      </c>
      <c r="O432" s="122" t="s">
        <v>62</v>
      </c>
      <c r="P432" s="122" t="s">
        <v>1546</v>
      </c>
      <c r="Q432" s="122" t="s">
        <v>65</v>
      </c>
      <c r="R432" s="122" t="s">
        <v>57</v>
      </c>
      <c r="S432" s="122" t="s">
        <v>1216</v>
      </c>
      <c r="T432" s="123">
        <v>6.17</v>
      </c>
      <c r="U432" s="122" t="s">
        <v>1547</v>
      </c>
      <c r="V432" s="125">
        <v>8.9999999999999993E-3</v>
      </c>
      <c r="W432" s="125">
        <v>2.775E-2</v>
      </c>
      <c r="X432" s="122" t="s">
        <v>620</v>
      </c>
      <c r="Y432" s="133"/>
      <c r="Z432" s="123">
        <v>22527672.620000001</v>
      </c>
      <c r="AA432" s="123">
        <v>1</v>
      </c>
      <c r="AB432" s="123">
        <v>104.46</v>
      </c>
      <c r="AC432" s="122"/>
      <c r="AD432" s="123">
        <v>23532.406999999999</v>
      </c>
      <c r="AE432" s="122"/>
      <c r="AF432" s="122"/>
      <c r="AG432" s="122"/>
      <c r="AH432" s="125">
        <v>8.3599999999999994E-3</v>
      </c>
      <c r="AI432" s="125">
        <v>6.2199999999999998E-3</v>
      </c>
      <c r="AJ432" s="126">
        <v>8.5999999999999998E-4</v>
      </c>
      <c r="AK432" s="159"/>
    </row>
    <row r="433" spans="1:37" x14ac:dyDescent="0.2">
      <c r="A433" s="121" t="s">
        <v>1223</v>
      </c>
      <c r="B433" s="122" t="s">
        <v>1223</v>
      </c>
      <c r="C433" s="122" t="s">
        <v>1557</v>
      </c>
      <c r="D433" s="122" t="s">
        <v>1558</v>
      </c>
      <c r="E433" s="122" t="s">
        <v>429</v>
      </c>
      <c r="F433" s="122" t="s">
        <v>1733</v>
      </c>
      <c r="G433" s="122" t="s">
        <v>1734</v>
      </c>
      <c r="H433" s="122" t="s">
        <v>76</v>
      </c>
      <c r="I433" s="122" t="s">
        <v>229</v>
      </c>
      <c r="J433" s="122" t="s">
        <v>53</v>
      </c>
      <c r="K433" s="122" t="s">
        <v>53</v>
      </c>
      <c r="L433" s="122" t="s">
        <v>805</v>
      </c>
      <c r="M433" s="122" t="s">
        <v>311</v>
      </c>
      <c r="N433" s="122" t="s">
        <v>635</v>
      </c>
      <c r="O433" s="122" t="s">
        <v>62</v>
      </c>
      <c r="P433" s="122" t="s">
        <v>1561</v>
      </c>
      <c r="Q433" s="122" t="s">
        <v>65</v>
      </c>
      <c r="R433" s="122" t="s">
        <v>57</v>
      </c>
      <c r="S433" s="122" t="s">
        <v>1216</v>
      </c>
      <c r="T433" s="123">
        <v>2.62</v>
      </c>
      <c r="U433" s="122" t="s">
        <v>1527</v>
      </c>
      <c r="V433" s="125">
        <v>2.7E-2</v>
      </c>
      <c r="W433" s="125">
        <v>3.0169999999999999E-2</v>
      </c>
      <c r="X433" s="122" t="s">
        <v>620</v>
      </c>
      <c r="Y433" s="133"/>
      <c r="Z433" s="123">
        <v>21178800</v>
      </c>
      <c r="AA433" s="123">
        <v>1</v>
      </c>
      <c r="AB433" s="123">
        <v>110.04</v>
      </c>
      <c r="AC433" s="122"/>
      <c r="AD433" s="123">
        <v>23305.151999999998</v>
      </c>
      <c r="AE433" s="122"/>
      <c r="AF433" s="122"/>
      <c r="AG433" s="122"/>
      <c r="AH433" s="125">
        <v>5.3769999999999998E-2</v>
      </c>
      <c r="AI433" s="125">
        <v>6.1599999999999997E-3</v>
      </c>
      <c r="AJ433" s="126">
        <v>8.4999999999999995E-4</v>
      </c>
      <c r="AK433" s="159"/>
    </row>
    <row r="434" spans="1:37" x14ac:dyDescent="0.2">
      <c r="A434" s="121" t="s">
        <v>1223</v>
      </c>
      <c r="B434" s="122" t="s">
        <v>1223</v>
      </c>
      <c r="C434" s="122" t="s">
        <v>1743</v>
      </c>
      <c r="D434" s="122" t="s">
        <v>1744</v>
      </c>
      <c r="E434" s="122" t="s">
        <v>429</v>
      </c>
      <c r="F434" s="122" t="s">
        <v>1745</v>
      </c>
      <c r="G434" s="122" t="s">
        <v>1746</v>
      </c>
      <c r="H434" s="122" t="s">
        <v>76</v>
      </c>
      <c r="I434" s="122" t="s">
        <v>229</v>
      </c>
      <c r="J434" s="122" t="s">
        <v>53</v>
      </c>
      <c r="K434" s="122" t="s">
        <v>53</v>
      </c>
      <c r="L434" s="122" t="s">
        <v>805</v>
      </c>
      <c r="M434" s="122" t="s">
        <v>311</v>
      </c>
      <c r="N434" s="122" t="s">
        <v>258</v>
      </c>
      <c r="O434" s="122" t="s">
        <v>62</v>
      </c>
      <c r="P434" s="122" t="s">
        <v>1330</v>
      </c>
      <c r="Q434" s="122" t="s">
        <v>65</v>
      </c>
      <c r="R434" s="122" t="s">
        <v>57</v>
      </c>
      <c r="S434" s="122" t="s">
        <v>1216</v>
      </c>
      <c r="T434" s="123">
        <v>11.52</v>
      </c>
      <c r="U434" s="122" t="s">
        <v>1747</v>
      </c>
      <c r="V434" s="125">
        <v>2.07E-2</v>
      </c>
      <c r="W434" s="125">
        <v>2.7019999999999999E-2</v>
      </c>
      <c r="X434" s="122" t="s">
        <v>620</v>
      </c>
      <c r="Y434" s="133"/>
      <c r="Z434" s="123">
        <v>20692572.129999999</v>
      </c>
      <c r="AA434" s="123">
        <v>1</v>
      </c>
      <c r="AB434" s="123">
        <v>109.4</v>
      </c>
      <c r="AC434" s="122"/>
      <c r="AD434" s="123">
        <v>22637.673999999999</v>
      </c>
      <c r="AE434" s="122"/>
      <c r="AF434" s="122"/>
      <c r="AG434" s="122"/>
      <c r="AH434" s="125">
        <v>3.7799999999999999E-3</v>
      </c>
      <c r="AI434" s="125">
        <v>5.9899999999999997E-3</v>
      </c>
      <c r="AJ434" s="126">
        <v>8.3000000000000001E-4</v>
      </c>
      <c r="AK434" s="159"/>
    </row>
    <row r="435" spans="1:37" x14ac:dyDescent="0.2">
      <c r="A435" s="121" t="s">
        <v>1223</v>
      </c>
      <c r="B435" s="122" t="s">
        <v>1223</v>
      </c>
      <c r="C435" s="122" t="s">
        <v>1557</v>
      </c>
      <c r="D435" s="122" t="s">
        <v>1558</v>
      </c>
      <c r="E435" s="122" t="s">
        <v>429</v>
      </c>
      <c r="F435" s="122" t="s">
        <v>1559</v>
      </c>
      <c r="G435" s="122" t="s">
        <v>1560</v>
      </c>
      <c r="H435" s="122" t="s">
        <v>76</v>
      </c>
      <c r="I435" s="122" t="s">
        <v>229</v>
      </c>
      <c r="J435" s="122" t="s">
        <v>53</v>
      </c>
      <c r="K435" s="122" t="s">
        <v>53</v>
      </c>
      <c r="L435" s="122" t="s">
        <v>805</v>
      </c>
      <c r="M435" s="122" t="s">
        <v>311</v>
      </c>
      <c r="N435" s="122" t="s">
        <v>635</v>
      </c>
      <c r="O435" s="122" t="s">
        <v>62</v>
      </c>
      <c r="P435" s="122" t="s">
        <v>1561</v>
      </c>
      <c r="Q435" s="122" t="s">
        <v>65</v>
      </c>
      <c r="R435" s="122" t="s">
        <v>57</v>
      </c>
      <c r="S435" s="122" t="s">
        <v>1216</v>
      </c>
      <c r="T435" s="123">
        <v>2.0099999999999998</v>
      </c>
      <c r="U435" s="122" t="s">
        <v>1493</v>
      </c>
      <c r="V435" s="125">
        <v>1.7999999999999999E-2</v>
      </c>
      <c r="W435" s="125">
        <v>0.03</v>
      </c>
      <c r="X435" s="122" t="s">
        <v>620</v>
      </c>
      <c r="Y435" s="133"/>
      <c r="Z435" s="123">
        <v>19350938.059999999</v>
      </c>
      <c r="AA435" s="123">
        <v>1</v>
      </c>
      <c r="AB435" s="123">
        <v>116.94</v>
      </c>
      <c r="AC435" s="122"/>
      <c r="AD435" s="123">
        <v>22628.987000000001</v>
      </c>
      <c r="AE435" s="122"/>
      <c r="AF435" s="122"/>
      <c r="AG435" s="122"/>
      <c r="AH435" s="125">
        <v>2.6169999999999999E-2</v>
      </c>
      <c r="AI435" s="125">
        <v>5.9899999999999997E-3</v>
      </c>
      <c r="AJ435" s="126">
        <v>8.3000000000000001E-4</v>
      </c>
      <c r="AK435" s="159"/>
    </row>
    <row r="436" spans="1:37" x14ac:dyDescent="0.2">
      <c r="A436" s="121" t="s">
        <v>1223</v>
      </c>
      <c r="B436" s="122" t="s">
        <v>1223</v>
      </c>
      <c r="C436" s="122" t="s">
        <v>1575</v>
      </c>
      <c r="D436" s="122" t="s">
        <v>1576</v>
      </c>
      <c r="E436" s="122" t="s">
        <v>429</v>
      </c>
      <c r="F436" s="122" t="s">
        <v>1752</v>
      </c>
      <c r="G436" s="122" t="s">
        <v>1753</v>
      </c>
      <c r="H436" s="122" t="s">
        <v>76</v>
      </c>
      <c r="I436" s="122" t="s">
        <v>229</v>
      </c>
      <c r="J436" s="122" t="s">
        <v>53</v>
      </c>
      <c r="K436" s="122" t="s">
        <v>53</v>
      </c>
      <c r="L436" s="122" t="s">
        <v>805</v>
      </c>
      <c r="M436" s="122" t="s">
        <v>311</v>
      </c>
      <c r="N436" s="122" t="s">
        <v>635</v>
      </c>
      <c r="O436" s="122" t="s">
        <v>62</v>
      </c>
      <c r="P436" s="122" t="s">
        <v>1324</v>
      </c>
      <c r="Q436" s="122" t="s">
        <v>65</v>
      </c>
      <c r="R436" s="122" t="s">
        <v>57</v>
      </c>
      <c r="S436" s="122" t="s">
        <v>1216</v>
      </c>
      <c r="T436" s="123">
        <v>4.4800000000000004</v>
      </c>
      <c r="U436" s="122" t="s">
        <v>1754</v>
      </c>
      <c r="V436" s="125">
        <v>2.5999999999999999E-2</v>
      </c>
      <c r="W436" s="125">
        <v>2.7609999999999999E-2</v>
      </c>
      <c r="X436" s="122" t="s">
        <v>620</v>
      </c>
      <c r="Y436" s="133"/>
      <c r="Z436" s="123">
        <v>20974000</v>
      </c>
      <c r="AA436" s="123">
        <v>1</v>
      </c>
      <c r="AB436" s="123">
        <v>106.48</v>
      </c>
      <c r="AC436" s="122"/>
      <c r="AD436" s="123">
        <v>22333.115000000002</v>
      </c>
      <c r="AE436" s="122"/>
      <c r="AF436" s="122"/>
      <c r="AG436" s="122"/>
      <c r="AH436" s="125">
        <v>3.9129999999999998E-2</v>
      </c>
      <c r="AI436" s="125">
        <v>5.9100000000000003E-3</v>
      </c>
      <c r="AJ436" s="126">
        <v>8.1999999999999998E-4</v>
      </c>
      <c r="AK436" s="159"/>
    </row>
    <row r="437" spans="1:37" x14ac:dyDescent="0.2">
      <c r="A437" s="121" t="s">
        <v>1223</v>
      </c>
      <c r="B437" s="122" t="s">
        <v>1223</v>
      </c>
      <c r="C437" s="122" t="s">
        <v>1557</v>
      </c>
      <c r="D437" s="122" t="s">
        <v>1558</v>
      </c>
      <c r="E437" s="122" t="s">
        <v>429</v>
      </c>
      <c r="F437" s="122" t="s">
        <v>1748</v>
      </c>
      <c r="G437" s="122" t="s">
        <v>1749</v>
      </c>
      <c r="H437" s="122" t="s">
        <v>76</v>
      </c>
      <c r="I437" s="122" t="s">
        <v>229</v>
      </c>
      <c r="J437" s="122" t="s">
        <v>53</v>
      </c>
      <c r="K437" s="122" t="s">
        <v>53</v>
      </c>
      <c r="L437" s="122" t="s">
        <v>805</v>
      </c>
      <c r="M437" s="122" t="s">
        <v>311</v>
      </c>
      <c r="N437" s="122" t="s">
        <v>635</v>
      </c>
      <c r="O437" s="122" t="s">
        <v>62</v>
      </c>
      <c r="P437" s="122" t="s">
        <v>1750</v>
      </c>
      <c r="Q437" s="122" t="s">
        <v>65</v>
      </c>
      <c r="R437" s="122" t="s">
        <v>57</v>
      </c>
      <c r="S437" s="122" t="s">
        <v>1216</v>
      </c>
      <c r="T437" s="123">
        <v>3.98</v>
      </c>
      <c r="U437" s="122" t="s">
        <v>1751</v>
      </c>
      <c r="V437" s="125">
        <v>4.4499999999999998E-2</v>
      </c>
      <c r="W437" s="125">
        <v>3.4729999999999997E-2</v>
      </c>
      <c r="X437" s="122" t="s">
        <v>620</v>
      </c>
      <c r="Y437" s="133"/>
      <c r="Z437" s="123">
        <v>19611000</v>
      </c>
      <c r="AA437" s="123">
        <v>1</v>
      </c>
      <c r="AB437" s="123">
        <v>111.65</v>
      </c>
      <c r="AC437" s="122"/>
      <c r="AD437" s="123">
        <v>21895.682000000001</v>
      </c>
      <c r="AE437" s="122"/>
      <c r="AF437" s="122"/>
      <c r="AG437" s="122"/>
      <c r="AH437" s="125">
        <v>4.3580000000000001E-2</v>
      </c>
      <c r="AI437" s="125">
        <v>5.79E-3</v>
      </c>
      <c r="AJ437" s="126">
        <v>8.0000000000000004E-4</v>
      </c>
      <c r="AK437" s="159"/>
    </row>
    <row r="438" spans="1:37" x14ac:dyDescent="0.2">
      <c r="A438" s="121" t="s">
        <v>1223</v>
      </c>
      <c r="B438" s="122" t="s">
        <v>1223</v>
      </c>
      <c r="C438" s="122" t="s">
        <v>1332</v>
      </c>
      <c r="D438" s="122" t="s">
        <v>1333</v>
      </c>
      <c r="E438" s="122" t="s">
        <v>430</v>
      </c>
      <c r="F438" s="122" t="s">
        <v>1467</v>
      </c>
      <c r="G438" s="122" t="s">
        <v>1468</v>
      </c>
      <c r="H438" s="122" t="s">
        <v>76</v>
      </c>
      <c r="I438" s="122" t="s">
        <v>229</v>
      </c>
      <c r="J438" s="122" t="s">
        <v>53</v>
      </c>
      <c r="K438" s="122" t="s">
        <v>53</v>
      </c>
      <c r="L438" s="122" t="s">
        <v>805</v>
      </c>
      <c r="M438" s="122" t="s">
        <v>311</v>
      </c>
      <c r="N438" s="122" t="s">
        <v>156</v>
      </c>
      <c r="O438" s="122" t="s">
        <v>62</v>
      </c>
      <c r="P438" s="122" t="s">
        <v>1215</v>
      </c>
      <c r="Q438" s="122" t="s">
        <v>70</v>
      </c>
      <c r="R438" s="122" t="s">
        <v>57</v>
      </c>
      <c r="S438" s="122" t="s">
        <v>1216</v>
      </c>
      <c r="T438" s="123">
        <v>0.41</v>
      </c>
      <c r="U438" s="122" t="s">
        <v>1469</v>
      </c>
      <c r="V438" s="125">
        <v>4.4999999999999998E-2</v>
      </c>
      <c r="W438" s="125">
        <v>5.2880000000000003E-2</v>
      </c>
      <c r="X438" s="122" t="s">
        <v>620</v>
      </c>
      <c r="Y438" s="133"/>
      <c r="Z438" s="123">
        <v>18156986</v>
      </c>
      <c r="AA438" s="123">
        <v>1</v>
      </c>
      <c r="AB438" s="123">
        <v>120.41</v>
      </c>
      <c r="AC438" s="122"/>
      <c r="AD438" s="123">
        <v>21862.827000000001</v>
      </c>
      <c r="AE438" s="122"/>
      <c r="AF438" s="122"/>
      <c r="AG438" s="122"/>
      <c r="AH438" s="125">
        <v>1.2290000000000001E-2</v>
      </c>
      <c r="AI438" s="125">
        <v>5.7800000000000004E-3</v>
      </c>
      <c r="AJ438" s="126">
        <v>8.0000000000000004E-4</v>
      </c>
      <c r="AK438" s="159"/>
    </row>
    <row r="439" spans="1:37" x14ac:dyDescent="0.2">
      <c r="A439" s="121" t="s">
        <v>1223</v>
      </c>
      <c r="B439" s="122" t="s">
        <v>1223</v>
      </c>
      <c r="C439" s="122" t="s">
        <v>1596</v>
      </c>
      <c r="D439" s="122" t="s">
        <v>1597</v>
      </c>
      <c r="E439" s="122" t="s">
        <v>429</v>
      </c>
      <c r="F439" s="122" t="s">
        <v>1755</v>
      </c>
      <c r="G439" s="122" t="s">
        <v>1756</v>
      </c>
      <c r="H439" s="122" t="s">
        <v>76</v>
      </c>
      <c r="I439" s="122" t="s">
        <v>228</v>
      </c>
      <c r="J439" s="122" t="s">
        <v>53</v>
      </c>
      <c r="K439" s="122" t="s">
        <v>53</v>
      </c>
      <c r="L439" s="122" t="s">
        <v>805</v>
      </c>
      <c r="M439" s="122" t="s">
        <v>311</v>
      </c>
      <c r="N439" s="122" t="s">
        <v>635</v>
      </c>
      <c r="O439" s="122" t="s">
        <v>62</v>
      </c>
      <c r="P439" s="122" t="s">
        <v>1540</v>
      </c>
      <c r="Q439" s="122" t="s">
        <v>70</v>
      </c>
      <c r="R439" s="122" t="s">
        <v>57</v>
      </c>
      <c r="S439" s="122" t="s">
        <v>1216</v>
      </c>
      <c r="T439" s="123">
        <v>4.6399999999999997</v>
      </c>
      <c r="U439" s="122" t="s">
        <v>1739</v>
      </c>
      <c r="V439" s="125">
        <v>5.4800000000000001E-2</v>
      </c>
      <c r="W439" s="125">
        <v>4.7149999999999997E-2</v>
      </c>
      <c r="X439" s="122" t="s">
        <v>620</v>
      </c>
      <c r="Y439" s="133"/>
      <c r="Z439" s="123">
        <v>20498000</v>
      </c>
      <c r="AA439" s="123">
        <v>1</v>
      </c>
      <c r="AB439" s="123">
        <v>105.18</v>
      </c>
      <c r="AC439" s="122"/>
      <c r="AD439" s="123">
        <v>21559.795999999998</v>
      </c>
      <c r="AE439" s="122"/>
      <c r="AF439" s="122"/>
      <c r="AG439" s="122"/>
      <c r="AH439" s="125">
        <v>6.8330000000000002E-2</v>
      </c>
      <c r="AI439" s="125">
        <v>5.7000000000000002E-3</v>
      </c>
      <c r="AJ439" s="126">
        <v>7.9000000000000001E-4</v>
      </c>
      <c r="AK439" s="159"/>
    </row>
    <row r="440" spans="1:37" x14ac:dyDescent="0.2">
      <c r="A440" s="121" t="s">
        <v>1223</v>
      </c>
      <c r="B440" s="122" t="s">
        <v>1223</v>
      </c>
      <c r="C440" s="122" t="s">
        <v>1757</v>
      </c>
      <c r="D440" s="122" t="s">
        <v>1758</v>
      </c>
      <c r="E440" s="122" t="s">
        <v>429</v>
      </c>
      <c r="F440" s="122" t="s">
        <v>1759</v>
      </c>
      <c r="G440" s="122" t="s">
        <v>1760</v>
      </c>
      <c r="H440" s="122" t="s">
        <v>76</v>
      </c>
      <c r="I440" s="122" t="s">
        <v>228</v>
      </c>
      <c r="J440" s="122" t="s">
        <v>53</v>
      </c>
      <c r="K440" s="122" t="s">
        <v>313</v>
      </c>
      <c r="L440" s="122" t="s">
        <v>805</v>
      </c>
      <c r="M440" s="122" t="s">
        <v>311</v>
      </c>
      <c r="N440" s="122" t="s">
        <v>636</v>
      </c>
      <c r="O440" s="122" t="s">
        <v>62</v>
      </c>
      <c r="P440" s="122" t="s">
        <v>1540</v>
      </c>
      <c r="Q440" s="122" t="s">
        <v>70</v>
      </c>
      <c r="R440" s="122" t="s">
        <v>57</v>
      </c>
      <c r="S440" s="122" t="s">
        <v>1216</v>
      </c>
      <c r="T440" s="123">
        <v>5.55</v>
      </c>
      <c r="U440" s="122" t="s">
        <v>1666</v>
      </c>
      <c r="V440" s="125">
        <v>5.5899999999999998E-2</v>
      </c>
      <c r="W440" s="125">
        <v>5.4120000000000001E-2</v>
      </c>
      <c r="X440" s="122" t="s">
        <v>620</v>
      </c>
      <c r="Y440" s="133"/>
      <c r="Z440" s="123">
        <v>21207000</v>
      </c>
      <c r="AA440" s="123">
        <v>1</v>
      </c>
      <c r="AB440" s="123">
        <v>101.35</v>
      </c>
      <c r="AC440" s="122"/>
      <c r="AD440" s="123">
        <v>21493.294999999998</v>
      </c>
      <c r="AE440" s="122"/>
      <c r="AF440" s="122"/>
      <c r="AG440" s="122"/>
      <c r="AH440" s="125">
        <v>9.4810000000000005E-2</v>
      </c>
      <c r="AI440" s="125">
        <v>5.6899999999999997E-3</v>
      </c>
      <c r="AJ440" s="126">
        <v>7.9000000000000001E-4</v>
      </c>
      <c r="AK440" s="159"/>
    </row>
    <row r="441" spans="1:37" x14ac:dyDescent="0.2">
      <c r="A441" s="121" t="s">
        <v>1223</v>
      </c>
      <c r="B441" s="122" t="s">
        <v>1223</v>
      </c>
      <c r="C441" s="122" t="s">
        <v>1761</v>
      </c>
      <c r="D441" s="122" t="s">
        <v>1762</v>
      </c>
      <c r="E441" s="122" t="s">
        <v>429</v>
      </c>
      <c r="F441" s="122" t="s">
        <v>1763</v>
      </c>
      <c r="G441" s="122" t="s">
        <v>1764</v>
      </c>
      <c r="H441" s="122" t="s">
        <v>76</v>
      </c>
      <c r="I441" s="122" t="s">
        <v>229</v>
      </c>
      <c r="J441" s="122" t="s">
        <v>53</v>
      </c>
      <c r="K441" s="122" t="s">
        <v>53</v>
      </c>
      <c r="L441" s="122" t="s">
        <v>805</v>
      </c>
      <c r="M441" s="122" t="s">
        <v>311</v>
      </c>
      <c r="N441" s="122" t="s">
        <v>256</v>
      </c>
      <c r="O441" s="122" t="s">
        <v>62</v>
      </c>
      <c r="P441" s="122" t="s">
        <v>1330</v>
      </c>
      <c r="Q441" s="122" t="s">
        <v>65</v>
      </c>
      <c r="R441" s="122" t="s">
        <v>57</v>
      </c>
      <c r="S441" s="122" t="s">
        <v>1216</v>
      </c>
      <c r="T441" s="123">
        <v>1.1599999999999999</v>
      </c>
      <c r="U441" s="122" t="s">
        <v>1765</v>
      </c>
      <c r="V441" s="125">
        <v>1E-3</v>
      </c>
      <c r="W441" s="125">
        <v>2.9489999999999999E-2</v>
      </c>
      <c r="X441" s="122" t="s">
        <v>620</v>
      </c>
      <c r="Y441" s="133"/>
      <c r="Z441" s="123">
        <v>18933000</v>
      </c>
      <c r="AA441" s="123">
        <v>1</v>
      </c>
      <c r="AB441" s="123">
        <v>112.08</v>
      </c>
      <c r="AC441" s="122"/>
      <c r="AD441" s="123">
        <v>21220.106</v>
      </c>
      <c r="AE441" s="122"/>
      <c r="AF441" s="122"/>
      <c r="AG441" s="122"/>
      <c r="AH441" s="125">
        <v>4.0550000000000003E-2</v>
      </c>
      <c r="AI441" s="125">
        <v>5.6100000000000004E-3</v>
      </c>
      <c r="AJ441" s="126">
        <v>7.7999999999999999E-4</v>
      </c>
      <c r="AK441" s="159"/>
    </row>
    <row r="442" spans="1:37" x14ac:dyDescent="0.2">
      <c r="A442" s="121" t="s">
        <v>1223</v>
      </c>
      <c r="B442" s="122" t="s">
        <v>1223</v>
      </c>
      <c r="C442" s="122" t="s">
        <v>1320</v>
      </c>
      <c r="D442" s="122" t="s">
        <v>1321</v>
      </c>
      <c r="E442" s="122" t="s">
        <v>429</v>
      </c>
      <c r="F442" s="122" t="s">
        <v>1452</v>
      </c>
      <c r="G442" s="122" t="s">
        <v>1453</v>
      </c>
      <c r="H442" s="122" t="s">
        <v>76</v>
      </c>
      <c r="I442" s="122" t="s">
        <v>229</v>
      </c>
      <c r="J442" s="122" t="s">
        <v>53</v>
      </c>
      <c r="K442" s="122" t="s">
        <v>53</v>
      </c>
      <c r="L442" s="122" t="s">
        <v>805</v>
      </c>
      <c r="M442" s="122" t="s">
        <v>311</v>
      </c>
      <c r="N442" s="122" t="s">
        <v>269</v>
      </c>
      <c r="O442" s="122" t="s">
        <v>62</v>
      </c>
      <c r="P442" s="122" t="s">
        <v>1454</v>
      </c>
      <c r="Q442" s="122" t="s">
        <v>70</v>
      </c>
      <c r="R442" s="122" t="s">
        <v>57</v>
      </c>
      <c r="S442" s="122" t="s">
        <v>1216</v>
      </c>
      <c r="T442" s="123">
        <v>4.29</v>
      </c>
      <c r="U442" s="122" t="s">
        <v>1455</v>
      </c>
      <c r="V442" s="125">
        <v>4.6899999999999997E-2</v>
      </c>
      <c r="W442" s="125">
        <v>4.6339999999999999E-2</v>
      </c>
      <c r="X442" s="122" t="s">
        <v>620</v>
      </c>
      <c r="Y442" s="133"/>
      <c r="Z442" s="123">
        <v>20993000</v>
      </c>
      <c r="AA442" s="123">
        <v>1</v>
      </c>
      <c r="AB442" s="123">
        <v>100.58</v>
      </c>
      <c r="AC442" s="122"/>
      <c r="AD442" s="123">
        <v>21114.758999999998</v>
      </c>
      <c r="AE442" s="122"/>
      <c r="AF442" s="122"/>
      <c r="AG442" s="122"/>
      <c r="AH442" s="125">
        <v>4.199E-2</v>
      </c>
      <c r="AI442" s="125">
        <v>5.5900000000000004E-3</v>
      </c>
      <c r="AJ442" s="126">
        <v>7.6999999999999996E-4</v>
      </c>
      <c r="AK442" s="159"/>
    </row>
    <row r="443" spans="1:37" x14ac:dyDescent="0.2">
      <c r="A443" s="121" t="s">
        <v>1223</v>
      </c>
      <c r="B443" s="122" t="s">
        <v>1223</v>
      </c>
      <c r="C443" s="122" t="s">
        <v>1766</v>
      </c>
      <c r="D443" s="122" t="s">
        <v>1767</v>
      </c>
      <c r="E443" s="122" t="s">
        <v>429</v>
      </c>
      <c r="F443" s="122" t="s">
        <v>1768</v>
      </c>
      <c r="G443" s="122" t="s">
        <v>1769</v>
      </c>
      <c r="H443" s="122" t="s">
        <v>76</v>
      </c>
      <c r="I443" s="122" t="s">
        <v>607</v>
      </c>
      <c r="J443" s="122" t="s">
        <v>53</v>
      </c>
      <c r="K443" s="122" t="s">
        <v>53</v>
      </c>
      <c r="L443" s="122" t="s">
        <v>805</v>
      </c>
      <c r="M443" s="122" t="s">
        <v>311</v>
      </c>
      <c r="N443" s="122" t="s">
        <v>631</v>
      </c>
      <c r="O443" s="122" t="s">
        <v>62</v>
      </c>
      <c r="P443" s="122" t="s">
        <v>1402</v>
      </c>
      <c r="Q443" s="122" t="s">
        <v>70</v>
      </c>
      <c r="R443" s="122" t="s">
        <v>57</v>
      </c>
      <c r="S443" s="122" t="s">
        <v>1216</v>
      </c>
      <c r="T443" s="123">
        <v>3.03</v>
      </c>
      <c r="U443" s="122" t="s">
        <v>1600</v>
      </c>
      <c r="V443" s="125">
        <v>0.05</v>
      </c>
      <c r="W443" s="125">
        <v>1.41E-3</v>
      </c>
      <c r="X443" s="122" t="s">
        <v>620</v>
      </c>
      <c r="Y443" s="133"/>
      <c r="Z443" s="123">
        <v>17567000</v>
      </c>
      <c r="AA443" s="123">
        <v>1</v>
      </c>
      <c r="AB443" s="123">
        <v>117</v>
      </c>
      <c r="AC443" s="122"/>
      <c r="AD443" s="123">
        <v>20553.39</v>
      </c>
      <c r="AE443" s="122"/>
      <c r="AF443" s="122"/>
      <c r="AG443" s="122"/>
      <c r="AH443" s="125">
        <v>3.5130000000000002E-2</v>
      </c>
      <c r="AI443" s="125">
        <v>5.4400000000000004E-3</v>
      </c>
      <c r="AJ443" s="126">
        <v>7.5000000000000002E-4</v>
      </c>
      <c r="AK443" s="159"/>
    </row>
    <row r="444" spans="1:37" x14ac:dyDescent="0.2">
      <c r="A444" s="121" t="s">
        <v>1223</v>
      </c>
      <c r="B444" s="122" t="s">
        <v>1223</v>
      </c>
      <c r="C444" s="122" t="s">
        <v>1770</v>
      </c>
      <c r="D444" s="122" t="s">
        <v>1771</v>
      </c>
      <c r="E444" s="122" t="s">
        <v>429</v>
      </c>
      <c r="F444" s="122" t="s">
        <v>1772</v>
      </c>
      <c r="G444" s="122" t="s">
        <v>1773</v>
      </c>
      <c r="H444" s="122" t="s">
        <v>76</v>
      </c>
      <c r="I444" s="122" t="s">
        <v>229</v>
      </c>
      <c r="J444" s="122" t="s">
        <v>53</v>
      </c>
      <c r="K444" s="122" t="s">
        <v>53</v>
      </c>
      <c r="L444" s="122" t="s">
        <v>805</v>
      </c>
      <c r="M444" s="122" t="s">
        <v>311</v>
      </c>
      <c r="N444" s="122" t="s">
        <v>635</v>
      </c>
      <c r="O444" s="122" t="s">
        <v>62</v>
      </c>
      <c r="P444" s="122" t="s">
        <v>1324</v>
      </c>
      <c r="Q444" s="122" t="s">
        <v>65</v>
      </c>
      <c r="R444" s="122" t="s">
        <v>57</v>
      </c>
      <c r="S444" s="122" t="s">
        <v>1216</v>
      </c>
      <c r="T444" s="123">
        <v>5.18</v>
      </c>
      <c r="U444" s="122" t="s">
        <v>1774</v>
      </c>
      <c r="V444" s="125">
        <v>3.5000000000000001E-3</v>
      </c>
      <c r="W444" s="125">
        <v>2.9590000000000002E-2</v>
      </c>
      <c r="X444" s="122" t="s">
        <v>620</v>
      </c>
      <c r="Y444" s="133"/>
      <c r="Z444" s="123">
        <v>20273683.760000002</v>
      </c>
      <c r="AA444" s="123">
        <v>1</v>
      </c>
      <c r="AB444" s="123">
        <v>101.29</v>
      </c>
      <c r="AC444" s="122"/>
      <c r="AD444" s="123">
        <v>20535.214</v>
      </c>
      <c r="AE444" s="122"/>
      <c r="AF444" s="122"/>
      <c r="AG444" s="122"/>
      <c r="AH444" s="125">
        <v>6.1399999999999996E-3</v>
      </c>
      <c r="AI444" s="125">
        <v>5.4299999999999999E-3</v>
      </c>
      <c r="AJ444" s="126">
        <v>7.5000000000000002E-4</v>
      </c>
      <c r="AK444" s="159"/>
    </row>
    <row r="445" spans="1:37" x14ac:dyDescent="0.2">
      <c r="A445" s="121" t="s">
        <v>1223</v>
      </c>
      <c r="B445" s="122" t="s">
        <v>1223</v>
      </c>
      <c r="C445" s="122" t="s">
        <v>1431</v>
      </c>
      <c r="D445" s="122" t="s">
        <v>1432</v>
      </c>
      <c r="E445" s="122" t="s">
        <v>429</v>
      </c>
      <c r="F445" s="122" t="s">
        <v>1551</v>
      </c>
      <c r="G445" s="122" t="s">
        <v>1552</v>
      </c>
      <c r="H445" s="122" t="s">
        <v>76</v>
      </c>
      <c r="I445" s="122" t="s">
        <v>229</v>
      </c>
      <c r="J445" s="122" t="s">
        <v>53</v>
      </c>
      <c r="K445" s="122" t="s">
        <v>313</v>
      </c>
      <c r="L445" s="122" t="s">
        <v>805</v>
      </c>
      <c r="M445" s="122" t="s">
        <v>311</v>
      </c>
      <c r="N445" s="122" t="s">
        <v>636</v>
      </c>
      <c r="O445" s="122" t="s">
        <v>62</v>
      </c>
      <c r="P445" s="122" t="s">
        <v>1423</v>
      </c>
      <c r="Q445" s="122" t="s">
        <v>70</v>
      </c>
      <c r="R445" s="122" t="s">
        <v>57</v>
      </c>
      <c r="S445" s="122" t="s">
        <v>1216</v>
      </c>
      <c r="T445" s="123">
        <v>4.24</v>
      </c>
      <c r="U445" s="122" t="s">
        <v>1553</v>
      </c>
      <c r="V445" s="125">
        <v>1.54E-2</v>
      </c>
      <c r="W445" s="125">
        <v>3.066E-2</v>
      </c>
      <c r="X445" s="122" t="s">
        <v>620</v>
      </c>
      <c r="Y445" s="133"/>
      <c r="Z445" s="123">
        <v>18847000</v>
      </c>
      <c r="AA445" s="123">
        <v>1</v>
      </c>
      <c r="AB445" s="123">
        <v>108.24</v>
      </c>
      <c r="AC445" s="122"/>
      <c r="AD445" s="123">
        <v>20399.992999999999</v>
      </c>
      <c r="AE445" s="122"/>
      <c r="AF445" s="122"/>
      <c r="AG445" s="122"/>
      <c r="AH445" s="125">
        <v>3.1600000000000003E-2</v>
      </c>
      <c r="AI445" s="125">
        <v>5.4000000000000003E-3</v>
      </c>
      <c r="AJ445" s="126">
        <v>7.5000000000000002E-4</v>
      </c>
      <c r="AK445" s="159"/>
    </row>
    <row r="446" spans="1:37" x14ac:dyDescent="0.2">
      <c r="A446" s="121" t="s">
        <v>1223</v>
      </c>
      <c r="B446" s="122" t="s">
        <v>1223</v>
      </c>
      <c r="C446" s="122" t="s">
        <v>1340</v>
      </c>
      <c r="D446" s="122" t="s">
        <v>1341</v>
      </c>
      <c r="E446" s="122" t="s">
        <v>429</v>
      </c>
      <c r="F446" s="122" t="s">
        <v>1459</v>
      </c>
      <c r="G446" s="122" t="s">
        <v>1460</v>
      </c>
      <c r="H446" s="122" t="s">
        <v>76</v>
      </c>
      <c r="I446" s="122" t="s">
        <v>229</v>
      </c>
      <c r="J446" s="122" t="s">
        <v>53</v>
      </c>
      <c r="K446" s="122" t="s">
        <v>53</v>
      </c>
      <c r="L446" s="122" t="s">
        <v>805</v>
      </c>
      <c r="M446" s="122" t="s">
        <v>311</v>
      </c>
      <c r="N446" s="122" t="s">
        <v>256</v>
      </c>
      <c r="O446" s="122" t="s">
        <v>62</v>
      </c>
      <c r="P446" s="122" t="s">
        <v>1330</v>
      </c>
      <c r="Q446" s="122" t="s">
        <v>65</v>
      </c>
      <c r="R446" s="122" t="s">
        <v>57</v>
      </c>
      <c r="S446" s="122" t="s">
        <v>1216</v>
      </c>
      <c r="T446" s="123">
        <v>3.95</v>
      </c>
      <c r="U446" s="122" t="s">
        <v>1461</v>
      </c>
      <c r="V446" s="125">
        <v>1.9900000000000001E-2</v>
      </c>
      <c r="W446" s="125">
        <v>2.537E-2</v>
      </c>
      <c r="X446" s="122" t="s">
        <v>620</v>
      </c>
      <c r="Y446" s="133"/>
      <c r="Z446" s="123">
        <v>18900000</v>
      </c>
      <c r="AA446" s="123">
        <v>1</v>
      </c>
      <c r="AB446" s="123">
        <v>105.83</v>
      </c>
      <c r="AC446" s="122"/>
      <c r="AD446" s="123">
        <v>20001.87</v>
      </c>
      <c r="AE446" s="122"/>
      <c r="AF446" s="122"/>
      <c r="AG446" s="122"/>
      <c r="AH446" s="125">
        <v>7.7799999999999996E-3</v>
      </c>
      <c r="AI446" s="125">
        <v>5.2900000000000004E-3</v>
      </c>
      <c r="AJ446" s="126">
        <v>7.2999999999999996E-4</v>
      </c>
      <c r="AK446" s="159"/>
    </row>
    <row r="447" spans="1:37" x14ac:dyDescent="0.2">
      <c r="A447" s="121" t="s">
        <v>1223</v>
      </c>
      <c r="B447" s="122" t="s">
        <v>1223</v>
      </c>
      <c r="C447" s="122" t="s">
        <v>1365</v>
      </c>
      <c r="D447" s="122" t="s">
        <v>1366</v>
      </c>
      <c r="E447" s="122" t="s">
        <v>429</v>
      </c>
      <c r="F447" s="122" t="s">
        <v>1404</v>
      </c>
      <c r="G447" s="122" t="s">
        <v>1405</v>
      </c>
      <c r="H447" s="122" t="s">
        <v>76</v>
      </c>
      <c r="I447" s="122" t="s">
        <v>228</v>
      </c>
      <c r="J447" s="122" t="s">
        <v>53</v>
      </c>
      <c r="K447" s="122" t="s">
        <v>53</v>
      </c>
      <c r="L447" s="122" t="s">
        <v>805</v>
      </c>
      <c r="M447" s="122" t="s">
        <v>311</v>
      </c>
      <c r="N447" s="122" t="s">
        <v>269</v>
      </c>
      <c r="O447" s="122" t="s">
        <v>62</v>
      </c>
      <c r="P447" s="122" t="s">
        <v>1369</v>
      </c>
      <c r="Q447" s="122" t="s">
        <v>65</v>
      </c>
      <c r="R447" s="122" t="s">
        <v>57</v>
      </c>
      <c r="S447" s="122" t="s">
        <v>1216</v>
      </c>
      <c r="T447" s="123">
        <v>7.14</v>
      </c>
      <c r="U447" s="122" t="s">
        <v>1406</v>
      </c>
      <c r="V447" s="125">
        <v>5.3100000000000001E-2</v>
      </c>
      <c r="W447" s="125">
        <v>4.8640000000000003E-2</v>
      </c>
      <c r="X447" s="122" t="s">
        <v>620</v>
      </c>
      <c r="Y447" s="133"/>
      <c r="Z447" s="123">
        <v>18116149.399999999</v>
      </c>
      <c r="AA447" s="123">
        <v>1</v>
      </c>
      <c r="AB447" s="123">
        <v>104.46</v>
      </c>
      <c r="AC447" s="122"/>
      <c r="AD447" s="123">
        <v>18924.13</v>
      </c>
      <c r="AE447" s="122"/>
      <c r="AF447" s="122"/>
      <c r="AG447" s="122"/>
      <c r="AH447" s="125">
        <v>1.423E-2</v>
      </c>
      <c r="AI447" s="125">
        <v>5.0099999999999997E-3</v>
      </c>
      <c r="AJ447" s="126">
        <v>6.8999999999999997E-4</v>
      </c>
      <c r="AK447" s="159"/>
    </row>
    <row r="448" spans="1:37" x14ac:dyDescent="0.2">
      <c r="A448" s="121" t="s">
        <v>1223</v>
      </c>
      <c r="B448" s="122" t="s">
        <v>1223</v>
      </c>
      <c r="C448" s="122" t="s">
        <v>1782</v>
      </c>
      <c r="D448" s="122" t="s">
        <v>1783</v>
      </c>
      <c r="E448" s="122" t="s">
        <v>429</v>
      </c>
      <c r="F448" s="122" t="s">
        <v>1784</v>
      </c>
      <c r="G448" s="122" t="s">
        <v>1785</v>
      </c>
      <c r="H448" s="122" t="s">
        <v>76</v>
      </c>
      <c r="I448" s="122" t="s">
        <v>228</v>
      </c>
      <c r="J448" s="122" t="s">
        <v>53</v>
      </c>
      <c r="K448" s="122" t="s">
        <v>53</v>
      </c>
      <c r="L448" s="122" t="s">
        <v>805</v>
      </c>
      <c r="M448" s="122" t="s">
        <v>311</v>
      </c>
      <c r="N448" s="122" t="s">
        <v>260</v>
      </c>
      <c r="O448" s="122" t="s">
        <v>62</v>
      </c>
      <c r="P448" s="122" t="s">
        <v>1369</v>
      </c>
      <c r="Q448" s="122" t="s">
        <v>65</v>
      </c>
      <c r="R448" s="122" t="s">
        <v>57</v>
      </c>
      <c r="S448" s="122" t="s">
        <v>1216</v>
      </c>
      <c r="T448" s="123">
        <v>2.56</v>
      </c>
      <c r="U448" s="122" t="s">
        <v>1786</v>
      </c>
      <c r="V448" s="125">
        <v>4.7300000000000002E-2</v>
      </c>
      <c r="W448" s="125">
        <v>4.7030000000000002E-2</v>
      </c>
      <c r="X448" s="122" t="s">
        <v>620</v>
      </c>
      <c r="Y448" s="133"/>
      <c r="Z448" s="123">
        <v>18525000</v>
      </c>
      <c r="AA448" s="123">
        <v>1</v>
      </c>
      <c r="AB448" s="123">
        <v>101.31</v>
      </c>
      <c r="AC448" s="122"/>
      <c r="AD448" s="123">
        <v>18767.678</v>
      </c>
      <c r="AE448" s="122"/>
      <c r="AF448" s="122"/>
      <c r="AG448" s="122"/>
      <c r="AH448" s="125">
        <v>3.9399999999999998E-2</v>
      </c>
      <c r="AI448" s="125">
        <v>4.96E-3</v>
      </c>
      <c r="AJ448" s="126">
        <v>6.8999999999999997E-4</v>
      </c>
      <c r="AK448" s="159"/>
    </row>
    <row r="449" spans="1:37" x14ac:dyDescent="0.2">
      <c r="A449" s="121" t="s">
        <v>1223</v>
      </c>
      <c r="B449" s="122" t="s">
        <v>1223</v>
      </c>
      <c r="C449" s="122" t="s">
        <v>1775</v>
      </c>
      <c r="D449" s="122" t="s">
        <v>1776</v>
      </c>
      <c r="E449" s="122" t="s">
        <v>429</v>
      </c>
      <c r="F449" s="122" t="s">
        <v>1777</v>
      </c>
      <c r="G449" s="122" t="s">
        <v>1778</v>
      </c>
      <c r="H449" s="122" t="s">
        <v>76</v>
      </c>
      <c r="I449" s="122" t="s">
        <v>228</v>
      </c>
      <c r="J449" s="122" t="s">
        <v>53</v>
      </c>
      <c r="K449" s="122" t="s">
        <v>53</v>
      </c>
      <c r="L449" s="122" t="s">
        <v>805</v>
      </c>
      <c r="M449" s="122" t="s">
        <v>311</v>
      </c>
      <c r="N449" s="122" t="s">
        <v>636</v>
      </c>
      <c r="O449" s="122" t="s">
        <v>62</v>
      </c>
      <c r="P449" s="122" t="s">
        <v>1324</v>
      </c>
      <c r="Q449" s="122" t="s">
        <v>65</v>
      </c>
      <c r="R449" s="122" t="s">
        <v>57</v>
      </c>
      <c r="S449" s="122" t="s">
        <v>1216</v>
      </c>
      <c r="T449" s="123">
        <v>3.71</v>
      </c>
      <c r="U449" s="122" t="s">
        <v>1511</v>
      </c>
      <c r="V449" s="125">
        <v>6.7400000000000002E-2</v>
      </c>
      <c r="W449" s="125">
        <v>5.6680000000000001E-2</v>
      </c>
      <c r="X449" s="122" t="s">
        <v>620</v>
      </c>
      <c r="Y449" s="133"/>
      <c r="Z449" s="123">
        <v>17660435</v>
      </c>
      <c r="AA449" s="123">
        <v>1</v>
      </c>
      <c r="AB449" s="123">
        <v>105.95</v>
      </c>
      <c r="AC449" s="122"/>
      <c r="AD449" s="123">
        <v>18711.231</v>
      </c>
      <c r="AE449" s="122"/>
      <c r="AF449" s="122"/>
      <c r="AG449" s="122"/>
      <c r="AH449" s="125">
        <v>6.1969999999999997E-2</v>
      </c>
      <c r="AI449" s="125">
        <v>4.9500000000000004E-3</v>
      </c>
      <c r="AJ449" s="126">
        <v>6.8999999999999997E-4</v>
      </c>
      <c r="AK449" s="159"/>
    </row>
    <row r="450" spans="1:37" x14ac:dyDescent="0.2">
      <c r="A450" s="121" t="s">
        <v>1223</v>
      </c>
      <c r="B450" s="122" t="s">
        <v>1223</v>
      </c>
      <c r="C450" s="122" t="s">
        <v>1388</v>
      </c>
      <c r="D450" s="122" t="s">
        <v>1389</v>
      </c>
      <c r="E450" s="122" t="s">
        <v>429</v>
      </c>
      <c r="F450" s="122" t="s">
        <v>1528</v>
      </c>
      <c r="G450" s="122" t="s">
        <v>1529</v>
      </c>
      <c r="H450" s="122" t="s">
        <v>76</v>
      </c>
      <c r="I450" s="122" t="s">
        <v>228</v>
      </c>
      <c r="J450" s="122" t="s">
        <v>53</v>
      </c>
      <c r="K450" s="122" t="s">
        <v>53</v>
      </c>
      <c r="L450" s="122" t="s">
        <v>805</v>
      </c>
      <c r="M450" s="122" t="s">
        <v>311</v>
      </c>
      <c r="N450" s="122" t="s">
        <v>635</v>
      </c>
      <c r="O450" s="122" t="s">
        <v>62</v>
      </c>
      <c r="P450" s="122" t="s">
        <v>1324</v>
      </c>
      <c r="Q450" s="122" t="s">
        <v>65</v>
      </c>
      <c r="R450" s="122" t="s">
        <v>57</v>
      </c>
      <c r="S450" s="122" t="s">
        <v>1216</v>
      </c>
      <c r="T450" s="123">
        <v>4.5599999999999996</v>
      </c>
      <c r="U450" s="122" t="s">
        <v>1530</v>
      </c>
      <c r="V450" s="125">
        <v>2.5499999999999998E-2</v>
      </c>
      <c r="W450" s="125">
        <v>4.9169999999999998E-2</v>
      </c>
      <c r="X450" s="122" t="s">
        <v>620</v>
      </c>
      <c r="Y450" s="133"/>
      <c r="Z450" s="123">
        <v>20253711.879999999</v>
      </c>
      <c r="AA450" s="123">
        <v>1</v>
      </c>
      <c r="AB450" s="123">
        <v>90.63</v>
      </c>
      <c r="AC450" s="122"/>
      <c r="AD450" s="123">
        <v>18355.938999999998</v>
      </c>
      <c r="AE450" s="122"/>
      <c r="AF450" s="122"/>
      <c r="AG450" s="122"/>
      <c r="AH450" s="125">
        <v>7.26E-3</v>
      </c>
      <c r="AI450" s="125">
        <v>4.8599999999999997E-3</v>
      </c>
      <c r="AJ450" s="126">
        <v>6.7000000000000002E-4</v>
      </c>
      <c r="AK450" s="159"/>
    </row>
    <row r="451" spans="1:37" x14ac:dyDescent="0.2">
      <c r="A451" s="121" t="s">
        <v>1223</v>
      </c>
      <c r="B451" s="122" t="s">
        <v>1223</v>
      </c>
      <c r="C451" s="122" t="s">
        <v>1562</v>
      </c>
      <c r="D451" s="122" t="s">
        <v>1563</v>
      </c>
      <c r="E451" s="122" t="s">
        <v>429</v>
      </c>
      <c r="F451" s="122" t="s">
        <v>1564</v>
      </c>
      <c r="G451" s="122" t="s">
        <v>1565</v>
      </c>
      <c r="H451" s="122" t="s">
        <v>76</v>
      </c>
      <c r="I451" s="122" t="s">
        <v>228</v>
      </c>
      <c r="J451" s="122" t="s">
        <v>53</v>
      </c>
      <c r="K451" s="122" t="s">
        <v>53</v>
      </c>
      <c r="L451" s="122" t="s">
        <v>805</v>
      </c>
      <c r="M451" s="122" t="s">
        <v>311</v>
      </c>
      <c r="N451" s="122" t="s">
        <v>140</v>
      </c>
      <c r="O451" s="122" t="s">
        <v>62</v>
      </c>
      <c r="P451" s="122" t="s">
        <v>1402</v>
      </c>
      <c r="Q451" s="122" t="s">
        <v>70</v>
      </c>
      <c r="R451" s="122" t="s">
        <v>57</v>
      </c>
      <c r="S451" s="122" t="s">
        <v>1216</v>
      </c>
      <c r="T451" s="123">
        <v>1.57</v>
      </c>
      <c r="U451" s="122" t="s">
        <v>1493</v>
      </c>
      <c r="V451" s="125">
        <v>4.53E-2</v>
      </c>
      <c r="W451" s="125">
        <v>5.2519999999999997E-2</v>
      </c>
      <c r="X451" s="122" t="s">
        <v>620</v>
      </c>
      <c r="Y451" s="133"/>
      <c r="Z451" s="123">
        <v>18319138.199999999</v>
      </c>
      <c r="AA451" s="123">
        <v>1</v>
      </c>
      <c r="AB451" s="123">
        <v>100.12</v>
      </c>
      <c r="AC451" s="122"/>
      <c r="AD451" s="123">
        <v>18341.120999999999</v>
      </c>
      <c r="AE451" s="122"/>
      <c r="AF451" s="122"/>
      <c r="AG451" s="122"/>
      <c r="AH451" s="125">
        <v>2.9080000000000002E-2</v>
      </c>
      <c r="AI451" s="125">
        <v>4.8500000000000001E-3</v>
      </c>
      <c r="AJ451" s="126">
        <v>6.7000000000000002E-4</v>
      </c>
      <c r="AK451" s="159"/>
    </row>
    <row r="452" spans="1:37" x14ac:dyDescent="0.2">
      <c r="A452" s="121" t="s">
        <v>1223</v>
      </c>
      <c r="B452" s="122" t="s">
        <v>1223</v>
      </c>
      <c r="C452" s="122" t="s">
        <v>1340</v>
      </c>
      <c r="D452" s="122" t="s">
        <v>1341</v>
      </c>
      <c r="E452" s="122" t="s">
        <v>429</v>
      </c>
      <c r="F452" s="122" t="s">
        <v>1779</v>
      </c>
      <c r="G452" s="122" t="s">
        <v>1780</v>
      </c>
      <c r="H452" s="122" t="s">
        <v>76</v>
      </c>
      <c r="I452" s="122" t="s">
        <v>228</v>
      </c>
      <c r="J452" s="122" t="s">
        <v>53</v>
      </c>
      <c r="K452" s="122" t="s">
        <v>53</v>
      </c>
      <c r="L452" s="122" t="s">
        <v>805</v>
      </c>
      <c r="M452" s="122" t="s">
        <v>311</v>
      </c>
      <c r="N452" s="122" t="s">
        <v>256</v>
      </c>
      <c r="O452" s="122" t="s">
        <v>62</v>
      </c>
      <c r="P452" s="122" t="s">
        <v>1330</v>
      </c>
      <c r="Q452" s="122" t="s">
        <v>65</v>
      </c>
      <c r="R452" s="122" t="s">
        <v>57</v>
      </c>
      <c r="S452" s="122" t="s">
        <v>1216</v>
      </c>
      <c r="T452" s="123">
        <v>2.83</v>
      </c>
      <c r="U452" s="122" t="s">
        <v>1781</v>
      </c>
      <c r="V452" s="125">
        <v>2.7400000000000001E-2</v>
      </c>
      <c r="W452" s="125">
        <v>4.4659999999999998E-2</v>
      </c>
      <c r="X452" s="122" t="s">
        <v>620</v>
      </c>
      <c r="Y452" s="133"/>
      <c r="Z452" s="123">
        <v>18667600.280000001</v>
      </c>
      <c r="AA452" s="123">
        <v>1</v>
      </c>
      <c r="AB452" s="123">
        <v>96.57</v>
      </c>
      <c r="AC452" s="122"/>
      <c r="AD452" s="123">
        <v>18027.302</v>
      </c>
      <c r="AE452" s="122"/>
      <c r="AF452" s="122"/>
      <c r="AG452" s="122"/>
      <c r="AH452" s="125">
        <v>5.8999999999999999E-3</v>
      </c>
      <c r="AI452" s="125">
        <v>4.7699999999999999E-3</v>
      </c>
      <c r="AJ452" s="126">
        <v>6.6E-4</v>
      </c>
      <c r="AK452" s="159"/>
    </row>
    <row r="453" spans="1:37" x14ac:dyDescent="0.2">
      <c r="A453" s="121" t="s">
        <v>1223</v>
      </c>
      <c r="B453" s="122" t="s">
        <v>1223</v>
      </c>
      <c r="C453" s="122" t="s">
        <v>1499</v>
      </c>
      <c r="D453" s="122" t="s">
        <v>1500</v>
      </c>
      <c r="E453" s="122" t="s">
        <v>429</v>
      </c>
      <c r="F453" s="122" t="s">
        <v>1787</v>
      </c>
      <c r="G453" s="122" t="s">
        <v>1788</v>
      </c>
      <c r="H453" s="122" t="s">
        <v>76</v>
      </c>
      <c r="I453" s="122" t="s">
        <v>228</v>
      </c>
      <c r="J453" s="122" t="s">
        <v>53</v>
      </c>
      <c r="K453" s="122" t="s">
        <v>53</v>
      </c>
      <c r="L453" s="122" t="s">
        <v>805</v>
      </c>
      <c r="M453" s="122" t="s">
        <v>311</v>
      </c>
      <c r="N453" s="122" t="s">
        <v>692</v>
      </c>
      <c r="O453" s="122" t="s">
        <v>62</v>
      </c>
      <c r="P453" s="122" t="s">
        <v>1450</v>
      </c>
      <c r="Q453" s="122" t="s">
        <v>65</v>
      </c>
      <c r="R453" s="122" t="s">
        <v>57</v>
      </c>
      <c r="S453" s="122" t="s">
        <v>1216</v>
      </c>
      <c r="T453" s="123">
        <v>4.5199999999999996</v>
      </c>
      <c r="U453" s="122" t="s">
        <v>1789</v>
      </c>
      <c r="V453" s="125">
        <v>2.07E-2</v>
      </c>
      <c r="W453" s="125">
        <v>4.9540000000000001E-2</v>
      </c>
      <c r="X453" s="122" t="s">
        <v>620</v>
      </c>
      <c r="Y453" s="133"/>
      <c r="Z453" s="123">
        <v>19686439.890000001</v>
      </c>
      <c r="AA453" s="123">
        <v>1</v>
      </c>
      <c r="AB453" s="123">
        <v>88.43</v>
      </c>
      <c r="AC453" s="122"/>
      <c r="AD453" s="123">
        <v>17408.719000000001</v>
      </c>
      <c r="AE453" s="122"/>
      <c r="AF453" s="122"/>
      <c r="AG453" s="122"/>
      <c r="AH453" s="125">
        <v>2.7109999999999999E-2</v>
      </c>
      <c r="AI453" s="125">
        <v>4.5999999999999999E-3</v>
      </c>
      <c r="AJ453" s="126">
        <v>6.4000000000000005E-4</v>
      </c>
      <c r="AK453" s="159"/>
    </row>
    <row r="454" spans="1:37" x14ac:dyDescent="0.2">
      <c r="A454" s="121" t="s">
        <v>1223</v>
      </c>
      <c r="B454" s="122" t="s">
        <v>1223</v>
      </c>
      <c r="C454" s="122" t="s">
        <v>1790</v>
      </c>
      <c r="D454" s="122" t="s">
        <v>1791</v>
      </c>
      <c r="E454" s="122" t="s">
        <v>429</v>
      </c>
      <c r="F454" s="122" t="s">
        <v>1792</v>
      </c>
      <c r="G454" s="122" t="s">
        <v>1793</v>
      </c>
      <c r="H454" s="122" t="s">
        <v>76</v>
      </c>
      <c r="I454" s="122" t="s">
        <v>228</v>
      </c>
      <c r="J454" s="122" t="s">
        <v>53</v>
      </c>
      <c r="K454" s="122" t="s">
        <v>53</v>
      </c>
      <c r="L454" s="122" t="s">
        <v>805</v>
      </c>
      <c r="M454" s="122" t="s">
        <v>311</v>
      </c>
      <c r="N454" s="122" t="s">
        <v>267</v>
      </c>
      <c r="O454" s="122" t="s">
        <v>62</v>
      </c>
      <c r="P454" s="122" t="s">
        <v>1750</v>
      </c>
      <c r="Q454" s="122" t="s">
        <v>65</v>
      </c>
      <c r="R454" s="122" t="s">
        <v>57</v>
      </c>
      <c r="S454" s="122" t="s">
        <v>1216</v>
      </c>
      <c r="T454" s="123">
        <v>2.97</v>
      </c>
      <c r="U454" s="122" t="s">
        <v>1794</v>
      </c>
      <c r="V454" s="125">
        <v>6.7000000000000004E-2</v>
      </c>
      <c r="W454" s="125">
        <v>5.1069999999999997E-2</v>
      </c>
      <c r="X454" s="122" t="s">
        <v>620</v>
      </c>
      <c r="Y454" s="133"/>
      <c r="Z454" s="123">
        <v>15612000</v>
      </c>
      <c r="AA454" s="123">
        <v>1</v>
      </c>
      <c r="AB454" s="123">
        <v>104.89</v>
      </c>
      <c r="AC454" s="122"/>
      <c r="AD454" s="123">
        <v>16375.427</v>
      </c>
      <c r="AE454" s="122"/>
      <c r="AF454" s="122"/>
      <c r="AG454" s="122"/>
      <c r="AH454" s="125">
        <v>1.7160000000000002E-2</v>
      </c>
      <c r="AI454" s="125">
        <v>4.3299999999999996E-3</v>
      </c>
      <c r="AJ454" s="126">
        <v>5.9999999999999995E-4</v>
      </c>
      <c r="AK454" s="159"/>
    </row>
    <row r="455" spans="1:37" x14ac:dyDescent="0.2">
      <c r="A455" s="121" t="s">
        <v>1223</v>
      </c>
      <c r="B455" s="122" t="s">
        <v>1223</v>
      </c>
      <c r="C455" s="122" t="s">
        <v>1332</v>
      </c>
      <c r="D455" s="122" t="s">
        <v>1333</v>
      </c>
      <c r="E455" s="122" t="s">
        <v>430</v>
      </c>
      <c r="F455" s="122" t="s">
        <v>1795</v>
      </c>
      <c r="G455" s="122" t="s">
        <v>1796</v>
      </c>
      <c r="H455" s="122" t="s">
        <v>76</v>
      </c>
      <c r="I455" s="122" t="s">
        <v>229</v>
      </c>
      <c r="J455" s="122" t="s">
        <v>53</v>
      </c>
      <c r="K455" s="122" t="s">
        <v>53</v>
      </c>
      <c r="L455" s="122" t="s">
        <v>805</v>
      </c>
      <c r="M455" s="122" t="s">
        <v>311</v>
      </c>
      <c r="N455" s="122" t="s">
        <v>156</v>
      </c>
      <c r="O455" s="122" t="s">
        <v>62</v>
      </c>
      <c r="P455" s="122" t="s">
        <v>1215</v>
      </c>
      <c r="Q455" s="122" t="s">
        <v>70</v>
      </c>
      <c r="R455" s="122" t="s">
        <v>57</v>
      </c>
      <c r="S455" s="122" t="s">
        <v>1216</v>
      </c>
      <c r="T455" s="123">
        <v>1.8</v>
      </c>
      <c r="U455" s="122" t="s">
        <v>1797</v>
      </c>
      <c r="V455" s="125">
        <v>0.01</v>
      </c>
      <c r="W455" s="125">
        <v>2.4469999999999999E-2</v>
      </c>
      <c r="X455" s="122" t="s">
        <v>620</v>
      </c>
      <c r="Y455" s="133"/>
      <c r="Z455" s="123">
        <v>14058784</v>
      </c>
      <c r="AA455" s="123">
        <v>1</v>
      </c>
      <c r="AB455" s="123">
        <v>114.15</v>
      </c>
      <c r="AC455" s="122"/>
      <c r="AD455" s="123">
        <v>16048.102000000001</v>
      </c>
      <c r="AE455" s="122"/>
      <c r="AF455" s="122"/>
      <c r="AG455" s="122"/>
      <c r="AH455" s="125">
        <v>1.17E-2</v>
      </c>
      <c r="AI455" s="125">
        <v>4.2399999999999998E-3</v>
      </c>
      <c r="AJ455" s="126">
        <v>5.9000000000000003E-4</v>
      </c>
      <c r="AK455" s="159"/>
    </row>
    <row r="456" spans="1:37" x14ac:dyDescent="0.2">
      <c r="A456" s="121" t="s">
        <v>1223</v>
      </c>
      <c r="B456" s="122" t="s">
        <v>1223</v>
      </c>
      <c r="C456" s="122" t="s">
        <v>1542</v>
      </c>
      <c r="D456" s="122" t="s">
        <v>1543</v>
      </c>
      <c r="E456" s="122" t="s">
        <v>429</v>
      </c>
      <c r="F456" s="122" t="s">
        <v>1820</v>
      </c>
      <c r="G456" s="122" t="s">
        <v>1821</v>
      </c>
      <c r="H456" s="122" t="s">
        <v>76</v>
      </c>
      <c r="I456" s="122" t="s">
        <v>229</v>
      </c>
      <c r="J456" s="122" t="s">
        <v>53</v>
      </c>
      <c r="K456" s="122" t="s">
        <v>53</v>
      </c>
      <c r="L456" s="122" t="s">
        <v>805</v>
      </c>
      <c r="M456" s="122" t="s">
        <v>311</v>
      </c>
      <c r="N456" s="122" t="s">
        <v>635</v>
      </c>
      <c r="O456" s="122" t="s">
        <v>62</v>
      </c>
      <c r="P456" s="122" t="s">
        <v>1584</v>
      </c>
      <c r="Q456" s="122" t="s">
        <v>70</v>
      </c>
      <c r="R456" s="122" t="s">
        <v>57</v>
      </c>
      <c r="S456" s="122" t="s">
        <v>1216</v>
      </c>
      <c r="T456" s="123">
        <v>2.4300000000000002</v>
      </c>
      <c r="U456" s="122" t="s">
        <v>1822</v>
      </c>
      <c r="V456" s="125">
        <v>1.34E-2</v>
      </c>
      <c r="W456" s="125">
        <v>2.8369999999999999E-2</v>
      </c>
      <c r="X456" s="122" t="s">
        <v>620</v>
      </c>
      <c r="Y456" s="133"/>
      <c r="Z456" s="123">
        <v>13788705.43</v>
      </c>
      <c r="AA456" s="123">
        <v>1</v>
      </c>
      <c r="AB456" s="123">
        <v>116.33</v>
      </c>
      <c r="AC456" s="122"/>
      <c r="AD456" s="123">
        <v>16040.401</v>
      </c>
      <c r="AE456" s="122"/>
      <c r="AF456" s="122"/>
      <c r="AG456" s="122"/>
      <c r="AH456" s="125">
        <v>6.2399999999999999E-3</v>
      </c>
      <c r="AI456" s="125">
        <v>4.2399999999999998E-3</v>
      </c>
      <c r="AJ456" s="126">
        <v>5.9000000000000003E-4</v>
      </c>
      <c r="AK456" s="159"/>
    </row>
    <row r="457" spans="1:37" x14ac:dyDescent="0.2">
      <c r="A457" s="121" t="s">
        <v>1223</v>
      </c>
      <c r="B457" s="122" t="s">
        <v>1223</v>
      </c>
      <c r="C457" s="122" t="s">
        <v>1398</v>
      </c>
      <c r="D457" s="122" t="s">
        <v>1399</v>
      </c>
      <c r="E457" s="122" t="s">
        <v>429</v>
      </c>
      <c r="F457" s="122" t="s">
        <v>1436</v>
      </c>
      <c r="G457" s="122" t="s">
        <v>1437</v>
      </c>
      <c r="H457" s="122" t="s">
        <v>76</v>
      </c>
      <c r="I457" s="122" t="s">
        <v>229</v>
      </c>
      <c r="J457" s="122" t="s">
        <v>53</v>
      </c>
      <c r="K457" s="122" t="s">
        <v>53</v>
      </c>
      <c r="L457" s="122" t="s">
        <v>805</v>
      </c>
      <c r="M457" s="122" t="s">
        <v>311</v>
      </c>
      <c r="N457" s="122" t="s">
        <v>636</v>
      </c>
      <c r="O457" s="122" t="s">
        <v>62</v>
      </c>
      <c r="P457" s="122" t="s">
        <v>1402</v>
      </c>
      <c r="Q457" s="122" t="s">
        <v>70</v>
      </c>
      <c r="R457" s="122" t="s">
        <v>57</v>
      </c>
      <c r="S457" s="122" t="s">
        <v>1216</v>
      </c>
      <c r="T457" s="123">
        <v>4.7</v>
      </c>
      <c r="U457" s="122" t="s">
        <v>1438</v>
      </c>
      <c r="V457" s="125">
        <v>1.7899999999999999E-2</v>
      </c>
      <c r="W457" s="125">
        <v>5.3999999999999999E-2</v>
      </c>
      <c r="X457" s="122" t="s">
        <v>620</v>
      </c>
      <c r="Y457" s="133"/>
      <c r="Z457" s="123">
        <v>16009133.800000001</v>
      </c>
      <c r="AA457" s="123">
        <v>1</v>
      </c>
      <c r="AB457" s="123">
        <v>100.05</v>
      </c>
      <c r="AC457" s="122"/>
      <c r="AD457" s="123">
        <v>16017.138000000001</v>
      </c>
      <c r="AE457" s="122"/>
      <c r="AF457" s="122"/>
      <c r="AG457" s="122"/>
      <c r="AH457" s="125">
        <v>1.153E-2</v>
      </c>
      <c r="AI457" s="125">
        <v>4.2399999999999998E-3</v>
      </c>
      <c r="AJ457" s="126">
        <v>5.9000000000000003E-4</v>
      </c>
      <c r="AK457" s="159"/>
    </row>
    <row r="458" spans="1:37" x14ac:dyDescent="0.2">
      <c r="A458" s="121" t="s">
        <v>1223</v>
      </c>
      <c r="B458" s="122" t="s">
        <v>1223</v>
      </c>
      <c r="C458" s="122" t="s">
        <v>1431</v>
      </c>
      <c r="D458" s="122" t="s">
        <v>1432</v>
      </c>
      <c r="E458" s="122" t="s">
        <v>429</v>
      </c>
      <c r="F458" s="122" t="s">
        <v>1433</v>
      </c>
      <c r="G458" s="122" t="s">
        <v>1434</v>
      </c>
      <c r="H458" s="122" t="s">
        <v>76</v>
      </c>
      <c r="I458" s="122" t="s">
        <v>229</v>
      </c>
      <c r="J458" s="122" t="s">
        <v>53</v>
      </c>
      <c r="K458" s="122" t="s">
        <v>53</v>
      </c>
      <c r="L458" s="122" t="s">
        <v>805</v>
      </c>
      <c r="M458" s="122" t="s">
        <v>311</v>
      </c>
      <c r="N458" s="122" t="s">
        <v>636</v>
      </c>
      <c r="O458" s="122" t="s">
        <v>62</v>
      </c>
      <c r="P458" s="122" t="s">
        <v>1423</v>
      </c>
      <c r="Q458" s="122" t="s">
        <v>70</v>
      </c>
      <c r="R458" s="122" t="s">
        <v>57</v>
      </c>
      <c r="S458" s="122" t="s">
        <v>1216</v>
      </c>
      <c r="T458" s="123">
        <v>0.81</v>
      </c>
      <c r="U458" s="122" t="s">
        <v>1435</v>
      </c>
      <c r="V458" s="125">
        <v>2.5700000000000001E-2</v>
      </c>
      <c r="W458" s="125">
        <v>3.9320000000000001E-2</v>
      </c>
      <c r="X458" s="122" t="s">
        <v>620</v>
      </c>
      <c r="Y458" s="133"/>
      <c r="Z458" s="123">
        <v>13287723.42</v>
      </c>
      <c r="AA458" s="123">
        <v>1</v>
      </c>
      <c r="AB458" s="123">
        <v>119.85</v>
      </c>
      <c r="AC458" s="122"/>
      <c r="AD458" s="123">
        <v>15925.337</v>
      </c>
      <c r="AE458" s="122"/>
      <c r="AF458" s="122"/>
      <c r="AG458" s="122"/>
      <c r="AH458" s="125">
        <v>1.2579999999999999E-2</v>
      </c>
      <c r="AI458" s="125">
        <v>4.2100000000000002E-3</v>
      </c>
      <c r="AJ458" s="126">
        <v>5.8E-4</v>
      </c>
      <c r="AK458" s="159"/>
    </row>
    <row r="459" spans="1:37" x14ac:dyDescent="0.2">
      <c r="A459" s="121" t="s">
        <v>1223</v>
      </c>
      <c r="B459" s="122" t="s">
        <v>1223</v>
      </c>
      <c r="C459" s="122" t="s">
        <v>1570</v>
      </c>
      <c r="D459" s="122" t="s">
        <v>1571</v>
      </c>
      <c r="E459" s="122" t="s">
        <v>429</v>
      </c>
      <c r="F459" s="122" t="s">
        <v>1803</v>
      </c>
      <c r="G459" s="122" t="s">
        <v>1804</v>
      </c>
      <c r="H459" s="122" t="s">
        <v>76</v>
      </c>
      <c r="I459" s="122" t="s">
        <v>228</v>
      </c>
      <c r="J459" s="122" t="s">
        <v>53</v>
      </c>
      <c r="K459" s="122" t="s">
        <v>53</v>
      </c>
      <c r="L459" s="122" t="s">
        <v>805</v>
      </c>
      <c r="M459" s="122" t="s">
        <v>311</v>
      </c>
      <c r="N459" s="122" t="s">
        <v>635</v>
      </c>
      <c r="O459" s="122" t="s">
        <v>62</v>
      </c>
      <c r="P459" s="122" t="s">
        <v>1377</v>
      </c>
      <c r="Q459" s="122" t="s">
        <v>70</v>
      </c>
      <c r="R459" s="122" t="s">
        <v>57</v>
      </c>
      <c r="S459" s="122" t="s">
        <v>1216</v>
      </c>
      <c r="T459" s="123">
        <v>3.46</v>
      </c>
      <c r="U459" s="122" t="s">
        <v>1805</v>
      </c>
      <c r="V459" s="125">
        <v>2.41E-2</v>
      </c>
      <c r="W459" s="125">
        <v>4.8030000000000003E-2</v>
      </c>
      <c r="X459" s="122" t="s">
        <v>620</v>
      </c>
      <c r="Y459" s="133"/>
      <c r="Z459" s="123">
        <v>16888889.100000001</v>
      </c>
      <c r="AA459" s="123">
        <v>1</v>
      </c>
      <c r="AB459" s="123">
        <v>93.59</v>
      </c>
      <c r="AC459" s="122"/>
      <c r="AD459" s="123">
        <v>15806.311</v>
      </c>
      <c r="AE459" s="122"/>
      <c r="AF459" s="122"/>
      <c r="AG459" s="122"/>
      <c r="AH459" s="125">
        <v>8.2199999999999999E-3</v>
      </c>
      <c r="AI459" s="125">
        <v>4.1799999999999997E-3</v>
      </c>
      <c r="AJ459" s="126">
        <v>5.8E-4</v>
      </c>
      <c r="AK459" s="159"/>
    </row>
    <row r="460" spans="1:37" x14ac:dyDescent="0.2">
      <c r="A460" s="121" t="s">
        <v>1223</v>
      </c>
      <c r="B460" s="122" t="s">
        <v>1223</v>
      </c>
      <c r="C460" s="122" t="s">
        <v>1617</v>
      </c>
      <c r="D460" s="122" t="s">
        <v>1618</v>
      </c>
      <c r="E460" s="122" t="s">
        <v>429</v>
      </c>
      <c r="F460" s="122" t="s">
        <v>1806</v>
      </c>
      <c r="G460" s="122" t="s">
        <v>1807</v>
      </c>
      <c r="H460" s="122" t="s">
        <v>76</v>
      </c>
      <c r="I460" s="122" t="s">
        <v>229</v>
      </c>
      <c r="J460" s="122" t="s">
        <v>53</v>
      </c>
      <c r="K460" s="122" t="s">
        <v>53</v>
      </c>
      <c r="L460" s="122" t="s">
        <v>805</v>
      </c>
      <c r="M460" s="122" t="s">
        <v>311</v>
      </c>
      <c r="N460" s="122" t="s">
        <v>256</v>
      </c>
      <c r="O460" s="122" t="s">
        <v>62</v>
      </c>
      <c r="P460" s="122" t="s">
        <v>1330</v>
      </c>
      <c r="Q460" s="122" t="s">
        <v>65</v>
      </c>
      <c r="R460" s="122" t="s">
        <v>57</v>
      </c>
      <c r="S460" s="122" t="s">
        <v>1216</v>
      </c>
      <c r="T460" s="123">
        <v>3.52</v>
      </c>
      <c r="U460" s="122" t="s">
        <v>1808</v>
      </c>
      <c r="V460" s="125">
        <v>2E-3</v>
      </c>
      <c r="W460" s="125">
        <v>2.5420000000000002E-2</v>
      </c>
      <c r="X460" s="122" t="s">
        <v>620</v>
      </c>
      <c r="Y460" s="133"/>
      <c r="Z460" s="123">
        <v>14736841.800000001</v>
      </c>
      <c r="AA460" s="123">
        <v>1</v>
      </c>
      <c r="AB460" s="123">
        <v>106.62</v>
      </c>
      <c r="AC460" s="122"/>
      <c r="AD460" s="123">
        <v>15712.421</v>
      </c>
      <c r="AE460" s="122"/>
      <c r="AF460" s="122"/>
      <c r="AG460" s="122"/>
      <c r="AH460" s="125">
        <v>4.6299999999999996E-3</v>
      </c>
      <c r="AI460" s="125">
        <v>4.1599999999999996E-3</v>
      </c>
      <c r="AJ460" s="126">
        <v>5.8E-4</v>
      </c>
      <c r="AK460" s="159"/>
    </row>
    <row r="461" spans="1:37" x14ac:dyDescent="0.2">
      <c r="A461" s="121" t="s">
        <v>1223</v>
      </c>
      <c r="B461" s="122" t="s">
        <v>1223</v>
      </c>
      <c r="C461" s="122" t="s">
        <v>1812</v>
      </c>
      <c r="D461" s="122" t="s">
        <v>1813</v>
      </c>
      <c r="E461" s="122" t="s">
        <v>429</v>
      </c>
      <c r="F461" s="122" t="s">
        <v>1814</v>
      </c>
      <c r="G461" s="122" t="s">
        <v>1815</v>
      </c>
      <c r="H461" s="122" t="s">
        <v>76</v>
      </c>
      <c r="I461" s="122" t="s">
        <v>229</v>
      </c>
      <c r="J461" s="122" t="s">
        <v>53</v>
      </c>
      <c r="K461" s="122" t="s">
        <v>53</v>
      </c>
      <c r="L461" s="122" t="s">
        <v>805</v>
      </c>
      <c r="M461" s="122" t="s">
        <v>311</v>
      </c>
      <c r="N461" s="122" t="s">
        <v>635</v>
      </c>
      <c r="O461" s="122" t="s">
        <v>62</v>
      </c>
      <c r="P461" s="122" t="s">
        <v>1324</v>
      </c>
      <c r="Q461" s="122" t="s">
        <v>65</v>
      </c>
      <c r="R461" s="122" t="s">
        <v>57</v>
      </c>
      <c r="S461" s="122" t="s">
        <v>1216</v>
      </c>
      <c r="T461" s="123">
        <v>5.83</v>
      </c>
      <c r="U461" s="122" t="s">
        <v>1816</v>
      </c>
      <c r="V461" s="125">
        <v>2.5000000000000001E-2</v>
      </c>
      <c r="W461" s="125">
        <v>2.911E-2</v>
      </c>
      <c r="X461" s="122" t="s">
        <v>620</v>
      </c>
      <c r="Y461" s="133"/>
      <c r="Z461" s="123">
        <v>13174000</v>
      </c>
      <c r="AA461" s="123">
        <v>1</v>
      </c>
      <c r="AB461" s="123">
        <v>116.08</v>
      </c>
      <c r="AC461" s="122"/>
      <c r="AD461" s="123">
        <v>15292.379000000001</v>
      </c>
      <c r="AE461" s="122"/>
      <c r="AF461" s="122"/>
      <c r="AG461" s="122"/>
      <c r="AH461" s="125">
        <v>9.7599999999999996E-3</v>
      </c>
      <c r="AI461" s="125">
        <v>4.0499999999999998E-3</v>
      </c>
      <c r="AJ461" s="126">
        <v>5.5999999999999995E-4</v>
      </c>
      <c r="AK461" s="159"/>
    </row>
    <row r="462" spans="1:37" x14ac:dyDescent="0.2">
      <c r="A462" s="121" t="s">
        <v>1223</v>
      </c>
      <c r="B462" s="122" t="s">
        <v>1223</v>
      </c>
      <c r="C462" s="122" t="s">
        <v>1415</v>
      </c>
      <c r="D462" s="122" t="s">
        <v>1416</v>
      </c>
      <c r="E462" s="122" t="s">
        <v>429</v>
      </c>
      <c r="F462" s="122" t="s">
        <v>1809</v>
      </c>
      <c r="G462" s="122" t="s">
        <v>1810</v>
      </c>
      <c r="H462" s="122" t="s">
        <v>76</v>
      </c>
      <c r="I462" s="122" t="s">
        <v>228</v>
      </c>
      <c r="J462" s="122" t="s">
        <v>53</v>
      </c>
      <c r="K462" s="122" t="s">
        <v>53</v>
      </c>
      <c r="L462" s="122" t="s">
        <v>805</v>
      </c>
      <c r="M462" s="122" t="s">
        <v>311</v>
      </c>
      <c r="N462" s="122" t="s">
        <v>269</v>
      </c>
      <c r="O462" s="122" t="s">
        <v>62</v>
      </c>
      <c r="P462" s="122" t="s">
        <v>1369</v>
      </c>
      <c r="Q462" s="122" t="s">
        <v>65</v>
      </c>
      <c r="R462" s="122" t="s">
        <v>57</v>
      </c>
      <c r="S462" s="122" t="s">
        <v>1216</v>
      </c>
      <c r="T462" s="123">
        <v>2.2799999999999998</v>
      </c>
      <c r="U462" s="122" t="s">
        <v>1811</v>
      </c>
      <c r="V462" s="125">
        <v>1.8319999999999999E-2</v>
      </c>
      <c r="W462" s="125">
        <v>4.6649999999999997E-2</v>
      </c>
      <c r="X462" s="122" t="s">
        <v>620</v>
      </c>
      <c r="Y462" s="133"/>
      <c r="Z462" s="123">
        <v>14727558.619999999</v>
      </c>
      <c r="AA462" s="123">
        <v>1</v>
      </c>
      <c r="AB462" s="123">
        <v>102.82</v>
      </c>
      <c r="AC462" s="122"/>
      <c r="AD462" s="123">
        <v>15142.876</v>
      </c>
      <c r="AE462" s="122"/>
      <c r="AF462" s="122"/>
      <c r="AG462" s="122"/>
      <c r="AH462" s="125">
        <v>2.682E-2</v>
      </c>
      <c r="AI462" s="125">
        <v>4.0099999999999997E-3</v>
      </c>
      <c r="AJ462" s="126">
        <v>5.5000000000000003E-4</v>
      </c>
      <c r="AK462" s="159"/>
    </row>
    <row r="463" spans="1:37" x14ac:dyDescent="0.2">
      <c r="A463" s="121" t="s">
        <v>1223</v>
      </c>
      <c r="B463" s="122" t="s">
        <v>1223</v>
      </c>
      <c r="C463" s="122" t="s">
        <v>1393</v>
      </c>
      <c r="D463" s="122" t="s">
        <v>1394</v>
      </c>
      <c r="E463" s="122" t="s">
        <v>429</v>
      </c>
      <c r="F463" s="122" t="s">
        <v>1491</v>
      </c>
      <c r="G463" s="122" t="s">
        <v>1492</v>
      </c>
      <c r="H463" s="122" t="s">
        <v>76</v>
      </c>
      <c r="I463" s="122" t="s">
        <v>228</v>
      </c>
      <c r="J463" s="122" t="s">
        <v>53</v>
      </c>
      <c r="K463" s="122" t="s">
        <v>53</v>
      </c>
      <c r="L463" s="122" t="s">
        <v>805</v>
      </c>
      <c r="M463" s="122" t="s">
        <v>311</v>
      </c>
      <c r="N463" s="122" t="s">
        <v>269</v>
      </c>
      <c r="O463" s="122" t="s">
        <v>62</v>
      </c>
      <c r="P463" s="122" t="s">
        <v>1377</v>
      </c>
      <c r="Q463" s="122" t="s">
        <v>70</v>
      </c>
      <c r="R463" s="122" t="s">
        <v>57</v>
      </c>
      <c r="S463" s="122" t="s">
        <v>1216</v>
      </c>
      <c r="T463" s="123">
        <v>2.14</v>
      </c>
      <c r="U463" s="122" t="s">
        <v>1493</v>
      </c>
      <c r="V463" s="125">
        <v>4.36E-2</v>
      </c>
      <c r="W463" s="125">
        <v>4.4060000000000002E-2</v>
      </c>
      <c r="X463" s="122" t="s">
        <v>620</v>
      </c>
      <c r="Y463" s="133"/>
      <c r="Z463" s="123">
        <v>14645000</v>
      </c>
      <c r="AA463" s="123">
        <v>1</v>
      </c>
      <c r="AB463" s="123">
        <v>101.09</v>
      </c>
      <c r="AC463" s="122"/>
      <c r="AD463" s="123">
        <v>14804.630999999999</v>
      </c>
      <c r="AE463" s="122"/>
      <c r="AF463" s="122"/>
      <c r="AG463" s="122"/>
      <c r="AH463" s="125">
        <v>4.8820000000000002E-2</v>
      </c>
      <c r="AI463" s="125">
        <v>3.9199999999999999E-3</v>
      </c>
      <c r="AJ463" s="126">
        <v>5.4000000000000001E-4</v>
      </c>
      <c r="AK463" s="159"/>
    </row>
    <row r="464" spans="1:37" x14ac:dyDescent="0.2">
      <c r="A464" s="121" t="s">
        <v>1223</v>
      </c>
      <c r="B464" s="122" t="s">
        <v>1223</v>
      </c>
      <c r="C464" s="122" t="s">
        <v>1640</v>
      </c>
      <c r="D464" s="122" t="s">
        <v>1641</v>
      </c>
      <c r="E464" s="122" t="s">
        <v>429</v>
      </c>
      <c r="F464" s="122" t="s">
        <v>1817</v>
      </c>
      <c r="G464" s="122" t="s">
        <v>1818</v>
      </c>
      <c r="H464" s="122" t="s">
        <v>76</v>
      </c>
      <c r="I464" s="122" t="s">
        <v>228</v>
      </c>
      <c r="J464" s="122" t="s">
        <v>53</v>
      </c>
      <c r="K464" s="122" t="s">
        <v>53</v>
      </c>
      <c r="L464" s="122" t="s">
        <v>805</v>
      </c>
      <c r="M464" s="122" t="s">
        <v>311</v>
      </c>
      <c r="N464" s="122" t="s">
        <v>635</v>
      </c>
      <c r="O464" s="122" t="s">
        <v>62</v>
      </c>
      <c r="P464" s="122" t="s">
        <v>1561</v>
      </c>
      <c r="Q464" s="122" t="s">
        <v>65</v>
      </c>
      <c r="R464" s="122" t="s">
        <v>57</v>
      </c>
      <c r="S464" s="122" t="s">
        <v>1216</v>
      </c>
      <c r="T464" s="123">
        <v>2.35</v>
      </c>
      <c r="U464" s="122" t="s">
        <v>1819</v>
      </c>
      <c r="V464" s="125">
        <v>5.2999999999999999E-2</v>
      </c>
      <c r="W464" s="125">
        <v>4.8120000000000003E-2</v>
      </c>
      <c r="X464" s="122" t="s">
        <v>620</v>
      </c>
      <c r="Y464" s="133"/>
      <c r="Z464" s="123">
        <v>11425714.4</v>
      </c>
      <c r="AA464" s="123">
        <v>1</v>
      </c>
      <c r="AB464" s="123">
        <v>101.25</v>
      </c>
      <c r="AC464" s="123">
        <v>3234.9050000000002</v>
      </c>
      <c r="AD464" s="123">
        <v>14803.441000000001</v>
      </c>
      <c r="AE464" s="122"/>
      <c r="AF464" s="122"/>
      <c r="AG464" s="122"/>
      <c r="AH464" s="125">
        <v>3.7760000000000002E-2</v>
      </c>
      <c r="AI464" s="125">
        <v>4.7699999999999999E-3</v>
      </c>
      <c r="AJ464" s="126">
        <v>6.6E-4</v>
      </c>
      <c r="AK464" s="159"/>
    </row>
    <row r="465" spans="1:37" x14ac:dyDescent="0.2">
      <c r="A465" s="121" t="s">
        <v>1223</v>
      </c>
      <c r="B465" s="122" t="s">
        <v>1223</v>
      </c>
      <c r="C465" s="122" t="s">
        <v>1499</v>
      </c>
      <c r="D465" s="122" t="s">
        <v>1500</v>
      </c>
      <c r="E465" s="122" t="s">
        <v>429</v>
      </c>
      <c r="F465" s="122" t="s">
        <v>1823</v>
      </c>
      <c r="G465" s="122" t="s">
        <v>1824</v>
      </c>
      <c r="H465" s="122" t="s">
        <v>76</v>
      </c>
      <c r="I465" s="122" t="s">
        <v>228</v>
      </c>
      <c r="J465" s="122" t="s">
        <v>53</v>
      </c>
      <c r="K465" s="122" t="s">
        <v>53</v>
      </c>
      <c r="L465" s="122" t="s">
        <v>805</v>
      </c>
      <c r="M465" s="122" t="s">
        <v>311</v>
      </c>
      <c r="N465" s="122" t="s">
        <v>692</v>
      </c>
      <c r="O465" s="122" t="s">
        <v>62</v>
      </c>
      <c r="P465" s="122" t="s">
        <v>1450</v>
      </c>
      <c r="Q465" s="122" t="s">
        <v>65</v>
      </c>
      <c r="R465" s="122" t="s">
        <v>57</v>
      </c>
      <c r="S465" s="122" t="s">
        <v>1216</v>
      </c>
      <c r="T465" s="123">
        <v>2.56</v>
      </c>
      <c r="U465" s="122" t="s">
        <v>1825</v>
      </c>
      <c r="V465" s="125">
        <v>0.04</v>
      </c>
      <c r="W465" s="125">
        <v>4.7759999999999997E-2</v>
      </c>
      <c r="X465" s="122" t="s">
        <v>620</v>
      </c>
      <c r="Y465" s="133"/>
      <c r="Z465" s="123">
        <v>14250005.67</v>
      </c>
      <c r="AA465" s="123">
        <v>1</v>
      </c>
      <c r="AB465" s="123">
        <v>99.07</v>
      </c>
      <c r="AC465" s="122"/>
      <c r="AD465" s="123">
        <v>14117.481</v>
      </c>
      <c r="AE465" s="122"/>
      <c r="AF465" s="122"/>
      <c r="AG465" s="122"/>
      <c r="AH465" s="125">
        <v>2.4539999999999999E-2</v>
      </c>
      <c r="AI465" s="125">
        <v>3.7299999999999998E-3</v>
      </c>
      <c r="AJ465" s="126">
        <v>5.1999999999999995E-4</v>
      </c>
      <c r="AK465" s="159"/>
    </row>
    <row r="466" spans="1:37" x14ac:dyDescent="0.2">
      <c r="A466" s="121" t="s">
        <v>1223</v>
      </c>
      <c r="B466" s="122" t="s">
        <v>1223</v>
      </c>
      <c r="C466" s="122" t="s">
        <v>1446</v>
      </c>
      <c r="D466" s="122" t="s">
        <v>1447</v>
      </c>
      <c r="E466" s="122" t="s">
        <v>429</v>
      </c>
      <c r="F466" s="122" t="s">
        <v>1448</v>
      </c>
      <c r="G466" s="122" t="s">
        <v>1449</v>
      </c>
      <c r="H466" s="122" t="s">
        <v>76</v>
      </c>
      <c r="I466" s="122" t="s">
        <v>228</v>
      </c>
      <c r="J466" s="122" t="s">
        <v>53</v>
      </c>
      <c r="K466" s="122" t="s">
        <v>53</v>
      </c>
      <c r="L466" s="122" t="s">
        <v>805</v>
      </c>
      <c r="M466" s="122" t="s">
        <v>311</v>
      </c>
      <c r="N466" s="122" t="s">
        <v>156</v>
      </c>
      <c r="O466" s="122" t="s">
        <v>62</v>
      </c>
      <c r="P466" s="122" t="s">
        <v>1450</v>
      </c>
      <c r="Q466" s="122" t="s">
        <v>65</v>
      </c>
      <c r="R466" s="122" t="s">
        <v>57</v>
      </c>
      <c r="S466" s="122" t="s">
        <v>1216</v>
      </c>
      <c r="T466" s="123">
        <v>2.8</v>
      </c>
      <c r="U466" s="122" t="s">
        <v>1451</v>
      </c>
      <c r="V466" s="125">
        <v>2.5000000000000001E-2</v>
      </c>
      <c r="W466" s="125">
        <v>4.972E-2</v>
      </c>
      <c r="X466" s="122" t="s">
        <v>620</v>
      </c>
      <c r="Y466" s="133"/>
      <c r="Z466" s="123">
        <v>14964301.859999999</v>
      </c>
      <c r="AA466" s="123">
        <v>1</v>
      </c>
      <c r="AB466" s="123">
        <v>93.71</v>
      </c>
      <c r="AC466" s="122"/>
      <c r="AD466" s="123">
        <v>14023.047</v>
      </c>
      <c r="AE466" s="122"/>
      <c r="AF466" s="122"/>
      <c r="AG466" s="122"/>
      <c r="AH466" s="125">
        <v>2.2550000000000001E-2</v>
      </c>
      <c r="AI466" s="125">
        <v>3.7100000000000002E-3</v>
      </c>
      <c r="AJ466" s="126">
        <v>5.1000000000000004E-4</v>
      </c>
      <c r="AK466" s="159"/>
    </row>
    <row r="467" spans="1:37" x14ac:dyDescent="0.2">
      <c r="A467" s="121" t="s">
        <v>1223</v>
      </c>
      <c r="B467" s="122" t="s">
        <v>1223</v>
      </c>
      <c r="C467" s="122" t="s">
        <v>1798</v>
      </c>
      <c r="D467" s="122" t="s">
        <v>1799</v>
      </c>
      <c r="E467" s="122" t="s">
        <v>429</v>
      </c>
      <c r="F467" s="122" t="s">
        <v>1800</v>
      </c>
      <c r="G467" s="122" t="s">
        <v>1801</v>
      </c>
      <c r="H467" s="122" t="s">
        <v>76</v>
      </c>
      <c r="I467" s="122" t="s">
        <v>228</v>
      </c>
      <c r="J467" s="122" t="s">
        <v>53</v>
      </c>
      <c r="K467" s="122" t="s">
        <v>53</v>
      </c>
      <c r="L467" s="122" t="s">
        <v>805</v>
      </c>
      <c r="M467" s="122" t="s">
        <v>311</v>
      </c>
      <c r="N467" s="122" t="s">
        <v>75</v>
      </c>
      <c r="O467" s="122" t="s">
        <v>62</v>
      </c>
      <c r="P467" s="122" t="s">
        <v>1369</v>
      </c>
      <c r="Q467" s="122" t="s">
        <v>65</v>
      </c>
      <c r="R467" s="122" t="s">
        <v>57</v>
      </c>
      <c r="S467" s="122" t="s">
        <v>1216</v>
      </c>
      <c r="T467" s="123">
        <v>3.41</v>
      </c>
      <c r="U467" s="122" t="s">
        <v>1802</v>
      </c>
      <c r="V467" s="125">
        <v>5.04E-2</v>
      </c>
      <c r="W467" s="125">
        <v>4.9020000000000001E-2</v>
      </c>
      <c r="X467" s="122" t="s">
        <v>620</v>
      </c>
      <c r="Y467" s="133"/>
      <c r="Z467" s="123">
        <v>13300000</v>
      </c>
      <c r="AA467" s="123">
        <v>1</v>
      </c>
      <c r="AB467" s="123">
        <v>101.51</v>
      </c>
      <c r="AC467" s="122"/>
      <c r="AD467" s="123">
        <v>13500.83</v>
      </c>
      <c r="AE467" s="122"/>
      <c r="AF467" s="122"/>
      <c r="AG467" s="122"/>
      <c r="AH467" s="125">
        <v>2.6859999999999998E-2</v>
      </c>
      <c r="AI467" s="125">
        <v>3.5699999999999998E-3</v>
      </c>
      <c r="AJ467" s="126">
        <v>4.8999999999999998E-4</v>
      </c>
      <c r="AK467" s="159"/>
    </row>
    <row r="468" spans="1:37" x14ac:dyDescent="0.2">
      <c r="A468" s="121" t="s">
        <v>1223</v>
      </c>
      <c r="B468" s="122" t="s">
        <v>1223</v>
      </c>
      <c r="C468" s="122" t="s">
        <v>1504</v>
      </c>
      <c r="D468" s="122" t="s">
        <v>1505</v>
      </c>
      <c r="E468" s="122" t="s">
        <v>429</v>
      </c>
      <c r="F468" s="122" t="s">
        <v>1506</v>
      </c>
      <c r="G468" s="122" t="s">
        <v>1507</v>
      </c>
      <c r="H468" s="122" t="s">
        <v>76</v>
      </c>
      <c r="I468" s="122" t="s">
        <v>229</v>
      </c>
      <c r="J468" s="122" t="s">
        <v>53</v>
      </c>
      <c r="K468" s="122" t="s">
        <v>53</v>
      </c>
      <c r="L468" s="122" t="s">
        <v>805</v>
      </c>
      <c r="M468" s="122" t="s">
        <v>311</v>
      </c>
      <c r="N468" s="122" t="s">
        <v>269</v>
      </c>
      <c r="O468" s="122" t="s">
        <v>62</v>
      </c>
      <c r="P468" s="122" t="s">
        <v>1324</v>
      </c>
      <c r="Q468" s="122" t="s">
        <v>65</v>
      </c>
      <c r="R468" s="122" t="s">
        <v>57</v>
      </c>
      <c r="S468" s="122" t="s">
        <v>1216</v>
      </c>
      <c r="T468" s="123">
        <v>3.56</v>
      </c>
      <c r="U468" s="122" t="s">
        <v>1508</v>
      </c>
      <c r="V468" s="125">
        <v>4.4000000000000003E-3</v>
      </c>
      <c r="W468" s="125">
        <v>2.683E-2</v>
      </c>
      <c r="X468" s="122" t="s">
        <v>620</v>
      </c>
      <c r="Y468" s="133"/>
      <c r="Z468" s="123">
        <v>12241621.01</v>
      </c>
      <c r="AA468" s="123">
        <v>1</v>
      </c>
      <c r="AB468" s="123">
        <v>109.63</v>
      </c>
      <c r="AC468" s="122"/>
      <c r="AD468" s="123">
        <v>13420.489</v>
      </c>
      <c r="AE468" s="122"/>
      <c r="AF468" s="122"/>
      <c r="AG468" s="122"/>
      <c r="AH468" s="125">
        <v>1.077E-2</v>
      </c>
      <c r="AI468" s="125">
        <v>3.5500000000000002E-3</v>
      </c>
      <c r="AJ468" s="126">
        <v>4.8999999999999998E-4</v>
      </c>
      <c r="AK468" s="159"/>
    </row>
    <row r="469" spans="1:37" x14ac:dyDescent="0.2">
      <c r="A469" s="121" t="s">
        <v>1223</v>
      </c>
      <c r="B469" s="122" t="s">
        <v>1223</v>
      </c>
      <c r="C469" s="122" t="s">
        <v>1640</v>
      </c>
      <c r="D469" s="122" t="s">
        <v>1641</v>
      </c>
      <c r="E469" s="122" t="s">
        <v>429</v>
      </c>
      <c r="F469" s="122" t="s">
        <v>1826</v>
      </c>
      <c r="G469" s="122" t="s">
        <v>1827</v>
      </c>
      <c r="H469" s="122" t="s">
        <v>76</v>
      </c>
      <c r="I469" s="122" t="s">
        <v>229</v>
      </c>
      <c r="J469" s="122" t="s">
        <v>53</v>
      </c>
      <c r="K469" s="122" t="s">
        <v>53</v>
      </c>
      <c r="L469" s="122" t="s">
        <v>805</v>
      </c>
      <c r="M469" s="122" t="s">
        <v>311</v>
      </c>
      <c r="N469" s="122" t="s">
        <v>635</v>
      </c>
      <c r="O469" s="122" t="s">
        <v>62</v>
      </c>
      <c r="P469" s="122" t="s">
        <v>1561</v>
      </c>
      <c r="Q469" s="122" t="s">
        <v>65</v>
      </c>
      <c r="R469" s="122" t="s">
        <v>57</v>
      </c>
      <c r="S469" s="122" t="s">
        <v>1216</v>
      </c>
      <c r="T469" s="123">
        <v>0.98</v>
      </c>
      <c r="U469" s="122" t="s">
        <v>1828</v>
      </c>
      <c r="V469" s="125">
        <v>3.4599999999999999E-2</v>
      </c>
      <c r="W469" s="125">
        <v>3.372E-2</v>
      </c>
      <c r="X469" s="122" t="s">
        <v>620</v>
      </c>
      <c r="Y469" s="133"/>
      <c r="Z469" s="123">
        <v>10909092.02</v>
      </c>
      <c r="AA469" s="123">
        <v>1</v>
      </c>
      <c r="AB469" s="123">
        <v>120.85</v>
      </c>
      <c r="AC469" s="122"/>
      <c r="AD469" s="123">
        <v>13183.638000000001</v>
      </c>
      <c r="AE469" s="122"/>
      <c r="AF469" s="122"/>
      <c r="AG469" s="122"/>
      <c r="AH469" s="125">
        <v>4.4260000000000001E-2</v>
      </c>
      <c r="AI469" s="125">
        <v>3.49E-3</v>
      </c>
      <c r="AJ469" s="126">
        <v>4.8000000000000001E-4</v>
      </c>
      <c r="AK469" s="159"/>
    </row>
    <row r="470" spans="1:37" x14ac:dyDescent="0.2">
      <c r="A470" s="121" t="s">
        <v>1223</v>
      </c>
      <c r="B470" s="122" t="s">
        <v>1223</v>
      </c>
      <c r="C470" s="122" t="s">
        <v>1829</v>
      </c>
      <c r="D470" s="122" t="s">
        <v>1830</v>
      </c>
      <c r="E470" s="122" t="s">
        <v>429</v>
      </c>
      <c r="F470" s="122" t="s">
        <v>1831</v>
      </c>
      <c r="G470" s="122" t="s">
        <v>1832</v>
      </c>
      <c r="H470" s="122" t="s">
        <v>76</v>
      </c>
      <c r="I470" s="122" t="s">
        <v>228</v>
      </c>
      <c r="J470" s="122" t="s">
        <v>53</v>
      </c>
      <c r="K470" s="122" t="s">
        <v>53</v>
      </c>
      <c r="L470" s="122" t="s">
        <v>805</v>
      </c>
      <c r="M470" s="122" t="s">
        <v>311</v>
      </c>
      <c r="N470" s="122" t="s">
        <v>267</v>
      </c>
      <c r="O470" s="122" t="s">
        <v>62</v>
      </c>
      <c r="P470" s="122" t="s">
        <v>1324</v>
      </c>
      <c r="Q470" s="122" t="s">
        <v>65</v>
      </c>
      <c r="R470" s="122" t="s">
        <v>57</v>
      </c>
      <c r="S470" s="122" t="s">
        <v>1216</v>
      </c>
      <c r="T470" s="123">
        <v>2.68</v>
      </c>
      <c r="U470" s="122" t="s">
        <v>1833</v>
      </c>
      <c r="V470" s="125">
        <v>2.24E-2</v>
      </c>
      <c r="W470" s="125">
        <v>4.6219999999999997E-2</v>
      </c>
      <c r="X470" s="122" t="s">
        <v>620</v>
      </c>
      <c r="Y470" s="133"/>
      <c r="Z470" s="123">
        <v>13561340.35</v>
      </c>
      <c r="AA470" s="123">
        <v>1</v>
      </c>
      <c r="AB470" s="123">
        <v>94.99</v>
      </c>
      <c r="AC470" s="122"/>
      <c r="AD470" s="123">
        <v>12881.916999999999</v>
      </c>
      <c r="AE470" s="122"/>
      <c r="AF470" s="122"/>
      <c r="AG470" s="122"/>
      <c r="AH470" s="125">
        <v>2.5440000000000001E-2</v>
      </c>
      <c r="AI470" s="125">
        <v>3.4099999999999998E-3</v>
      </c>
      <c r="AJ470" s="126">
        <v>4.6999999999999999E-4</v>
      </c>
      <c r="AK470" s="159"/>
    </row>
    <row r="471" spans="1:37" x14ac:dyDescent="0.2">
      <c r="A471" s="121" t="s">
        <v>1223</v>
      </c>
      <c r="B471" s="122" t="s">
        <v>1223</v>
      </c>
      <c r="C471" s="122" t="s">
        <v>1542</v>
      </c>
      <c r="D471" s="122" t="s">
        <v>1543</v>
      </c>
      <c r="E471" s="122" t="s">
        <v>429</v>
      </c>
      <c r="F471" s="122" t="s">
        <v>1582</v>
      </c>
      <c r="G471" s="122" t="s">
        <v>1583</v>
      </c>
      <c r="H471" s="122" t="s">
        <v>76</v>
      </c>
      <c r="I471" s="122" t="s">
        <v>229</v>
      </c>
      <c r="J471" s="122" t="s">
        <v>53</v>
      </c>
      <c r="K471" s="122" t="s">
        <v>53</v>
      </c>
      <c r="L471" s="122" t="s">
        <v>805</v>
      </c>
      <c r="M471" s="122" t="s">
        <v>311</v>
      </c>
      <c r="N471" s="122" t="s">
        <v>635</v>
      </c>
      <c r="O471" s="122" t="s">
        <v>62</v>
      </c>
      <c r="P471" s="122" t="s">
        <v>1584</v>
      </c>
      <c r="Q471" s="122" t="s">
        <v>70</v>
      </c>
      <c r="R471" s="122" t="s">
        <v>57</v>
      </c>
      <c r="S471" s="122" t="s">
        <v>1216</v>
      </c>
      <c r="T471" s="123">
        <v>1.71</v>
      </c>
      <c r="U471" s="122" t="s">
        <v>1458</v>
      </c>
      <c r="V471" s="125">
        <v>1.77E-2</v>
      </c>
      <c r="W471" s="125">
        <v>2.9059999999999999E-2</v>
      </c>
      <c r="X471" s="122" t="s">
        <v>620</v>
      </c>
      <c r="Y471" s="133"/>
      <c r="Z471" s="123">
        <v>10812000.119999999</v>
      </c>
      <c r="AA471" s="123">
        <v>1</v>
      </c>
      <c r="AB471" s="123">
        <v>116.94</v>
      </c>
      <c r="AC471" s="122"/>
      <c r="AD471" s="123">
        <v>12643.553</v>
      </c>
      <c r="AE471" s="122"/>
      <c r="AF471" s="122"/>
      <c r="AG471" s="122"/>
      <c r="AH471" s="125">
        <v>4.4400000000000004E-3</v>
      </c>
      <c r="AI471" s="125">
        <v>3.3400000000000001E-3</v>
      </c>
      <c r="AJ471" s="126">
        <v>4.6000000000000001E-4</v>
      </c>
      <c r="AK471" s="159"/>
    </row>
    <row r="472" spans="1:37" x14ac:dyDescent="0.2">
      <c r="A472" s="121" t="s">
        <v>1223</v>
      </c>
      <c r="B472" s="122" t="s">
        <v>1223</v>
      </c>
      <c r="C472" s="122" t="s">
        <v>1766</v>
      </c>
      <c r="D472" s="122" t="s">
        <v>1767</v>
      </c>
      <c r="E472" s="122" t="s">
        <v>429</v>
      </c>
      <c r="F472" s="122" t="s">
        <v>1837</v>
      </c>
      <c r="G472" s="122" t="s">
        <v>1838</v>
      </c>
      <c r="H472" s="122" t="s">
        <v>76</v>
      </c>
      <c r="I472" s="122" t="s">
        <v>228</v>
      </c>
      <c r="J472" s="122" t="s">
        <v>53</v>
      </c>
      <c r="K472" s="122" t="s">
        <v>53</v>
      </c>
      <c r="L472" s="122" t="s">
        <v>805</v>
      </c>
      <c r="M472" s="122" t="s">
        <v>311</v>
      </c>
      <c r="N472" s="122" t="s">
        <v>631</v>
      </c>
      <c r="O472" s="122" t="s">
        <v>62</v>
      </c>
      <c r="P472" s="122" t="s">
        <v>1402</v>
      </c>
      <c r="Q472" s="122" t="s">
        <v>70</v>
      </c>
      <c r="R472" s="122" t="s">
        <v>57</v>
      </c>
      <c r="S472" s="122" t="s">
        <v>1216</v>
      </c>
      <c r="T472" s="123">
        <v>3.01</v>
      </c>
      <c r="U472" s="122" t="s">
        <v>1455</v>
      </c>
      <c r="V472" s="125">
        <v>6.9500000000000006E-2</v>
      </c>
      <c r="W472" s="125">
        <v>5.323E-2</v>
      </c>
      <c r="X472" s="122" t="s">
        <v>620</v>
      </c>
      <c r="Y472" s="133"/>
      <c r="Z472" s="123">
        <v>10450000</v>
      </c>
      <c r="AA472" s="123">
        <v>1</v>
      </c>
      <c r="AB472" s="123">
        <v>106.87</v>
      </c>
      <c r="AC472" s="122"/>
      <c r="AD472" s="123">
        <v>11167.915000000001</v>
      </c>
      <c r="AE472" s="122"/>
      <c r="AF472" s="122"/>
      <c r="AG472" s="122"/>
      <c r="AH472" s="125">
        <v>1.3010000000000001E-2</v>
      </c>
      <c r="AI472" s="125">
        <v>2.9499999999999999E-3</v>
      </c>
      <c r="AJ472" s="126">
        <v>4.0999999999999999E-4</v>
      </c>
      <c r="AK472" s="159"/>
    </row>
    <row r="473" spans="1:37" x14ac:dyDescent="0.2">
      <c r="A473" s="121" t="s">
        <v>1223</v>
      </c>
      <c r="B473" s="122" t="s">
        <v>1223</v>
      </c>
      <c r="C473" s="122" t="s">
        <v>1585</v>
      </c>
      <c r="D473" s="122" t="s">
        <v>1586</v>
      </c>
      <c r="E473" s="122" t="s">
        <v>429</v>
      </c>
      <c r="F473" s="122" t="s">
        <v>1587</v>
      </c>
      <c r="G473" s="122" t="s">
        <v>1588</v>
      </c>
      <c r="H473" s="122" t="s">
        <v>76</v>
      </c>
      <c r="I473" s="122" t="s">
        <v>228</v>
      </c>
      <c r="J473" s="122" t="s">
        <v>53</v>
      </c>
      <c r="K473" s="122" t="s">
        <v>53</v>
      </c>
      <c r="L473" s="122" t="s">
        <v>805</v>
      </c>
      <c r="M473" s="122" t="s">
        <v>311</v>
      </c>
      <c r="N473" s="122" t="s">
        <v>265</v>
      </c>
      <c r="O473" s="122" t="s">
        <v>62</v>
      </c>
      <c r="P473" s="122" t="s">
        <v>1450</v>
      </c>
      <c r="Q473" s="122" t="s">
        <v>65</v>
      </c>
      <c r="R473" s="122" t="s">
        <v>57</v>
      </c>
      <c r="S473" s="122" t="s">
        <v>1216</v>
      </c>
      <c r="T473" s="123">
        <v>1.81</v>
      </c>
      <c r="U473" s="122" t="s">
        <v>1458</v>
      </c>
      <c r="V473" s="125">
        <v>2.1999999999999999E-2</v>
      </c>
      <c r="W473" s="125">
        <v>4.8329999999999998E-2</v>
      </c>
      <c r="X473" s="122" t="s">
        <v>620</v>
      </c>
      <c r="Y473" s="133"/>
      <c r="Z473" s="123">
        <v>11551554.140000001</v>
      </c>
      <c r="AA473" s="123">
        <v>1</v>
      </c>
      <c r="AB473" s="123">
        <v>96.03</v>
      </c>
      <c r="AC473" s="122"/>
      <c r="AD473" s="123">
        <v>11092.957</v>
      </c>
      <c r="AE473" s="122"/>
      <c r="AF473" s="122"/>
      <c r="AG473" s="122"/>
      <c r="AH473" s="125">
        <v>1.332E-2</v>
      </c>
      <c r="AI473" s="125">
        <v>2.9299999999999999E-3</v>
      </c>
      <c r="AJ473" s="126">
        <v>4.0999999999999999E-4</v>
      </c>
      <c r="AK473" s="159"/>
    </row>
    <row r="474" spans="1:37" x14ac:dyDescent="0.2">
      <c r="A474" s="121" t="s">
        <v>1223</v>
      </c>
      <c r="B474" s="122" t="s">
        <v>1223</v>
      </c>
      <c r="C474" s="122" t="s">
        <v>1790</v>
      </c>
      <c r="D474" s="122" t="s">
        <v>1791</v>
      </c>
      <c r="E474" s="122" t="s">
        <v>429</v>
      </c>
      <c r="F474" s="122" t="s">
        <v>1834</v>
      </c>
      <c r="G474" s="122" t="s">
        <v>1835</v>
      </c>
      <c r="H474" s="122" t="s">
        <v>76</v>
      </c>
      <c r="I474" s="122" t="s">
        <v>228</v>
      </c>
      <c r="J474" s="122" t="s">
        <v>53</v>
      </c>
      <c r="K474" s="122" t="s">
        <v>53</v>
      </c>
      <c r="L474" s="122" t="s">
        <v>805</v>
      </c>
      <c r="M474" s="122" t="s">
        <v>311</v>
      </c>
      <c r="N474" s="122" t="s">
        <v>267</v>
      </c>
      <c r="O474" s="122" t="s">
        <v>62</v>
      </c>
      <c r="P474" s="122" t="s">
        <v>1836</v>
      </c>
      <c r="Q474" s="122" t="s">
        <v>65</v>
      </c>
      <c r="R474" s="122" t="s">
        <v>57</v>
      </c>
      <c r="S474" s="122" t="s">
        <v>1216</v>
      </c>
      <c r="T474" s="123">
        <v>3.76</v>
      </c>
      <c r="U474" s="122" t="s">
        <v>1455</v>
      </c>
      <c r="V474" s="125">
        <v>0.06</v>
      </c>
      <c r="W474" s="125">
        <v>5.5350000000000003E-2</v>
      </c>
      <c r="X474" s="122" t="s">
        <v>620</v>
      </c>
      <c r="Y474" s="133"/>
      <c r="Z474" s="123">
        <v>10700000</v>
      </c>
      <c r="AA474" s="123">
        <v>1</v>
      </c>
      <c r="AB474" s="123">
        <v>103.52</v>
      </c>
      <c r="AC474" s="122"/>
      <c r="AD474" s="123">
        <v>11076.64</v>
      </c>
      <c r="AE474" s="122"/>
      <c r="AF474" s="122"/>
      <c r="AG474" s="122"/>
      <c r="AH474" s="125">
        <v>1.0699999999999999E-2</v>
      </c>
      <c r="AI474" s="125">
        <v>2.9299999999999999E-3</v>
      </c>
      <c r="AJ474" s="126">
        <v>4.0999999999999999E-4</v>
      </c>
      <c r="AK474" s="159"/>
    </row>
    <row r="475" spans="1:37" x14ac:dyDescent="0.2">
      <c r="A475" s="121" t="s">
        <v>1223</v>
      </c>
      <c r="B475" s="122" t="s">
        <v>1223</v>
      </c>
      <c r="C475" s="122" t="s">
        <v>1494</v>
      </c>
      <c r="D475" s="122" t="s">
        <v>1495</v>
      </c>
      <c r="E475" s="122" t="s">
        <v>429</v>
      </c>
      <c r="F475" s="122" t="s">
        <v>1496</v>
      </c>
      <c r="G475" s="122" t="s">
        <v>1497</v>
      </c>
      <c r="H475" s="122" t="s">
        <v>76</v>
      </c>
      <c r="I475" s="122" t="s">
        <v>229</v>
      </c>
      <c r="J475" s="122" t="s">
        <v>53</v>
      </c>
      <c r="K475" s="122" t="s">
        <v>53</v>
      </c>
      <c r="L475" s="122" t="s">
        <v>805</v>
      </c>
      <c r="M475" s="122" t="s">
        <v>311</v>
      </c>
      <c r="N475" s="122" t="s">
        <v>256</v>
      </c>
      <c r="O475" s="122" t="s">
        <v>62</v>
      </c>
      <c r="P475" s="122" t="s">
        <v>1330</v>
      </c>
      <c r="Q475" s="122" t="s">
        <v>65</v>
      </c>
      <c r="R475" s="122" t="s">
        <v>57</v>
      </c>
      <c r="S475" s="122" t="s">
        <v>1216</v>
      </c>
      <c r="T475" s="123">
        <v>2.2599999999999998</v>
      </c>
      <c r="U475" s="122" t="s">
        <v>1498</v>
      </c>
      <c r="V475" s="125">
        <v>1.4999999999999999E-2</v>
      </c>
      <c r="W475" s="125">
        <v>2.5770000000000001E-2</v>
      </c>
      <c r="X475" s="122" t="s">
        <v>620</v>
      </c>
      <c r="Y475" s="133"/>
      <c r="Z475" s="123">
        <v>9378572.9499999993</v>
      </c>
      <c r="AA475" s="123">
        <v>1</v>
      </c>
      <c r="AB475" s="123">
        <v>116.97</v>
      </c>
      <c r="AC475" s="122"/>
      <c r="AD475" s="123">
        <v>10970.117</v>
      </c>
      <c r="AE475" s="122"/>
      <c r="AF475" s="122"/>
      <c r="AG475" s="122"/>
      <c r="AH475" s="125">
        <v>4.0300000000000002E-2</v>
      </c>
      <c r="AI475" s="125">
        <v>2.8999999999999998E-3</v>
      </c>
      <c r="AJ475" s="126">
        <v>4.0000000000000002E-4</v>
      </c>
      <c r="AK475" s="159"/>
    </row>
    <row r="476" spans="1:37" x14ac:dyDescent="0.2">
      <c r="A476" s="121" t="s">
        <v>1223</v>
      </c>
      <c r="B476" s="122" t="s">
        <v>1223</v>
      </c>
      <c r="C476" s="122" t="s">
        <v>1320</v>
      </c>
      <c r="D476" s="122" t="s">
        <v>1321</v>
      </c>
      <c r="E476" s="122" t="s">
        <v>429</v>
      </c>
      <c r="F476" s="122" t="s">
        <v>1482</v>
      </c>
      <c r="G476" s="122" t="s">
        <v>1483</v>
      </c>
      <c r="H476" s="122" t="s">
        <v>76</v>
      </c>
      <c r="I476" s="122" t="s">
        <v>228</v>
      </c>
      <c r="J476" s="122" t="s">
        <v>53</v>
      </c>
      <c r="K476" s="122" t="s">
        <v>53</v>
      </c>
      <c r="L476" s="122" t="s">
        <v>805</v>
      </c>
      <c r="M476" s="122" t="s">
        <v>311</v>
      </c>
      <c r="N476" s="122" t="s">
        <v>269</v>
      </c>
      <c r="O476" s="122" t="s">
        <v>62</v>
      </c>
      <c r="P476" s="122" t="s">
        <v>1454</v>
      </c>
      <c r="Q476" s="122" t="s">
        <v>70</v>
      </c>
      <c r="R476" s="122" t="s">
        <v>57</v>
      </c>
      <c r="S476" s="122" t="s">
        <v>1216</v>
      </c>
      <c r="T476" s="123">
        <v>3.4</v>
      </c>
      <c r="U476" s="122" t="s">
        <v>1484</v>
      </c>
      <c r="V476" s="125">
        <v>2.6200000000000001E-2</v>
      </c>
      <c r="W476" s="125">
        <v>4.512E-2</v>
      </c>
      <c r="X476" s="122" t="s">
        <v>620</v>
      </c>
      <c r="Y476" s="133"/>
      <c r="Z476" s="123">
        <v>10991766</v>
      </c>
      <c r="AA476" s="123">
        <v>1</v>
      </c>
      <c r="AB476" s="123">
        <v>95.06</v>
      </c>
      <c r="AC476" s="122"/>
      <c r="AD476" s="123">
        <v>10448.772999999999</v>
      </c>
      <c r="AE476" s="122"/>
      <c r="AF476" s="122"/>
      <c r="AG476" s="122"/>
      <c r="AH476" s="125">
        <v>8.5000000000000006E-3</v>
      </c>
      <c r="AI476" s="125">
        <v>2.7599999999999999E-3</v>
      </c>
      <c r="AJ476" s="126">
        <v>3.8000000000000002E-4</v>
      </c>
      <c r="AK476" s="159"/>
    </row>
    <row r="477" spans="1:37" x14ac:dyDescent="0.2">
      <c r="A477" s="121" t="s">
        <v>1223</v>
      </c>
      <c r="B477" s="122" t="s">
        <v>1223</v>
      </c>
      <c r="C477" s="122" t="s">
        <v>1373</v>
      </c>
      <c r="D477" s="122" t="s">
        <v>1374</v>
      </c>
      <c r="E477" s="122" t="s">
        <v>429</v>
      </c>
      <c r="F477" s="122" t="s">
        <v>1580</v>
      </c>
      <c r="G477" s="122" t="s">
        <v>1581</v>
      </c>
      <c r="H477" s="122" t="s">
        <v>76</v>
      </c>
      <c r="I477" s="122" t="s">
        <v>228</v>
      </c>
      <c r="J477" s="122" t="s">
        <v>53</v>
      </c>
      <c r="K477" s="122" t="s">
        <v>53</v>
      </c>
      <c r="L477" s="122" t="s">
        <v>805</v>
      </c>
      <c r="M477" s="122" t="s">
        <v>311</v>
      </c>
      <c r="N477" s="122" t="s">
        <v>269</v>
      </c>
      <c r="O477" s="122" t="s">
        <v>62</v>
      </c>
      <c r="P477" s="122" t="s">
        <v>1377</v>
      </c>
      <c r="Q477" s="122" t="s">
        <v>70</v>
      </c>
      <c r="R477" s="122" t="s">
        <v>57</v>
      </c>
      <c r="S477" s="122" t="s">
        <v>1216</v>
      </c>
      <c r="T477" s="123">
        <v>0.99</v>
      </c>
      <c r="U477" s="122" t="s">
        <v>1524</v>
      </c>
      <c r="V477" s="125">
        <v>1.84E-2</v>
      </c>
      <c r="W477" s="125">
        <v>4.7879999999999999E-2</v>
      </c>
      <c r="X477" s="122" t="s">
        <v>620</v>
      </c>
      <c r="Y477" s="133"/>
      <c r="Z477" s="123">
        <v>10413630</v>
      </c>
      <c r="AA477" s="123">
        <v>1</v>
      </c>
      <c r="AB477" s="123">
        <v>97.22</v>
      </c>
      <c r="AC477" s="122"/>
      <c r="AD477" s="123">
        <v>10124.130999999999</v>
      </c>
      <c r="AE477" s="122"/>
      <c r="AF477" s="122"/>
      <c r="AG477" s="122"/>
      <c r="AH477" s="125">
        <v>3.4709999999999998E-2</v>
      </c>
      <c r="AI477" s="125">
        <v>2.6800000000000001E-3</v>
      </c>
      <c r="AJ477" s="126">
        <v>3.6999999999999999E-4</v>
      </c>
      <c r="AK477" s="159"/>
    </row>
    <row r="478" spans="1:37" x14ac:dyDescent="0.2">
      <c r="A478" s="121" t="s">
        <v>1223</v>
      </c>
      <c r="B478" s="122" t="s">
        <v>1223</v>
      </c>
      <c r="C478" s="122" t="s">
        <v>1708</v>
      </c>
      <c r="D478" s="122" t="s">
        <v>1709</v>
      </c>
      <c r="E478" s="122" t="s">
        <v>429</v>
      </c>
      <c r="F478" s="122" t="s">
        <v>1839</v>
      </c>
      <c r="G478" s="122" t="s">
        <v>1840</v>
      </c>
      <c r="H478" s="122" t="s">
        <v>76</v>
      </c>
      <c r="I478" s="122" t="s">
        <v>229</v>
      </c>
      <c r="J478" s="122" t="s">
        <v>53</v>
      </c>
      <c r="K478" s="122" t="s">
        <v>53</v>
      </c>
      <c r="L478" s="122" t="s">
        <v>805</v>
      </c>
      <c r="M478" s="122" t="s">
        <v>311</v>
      </c>
      <c r="N478" s="122" t="s">
        <v>692</v>
      </c>
      <c r="O478" s="122" t="s">
        <v>62</v>
      </c>
      <c r="P478" s="122"/>
      <c r="Q478" s="122" t="s">
        <v>298</v>
      </c>
      <c r="R478" s="122"/>
      <c r="S478" s="122" t="s">
        <v>1216</v>
      </c>
      <c r="T478" s="123">
        <v>2.1800000000000002</v>
      </c>
      <c r="U478" s="122" t="s">
        <v>1458</v>
      </c>
      <c r="V478" s="125">
        <v>3.6999999999999998E-2</v>
      </c>
      <c r="W478" s="125">
        <v>3.8769999999999999E-2</v>
      </c>
      <c r="X478" s="122" t="s">
        <v>620</v>
      </c>
      <c r="Y478" s="133"/>
      <c r="Z478" s="123">
        <v>8355065.0199999996</v>
      </c>
      <c r="AA478" s="123">
        <v>1</v>
      </c>
      <c r="AB478" s="123">
        <v>119.38</v>
      </c>
      <c r="AC478" s="122"/>
      <c r="AD478" s="123">
        <v>9974.277</v>
      </c>
      <c r="AE478" s="122"/>
      <c r="AF478" s="122"/>
      <c r="AG478" s="122"/>
      <c r="AH478" s="125">
        <v>1.8970000000000001E-2</v>
      </c>
      <c r="AI478" s="125">
        <v>2.64E-3</v>
      </c>
      <c r="AJ478" s="126">
        <v>3.6999999999999999E-4</v>
      </c>
      <c r="AK478" s="159"/>
    </row>
    <row r="479" spans="1:37" x14ac:dyDescent="0.2">
      <c r="A479" s="121" t="s">
        <v>1223</v>
      </c>
      <c r="B479" s="122" t="s">
        <v>1223</v>
      </c>
      <c r="C479" s="122" t="s">
        <v>1575</v>
      </c>
      <c r="D479" s="122" t="s">
        <v>1576</v>
      </c>
      <c r="E479" s="122" t="s">
        <v>429</v>
      </c>
      <c r="F479" s="122" t="s">
        <v>1594</v>
      </c>
      <c r="G479" s="122" t="s">
        <v>1595</v>
      </c>
      <c r="H479" s="122" t="s">
        <v>76</v>
      </c>
      <c r="I479" s="122" t="s">
        <v>229</v>
      </c>
      <c r="J479" s="122" t="s">
        <v>53</v>
      </c>
      <c r="K479" s="122" t="s">
        <v>53</v>
      </c>
      <c r="L479" s="122" t="s">
        <v>805</v>
      </c>
      <c r="M479" s="122" t="s">
        <v>311</v>
      </c>
      <c r="N479" s="122" t="s">
        <v>635</v>
      </c>
      <c r="O479" s="122" t="s">
        <v>62</v>
      </c>
      <c r="P479" s="122" t="s">
        <v>1377</v>
      </c>
      <c r="Q479" s="122" t="s">
        <v>70</v>
      </c>
      <c r="R479" s="122" t="s">
        <v>57</v>
      </c>
      <c r="S479" s="122" t="s">
        <v>1216</v>
      </c>
      <c r="T479" s="123">
        <v>3.54</v>
      </c>
      <c r="U479" s="122" t="s">
        <v>1553</v>
      </c>
      <c r="V479" s="125">
        <v>1.3299999999999999E-2</v>
      </c>
      <c r="W479" s="125">
        <v>2.8760000000000001E-2</v>
      </c>
      <c r="X479" s="122" t="s">
        <v>620</v>
      </c>
      <c r="Y479" s="133"/>
      <c r="Z479" s="123">
        <v>8843804.8000000007</v>
      </c>
      <c r="AA479" s="123">
        <v>1</v>
      </c>
      <c r="AB479" s="123">
        <v>112.31</v>
      </c>
      <c r="AC479" s="122"/>
      <c r="AD479" s="123">
        <v>9932.4770000000008</v>
      </c>
      <c r="AE479" s="122"/>
      <c r="AF479" s="122"/>
      <c r="AG479" s="122"/>
      <c r="AH479" s="125">
        <v>7.8600000000000007E-3</v>
      </c>
      <c r="AI479" s="125">
        <v>2.63E-3</v>
      </c>
      <c r="AJ479" s="126">
        <v>3.6000000000000002E-4</v>
      </c>
      <c r="AK479" s="159"/>
    </row>
    <row r="480" spans="1:37" x14ac:dyDescent="0.2">
      <c r="A480" s="121" t="s">
        <v>1223</v>
      </c>
      <c r="B480" s="122" t="s">
        <v>1223</v>
      </c>
      <c r="C480" s="122" t="s">
        <v>1388</v>
      </c>
      <c r="D480" s="122" t="s">
        <v>1389</v>
      </c>
      <c r="E480" s="122" t="s">
        <v>429</v>
      </c>
      <c r="F480" s="122" t="s">
        <v>1841</v>
      </c>
      <c r="G480" s="122" t="s">
        <v>1842</v>
      </c>
      <c r="H480" s="122" t="s">
        <v>76</v>
      </c>
      <c r="I480" s="122" t="s">
        <v>229</v>
      </c>
      <c r="J480" s="122" t="s">
        <v>53</v>
      </c>
      <c r="K480" s="122" t="s">
        <v>53</v>
      </c>
      <c r="L480" s="122" t="s">
        <v>805</v>
      </c>
      <c r="M480" s="122" t="s">
        <v>311</v>
      </c>
      <c r="N480" s="122" t="s">
        <v>635</v>
      </c>
      <c r="O480" s="122" t="s">
        <v>62</v>
      </c>
      <c r="P480" s="122" t="s">
        <v>1324</v>
      </c>
      <c r="Q480" s="122" t="s">
        <v>65</v>
      </c>
      <c r="R480" s="122" t="s">
        <v>57</v>
      </c>
      <c r="S480" s="122" t="s">
        <v>1216</v>
      </c>
      <c r="T480" s="123">
        <v>3.74</v>
      </c>
      <c r="U480" s="122" t="s">
        <v>1843</v>
      </c>
      <c r="V480" s="125">
        <v>5.0000000000000001E-3</v>
      </c>
      <c r="W480" s="125">
        <v>2.9239999999999999E-2</v>
      </c>
      <c r="X480" s="122" t="s">
        <v>620</v>
      </c>
      <c r="Y480" s="133"/>
      <c r="Z480" s="123">
        <v>9062900.8000000007</v>
      </c>
      <c r="AA480" s="123">
        <v>1</v>
      </c>
      <c r="AB480" s="123">
        <v>108.26</v>
      </c>
      <c r="AC480" s="122"/>
      <c r="AD480" s="123">
        <v>9811.4959999999992</v>
      </c>
      <c r="AE480" s="122"/>
      <c r="AF480" s="122"/>
      <c r="AG480" s="122"/>
      <c r="AH480" s="125">
        <v>6.7799999999999996E-3</v>
      </c>
      <c r="AI480" s="125">
        <v>2.5999999999999999E-3</v>
      </c>
      <c r="AJ480" s="126">
        <v>3.6000000000000002E-4</v>
      </c>
      <c r="AK480" s="159"/>
    </row>
    <row r="481" spans="1:37" x14ac:dyDescent="0.2">
      <c r="A481" s="121" t="s">
        <v>1223</v>
      </c>
      <c r="B481" s="122" t="s">
        <v>1223</v>
      </c>
      <c r="C481" s="122" t="s">
        <v>1398</v>
      </c>
      <c r="D481" s="122" t="s">
        <v>1399</v>
      </c>
      <c r="E481" s="122" t="s">
        <v>429</v>
      </c>
      <c r="F481" s="122" t="s">
        <v>1456</v>
      </c>
      <c r="G481" s="122" t="s">
        <v>1457</v>
      </c>
      <c r="H481" s="122" t="s">
        <v>76</v>
      </c>
      <c r="I481" s="122" t="s">
        <v>229</v>
      </c>
      <c r="J481" s="122" t="s">
        <v>53</v>
      </c>
      <c r="K481" s="122" t="s">
        <v>53</v>
      </c>
      <c r="L481" s="122" t="s">
        <v>805</v>
      </c>
      <c r="M481" s="122" t="s">
        <v>311</v>
      </c>
      <c r="N481" s="122" t="s">
        <v>636</v>
      </c>
      <c r="O481" s="122" t="s">
        <v>62</v>
      </c>
      <c r="P481" s="122" t="s">
        <v>1402</v>
      </c>
      <c r="Q481" s="122" t="s">
        <v>70</v>
      </c>
      <c r="R481" s="122" t="s">
        <v>57</v>
      </c>
      <c r="S481" s="122" t="s">
        <v>1216</v>
      </c>
      <c r="T481" s="123">
        <v>2.2400000000000002</v>
      </c>
      <c r="U481" s="122" t="s">
        <v>1458</v>
      </c>
      <c r="V481" s="125">
        <v>3.2800000000000003E-2</v>
      </c>
      <c r="W481" s="125">
        <v>4.6240000000000003E-2</v>
      </c>
      <c r="X481" s="122" t="s">
        <v>620</v>
      </c>
      <c r="Y481" s="133"/>
      <c r="Z481" s="123">
        <v>8068535.7699999996</v>
      </c>
      <c r="AA481" s="123">
        <v>1</v>
      </c>
      <c r="AB481" s="123">
        <v>117.77</v>
      </c>
      <c r="AC481" s="122"/>
      <c r="AD481" s="123">
        <v>9502.3150000000005</v>
      </c>
      <c r="AE481" s="122"/>
      <c r="AF481" s="122"/>
      <c r="AG481" s="122"/>
      <c r="AH481" s="125">
        <v>5.6600000000000001E-3</v>
      </c>
      <c r="AI481" s="125">
        <v>2.5100000000000001E-3</v>
      </c>
      <c r="AJ481" s="126">
        <v>3.5E-4</v>
      </c>
      <c r="AK481" s="159"/>
    </row>
    <row r="482" spans="1:37" x14ac:dyDescent="0.2">
      <c r="A482" s="121" t="s">
        <v>1223</v>
      </c>
      <c r="B482" s="122" t="s">
        <v>1223</v>
      </c>
      <c r="C482" s="122" t="s">
        <v>1407</v>
      </c>
      <c r="D482" s="122" t="s">
        <v>1408</v>
      </c>
      <c r="E482" s="122" t="s">
        <v>429</v>
      </c>
      <c r="F482" s="122" t="s">
        <v>1428</v>
      </c>
      <c r="G482" s="122" t="s">
        <v>1429</v>
      </c>
      <c r="H482" s="122" t="s">
        <v>76</v>
      </c>
      <c r="I482" s="122" t="s">
        <v>229</v>
      </c>
      <c r="J482" s="122" t="s">
        <v>53</v>
      </c>
      <c r="K482" s="122" t="s">
        <v>53</v>
      </c>
      <c r="L482" s="122" t="s">
        <v>805</v>
      </c>
      <c r="M482" s="122" t="s">
        <v>311</v>
      </c>
      <c r="N482" s="122" t="s">
        <v>256</v>
      </c>
      <c r="O482" s="122" t="s">
        <v>62</v>
      </c>
      <c r="P482" s="122" t="s">
        <v>1369</v>
      </c>
      <c r="Q482" s="122" t="s">
        <v>65</v>
      </c>
      <c r="R482" s="122" t="s">
        <v>57</v>
      </c>
      <c r="S482" s="122" t="s">
        <v>1216</v>
      </c>
      <c r="T482" s="123">
        <v>0.74</v>
      </c>
      <c r="U482" s="122" t="s">
        <v>1430</v>
      </c>
      <c r="V482" s="125">
        <v>2E-3</v>
      </c>
      <c r="W482" s="125">
        <v>3.9070000000000001E-2</v>
      </c>
      <c r="X482" s="122" t="s">
        <v>620</v>
      </c>
      <c r="Y482" s="133"/>
      <c r="Z482" s="123">
        <v>7700500.3899999997</v>
      </c>
      <c r="AA482" s="123">
        <v>1</v>
      </c>
      <c r="AB482" s="123">
        <v>114.5</v>
      </c>
      <c r="AC482" s="122"/>
      <c r="AD482" s="123">
        <v>8817.0730000000003</v>
      </c>
      <c r="AE482" s="122"/>
      <c r="AF482" s="122"/>
      <c r="AG482" s="122"/>
      <c r="AH482" s="125">
        <v>2.7619999999999999E-2</v>
      </c>
      <c r="AI482" s="125">
        <v>2.33E-3</v>
      </c>
      <c r="AJ482" s="126">
        <v>3.2000000000000003E-4</v>
      </c>
      <c r="AK482" s="159"/>
    </row>
    <row r="483" spans="1:37" x14ac:dyDescent="0.2">
      <c r="A483" s="121" t="s">
        <v>1223</v>
      </c>
      <c r="B483" s="122" t="s">
        <v>1223</v>
      </c>
      <c r="C483" s="122" t="s">
        <v>1472</v>
      </c>
      <c r="D483" s="122" t="s">
        <v>1473</v>
      </c>
      <c r="E483" s="122" t="s">
        <v>429</v>
      </c>
      <c r="F483" s="122" t="s">
        <v>1474</v>
      </c>
      <c r="G483" s="122" t="s">
        <v>1475</v>
      </c>
      <c r="H483" s="122" t="s">
        <v>76</v>
      </c>
      <c r="I483" s="122" t="s">
        <v>228</v>
      </c>
      <c r="J483" s="122" t="s">
        <v>53</v>
      </c>
      <c r="K483" s="122" t="s">
        <v>53</v>
      </c>
      <c r="L483" s="122" t="s">
        <v>805</v>
      </c>
      <c r="M483" s="122" t="s">
        <v>311</v>
      </c>
      <c r="N483" s="122" t="s">
        <v>260</v>
      </c>
      <c r="O483" s="122" t="s">
        <v>62</v>
      </c>
      <c r="P483" s="122" t="s">
        <v>1454</v>
      </c>
      <c r="Q483" s="122" t="s">
        <v>70</v>
      </c>
      <c r="R483" s="122" t="s">
        <v>57</v>
      </c>
      <c r="S483" s="122" t="s">
        <v>1216</v>
      </c>
      <c r="T483" s="123">
        <v>0.17</v>
      </c>
      <c r="U483" s="122" t="s">
        <v>1476</v>
      </c>
      <c r="V483" s="125">
        <v>3.6499999999999998E-2</v>
      </c>
      <c r="W483" s="125">
        <v>4.367E-2</v>
      </c>
      <c r="X483" s="122" t="s">
        <v>620</v>
      </c>
      <c r="Y483" s="133"/>
      <c r="Z483" s="123">
        <v>7821598.2800000003</v>
      </c>
      <c r="AA483" s="123">
        <v>1</v>
      </c>
      <c r="AB483" s="123">
        <v>101.1</v>
      </c>
      <c r="AC483" s="122"/>
      <c r="AD483" s="123">
        <v>7907.6360000000004</v>
      </c>
      <c r="AE483" s="122"/>
      <c r="AF483" s="122"/>
      <c r="AG483" s="122"/>
      <c r="AH483" s="125">
        <v>1.469E-2</v>
      </c>
      <c r="AI483" s="125">
        <v>2.0899999999999998E-3</v>
      </c>
      <c r="AJ483" s="126">
        <v>2.9E-4</v>
      </c>
      <c r="AK483" s="159"/>
    </row>
    <row r="484" spans="1:37" x14ac:dyDescent="0.2">
      <c r="A484" s="121" t="s">
        <v>1223</v>
      </c>
      <c r="B484" s="122" t="s">
        <v>1223</v>
      </c>
      <c r="C484" s="122" t="s">
        <v>1589</v>
      </c>
      <c r="D484" s="122" t="s">
        <v>1590</v>
      </c>
      <c r="E484" s="122" t="s">
        <v>429</v>
      </c>
      <c r="F484" s="122" t="s">
        <v>1591</v>
      </c>
      <c r="G484" s="122" t="s">
        <v>1592</v>
      </c>
      <c r="H484" s="122" t="s">
        <v>76</v>
      </c>
      <c r="I484" s="122" t="s">
        <v>228</v>
      </c>
      <c r="J484" s="122" t="s">
        <v>53</v>
      </c>
      <c r="K484" s="122" t="s">
        <v>314</v>
      </c>
      <c r="L484" s="122" t="s">
        <v>805</v>
      </c>
      <c r="M484" s="122" t="s">
        <v>311</v>
      </c>
      <c r="N484" s="122" t="s">
        <v>636</v>
      </c>
      <c r="O484" s="122" t="s">
        <v>62</v>
      </c>
      <c r="P484" s="122" t="s">
        <v>1450</v>
      </c>
      <c r="Q484" s="122" t="s">
        <v>65</v>
      </c>
      <c r="R484" s="122" t="s">
        <v>57</v>
      </c>
      <c r="S484" s="122" t="s">
        <v>1216</v>
      </c>
      <c r="T484" s="123">
        <v>0.16</v>
      </c>
      <c r="U484" s="122" t="s">
        <v>1593</v>
      </c>
      <c r="V484" s="125">
        <v>3.95E-2</v>
      </c>
      <c r="W484" s="125">
        <v>5.3809999999999997E-2</v>
      </c>
      <c r="X484" s="122" t="s">
        <v>620</v>
      </c>
      <c r="Y484" s="133"/>
      <c r="Z484" s="123">
        <v>7821500</v>
      </c>
      <c r="AA484" s="123">
        <v>1</v>
      </c>
      <c r="AB484" s="123">
        <v>101.1</v>
      </c>
      <c r="AC484" s="122"/>
      <c r="AD484" s="123">
        <v>7907.5370000000003</v>
      </c>
      <c r="AE484" s="122"/>
      <c r="AF484" s="122"/>
      <c r="AG484" s="122"/>
      <c r="AH484" s="125">
        <v>2.4920000000000001E-2</v>
      </c>
      <c r="AI484" s="125">
        <v>2.0899999999999998E-3</v>
      </c>
      <c r="AJ484" s="126">
        <v>2.9E-4</v>
      </c>
      <c r="AK484" s="159"/>
    </row>
    <row r="485" spans="1:37" x14ac:dyDescent="0.2">
      <c r="A485" s="121" t="s">
        <v>1223</v>
      </c>
      <c r="B485" s="122" t="s">
        <v>1223</v>
      </c>
      <c r="C485" s="122" t="s">
        <v>1596</v>
      </c>
      <c r="D485" s="122" t="s">
        <v>1597</v>
      </c>
      <c r="E485" s="122" t="s">
        <v>429</v>
      </c>
      <c r="F485" s="122" t="s">
        <v>1598</v>
      </c>
      <c r="G485" s="122" t="s">
        <v>1599</v>
      </c>
      <c r="H485" s="122" t="s">
        <v>76</v>
      </c>
      <c r="I485" s="122" t="s">
        <v>228</v>
      </c>
      <c r="J485" s="122" t="s">
        <v>53</v>
      </c>
      <c r="K485" s="122" t="s">
        <v>53</v>
      </c>
      <c r="L485" s="122" t="s">
        <v>805</v>
      </c>
      <c r="M485" s="122" t="s">
        <v>311</v>
      </c>
      <c r="N485" s="122" t="s">
        <v>635</v>
      </c>
      <c r="O485" s="122" t="s">
        <v>62</v>
      </c>
      <c r="P485" s="122" t="s">
        <v>1540</v>
      </c>
      <c r="Q485" s="122" t="s">
        <v>70</v>
      </c>
      <c r="R485" s="122" t="s">
        <v>57</v>
      </c>
      <c r="S485" s="122" t="s">
        <v>1216</v>
      </c>
      <c r="T485" s="123">
        <v>2.5</v>
      </c>
      <c r="U485" s="122" t="s">
        <v>1600</v>
      </c>
      <c r="V485" s="125">
        <v>3.04E-2</v>
      </c>
      <c r="W485" s="125">
        <v>4.7640000000000002E-2</v>
      </c>
      <c r="X485" s="122" t="s">
        <v>620</v>
      </c>
      <c r="Y485" s="133"/>
      <c r="Z485" s="123">
        <v>8096347.9500000002</v>
      </c>
      <c r="AA485" s="123">
        <v>1</v>
      </c>
      <c r="AB485" s="123">
        <v>96.71</v>
      </c>
      <c r="AC485" s="122"/>
      <c r="AD485" s="123">
        <v>7829.9780000000001</v>
      </c>
      <c r="AE485" s="122"/>
      <c r="AF485" s="122"/>
      <c r="AG485" s="122"/>
      <c r="AH485" s="125">
        <v>2.63E-2</v>
      </c>
      <c r="AI485" s="125">
        <v>2.0699999999999998E-3</v>
      </c>
      <c r="AJ485" s="126">
        <v>2.9E-4</v>
      </c>
      <c r="AK485" s="159"/>
    </row>
    <row r="486" spans="1:37" x14ac:dyDescent="0.2">
      <c r="A486" s="121" t="s">
        <v>1223</v>
      </c>
      <c r="B486" s="122" t="s">
        <v>1223</v>
      </c>
      <c r="C486" s="122" t="s">
        <v>1442</v>
      </c>
      <c r="D486" s="122" t="s">
        <v>1443</v>
      </c>
      <c r="E486" s="122" t="s">
        <v>429</v>
      </c>
      <c r="F486" s="122" t="s">
        <v>1444</v>
      </c>
      <c r="G486" s="122" t="s">
        <v>1445</v>
      </c>
      <c r="H486" s="122" t="s">
        <v>76</v>
      </c>
      <c r="I486" s="122" t="s">
        <v>229</v>
      </c>
      <c r="J486" s="122" t="s">
        <v>53</v>
      </c>
      <c r="K486" s="122" t="s">
        <v>53</v>
      </c>
      <c r="L486" s="122" t="s">
        <v>805</v>
      </c>
      <c r="M486" s="122" t="s">
        <v>311</v>
      </c>
      <c r="N486" s="122" t="s">
        <v>635</v>
      </c>
      <c r="O486" s="122" t="s">
        <v>62</v>
      </c>
      <c r="P486" s="122" t="s">
        <v>1324</v>
      </c>
      <c r="Q486" s="122" t="s">
        <v>65</v>
      </c>
      <c r="R486" s="122" t="s">
        <v>57</v>
      </c>
      <c r="S486" s="122" t="s">
        <v>1216</v>
      </c>
      <c r="T486" s="123">
        <v>1.76</v>
      </c>
      <c r="U486" s="122" t="s">
        <v>1281</v>
      </c>
      <c r="V486" s="125">
        <v>2.3400000000000001E-2</v>
      </c>
      <c r="W486" s="125">
        <v>2.962E-2</v>
      </c>
      <c r="X486" s="122" t="s">
        <v>620</v>
      </c>
      <c r="Y486" s="133"/>
      <c r="Z486" s="123">
        <v>6331048.0700000003</v>
      </c>
      <c r="AA486" s="123">
        <v>1</v>
      </c>
      <c r="AB486" s="123">
        <v>118.73</v>
      </c>
      <c r="AC486" s="122"/>
      <c r="AD486" s="123">
        <v>7516.8530000000001</v>
      </c>
      <c r="AE486" s="122"/>
      <c r="AF486" s="122"/>
      <c r="AG486" s="122"/>
      <c r="AH486" s="125">
        <v>3.8800000000000002E-3</v>
      </c>
      <c r="AI486" s="125">
        <v>1.99E-3</v>
      </c>
      <c r="AJ486" s="126">
        <v>2.7999999999999998E-4</v>
      </c>
      <c r="AK486" s="159"/>
    </row>
    <row r="487" spans="1:37" x14ac:dyDescent="0.2">
      <c r="A487" s="121" t="s">
        <v>1223</v>
      </c>
      <c r="B487" s="122" t="s">
        <v>1223</v>
      </c>
      <c r="C487" s="122" t="s">
        <v>1398</v>
      </c>
      <c r="D487" s="122" t="s">
        <v>1399</v>
      </c>
      <c r="E487" s="122" t="s">
        <v>429</v>
      </c>
      <c r="F487" s="122" t="s">
        <v>1400</v>
      </c>
      <c r="G487" s="122" t="s">
        <v>1401</v>
      </c>
      <c r="H487" s="122" t="s">
        <v>76</v>
      </c>
      <c r="I487" s="122" t="s">
        <v>229</v>
      </c>
      <c r="J487" s="122" t="s">
        <v>53</v>
      </c>
      <c r="K487" s="122" t="s">
        <v>53</v>
      </c>
      <c r="L487" s="122" t="s">
        <v>805</v>
      </c>
      <c r="M487" s="122" t="s">
        <v>311</v>
      </c>
      <c r="N487" s="122" t="s">
        <v>636</v>
      </c>
      <c r="O487" s="122" t="s">
        <v>62</v>
      </c>
      <c r="P487" s="122" t="s">
        <v>1402</v>
      </c>
      <c r="Q487" s="122" t="s">
        <v>70</v>
      </c>
      <c r="R487" s="122" t="s">
        <v>57</v>
      </c>
      <c r="S487" s="122" t="s">
        <v>1216</v>
      </c>
      <c r="T487" s="123">
        <v>1.21</v>
      </c>
      <c r="U487" s="122" t="s">
        <v>1403</v>
      </c>
      <c r="V487" s="125">
        <v>0.04</v>
      </c>
      <c r="W487" s="125">
        <v>4.7050000000000002E-2</v>
      </c>
      <c r="X487" s="122" t="s">
        <v>620</v>
      </c>
      <c r="Y487" s="133"/>
      <c r="Z487" s="123">
        <v>5958098.8799999999</v>
      </c>
      <c r="AA487" s="123">
        <v>1</v>
      </c>
      <c r="AB487" s="123">
        <v>118.67</v>
      </c>
      <c r="AC487" s="122"/>
      <c r="AD487" s="123">
        <v>7070.4759999999997</v>
      </c>
      <c r="AE487" s="122"/>
      <c r="AF487" s="122"/>
      <c r="AG487" s="122"/>
      <c r="AH487" s="125">
        <v>4.0800000000000003E-3</v>
      </c>
      <c r="AI487" s="125">
        <v>1.8699999999999999E-3</v>
      </c>
      <c r="AJ487" s="126">
        <v>2.5999999999999998E-4</v>
      </c>
      <c r="AK487" s="159"/>
    </row>
    <row r="488" spans="1:37" x14ac:dyDescent="0.2">
      <c r="A488" s="121" t="s">
        <v>1223</v>
      </c>
      <c r="B488" s="122" t="s">
        <v>1223</v>
      </c>
      <c r="C488" s="122" t="s">
        <v>1848</v>
      </c>
      <c r="D488" s="122" t="s">
        <v>1849</v>
      </c>
      <c r="E488" s="122" t="s">
        <v>429</v>
      </c>
      <c r="F488" s="122" t="s">
        <v>1850</v>
      </c>
      <c r="G488" s="122" t="s">
        <v>1851</v>
      </c>
      <c r="H488" s="122" t="s">
        <v>76</v>
      </c>
      <c r="I488" s="122" t="s">
        <v>228</v>
      </c>
      <c r="J488" s="122" t="s">
        <v>53</v>
      </c>
      <c r="K488" s="122" t="s">
        <v>314</v>
      </c>
      <c r="L488" s="122" t="s">
        <v>805</v>
      </c>
      <c r="M488" s="122" t="s">
        <v>311</v>
      </c>
      <c r="N488" s="122" t="s">
        <v>636</v>
      </c>
      <c r="O488" s="122" t="s">
        <v>62</v>
      </c>
      <c r="P488" s="122" t="s">
        <v>1450</v>
      </c>
      <c r="Q488" s="122" t="s">
        <v>65</v>
      </c>
      <c r="R488" s="122" t="s">
        <v>57</v>
      </c>
      <c r="S488" s="122" t="s">
        <v>1216</v>
      </c>
      <c r="T488" s="123">
        <v>1.75</v>
      </c>
      <c r="U488" s="122" t="s">
        <v>1852</v>
      </c>
      <c r="V488" s="125">
        <v>4.3499999999999997E-2</v>
      </c>
      <c r="W488" s="125">
        <v>5.4829999999999997E-2</v>
      </c>
      <c r="X488" s="122" t="s">
        <v>620</v>
      </c>
      <c r="Y488" s="133"/>
      <c r="Z488" s="123">
        <v>6600000</v>
      </c>
      <c r="AA488" s="123">
        <v>1</v>
      </c>
      <c r="AB488" s="123">
        <v>98.92</v>
      </c>
      <c r="AC488" s="122"/>
      <c r="AD488" s="123">
        <v>6528.72</v>
      </c>
      <c r="AE488" s="122"/>
      <c r="AF488" s="122"/>
      <c r="AG488" s="122"/>
      <c r="AH488" s="125">
        <v>2.2679999999999999E-2</v>
      </c>
      <c r="AI488" s="125">
        <v>1.73E-3</v>
      </c>
      <c r="AJ488" s="126">
        <v>2.4000000000000001E-4</v>
      </c>
      <c r="AK488" s="159"/>
    </row>
    <row r="489" spans="1:37" x14ac:dyDescent="0.2">
      <c r="A489" s="121" t="s">
        <v>1223</v>
      </c>
      <c r="B489" s="122" t="s">
        <v>1223</v>
      </c>
      <c r="C489" s="122" t="s">
        <v>1477</v>
      </c>
      <c r="D489" s="122" t="s">
        <v>1478</v>
      </c>
      <c r="E489" s="122" t="s">
        <v>429</v>
      </c>
      <c r="F489" s="122" t="s">
        <v>1479</v>
      </c>
      <c r="G489" s="122" t="s">
        <v>1480</v>
      </c>
      <c r="H489" s="122" t="s">
        <v>76</v>
      </c>
      <c r="I489" s="122" t="s">
        <v>228</v>
      </c>
      <c r="J489" s="122" t="s">
        <v>53</v>
      </c>
      <c r="K489" s="122" t="s">
        <v>53</v>
      </c>
      <c r="L489" s="122" t="s">
        <v>805</v>
      </c>
      <c r="M489" s="122" t="s">
        <v>311</v>
      </c>
      <c r="N489" s="122" t="s">
        <v>634</v>
      </c>
      <c r="O489" s="122" t="s">
        <v>62</v>
      </c>
      <c r="P489" s="122" t="s">
        <v>1324</v>
      </c>
      <c r="Q489" s="122" t="s">
        <v>65</v>
      </c>
      <c r="R489" s="122" t="s">
        <v>57</v>
      </c>
      <c r="S489" s="122" t="s">
        <v>1216</v>
      </c>
      <c r="T489" s="123">
        <v>2.41</v>
      </c>
      <c r="U489" s="122" t="s">
        <v>1481</v>
      </c>
      <c r="V489" s="125">
        <v>5.0900000000000001E-2</v>
      </c>
      <c r="W489" s="125">
        <v>4.582E-2</v>
      </c>
      <c r="X489" s="122" t="s">
        <v>620</v>
      </c>
      <c r="Y489" s="133"/>
      <c r="Z489" s="123">
        <v>4879894.8499999996</v>
      </c>
      <c r="AA489" s="123">
        <v>1</v>
      </c>
      <c r="AB489" s="123">
        <v>101.07</v>
      </c>
      <c r="AC489" s="123">
        <v>1530.4570000000001</v>
      </c>
      <c r="AD489" s="123">
        <v>6462.567</v>
      </c>
      <c r="AE489" s="122"/>
      <c r="AF489" s="122"/>
      <c r="AG489" s="122"/>
      <c r="AH489" s="125">
        <v>1.1820000000000001E-2</v>
      </c>
      <c r="AI489" s="125">
        <v>2.1099999999999999E-3</v>
      </c>
      <c r="AJ489" s="126">
        <v>2.9E-4</v>
      </c>
      <c r="AK489" s="159"/>
    </row>
    <row r="490" spans="1:37" x14ac:dyDescent="0.2">
      <c r="A490" s="121" t="s">
        <v>1223</v>
      </c>
      <c r="B490" s="122" t="s">
        <v>1223</v>
      </c>
      <c r="C490" s="122" t="s">
        <v>1853</v>
      </c>
      <c r="D490" s="122" t="s">
        <v>1854</v>
      </c>
      <c r="E490" s="122" t="s">
        <v>429</v>
      </c>
      <c r="F490" s="122" t="s">
        <v>1855</v>
      </c>
      <c r="G490" s="122" t="s">
        <v>1856</v>
      </c>
      <c r="H490" s="122" t="s">
        <v>76</v>
      </c>
      <c r="I490" s="122" t="s">
        <v>228</v>
      </c>
      <c r="J490" s="122" t="s">
        <v>53</v>
      </c>
      <c r="K490" s="122" t="s">
        <v>53</v>
      </c>
      <c r="L490" s="122" t="s">
        <v>805</v>
      </c>
      <c r="M490" s="122" t="s">
        <v>311</v>
      </c>
      <c r="N490" s="122" t="s">
        <v>692</v>
      </c>
      <c r="O490" s="122" t="s">
        <v>62</v>
      </c>
      <c r="P490" s="122" t="s">
        <v>1324</v>
      </c>
      <c r="Q490" s="122" t="s">
        <v>65</v>
      </c>
      <c r="R490" s="122" t="s">
        <v>57</v>
      </c>
      <c r="S490" s="122" t="s">
        <v>1216</v>
      </c>
      <c r="T490" s="123">
        <v>5.73</v>
      </c>
      <c r="U490" s="122" t="s">
        <v>1857</v>
      </c>
      <c r="V490" s="125">
        <v>5.3100000000000001E-2</v>
      </c>
      <c r="W490" s="125">
        <v>4.7030000000000002E-2</v>
      </c>
      <c r="X490" s="122" t="s">
        <v>620</v>
      </c>
      <c r="Y490" s="133"/>
      <c r="Z490" s="123">
        <v>5629000</v>
      </c>
      <c r="AA490" s="123">
        <v>1</v>
      </c>
      <c r="AB490" s="123">
        <v>104.74</v>
      </c>
      <c r="AC490" s="122"/>
      <c r="AD490" s="123">
        <v>5895.8149999999996</v>
      </c>
      <c r="AE490" s="122"/>
      <c r="AF490" s="122"/>
      <c r="AG490" s="122"/>
      <c r="AH490" s="125">
        <v>1.7690000000000001E-2</v>
      </c>
      <c r="AI490" s="125">
        <v>1.56E-3</v>
      </c>
      <c r="AJ490" s="126">
        <v>2.2000000000000001E-4</v>
      </c>
      <c r="AK490" s="159"/>
    </row>
    <row r="491" spans="1:37" x14ac:dyDescent="0.2">
      <c r="A491" s="121" t="s">
        <v>1223</v>
      </c>
      <c r="B491" s="122" t="s">
        <v>1223</v>
      </c>
      <c r="C491" s="122" t="s">
        <v>1332</v>
      </c>
      <c r="D491" s="122" t="s">
        <v>1333</v>
      </c>
      <c r="E491" s="122" t="s">
        <v>430</v>
      </c>
      <c r="F491" s="122" t="s">
        <v>1485</v>
      </c>
      <c r="G491" s="122" t="s">
        <v>1486</v>
      </c>
      <c r="H491" s="122" t="s">
        <v>76</v>
      </c>
      <c r="I491" s="122" t="s">
        <v>229</v>
      </c>
      <c r="J491" s="122" t="s">
        <v>53</v>
      </c>
      <c r="K491" s="122" t="s">
        <v>53</v>
      </c>
      <c r="L491" s="122" t="s">
        <v>805</v>
      </c>
      <c r="M491" s="122" t="s">
        <v>311</v>
      </c>
      <c r="N491" s="122" t="s">
        <v>156</v>
      </c>
      <c r="O491" s="122" t="s">
        <v>62</v>
      </c>
      <c r="P491" s="122" t="s">
        <v>1330</v>
      </c>
      <c r="Q491" s="122" t="s">
        <v>65</v>
      </c>
      <c r="R491" s="122" t="s">
        <v>57</v>
      </c>
      <c r="S491" s="122" t="s">
        <v>1216</v>
      </c>
      <c r="T491" s="123">
        <v>7.58</v>
      </c>
      <c r="U491" s="122" t="s">
        <v>1487</v>
      </c>
      <c r="V491" s="125">
        <v>2.9899999999999999E-2</v>
      </c>
      <c r="W491" s="125">
        <v>2.7470000000000001E-2</v>
      </c>
      <c r="X491" s="122" t="s">
        <v>620</v>
      </c>
      <c r="Y491" s="133"/>
      <c r="Z491" s="123">
        <v>5185000</v>
      </c>
      <c r="AA491" s="123">
        <v>1</v>
      </c>
      <c r="AB491" s="123">
        <v>105.38</v>
      </c>
      <c r="AC491" s="122"/>
      <c r="AD491" s="123">
        <v>5463.9530000000004</v>
      </c>
      <c r="AE491" s="122"/>
      <c r="AF491" s="122"/>
      <c r="AG491" s="122"/>
      <c r="AH491" s="125">
        <v>1.34E-2</v>
      </c>
      <c r="AI491" s="125">
        <v>1.4499999999999999E-3</v>
      </c>
      <c r="AJ491" s="126">
        <v>2.0000000000000001E-4</v>
      </c>
      <c r="AK491" s="159"/>
    </row>
    <row r="492" spans="1:37" x14ac:dyDescent="0.2">
      <c r="A492" s="121" t="s">
        <v>1223</v>
      </c>
      <c r="B492" s="122" t="s">
        <v>1223</v>
      </c>
      <c r="C492" s="122" t="s">
        <v>1601</v>
      </c>
      <c r="D492" s="122" t="s">
        <v>1602</v>
      </c>
      <c r="E492" s="122" t="s">
        <v>429</v>
      </c>
      <c r="F492" s="122" t="s">
        <v>1603</v>
      </c>
      <c r="G492" s="122" t="s">
        <v>1604</v>
      </c>
      <c r="H492" s="122" t="s">
        <v>76</v>
      </c>
      <c r="I492" s="122" t="s">
        <v>229</v>
      </c>
      <c r="J492" s="122" t="s">
        <v>53</v>
      </c>
      <c r="K492" s="122" t="s">
        <v>53</v>
      </c>
      <c r="L492" s="122" t="s">
        <v>805</v>
      </c>
      <c r="M492" s="122" t="s">
        <v>311</v>
      </c>
      <c r="N492" s="122" t="s">
        <v>633</v>
      </c>
      <c r="O492" s="122" t="s">
        <v>62</v>
      </c>
      <c r="P492" s="122" t="s">
        <v>1423</v>
      </c>
      <c r="Q492" s="122" t="s">
        <v>70</v>
      </c>
      <c r="R492" s="122" t="s">
        <v>57</v>
      </c>
      <c r="S492" s="122" t="s">
        <v>1216</v>
      </c>
      <c r="T492" s="123">
        <v>0.25</v>
      </c>
      <c r="U492" s="122" t="s">
        <v>1605</v>
      </c>
      <c r="V492" s="125">
        <v>1.8499999999999999E-2</v>
      </c>
      <c r="W492" s="125">
        <v>5.8279999999999998E-2</v>
      </c>
      <c r="X492" s="122" t="s">
        <v>620</v>
      </c>
      <c r="Y492" s="133"/>
      <c r="Z492" s="123">
        <v>4572472.6500000004</v>
      </c>
      <c r="AA492" s="123">
        <v>1</v>
      </c>
      <c r="AB492" s="123">
        <v>118.05</v>
      </c>
      <c r="AC492" s="122"/>
      <c r="AD492" s="123">
        <v>5397.8040000000001</v>
      </c>
      <c r="AE492" s="122"/>
      <c r="AF492" s="122"/>
      <c r="AG492" s="122"/>
      <c r="AH492" s="125">
        <v>3.1E-2</v>
      </c>
      <c r="AI492" s="125">
        <v>1.4300000000000001E-3</v>
      </c>
      <c r="AJ492" s="126">
        <v>2.0000000000000001E-4</v>
      </c>
      <c r="AK492" s="159"/>
    </row>
    <row r="493" spans="1:37" x14ac:dyDescent="0.2">
      <c r="A493" s="121" t="s">
        <v>1223</v>
      </c>
      <c r="B493" s="122" t="s">
        <v>1223</v>
      </c>
      <c r="C493" s="122" t="s">
        <v>1770</v>
      </c>
      <c r="D493" s="122" t="s">
        <v>1771</v>
      </c>
      <c r="E493" s="122" t="s">
        <v>429</v>
      </c>
      <c r="F493" s="122" t="s">
        <v>1858</v>
      </c>
      <c r="G493" s="122" t="s">
        <v>1859</v>
      </c>
      <c r="H493" s="122" t="s">
        <v>76</v>
      </c>
      <c r="I493" s="122" t="s">
        <v>228</v>
      </c>
      <c r="J493" s="122" t="s">
        <v>53</v>
      </c>
      <c r="K493" s="122" t="s">
        <v>53</v>
      </c>
      <c r="L493" s="122" t="s">
        <v>805</v>
      </c>
      <c r="M493" s="122" t="s">
        <v>311</v>
      </c>
      <c r="N493" s="122" t="s">
        <v>635</v>
      </c>
      <c r="O493" s="122" t="s">
        <v>62</v>
      </c>
      <c r="P493" s="122" t="s">
        <v>1454</v>
      </c>
      <c r="Q493" s="122" t="s">
        <v>70</v>
      </c>
      <c r="R493" s="122" t="s">
        <v>57</v>
      </c>
      <c r="S493" s="122" t="s">
        <v>1216</v>
      </c>
      <c r="T493" s="123">
        <v>1.65</v>
      </c>
      <c r="U493" s="122" t="s">
        <v>1458</v>
      </c>
      <c r="V493" s="125">
        <v>5.6500000000000002E-2</v>
      </c>
      <c r="W493" s="125">
        <v>4.8759999999999998E-2</v>
      </c>
      <c r="X493" s="122" t="s">
        <v>620</v>
      </c>
      <c r="Y493" s="133"/>
      <c r="Z493" s="123">
        <v>4670824.2699999996</v>
      </c>
      <c r="AA493" s="123">
        <v>1</v>
      </c>
      <c r="AB493" s="123">
        <v>102.79</v>
      </c>
      <c r="AC493" s="122"/>
      <c r="AD493" s="123">
        <v>4801.1400000000003</v>
      </c>
      <c r="AE493" s="122"/>
      <c r="AF493" s="122"/>
      <c r="AG493" s="122"/>
      <c r="AH493" s="125">
        <v>3.9899999999999998E-2</v>
      </c>
      <c r="AI493" s="125">
        <v>1.2700000000000001E-3</v>
      </c>
      <c r="AJ493" s="126">
        <v>1.8000000000000001E-4</v>
      </c>
      <c r="AK493" s="159"/>
    </row>
    <row r="494" spans="1:37" x14ac:dyDescent="0.2">
      <c r="A494" s="121" t="s">
        <v>1223</v>
      </c>
      <c r="B494" s="122" t="s">
        <v>1223</v>
      </c>
      <c r="C494" s="122" t="s">
        <v>1419</v>
      </c>
      <c r="D494" s="122" t="s">
        <v>1420</v>
      </c>
      <c r="E494" s="122" t="s">
        <v>429</v>
      </c>
      <c r="F494" s="122" t="s">
        <v>1509</v>
      </c>
      <c r="G494" s="122" t="s">
        <v>1510</v>
      </c>
      <c r="H494" s="122" t="s">
        <v>76</v>
      </c>
      <c r="I494" s="122" t="s">
        <v>229</v>
      </c>
      <c r="J494" s="122" t="s">
        <v>53</v>
      </c>
      <c r="K494" s="122" t="s">
        <v>53</v>
      </c>
      <c r="L494" s="122" t="s">
        <v>805</v>
      </c>
      <c r="M494" s="122" t="s">
        <v>311</v>
      </c>
      <c r="N494" s="122" t="s">
        <v>269</v>
      </c>
      <c r="O494" s="122" t="s">
        <v>62</v>
      </c>
      <c r="P494" s="122" t="s">
        <v>1423</v>
      </c>
      <c r="Q494" s="122" t="s">
        <v>70</v>
      </c>
      <c r="R494" s="122" t="s">
        <v>57</v>
      </c>
      <c r="S494" s="122" t="s">
        <v>1216</v>
      </c>
      <c r="T494" s="123">
        <v>4.5999999999999996</v>
      </c>
      <c r="U494" s="122" t="s">
        <v>1511</v>
      </c>
      <c r="V494" s="125">
        <v>5.3999999999999999E-2</v>
      </c>
      <c r="W494" s="125">
        <v>4.7530000000000003E-2</v>
      </c>
      <c r="X494" s="122" t="s">
        <v>620</v>
      </c>
      <c r="Y494" s="133"/>
      <c r="Z494" s="123">
        <v>4461830</v>
      </c>
      <c r="AA494" s="123">
        <v>1</v>
      </c>
      <c r="AB494" s="123">
        <v>104.57</v>
      </c>
      <c r="AC494" s="122"/>
      <c r="AD494" s="123">
        <v>4665.7359999999999</v>
      </c>
      <c r="AE494" s="122"/>
      <c r="AF494" s="122"/>
      <c r="AG494" s="122"/>
      <c r="AH494" s="125">
        <v>7.8100000000000001E-3</v>
      </c>
      <c r="AI494" s="125">
        <v>1.23E-3</v>
      </c>
      <c r="AJ494" s="126">
        <v>1.7000000000000001E-4</v>
      </c>
      <c r="AK494" s="159"/>
    </row>
    <row r="495" spans="1:37" x14ac:dyDescent="0.2">
      <c r="A495" s="121" t="s">
        <v>1223</v>
      </c>
      <c r="B495" s="122" t="s">
        <v>1223</v>
      </c>
      <c r="C495" s="122" t="s">
        <v>1606</v>
      </c>
      <c r="D495" s="122" t="s">
        <v>1607</v>
      </c>
      <c r="E495" s="122" t="s">
        <v>429</v>
      </c>
      <c r="F495" s="122" t="s">
        <v>1608</v>
      </c>
      <c r="G495" s="122" t="s">
        <v>1609</v>
      </c>
      <c r="H495" s="122" t="s">
        <v>76</v>
      </c>
      <c r="I495" s="122" t="s">
        <v>228</v>
      </c>
      <c r="J495" s="122" t="s">
        <v>53</v>
      </c>
      <c r="K495" s="122" t="s">
        <v>53</v>
      </c>
      <c r="L495" s="122" t="s">
        <v>805</v>
      </c>
      <c r="M495" s="122" t="s">
        <v>311</v>
      </c>
      <c r="N495" s="122" t="s">
        <v>635</v>
      </c>
      <c r="O495" s="122" t="s">
        <v>62</v>
      </c>
      <c r="P495" s="122" t="s">
        <v>1610</v>
      </c>
      <c r="Q495" s="122" t="s">
        <v>65</v>
      </c>
      <c r="R495" s="122" t="s">
        <v>57</v>
      </c>
      <c r="S495" s="122" t="s">
        <v>1216</v>
      </c>
      <c r="T495" s="123">
        <v>0.73</v>
      </c>
      <c r="U495" s="122" t="s">
        <v>1611</v>
      </c>
      <c r="V495" s="125">
        <v>4.8000000000000001E-2</v>
      </c>
      <c r="W495" s="125">
        <v>5.4850000000000003E-2</v>
      </c>
      <c r="X495" s="122" t="s">
        <v>620</v>
      </c>
      <c r="Y495" s="133"/>
      <c r="Z495" s="123">
        <v>4385839.24</v>
      </c>
      <c r="AA495" s="123">
        <v>1</v>
      </c>
      <c r="AB495" s="123">
        <v>100.77</v>
      </c>
      <c r="AC495" s="122"/>
      <c r="AD495" s="123">
        <v>4419.6099999999997</v>
      </c>
      <c r="AE495" s="122"/>
      <c r="AF495" s="122"/>
      <c r="AG495" s="122"/>
      <c r="AH495" s="125">
        <v>7.7499999999999999E-3</v>
      </c>
      <c r="AI495" s="125">
        <v>1.17E-3</v>
      </c>
      <c r="AJ495" s="126">
        <v>1.6000000000000001E-4</v>
      </c>
      <c r="AK495" s="159"/>
    </row>
    <row r="496" spans="1:37" x14ac:dyDescent="0.2">
      <c r="A496" s="121" t="s">
        <v>1223</v>
      </c>
      <c r="B496" s="122" t="s">
        <v>1223</v>
      </c>
      <c r="C496" s="122" t="s">
        <v>1860</v>
      </c>
      <c r="D496" s="122" t="s">
        <v>1861</v>
      </c>
      <c r="E496" s="122" t="s">
        <v>429</v>
      </c>
      <c r="F496" s="122" t="s">
        <v>1862</v>
      </c>
      <c r="G496" s="122" t="s">
        <v>1863</v>
      </c>
      <c r="H496" s="122" t="s">
        <v>76</v>
      </c>
      <c r="I496" s="122" t="s">
        <v>229</v>
      </c>
      <c r="J496" s="122" t="s">
        <v>53</v>
      </c>
      <c r="K496" s="122" t="s">
        <v>53</v>
      </c>
      <c r="L496" s="122" t="s">
        <v>805</v>
      </c>
      <c r="M496" s="122" t="s">
        <v>311</v>
      </c>
      <c r="N496" s="122" t="s">
        <v>635</v>
      </c>
      <c r="O496" s="122" t="s">
        <v>62</v>
      </c>
      <c r="P496" s="122" t="s">
        <v>1324</v>
      </c>
      <c r="Q496" s="122" t="s">
        <v>65</v>
      </c>
      <c r="R496" s="122" t="s">
        <v>57</v>
      </c>
      <c r="S496" s="122" t="s">
        <v>1216</v>
      </c>
      <c r="T496" s="123">
        <v>0.67</v>
      </c>
      <c r="U496" s="122" t="s">
        <v>1864</v>
      </c>
      <c r="V496" s="125">
        <v>1.6E-2</v>
      </c>
      <c r="W496" s="125">
        <v>3.6330000000000001E-2</v>
      </c>
      <c r="X496" s="122" t="s">
        <v>620</v>
      </c>
      <c r="Y496" s="133"/>
      <c r="Z496" s="123">
        <v>3600266.4</v>
      </c>
      <c r="AA496" s="123">
        <v>1</v>
      </c>
      <c r="AB496" s="123">
        <v>119.36</v>
      </c>
      <c r="AC496" s="122"/>
      <c r="AD496" s="123">
        <v>4297.2780000000002</v>
      </c>
      <c r="AE496" s="122"/>
      <c r="AF496" s="122"/>
      <c r="AG496" s="122"/>
      <c r="AH496" s="125">
        <v>1.269E-2</v>
      </c>
      <c r="AI496" s="125">
        <v>1.14E-3</v>
      </c>
      <c r="AJ496" s="126">
        <v>1.6000000000000001E-4</v>
      </c>
      <c r="AK496" s="159"/>
    </row>
    <row r="497" spans="1:37" x14ac:dyDescent="0.2">
      <c r="A497" s="121" t="s">
        <v>1223</v>
      </c>
      <c r="B497" s="122" t="s">
        <v>1223</v>
      </c>
      <c r="C497" s="122" t="s">
        <v>1844</v>
      </c>
      <c r="D497" s="122" t="s">
        <v>1845</v>
      </c>
      <c r="E497" s="122" t="s">
        <v>429</v>
      </c>
      <c r="F497" s="122" t="s">
        <v>1846</v>
      </c>
      <c r="G497" s="122" t="s">
        <v>1847</v>
      </c>
      <c r="H497" s="122" t="s">
        <v>76</v>
      </c>
      <c r="I497" s="122" t="s">
        <v>228</v>
      </c>
      <c r="J497" s="122" t="s">
        <v>53</v>
      </c>
      <c r="K497" s="122" t="s">
        <v>53</v>
      </c>
      <c r="L497" s="122" t="s">
        <v>805</v>
      </c>
      <c r="M497" s="122" t="s">
        <v>311</v>
      </c>
      <c r="N497" s="122" t="s">
        <v>633</v>
      </c>
      <c r="O497" s="122" t="s">
        <v>62</v>
      </c>
      <c r="P497" s="122" t="s">
        <v>1402</v>
      </c>
      <c r="Q497" s="122" t="s">
        <v>70</v>
      </c>
      <c r="R497" s="122" t="s">
        <v>57</v>
      </c>
      <c r="S497" s="122" t="s">
        <v>1216</v>
      </c>
      <c r="T497" s="123">
        <v>0.98</v>
      </c>
      <c r="U497" s="122" t="s">
        <v>1524</v>
      </c>
      <c r="V497" s="125">
        <v>6.9000000000000006E-2</v>
      </c>
      <c r="W497" s="125">
        <v>6.54E-2</v>
      </c>
      <c r="X497" s="122" t="s">
        <v>620</v>
      </c>
      <c r="Y497" s="133"/>
      <c r="Z497" s="123">
        <v>4250000.1100000003</v>
      </c>
      <c r="AA497" s="123">
        <v>1</v>
      </c>
      <c r="AB497" s="123">
        <v>100.46</v>
      </c>
      <c r="AC497" s="122"/>
      <c r="AD497" s="123">
        <v>4269.55</v>
      </c>
      <c r="AE497" s="122"/>
      <c r="AF497" s="122"/>
      <c r="AG497" s="122"/>
      <c r="AH497" s="125">
        <v>3.465E-2</v>
      </c>
      <c r="AI497" s="125">
        <v>1.1299999999999999E-3</v>
      </c>
      <c r="AJ497" s="126">
        <v>1.6000000000000001E-4</v>
      </c>
      <c r="AK497" s="159"/>
    </row>
    <row r="498" spans="1:37" x14ac:dyDescent="0.2">
      <c r="A498" s="121" t="s">
        <v>1223</v>
      </c>
      <c r="B498" s="122" t="s">
        <v>1223</v>
      </c>
      <c r="C498" s="122" t="s">
        <v>1557</v>
      </c>
      <c r="D498" s="122" t="s">
        <v>1558</v>
      </c>
      <c r="E498" s="122" t="s">
        <v>429</v>
      </c>
      <c r="F498" s="122" t="s">
        <v>1865</v>
      </c>
      <c r="G498" s="122" t="s">
        <v>1866</v>
      </c>
      <c r="H498" s="122" t="s">
        <v>76</v>
      </c>
      <c r="I498" s="122" t="s">
        <v>229</v>
      </c>
      <c r="J498" s="122" t="s">
        <v>53</v>
      </c>
      <c r="K498" s="122" t="s">
        <v>53</v>
      </c>
      <c r="L498" s="122" t="s">
        <v>805</v>
      </c>
      <c r="M498" s="122" t="s">
        <v>311</v>
      </c>
      <c r="N498" s="122" t="s">
        <v>635</v>
      </c>
      <c r="O498" s="122" t="s">
        <v>62</v>
      </c>
      <c r="P498" s="122" t="s">
        <v>1750</v>
      </c>
      <c r="Q498" s="122" t="s">
        <v>65</v>
      </c>
      <c r="R498" s="122" t="s">
        <v>57</v>
      </c>
      <c r="S498" s="122" t="s">
        <v>1216</v>
      </c>
      <c r="T498" s="123">
        <v>1.23</v>
      </c>
      <c r="U498" s="122" t="s">
        <v>1403</v>
      </c>
      <c r="V498" s="125">
        <v>2.2499999999999999E-2</v>
      </c>
      <c r="W498" s="125">
        <v>3.3599999999999998E-2</v>
      </c>
      <c r="X498" s="122" t="s">
        <v>620</v>
      </c>
      <c r="Y498" s="133"/>
      <c r="Z498" s="123">
        <v>3406718.4</v>
      </c>
      <c r="AA498" s="123">
        <v>1</v>
      </c>
      <c r="AB498" s="123">
        <v>117.81</v>
      </c>
      <c r="AC498" s="122"/>
      <c r="AD498" s="123">
        <v>4013.4549999999999</v>
      </c>
      <c r="AE498" s="122"/>
      <c r="AF498" s="122"/>
      <c r="AG498" s="122"/>
      <c r="AH498" s="125">
        <v>1.3650000000000001E-2</v>
      </c>
      <c r="AI498" s="125">
        <v>1.06E-3</v>
      </c>
      <c r="AJ498" s="126">
        <v>1.4999999999999999E-4</v>
      </c>
      <c r="AK498" s="159"/>
    </row>
    <row r="499" spans="1:37" x14ac:dyDescent="0.2">
      <c r="A499" s="121" t="s">
        <v>1223</v>
      </c>
      <c r="B499" s="122" t="s">
        <v>1223</v>
      </c>
      <c r="C499" s="122" t="s">
        <v>1770</v>
      </c>
      <c r="D499" s="122" t="s">
        <v>1771</v>
      </c>
      <c r="E499" s="122" t="s">
        <v>429</v>
      </c>
      <c r="F499" s="122" t="s">
        <v>1877</v>
      </c>
      <c r="G499" s="122" t="s">
        <v>1878</v>
      </c>
      <c r="H499" s="122" t="s">
        <v>76</v>
      </c>
      <c r="I499" s="122" t="s">
        <v>229</v>
      </c>
      <c r="J499" s="122" t="s">
        <v>53</v>
      </c>
      <c r="K499" s="122" t="s">
        <v>53</v>
      </c>
      <c r="L499" s="122" t="s">
        <v>805</v>
      </c>
      <c r="M499" s="122" t="s">
        <v>311</v>
      </c>
      <c r="N499" s="122" t="s">
        <v>635</v>
      </c>
      <c r="O499" s="122" t="s">
        <v>62</v>
      </c>
      <c r="P499" s="122" t="s">
        <v>1324</v>
      </c>
      <c r="Q499" s="122" t="s">
        <v>65</v>
      </c>
      <c r="R499" s="122" t="s">
        <v>57</v>
      </c>
      <c r="S499" s="122" t="s">
        <v>1216</v>
      </c>
      <c r="T499" s="123">
        <v>0.99</v>
      </c>
      <c r="U499" s="122" t="s">
        <v>1524</v>
      </c>
      <c r="V499" s="125">
        <v>2.4E-2</v>
      </c>
      <c r="W499" s="125">
        <v>3.2710000000000003E-2</v>
      </c>
      <c r="X499" s="122" t="s">
        <v>620</v>
      </c>
      <c r="Y499" s="133"/>
      <c r="Z499" s="123">
        <v>2961901.48</v>
      </c>
      <c r="AA499" s="123">
        <v>1</v>
      </c>
      <c r="AB499" s="123">
        <v>118.36</v>
      </c>
      <c r="AC499" s="122"/>
      <c r="AD499" s="123">
        <v>3505.7069999999999</v>
      </c>
      <c r="AE499" s="122"/>
      <c r="AF499" s="122"/>
      <c r="AG499" s="122"/>
      <c r="AH499" s="125">
        <v>5.9500000000000004E-3</v>
      </c>
      <c r="AI499" s="125">
        <v>9.3000000000000005E-4</v>
      </c>
      <c r="AJ499" s="126">
        <v>1.2999999999999999E-4</v>
      </c>
      <c r="AK499" s="159"/>
    </row>
    <row r="500" spans="1:37" x14ac:dyDescent="0.2">
      <c r="A500" s="121" t="s">
        <v>1223</v>
      </c>
      <c r="B500" s="122" t="s">
        <v>1223</v>
      </c>
      <c r="C500" s="122" t="s">
        <v>1867</v>
      </c>
      <c r="D500" s="122" t="s">
        <v>1868</v>
      </c>
      <c r="E500" s="122" t="s">
        <v>429</v>
      </c>
      <c r="F500" s="122" t="s">
        <v>1869</v>
      </c>
      <c r="G500" s="122" t="s">
        <v>1870</v>
      </c>
      <c r="H500" s="122" t="s">
        <v>76</v>
      </c>
      <c r="I500" s="122" t="s">
        <v>228</v>
      </c>
      <c r="J500" s="122" t="s">
        <v>53</v>
      </c>
      <c r="K500" s="122" t="s">
        <v>53</v>
      </c>
      <c r="L500" s="122" t="s">
        <v>805</v>
      </c>
      <c r="M500" s="122" t="s">
        <v>311</v>
      </c>
      <c r="N500" s="122" t="s">
        <v>636</v>
      </c>
      <c r="O500" s="122" t="s">
        <v>62</v>
      </c>
      <c r="P500" s="122" t="s">
        <v>1402</v>
      </c>
      <c r="Q500" s="122" t="s">
        <v>70</v>
      </c>
      <c r="R500" s="122" t="s">
        <v>57</v>
      </c>
      <c r="S500" s="122" t="s">
        <v>1216</v>
      </c>
      <c r="T500" s="123">
        <v>2.25</v>
      </c>
      <c r="U500" s="122" t="s">
        <v>1871</v>
      </c>
      <c r="V500" s="125">
        <v>2.8500000000000001E-2</v>
      </c>
      <c r="W500" s="125">
        <v>5.2170000000000001E-2</v>
      </c>
      <c r="X500" s="122" t="s">
        <v>620</v>
      </c>
      <c r="Y500" s="133"/>
      <c r="Z500" s="123">
        <v>2795883.94</v>
      </c>
      <c r="AA500" s="123">
        <v>1</v>
      </c>
      <c r="AB500" s="123">
        <v>95.9</v>
      </c>
      <c r="AC500" s="122"/>
      <c r="AD500" s="123">
        <v>2681.2530000000002</v>
      </c>
      <c r="AE500" s="122"/>
      <c r="AF500" s="122"/>
      <c r="AG500" s="122"/>
      <c r="AH500" s="125">
        <v>7.1000000000000004E-3</v>
      </c>
      <c r="AI500" s="125">
        <v>7.1000000000000002E-4</v>
      </c>
      <c r="AJ500" s="126">
        <v>1E-4</v>
      </c>
      <c r="AK500" s="159"/>
    </row>
    <row r="501" spans="1:37" x14ac:dyDescent="0.2">
      <c r="A501" s="121" t="s">
        <v>1223</v>
      </c>
      <c r="B501" s="122" t="s">
        <v>1223</v>
      </c>
      <c r="C501" s="122" t="s">
        <v>1703</v>
      </c>
      <c r="D501" s="122" t="s">
        <v>1704</v>
      </c>
      <c r="E501" s="122" t="s">
        <v>429</v>
      </c>
      <c r="F501" s="122" t="s">
        <v>1872</v>
      </c>
      <c r="G501" s="122" t="s">
        <v>1873</v>
      </c>
      <c r="H501" s="122" t="s">
        <v>76</v>
      </c>
      <c r="I501" s="122" t="s">
        <v>228</v>
      </c>
      <c r="J501" s="122" t="s">
        <v>53</v>
      </c>
      <c r="K501" s="122" t="s">
        <v>53</v>
      </c>
      <c r="L501" s="122" t="s">
        <v>805</v>
      </c>
      <c r="M501" s="122" t="s">
        <v>311</v>
      </c>
      <c r="N501" s="122" t="s">
        <v>263</v>
      </c>
      <c r="O501" s="122" t="s">
        <v>62</v>
      </c>
      <c r="P501" s="122" t="s">
        <v>1450</v>
      </c>
      <c r="Q501" s="122" t="s">
        <v>65</v>
      </c>
      <c r="R501" s="122" t="s">
        <v>57</v>
      </c>
      <c r="S501" s="122" t="s">
        <v>1216</v>
      </c>
      <c r="T501" s="123">
        <v>2.62</v>
      </c>
      <c r="U501" s="122" t="s">
        <v>1822</v>
      </c>
      <c r="V501" s="125">
        <v>2.6200000000000001E-2</v>
      </c>
      <c r="W501" s="125">
        <v>4.6080000000000003E-2</v>
      </c>
      <c r="X501" s="122" t="s">
        <v>620</v>
      </c>
      <c r="Y501" s="133"/>
      <c r="Z501" s="123">
        <v>2702807.39</v>
      </c>
      <c r="AA501" s="123">
        <v>1</v>
      </c>
      <c r="AB501" s="123">
        <v>95.7</v>
      </c>
      <c r="AC501" s="122"/>
      <c r="AD501" s="123">
        <v>2586.587</v>
      </c>
      <c r="AE501" s="122"/>
      <c r="AF501" s="122"/>
      <c r="AG501" s="122"/>
      <c r="AH501" s="125">
        <v>7.5399999999999998E-3</v>
      </c>
      <c r="AI501" s="125">
        <v>6.8000000000000005E-4</v>
      </c>
      <c r="AJ501" s="126">
        <v>9.0000000000000006E-5</v>
      </c>
      <c r="AK501" s="159"/>
    </row>
    <row r="502" spans="1:37" x14ac:dyDescent="0.2">
      <c r="A502" s="121" t="s">
        <v>1223</v>
      </c>
      <c r="B502" s="122" t="s">
        <v>1223</v>
      </c>
      <c r="C502" s="122" t="s">
        <v>1388</v>
      </c>
      <c r="D502" s="122" t="s">
        <v>1389</v>
      </c>
      <c r="E502" s="122" t="s">
        <v>429</v>
      </c>
      <c r="F502" s="122" t="s">
        <v>1874</v>
      </c>
      <c r="G502" s="122" t="s">
        <v>1875</v>
      </c>
      <c r="H502" s="122" t="s">
        <v>76</v>
      </c>
      <c r="I502" s="122" t="s">
        <v>229</v>
      </c>
      <c r="J502" s="122" t="s">
        <v>53</v>
      </c>
      <c r="K502" s="122" t="s">
        <v>53</v>
      </c>
      <c r="L502" s="122" t="s">
        <v>805</v>
      </c>
      <c r="M502" s="122" t="s">
        <v>311</v>
      </c>
      <c r="N502" s="122" t="s">
        <v>635</v>
      </c>
      <c r="O502" s="122" t="s">
        <v>62</v>
      </c>
      <c r="P502" s="122" t="s">
        <v>1324</v>
      </c>
      <c r="Q502" s="122" t="s">
        <v>65</v>
      </c>
      <c r="R502" s="122" t="s">
        <v>57</v>
      </c>
      <c r="S502" s="122" t="s">
        <v>1216</v>
      </c>
      <c r="T502" s="123">
        <v>0.5</v>
      </c>
      <c r="U502" s="122" t="s">
        <v>1876</v>
      </c>
      <c r="V502" s="125">
        <v>4.7500000000000001E-2</v>
      </c>
      <c r="W502" s="125">
        <v>5.0639999999999998E-2</v>
      </c>
      <c r="X502" s="122" t="s">
        <v>620</v>
      </c>
      <c r="Y502" s="133"/>
      <c r="Z502" s="123">
        <v>1757350.96</v>
      </c>
      <c r="AA502" s="123">
        <v>1</v>
      </c>
      <c r="AB502" s="123">
        <v>143.80000000000001</v>
      </c>
      <c r="AC502" s="122"/>
      <c r="AD502" s="123">
        <v>2527.0709999999999</v>
      </c>
      <c r="AE502" s="122"/>
      <c r="AF502" s="122"/>
      <c r="AG502" s="122"/>
      <c r="AH502" s="125">
        <v>3.6800000000000001E-3</v>
      </c>
      <c r="AI502" s="125">
        <v>6.7000000000000002E-4</v>
      </c>
      <c r="AJ502" s="126">
        <v>9.0000000000000006E-5</v>
      </c>
      <c r="AK502" s="159"/>
    </row>
    <row r="503" spans="1:37" x14ac:dyDescent="0.2">
      <c r="A503" s="121" t="s">
        <v>1223</v>
      </c>
      <c r="B503" s="122" t="s">
        <v>1223</v>
      </c>
      <c r="C503" s="122" t="s">
        <v>1393</v>
      </c>
      <c r="D503" s="122" t="s">
        <v>1394</v>
      </c>
      <c r="E503" s="122" t="s">
        <v>429</v>
      </c>
      <c r="F503" s="122" t="s">
        <v>1525</v>
      </c>
      <c r="G503" s="122" t="s">
        <v>1526</v>
      </c>
      <c r="H503" s="122" t="s">
        <v>76</v>
      </c>
      <c r="I503" s="122" t="s">
        <v>228</v>
      </c>
      <c r="J503" s="122" t="s">
        <v>53</v>
      </c>
      <c r="K503" s="122" t="s">
        <v>53</v>
      </c>
      <c r="L503" s="122" t="s">
        <v>805</v>
      </c>
      <c r="M503" s="122" t="s">
        <v>311</v>
      </c>
      <c r="N503" s="122" t="s">
        <v>269</v>
      </c>
      <c r="O503" s="122" t="s">
        <v>62</v>
      </c>
      <c r="P503" s="122" t="s">
        <v>1377</v>
      </c>
      <c r="Q503" s="122" t="s">
        <v>70</v>
      </c>
      <c r="R503" s="122" t="s">
        <v>57</v>
      </c>
      <c r="S503" s="122" t="s">
        <v>1216</v>
      </c>
      <c r="T503" s="123">
        <v>3.91</v>
      </c>
      <c r="U503" s="122" t="s">
        <v>1527</v>
      </c>
      <c r="V503" s="125">
        <v>3.95E-2</v>
      </c>
      <c r="W503" s="125">
        <v>4.3999999999999997E-2</v>
      </c>
      <c r="X503" s="122" t="s">
        <v>620</v>
      </c>
      <c r="Y503" s="133"/>
      <c r="Z503" s="123">
        <v>2350416</v>
      </c>
      <c r="AA503" s="123">
        <v>1</v>
      </c>
      <c r="AB503" s="123">
        <v>99.43</v>
      </c>
      <c r="AC503" s="122"/>
      <c r="AD503" s="123">
        <v>2337.0189999999998</v>
      </c>
      <c r="AE503" s="122"/>
      <c r="AF503" s="122"/>
      <c r="AG503" s="122"/>
      <c r="AH503" s="125">
        <v>9.7900000000000001E-3</v>
      </c>
      <c r="AI503" s="125">
        <v>6.2E-4</v>
      </c>
      <c r="AJ503" s="126">
        <v>9.0000000000000006E-5</v>
      </c>
      <c r="AK503" s="159"/>
    </row>
    <row r="504" spans="1:37" x14ac:dyDescent="0.2">
      <c r="A504" s="121" t="s">
        <v>1223</v>
      </c>
      <c r="B504" s="122" t="s">
        <v>1223</v>
      </c>
      <c r="C504" s="122" t="s">
        <v>1393</v>
      </c>
      <c r="D504" s="122" t="s">
        <v>1394</v>
      </c>
      <c r="E504" s="122" t="s">
        <v>429</v>
      </c>
      <c r="F504" s="122" t="s">
        <v>1395</v>
      </c>
      <c r="G504" s="122" t="s">
        <v>1396</v>
      </c>
      <c r="H504" s="122" t="s">
        <v>76</v>
      </c>
      <c r="I504" s="122" t="s">
        <v>228</v>
      </c>
      <c r="J504" s="122" t="s">
        <v>53</v>
      </c>
      <c r="K504" s="122" t="s">
        <v>53</v>
      </c>
      <c r="L504" s="122" t="s">
        <v>805</v>
      </c>
      <c r="M504" s="122" t="s">
        <v>311</v>
      </c>
      <c r="N504" s="122" t="s">
        <v>269</v>
      </c>
      <c r="O504" s="122" t="s">
        <v>62</v>
      </c>
      <c r="P504" s="122" t="s">
        <v>1377</v>
      </c>
      <c r="Q504" s="122" t="s">
        <v>70</v>
      </c>
      <c r="R504" s="122" t="s">
        <v>57</v>
      </c>
      <c r="S504" s="122" t="s">
        <v>1216</v>
      </c>
      <c r="T504" s="123">
        <v>3.05</v>
      </c>
      <c r="U504" s="122" t="s">
        <v>1397</v>
      </c>
      <c r="V504" s="125">
        <v>3.95E-2</v>
      </c>
      <c r="W504" s="125">
        <v>4.3029999999999999E-2</v>
      </c>
      <c r="X504" s="122" t="s">
        <v>620</v>
      </c>
      <c r="Y504" s="133"/>
      <c r="Z504" s="123">
        <v>2006107</v>
      </c>
      <c r="AA504" s="123">
        <v>1</v>
      </c>
      <c r="AB504" s="123">
        <v>100.05</v>
      </c>
      <c r="AC504" s="122"/>
      <c r="AD504" s="123">
        <v>2007.11</v>
      </c>
      <c r="AE504" s="122"/>
      <c r="AF504" s="122"/>
      <c r="AG504" s="122"/>
      <c r="AH504" s="125">
        <v>8.3599999999999994E-3</v>
      </c>
      <c r="AI504" s="125">
        <v>5.2999999999999998E-4</v>
      </c>
      <c r="AJ504" s="126">
        <v>6.9999999999999994E-5</v>
      </c>
      <c r="AK504" s="159"/>
    </row>
    <row r="505" spans="1:37" x14ac:dyDescent="0.2">
      <c r="A505" s="121" t="s">
        <v>1223</v>
      </c>
      <c r="B505" s="122" t="s">
        <v>1223</v>
      </c>
      <c r="C505" s="122" t="s">
        <v>1515</v>
      </c>
      <c r="D505" s="122" t="s">
        <v>1516</v>
      </c>
      <c r="E505" s="122" t="s">
        <v>429</v>
      </c>
      <c r="F505" s="122" t="s">
        <v>1517</v>
      </c>
      <c r="G505" s="122" t="s">
        <v>1518</v>
      </c>
      <c r="H505" s="122" t="s">
        <v>76</v>
      </c>
      <c r="I505" s="122" t="s">
        <v>229</v>
      </c>
      <c r="J505" s="122" t="s">
        <v>53</v>
      </c>
      <c r="K505" s="122" t="s">
        <v>53</v>
      </c>
      <c r="L505" s="122" t="s">
        <v>805</v>
      </c>
      <c r="M505" s="122" t="s">
        <v>311</v>
      </c>
      <c r="N505" s="122" t="s">
        <v>635</v>
      </c>
      <c r="O505" s="122" t="s">
        <v>62</v>
      </c>
      <c r="P505" s="122" t="s">
        <v>1377</v>
      </c>
      <c r="Q505" s="122" t="s">
        <v>70</v>
      </c>
      <c r="R505" s="122" t="s">
        <v>57</v>
      </c>
      <c r="S505" s="122" t="s">
        <v>1216</v>
      </c>
      <c r="T505" s="123">
        <v>1.96</v>
      </c>
      <c r="U505" s="122" t="s">
        <v>1519</v>
      </c>
      <c r="V505" s="125">
        <v>1.9599999999999999E-2</v>
      </c>
      <c r="W505" s="125">
        <v>2.981E-2</v>
      </c>
      <c r="X505" s="122" t="s">
        <v>620</v>
      </c>
      <c r="Y505" s="133"/>
      <c r="Z505" s="123">
        <v>1686289</v>
      </c>
      <c r="AA505" s="123">
        <v>1</v>
      </c>
      <c r="AB505" s="123">
        <v>118.11</v>
      </c>
      <c r="AC505" s="122"/>
      <c r="AD505" s="123">
        <v>1991.6759999999999</v>
      </c>
      <c r="AE505" s="122"/>
      <c r="AF505" s="122"/>
      <c r="AG505" s="122"/>
      <c r="AH505" s="125">
        <v>1.47E-3</v>
      </c>
      <c r="AI505" s="125">
        <v>5.2999999999999998E-4</v>
      </c>
      <c r="AJ505" s="126">
        <v>6.9999999999999994E-5</v>
      </c>
      <c r="AK505" s="159"/>
    </row>
    <row r="506" spans="1:37" x14ac:dyDescent="0.2">
      <c r="A506" s="121" t="s">
        <v>1223</v>
      </c>
      <c r="B506" s="122" t="s">
        <v>1223</v>
      </c>
      <c r="C506" s="122" t="s">
        <v>1520</v>
      </c>
      <c r="D506" s="122" t="s">
        <v>1521</v>
      </c>
      <c r="E506" s="122" t="s">
        <v>429</v>
      </c>
      <c r="F506" s="122" t="s">
        <v>1522</v>
      </c>
      <c r="G506" s="122" t="s">
        <v>1523</v>
      </c>
      <c r="H506" s="122" t="s">
        <v>76</v>
      </c>
      <c r="I506" s="122" t="s">
        <v>228</v>
      </c>
      <c r="J506" s="122" t="s">
        <v>53</v>
      </c>
      <c r="K506" s="122" t="s">
        <v>53</v>
      </c>
      <c r="L506" s="122" t="s">
        <v>805</v>
      </c>
      <c r="M506" s="122" t="s">
        <v>311</v>
      </c>
      <c r="N506" s="122" t="s">
        <v>269</v>
      </c>
      <c r="O506" s="122" t="s">
        <v>62</v>
      </c>
      <c r="P506" s="122" t="s">
        <v>1454</v>
      </c>
      <c r="Q506" s="122" t="s">
        <v>70</v>
      </c>
      <c r="R506" s="122" t="s">
        <v>57</v>
      </c>
      <c r="S506" s="122" t="s">
        <v>1216</v>
      </c>
      <c r="T506" s="123">
        <v>1</v>
      </c>
      <c r="U506" s="122" t="s">
        <v>1524</v>
      </c>
      <c r="V506" s="125">
        <v>2.9399999999999999E-2</v>
      </c>
      <c r="W506" s="125">
        <v>4.4350000000000001E-2</v>
      </c>
      <c r="X506" s="122" t="s">
        <v>620</v>
      </c>
      <c r="Y506" s="133"/>
      <c r="Z506" s="123">
        <v>1890592.83</v>
      </c>
      <c r="AA506" s="123">
        <v>1</v>
      </c>
      <c r="AB506" s="123">
        <v>98.58</v>
      </c>
      <c r="AC506" s="122"/>
      <c r="AD506" s="123">
        <v>1863.7460000000001</v>
      </c>
      <c r="AE506" s="122"/>
      <c r="AF506" s="122"/>
      <c r="AG506" s="122"/>
      <c r="AH506" s="125">
        <v>3.4950000000000002E-2</v>
      </c>
      <c r="AI506" s="125">
        <v>4.8999999999999998E-4</v>
      </c>
      <c r="AJ506" s="126">
        <v>6.9999999999999994E-5</v>
      </c>
      <c r="AK506" s="159"/>
    </row>
    <row r="507" spans="1:37" x14ac:dyDescent="0.2">
      <c r="A507" s="121" t="s">
        <v>1223</v>
      </c>
      <c r="B507" s="122" t="s">
        <v>1223</v>
      </c>
      <c r="C507" s="122" t="s">
        <v>1713</v>
      </c>
      <c r="D507" s="122" t="s">
        <v>1714</v>
      </c>
      <c r="E507" s="122" t="s">
        <v>429</v>
      </c>
      <c r="F507" s="122" t="s">
        <v>1893</v>
      </c>
      <c r="G507" s="122" t="s">
        <v>1894</v>
      </c>
      <c r="H507" s="122" t="s">
        <v>76</v>
      </c>
      <c r="I507" s="122" t="s">
        <v>228</v>
      </c>
      <c r="J507" s="122" t="s">
        <v>53</v>
      </c>
      <c r="K507" s="122" t="s">
        <v>314</v>
      </c>
      <c r="L507" s="122" t="s">
        <v>805</v>
      </c>
      <c r="M507" s="122" t="s">
        <v>311</v>
      </c>
      <c r="N507" s="122" t="s">
        <v>636</v>
      </c>
      <c r="O507" s="122" t="s">
        <v>62</v>
      </c>
      <c r="P507" s="122" t="s">
        <v>1369</v>
      </c>
      <c r="Q507" s="122" t="s">
        <v>65</v>
      </c>
      <c r="R507" s="122" t="s">
        <v>57</v>
      </c>
      <c r="S507" s="122" t="s">
        <v>1216</v>
      </c>
      <c r="T507" s="123">
        <v>3.11</v>
      </c>
      <c r="U507" s="122" t="s">
        <v>1895</v>
      </c>
      <c r="V507" s="125">
        <v>4.4999999999999998E-2</v>
      </c>
      <c r="W507" s="125">
        <v>5.4420000000000003E-2</v>
      </c>
      <c r="X507" s="122" t="s">
        <v>620</v>
      </c>
      <c r="Y507" s="133"/>
      <c r="Z507" s="123">
        <v>1719337.72</v>
      </c>
      <c r="AA507" s="123">
        <v>1</v>
      </c>
      <c r="AB507" s="123">
        <v>99.39</v>
      </c>
      <c r="AC507" s="122"/>
      <c r="AD507" s="123">
        <v>1708.85</v>
      </c>
      <c r="AE507" s="122"/>
      <c r="AF507" s="122"/>
      <c r="AG507" s="122"/>
      <c r="AH507" s="125">
        <v>2.1199999999999999E-3</v>
      </c>
      <c r="AI507" s="125">
        <v>4.4999999999999999E-4</v>
      </c>
      <c r="AJ507" s="126">
        <v>6.0000000000000002E-5</v>
      </c>
      <c r="AK507" s="159"/>
    </row>
    <row r="508" spans="1:37" x14ac:dyDescent="0.2">
      <c r="A508" s="121" t="s">
        <v>1223</v>
      </c>
      <c r="B508" s="122" t="s">
        <v>1223</v>
      </c>
      <c r="C508" s="122" t="s">
        <v>1462</v>
      </c>
      <c r="D508" s="122" t="s">
        <v>1463</v>
      </c>
      <c r="E508" s="122" t="s">
        <v>429</v>
      </c>
      <c r="F508" s="122" t="s">
        <v>1512</v>
      </c>
      <c r="G508" s="122" t="s">
        <v>1513</v>
      </c>
      <c r="H508" s="122" t="s">
        <v>76</v>
      </c>
      <c r="I508" s="122" t="s">
        <v>229</v>
      </c>
      <c r="J508" s="122" t="s">
        <v>53</v>
      </c>
      <c r="K508" s="122" t="s">
        <v>53</v>
      </c>
      <c r="L508" s="122" t="s">
        <v>805</v>
      </c>
      <c r="M508" s="122" t="s">
        <v>311</v>
      </c>
      <c r="N508" s="122" t="s">
        <v>156</v>
      </c>
      <c r="O508" s="122" t="s">
        <v>62</v>
      </c>
      <c r="P508" s="122" t="s">
        <v>1369</v>
      </c>
      <c r="Q508" s="122" t="s">
        <v>65</v>
      </c>
      <c r="R508" s="122" t="s">
        <v>57</v>
      </c>
      <c r="S508" s="122" t="s">
        <v>1216</v>
      </c>
      <c r="T508" s="123">
        <v>2.61</v>
      </c>
      <c r="U508" s="122" t="s">
        <v>1514</v>
      </c>
      <c r="V508" s="125">
        <v>1.23E-2</v>
      </c>
      <c r="W508" s="125">
        <v>2.6530000000000001E-2</v>
      </c>
      <c r="X508" s="122" t="s">
        <v>620</v>
      </c>
      <c r="Y508" s="133"/>
      <c r="Z508" s="123">
        <v>1329554.21</v>
      </c>
      <c r="AA508" s="123">
        <v>1</v>
      </c>
      <c r="AB508" s="123">
        <v>115.53</v>
      </c>
      <c r="AC508" s="122"/>
      <c r="AD508" s="123">
        <v>1536.0340000000001</v>
      </c>
      <c r="AE508" s="122"/>
      <c r="AF508" s="122"/>
      <c r="AG508" s="122"/>
      <c r="AH508" s="125">
        <v>1.39E-3</v>
      </c>
      <c r="AI508" s="125">
        <v>4.0999999999999999E-4</v>
      </c>
      <c r="AJ508" s="126">
        <v>6.0000000000000002E-5</v>
      </c>
      <c r="AK508" s="159"/>
    </row>
    <row r="509" spans="1:37" x14ac:dyDescent="0.2">
      <c r="A509" s="121" t="s">
        <v>1223</v>
      </c>
      <c r="B509" s="122" t="s">
        <v>1223</v>
      </c>
      <c r="C509" s="122" t="s">
        <v>1879</v>
      </c>
      <c r="D509" s="122" t="s">
        <v>1880</v>
      </c>
      <c r="E509" s="122" t="s">
        <v>429</v>
      </c>
      <c r="F509" s="122" t="s">
        <v>1881</v>
      </c>
      <c r="G509" s="122" t="s">
        <v>1882</v>
      </c>
      <c r="H509" s="122" t="s">
        <v>76</v>
      </c>
      <c r="I509" s="122" t="s">
        <v>228</v>
      </c>
      <c r="J509" s="122" t="s">
        <v>53</v>
      </c>
      <c r="K509" s="122" t="s">
        <v>53</v>
      </c>
      <c r="L509" s="122" t="s">
        <v>805</v>
      </c>
      <c r="M509" s="122" t="s">
        <v>311</v>
      </c>
      <c r="N509" s="122" t="s">
        <v>260</v>
      </c>
      <c r="O509" s="122" t="s">
        <v>62</v>
      </c>
      <c r="P509" s="122" t="s">
        <v>1369</v>
      </c>
      <c r="Q509" s="122" t="s">
        <v>65</v>
      </c>
      <c r="R509" s="122" t="s">
        <v>57</v>
      </c>
      <c r="S509" s="122" t="s">
        <v>1216</v>
      </c>
      <c r="T509" s="123">
        <v>1.37</v>
      </c>
      <c r="U509" s="122" t="s">
        <v>1883</v>
      </c>
      <c r="V509" s="125">
        <v>0.04</v>
      </c>
      <c r="W509" s="125">
        <v>4.6870000000000002E-2</v>
      </c>
      <c r="X509" s="122" t="s">
        <v>620</v>
      </c>
      <c r="Y509" s="133"/>
      <c r="Z509" s="123">
        <v>1310790.08</v>
      </c>
      <c r="AA509" s="123">
        <v>1</v>
      </c>
      <c r="AB509" s="123">
        <v>100.15</v>
      </c>
      <c r="AC509" s="122"/>
      <c r="AD509" s="123">
        <v>1312.7560000000001</v>
      </c>
      <c r="AE509" s="122"/>
      <c r="AF509" s="122"/>
      <c r="AG509" s="122"/>
      <c r="AH509" s="125">
        <v>2.5699999999999998E-3</v>
      </c>
      <c r="AI509" s="125">
        <v>3.5E-4</v>
      </c>
      <c r="AJ509" s="126">
        <v>5.0000000000000002E-5</v>
      </c>
      <c r="AK509" s="159"/>
    </row>
    <row r="510" spans="1:37" x14ac:dyDescent="0.2">
      <c r="A510" s="121" t="s">
        <v>1223</v>
      </c>
      <c r="B510" s="122" t="s">
        <v>1223</v>
      </c>
      <c r="C510" s="122" t="s">
        <v>1499</v>
      </c>
      <c r="D510" s="122" t="s">
        <v>1500</v>
      </c>
      <c r="E510" s="122" t="s">
        <v>429</v>
      </c>
      <c r="F510" s="122" t="s">
        <v>1501</v>
      </c>
      <c r="G510" s="122" t="s">
        <v>1502</v>
      </c>
      <c r="H510" s="122" t="s">
        <v>76</v>
      </c>
      <c r="I510" s="122" t="s">
        <v>228</v>
      </c>
      <c r="J510" s="122" t="s">
        <v>53</v>
      </c>
      <c r="K510" s="122" t="s">
        <v>53</v>
      </c>
      <c r="L510" s="122" t="s">
        <v>805</v>
      </c>
      <c r="M510" s="122" t="s">
        <v>311</v>
      </c>
      <c r="N510" s="122" t="s">
        <v>692</v>
      </c>
      <c r="O510" s="122" t="s">
        <v>62</v>
      </c>
      <c r="P510" s="122" t="s">
        <v>1450</v>
      </c>
      <c r="Q510" s="122" t="s">
        <v>65</v>
      </c>
      <c r="R510" s="122" t="s">
        <v>57</v>
      </c>
      <c r="S510" s="122" t="s">
        <v>1216</v>
      </c>
      <c r="T510" s="123">
        <v>0.74</v>
      </c>
      <c r="U510" s="122" t="s">
        <v>1503</v>
      </c>
      <c r="V510" s="125">
        <v>0.04</v>
      </c>
      <c r="W510" s="125">
        <v>5.1470000000000002E-2</v>
      </c>
      <c r="X510" s="122" t="s">
        <v>620</v>
      </c>
      <c r="Y510" s="133"/>
      <c r="Z510" s="123">
        <v>1190557.42</v>
      </c>
      <c r="AA510" s="123">
        <v>1</v>
      </c>
      <c r="AB510" s="123">
        <v>100.23</v>
      </c>
      <c r="AC510" s="122"/>
      <c r="AD510" s="123">
        <v>1193.296</v>
      </c>
      <c r="AE510" s="122"/>
      <c r="AF510" s="122"/>
      <c r="AG510" s="122"/>
      <c r="AH510" s="125">
        <v>1.8069999999999999E-2</v>
      </c>
      <c r="AI510" s="125">
        <v>3.2000000000000003E-4</v>
      </c>
      <c r="AJ510" s="126">
        <v>4.0000000000000003E-5</v>
      </c>
      <c r="AK510" s="159"/>
    </row>
    <row r="511" spans="1:37" x14ac:dyDescent="0.2">
      <c r="A511" s="121" t="s">
        <v>1223</v>
      </c>
      <c r="B511" s="122" t="s">
        <v>1223</v>
      </c>
      <c r="C511" s="122" t="s">
        <v>1688</v>
      </c>
      <c r="D511" s="122" t="s">
        <v>1689</v>
      </c>
      <c r="E511" s="122" t="s">
        <v>429</v>
      </c>
      <c r="F511" s="122" t="s">
        <v>1884</v>
      </c>
      <c r="G511" s="122" t="s">
        <v>1885</v>
      </c>
      <c r="H511" s="122" t="s">
        <v>76</v>
      </c>
      <c r="I511" s="122" t="s">
        <v>228</v>
      </c>
      <c r="J511" s="122" t="s">
        <v>53</v>
      </c>
      <c r="K511" s="122" t="s">
        <v>53</v>
      </c>
      <c r="L511" s="122" t="s">
        <v>805</v>
      </c>
      <c r="M511" s="122" t="s">
        <v>311</v>
      </c>
      <c r="N511" s="122" t="s">
        <v>269</v>
      </c>
      <c r="O511" s="122" t="s">
        <v>62</v>
      </c>
      <c r="P511" s="122" t="s">
        <v>1540</v>
      </c>
      <c r="Q511" s="122" t="s">
        <v>70</v>
      </c>
      <c r="R511" s="122" t="s">
        <v>57</v>
      </c>
      <c r="S511" s="122" t="s">
        <v>1216</v>
      </c>
      <c r="T511" s="123">
        <v>0.13</v>
      </c>
      <c r="U511" s="122" t="s">
        <v>1886</v>
      </c>
      <c r="V511" s="125">
        <v>3.27E-2</v>
      </c>
      <c r="W511" s="125">
        <v>5.0990000000000001E-2</v>
      </c>
      <c r="X511" s="122" t="s">
        <v>620</v>
      </c>
      <c r="Y511" s="133"/>
      <c r="Z511" s="123">
        <v>814792</v>
      </c>
      <c r="AA511" s="123">
        <v>1</v>
      </c>
      <c r="AB511" s="123">
        <v>101</v>
      </c>
      <c r="AC511" s="122"/>
      <c r="AD511" s="123">
        <v>822.94</v>
      </c>
      <c r="AE511" s="122"/>
      <c r="AF511" s="122"/>
      <c r="AG511" s="122"/>
      <c r="AH511" s="125">
        <v>2.5799999999999998E-3</v>
      </c>
      <c r="AI511" s="125">
        <v>2.2000000000000001E-4</v>
      </c>
      <c r="AJ511" s="126">
        <v>3.0000000000000001E-5</v>
      </c>
      <c r="AK511" s="159"/>
    </row>
    <row r="512" spans="1:37" x14ac:dyDescent="0.2">
      <c r="A512" s="121" t="s">
        <v>1223</v>
      </c>
      <c r="B512" s="122" t="s">
        <v>1223</v>
      </c>
      <c r="C512" s="122" t="s">
        <v>1896</v>
      </c>
      <c r="D512" s="122" t="s">
        <v>1897</v>
      </c>
      <c r="E512" s="122" t="s">
        <v>429</v>
      </c>
      <c r="F512" s="122" t="s">
        <v>1898</v>
      </c>
      <c r="G512" s="122" t="s">
        <v>1899</v>
      </c>
      <c r="H512" s="122" t="s">
        <v>76</v>
      </c>
      <c r="I512" s="122" t="s">
        <v>229</v>
      </c>
      <c r="J512" s="122" t="s">
        <v>53</v>
      </c>
      <c r="K512" s="122" t="s">
        <v>53</v>
      </c>
      <c r="L512" s="122" t="s">
        <v>805</v>
      </c>
      <c r="M512" s="122" t="s">
        <v>311</v>
      </c>
      <c r="N512" s="122" t="s">
        <v>635</v>
      </c>
      <c r="O512" s="122" t="s">
        <v>62</v>
      </c>
      <c r="P512" s="122" t="s">
        <v>1215</v>
      </c>
      <c r="Q512" s="122" t="s">
        <v>70</v>
      </c>
      <c r="R512" s="122" t="s">
        <v>57</v>
      </c>
      <c r="S512" s="122" t="s">
        <v>1216</v>
      </c>
      <c r="T512" s="123">
        <v>0.76</v>
      </c>
      <c r="U512" s="122" t="s">
        <v>1430</v>
      </c>
      <c r="V512" s="125">
        <v>8.3000000000000001E-3</v>
      </c>
      <c r="W512" s="125">
        <v>3.8269999999999998E-2</v>
      </c>
      <c r="X512" s="122" t="s">
        <v>620</v>
      </c>
      <c r="Y512" s="133"/>
      <c r="Z512" s="123">
        <v>0.8</v>
      </c>
      <c r="AA512" s="123">
        <v>1</v>
      </c>
      <c r="AB512" s="123">
        <v>117.3</v>
      </c>
      <c r="AC512" s="122"/>
      <c r="AD512" s="123">
        <v>1E-3</v>
      </c>
      <c r="AE512" s="122"/>
      <c r="AF512" s="122"/>
      <c r="AG512" s="122"/>
      <c r="AH512" s="125">
        <v>0</v>
      </c>
      <c r="AI512" s="125">
        <v>0</v>
      </c>
      <c r="AJ512" s="126">
        <v>0</v>
      </c>
      <c r="AK512" s="159"/>
    </row>
    <row r="513" spans="1:37" x14ac:dyDescent="0.2">
      <c r="A513" s="121" t="s">
        <v>1223</v>
      </c>
      <c r="B513" s="122" t="s">
        <v>1223</v>
      </c>
      <c r="C513" s="122" t="s">
        <v>1900</v>
      </c>
      <c r="D513" s="122" t="s">
        <v>1901</v>
      </c>
      <c r="E513" s="122" t="s">
        <v>429</v>
      </c>
      <c r="F513" s="122" t="s">
        <v>1902</v>
      </c>
      <c r="G513" s="122" t="s">
        <v>1903</v>
      </c>
      <c r="H513" s="122" t="s">
        <v>76</v>
      </c>
      <c r="I513" s="122" t="s">
        <v>230</v>
      </c>
      <c r="J513" s="122" t="s">
        <v>53</v>
      </c>
      <c r="K513" s="122" t="s">
        <v>53</v>
      </c>
      <c r="L513" s="122" t="s">
        <v>805</v>
      </c>
      <c r="M513" s="122" t="s">
        <v>311</v>
      </c>
      <c r="N513" s="122" t="s">
        <v>253</v>
      </c>
      <c r="O513" s="122" t="s">
        <v>62</v>
      </c>
      <c r="P513" s="122" t="s">
        <v>1369</v>
      </c>
      <c r="Q513" s="122" t="s">
        <v>65</v>
      </c>
      <c r="R513" s="122" t="s">
        <v>57</v>
      </c>
      <c r="S513" s="122" t="s">
        <v>1216</v>
      </c>
      <c r="T513" s="123">
        <v>0.25</v>
      </c>
      <c r="U513" s="122" t="s">
        <v>1904</v>
      </c>
      <c r="V513" s="125">
        <v>3.3700000000000001E-2</v>
      </c>
      <c r="W513" s="125">
        <v>5.4820000000000001E-2</v>
      </c>
      <c r="X513" s="122" t="s">
        <v>620</v>
      </c>
      <c r="Y513" s="133"/>
      <c r="Z513" s="123">
        <v>0.17</v>
      </c>
      <c r="AA513" s="123">
        <v>1</v>
      </c>
      <c r="AB513" s="123">
        <v>93.85</v>
      </c>
      <c r="AC513" s="122"/>
      <c r="AD513" s="123">
        <v>0</v>
      </c>
      <c r="AE513" s="122"/>
      <c r="AF513" s="122"/>
      <c r="AG513" s="122"/>
      <c r="AH513" s="125">
        <v>0</v>
      </c>
      <c r="AI513" s="125">
        <v>0</v>
      </c>
      <c r="AJ513" s="126">
        <v>0</v>
      </c>
      <c r="AK513" s="159"/>
    </row>
    <row r="514" spans="1:37" x14ac:dyDescent="0.2">
      <c r="A514" s="127" t="s">
        <v>1223</v>
      </c>
      <c r="B514" s="128" t="s">
        <v>1223</v>
      </c>
      <c r="C514" s="128" t="s">
        <v>1887</v>
      </c>
      <c r="D514" s="128" t="s">
        <v>1888</v>
      </c>
      <c r="E514" s="128" t="s">
        <v>430</v>
      </c>
      <c r="F514" s="128" t="s">
        <v>1889</v>
      </c>
      <c r="G514" s="128" t="s">
        <v>1890</v>
      </c>
      <c r="H514" s="128" t="s">
        <v>76</v>
      </c>
      <c r="I514" s="128" t="s">
        <v>230</v>
      </c>
      <c r="J514" s="128" t="s">
        <v>61</v>
      </c>
      <c r="K514" s="128" t="s">
        <v>188</v>
      </c>
      <c r="L514" s="128" t="s">
        <v>805</v>
      </c>
      <c r="M514" s="128" t="s">
        <v>486</v>
      </c>
      <c r="N514" s="128" t="s">
        <v>896</v>
      </c>
      <c r="O514" s="128" t="s">
        <v>62</v>
      </c>
      <c r="P514" s="128" t="s">
        <v>1891</v>
      </c>
      <c r="Q514" s="128" t="s">
        <v>96</v>
      </c>
      <c r="R514" s="128" t="s">
        <v>57</v>
      </c>
      <c r="S514" s="128" t="s">
        <v>1217</v>
      </c>
      <c r="T514" s="129">
        <v>1.7310000000000001</v>
      </c>
      <c r="U514" s="128" t="s">
        <v>1892</v>
      </c>
      <c r="V514" s="130">
        <v>5.6250000000000001E-2</v>
      </c>
      <c r="W514" s="130">
        <v>8.2830000000000001E-2</v>
      </c>
      <c r="X514" s="128" t="s">
        <v>620</v>
      </c>
      <c r="Y514" s="134"/>
      <c r="Z514" s="129">
        <v>6500000</v>
      </c>
      <c r="AA514" s="129">
        <v>3.306</v>
      </c>
      <c r="AB514" s="129">
        <v>101.91</v>
      </c>
      <c r="AC514" s="128"/>
      <c r="AD514" s="129">
        <v>21899.419000000002</v>
      </c>
      <c r="AE514" s="128"/>
      <c r="AF514" s="128"/>
      <c r="AG514" s="128"/>
      <c r="AH514" s="130">
        <v>8.1200000000000005E-3</v>
      </c>
      <c r="AI514" s="130">
        <v>5.79E-3</v>
      </c>
      <c r="AJ514" s="131">
        <v>8.0000000000000004E-4</v>
      </c>
      <c r="AK514" s="159"/>
    </row>
    <row r="515" spans="1:37" x14ac:dyDescent="0.2">
      <c r="A515" s="159" t="s">
        <v>3483</v>
      </c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  <c r="AB515" s="159"/>
      <c r="AC515" s="159"/>
      <c r="AD515" s="159"/>
      <c r="AE515" s="159"/>
      <c r="AF515" s="159"/>
      <c r="AG515" s="159"/>
      <c r="AH515" s="159"/>
      <c r="AI515" s="159"/>
      <c r="AJ515" s="159"/>
    </row>
    <row r="516" spans="1:37" x14ac:dyDescent="0.2">
      <c r="A516" t="s">
        <v>3482</v>
      </c>
    </row>
    <row r="517" spans="1:37" x14ac:dyDescent="0.2">
      <c r="A517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515:AJ515"/>
    <mergeCell ref="AK2:AK514"/>
  </mergeCells>
  <dataValidations count="14">
    <dataValidation type="list" allowBlank="1" showInputMessage="1" showErrorMessage="1" sqref="J3:J21" xr:uid="{00000000-0002-0000-0600-000000000000}">
      <formula1>israel_abroad</formula1>
    </dataValidation>
    <dataValidation type="list" allowBlank="1" showInputMessage="1" showErrorMessage="1" sqref="O3:O21" xr:uid="{00000000-0002-0000-0600-000001000000}">
      <formula1>Holding_interest</formula1>
    </dataValidation>
    <dataValidation type="list" allowBlank="1" showInputMessage="1" showErrorMessage="1" sqref="Q3:Q21" xr:uid="{00000000-0002-0000-0600-000002000000}">
      <formula1>Rating_Agency</formula1>
    </dataValidation>
    <dataValidation type="list" allowBlank="1" showInputMessage="1" showErrorMessage="1" sqref="R3:R21" xr:uid="{00000000-0002-0000-0600-000003000000}">
      <formula1>What_is_rated</formula1>
    </dataValidation>
    <dataValidation type="list" allowBlank="1" showInputMessage="1" showErrorMessage="1" sqref="X3:X21" xr:uid="{00000000-0002-0000-0600-000004000000}">
      <formula1>Subordination_Risk</formula1>
    </dataValidation>
    <dataValidation type="list" allowBlank="1" showInputMessage="1" showErrorMessage="1" sqref="AG3:AG6 AG9:AG20" xr:uid="{00000000-0002-0000-0600-000005000000}">
      <formula1>In_the_books</formula1>
    </dataValidation>
    <dataValidation type="list" allowBlank="1" showInputMessage="1" showErrorMessage="1" sqref="K3:K21" xr:uid="{00000000-0002-0000-0600-000006000000}">
      <formula1>Country_list</formula1>
    </dataValidation>
    <dataValidation type="list" allowBlank="1" showInputMessage="1" showErrorMessage="1" sqref="Y3:Y21" xr:uid="{00000000-0002-0000-0600-000007000000}">
      <formula1>Yes_No_Bad_Debt</formula1>
    </dataValidation>
    <dataValidation type="list" allowBlank="1" showInputMessage="1" showErrorMessage="1" sqref="H4:H21" xr:uid="{00000000-0002-0000-0600-000008000000}">
      <formula1>Type_of_Security_ID_Fund</formula1>
    </dataValidation>
    <dataValidation type="list" allowBlank="1" showInputMessage="1" showErrorMessage="1" sqref="E3:E21" xr:uid="{00000000-0002-0000-0600-000009000000}">
      <formula1>Issuer_Number_Type_2</formula1>
    </dataValidation>
    <dataValidation type="list" allowBlank="1" showInputMessage="1" showErrorMessage="1" sqref="H3" xr:uid="{00000000-0002-0000-0600-00000A000000}">
      <formula1>Security_ID_Number_Type</formula1>
    </dataValidation>
    <dataValidation type="list" allowBlank="1" showInputMessage="1" showErrorMessage="1" sqref="N3:N21" xr:uid="{00000000-0002-0000-0600-00000B000000}">
      <formula1>Industry_Sector</formula1>
    </dataValidation>
    <dataValidation type="list" allowBlank="1" showInputMessage="1" showErrorMessage="1" sqref="L3:L21" xr:uid="{00000000-0002-0000-0600-00000C000000}">
      <formula1>Tradeable_Status</formula1>
    </dataValidation>
    <dataValidation type="list" allowBlank="1" showInputMessage="1" showErrorMessage="1" sqref="M3:M21" xr:uid="{00000000-0002-0000-0600-00000D000000}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E000000}">
          <x14:formula1>
            <xm:f>'אפשרויות בחירה'!$C$874:$C$883</xm:f>
          </x14:formula1>
          <xm:sqref>I3:I21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292"/>
  <sheetViews>
    <sheetView rightToLeft="1" workbookViewId="0"/>
  </sheetViews>
  <sheetFormatPr defaultColWidth="0" defaultRowHeight="14.25" x14ac:dyDescent="0.2"/>
  <cols>
    <col min="1" max="1" width="29.375" style="3" customWidth="1"/>
    <col min="2" max="4" width="11.625" style="3" customWidth="1"/>
    <col min="5" max="5" width="18.125" style="3" customWidth="1"/>
    <col min="6" max="6" width="11.625" style="3" customWidth="1"/>
    <col min="7" max="7" width="12.75" style="3" customWidth="1"/>
    <col min="8" max="8" width="15.5" style="3" customWidth="1"/>
    <col min="9" max="10" width="11.625" style="3" customWidth="1"/>
    <col min="11" max="11" width="19.875" style="3" customWidth="1"/>
    <col min="12" max="12" width="13.75" customWidth="1"/>
    <col min="13" max="13" width="11.625" customWidth="1"/>
    <col min="14" max="14" width="11.625" style="3" customWidth="1"/>
    <col min="15" max="15" width="15.125" style="3" customWidth="1"/>
    <col min="16" max="16" width="11.75" style="3" customWidth="1"/>
    <col min="17" max="17" width="14.875" style="3" customWidth="1"/>
    <col min="18" max="18" width="11.625" style="3" customWidth="1"/>
    <col min="19" max="19" width="12.875" style="3" customWidth="1"/>
    <col min="20" max="20" width="22.25" customWidth="1"/>
    <col min="21" max="21" width="17.875" style="3" customWidth="1"/>
    <col min="22" max="22" width="19" style="3" customWidth="1"/>
    <col min="23" max="23" width="21.75" style="3" customWidth="1"/>
    <col min="24" max="24" width="20.125" style="3" customWidth="1"/>
    <col min="25" max="26" width="11.625" style="3" hidden="1" customWidth="1"/>
    <col min="27" max="16384" width="9" style="3" hidden="1"/>
  </cols>
  <sheetData>
    <row r="1" spans="1:25" x14ac:dyDescent="0.2">
      <c r="A1" s="3" t="s">
        <v>3491</v>
      </c>
    </row>
    <row r="2" spans="1:25" x14ac:dyDescent="0.2">
      <c r="A2" s="118" t="s">
        <v>651</v>
      </c>
      <c r="B2" s="119" t="s">
        <v>0</v>
      </c>
      <c r="C2" s="119" t="s">
        <v>724</v>
      </c>
      <c r="D2" s="119" t="s">
        <v>2</v>
      </c>
      <c r="E2" s="119" t="s">
        <v>740</v>
      </c>
      <c r="F2" s="119" t="s">
        <v>1145</v>
      </c>
      <c r="G2" s="119" t="s">
        <v>29</v>
      </c>
      <c r="H2" s="119" t="s">
        <v>28</v>
      </c>
      <c r="I2" s="119" t="s">
        <v>1</v>
      </c>
      <c r="J2" s="119" t="s">
        <v>604</v>
      </c>
      <c r="K2" s="119" t="s">
        <v>605</v>
      </c>
      <c r="L2" s="119" t="s">
        <v>609</v>
      </c>
      <c r="M2" s="119" t="s">
        <v>5</v>
      </c>
      <c r="N2" s="119" t="s">
        <v>9</v>
      </c>
      <c r="O2" s="119" t="s">
        <v>606</v>
      </c>
      <c r="P2" s="119" t="s">
        <v>396</v>
      </c>
      <c r="Q2" s="119" t="s">
        <v>773</v>
      </c>
      <c r="R2" s="119" t="s">
        <v>11</v>
      </c>
      <c r="S2" s="119" t="s">
        <v>15</v>
      </c>
      <c r="T2" s="119" t="s">
        <v>938</v>
      </c>
      <c r="U2" s="119" t="s">
        <v>1153</v>
      </c>
      <c r="V2" s="119" t="s">
        <v>18</v>
      </c>
      <c r="W2" s="119" t="s">
        <v>19</v>
      </c>
      <c r="X2" s="120" t="s">
        <v>30</v>
      </c>
      <c r="Y2" s="161" t="s">
        <v>3484</v>
      </c>
    </row>
    <row r="3" spans="1:25" x14ac:dyDescent="0.2">
      <c r="A3" s="121" t="s">
        <v>1211</v>
      </c>
      <c r="B3" s="122" t="s">
        <v>1211</v>
      </c>
      <c r="C3" s="122" t="s">
        <v>1348</v>
      </c>
      <c r="D3" s="122" t="s">
        <v>1349</v>
      </c>
      <c r="E3" s="122" t="s">
        <v>429</v>
      </c>
      <c r="F3" s="122" t="s">
        <v>1905</v>
      </c>
      <c r="G3" s="122" t="s">
        <v>1906</v>
      </c>
      <c r="H3" s="122" t="s">
        <v>76</v>
      </c>
      <c r="I3" s="122" t="s">
        <v>73</v>
      </c>
      <c r="J3" s="122" t="s">
        <v>53</v>
      </c>
      <c r="K3" s="122" t="s">
        <v>53</v>
      </c>
      <c r="L3" s="122" t="s">
        <v>805</v>
      </c>
      <c r="M3" s="122" t="s">
        <v>311</v>
      </c>
      <c r="N3" s="122" t="s">
        <v>256</v>
      </c>
      <c r="O3" s="122" t="s">
        <v>62</v>
      </c>
      <c r="P3" s="122" t="s">
        <v>1216</v>
      </c>
      <c r="Q3" s="123">
        <v>146482</v>
      </c>
      <c r="R3" s="123">
        <v>1</v>
      </c>
      <c r="S3" s="123">
        <v>6529</v>
      </c>
      <c r="T3" s="135"/>
      <c r="U3" s="123">
        <v>9563.81</v>
      </c>
      <c r="V3" s="125">
        <v>9.0000000000000006E-5</v>
      </c>
      <c r="W3" s="125">
        <v>3.252E-2</v>
      </c>
      <c r="X3" s="126">
        <v>8.1499999999999993E-3</v>
      </c>
      <c r="Y3" s="161"/>
    </row>
    <row r="4" spans="1:25" x14ac:dyDescent="0.2">
      <c r="A4" s="121" t="s">
        <v>1211</v>
      </c>
      <c r="B4" s="122" t="s">
        <v>1211</v>
      </c>
      <c r="C4" s="122" t="s">
        <v>1326</v>
      </c>
      <c r="D4" s="122" t="s">
        <v>1327</v>
      </c>
      <c r="E4" s="122" t="s">
        <v>429</v>
      </c>
      <c r="F4" s="122" t="s">
        <v>1907</v>
      </c>
      <c r="G4" s="122" t="s">
        <v>1908</v>
      </c>
      <c r="H4" s="122" t="s">
        <v>76</v>
      </c>
      <c r="I4" s="122" t="s">
        <v>73</v>
      </c>
      <c r="J4" s="122" t="s">
        <v>53</v>
      </c>
      <c r="K4" s="122" t="s">
        <v>53</v>
      </c>
      <c r="L4" s="122" t="s">
        <v>805</v>
      </c>
      <c r="M4" s="122" t="s">
        <v>311</v>
      </c>
      <c r="N4" s="122" t="s">
        <v>256</v>
      </c>
      <c r="O4" s="122" t="s">
        <v>62</v>
      </c>
      <c r="P4" s="122" t="s">
        <v>1216</v>
      </c>
      <c r="Q4" s="123">
        <v>139863</v>
      </c>
      <c r="R4" s="123">
        <v>1</v>
      </c>
      <c r="S4" s="123">
        <v>6732</v>
      </c>
      <c r="T4" s="135"/>
      <c r="U4" s="123">
        <v>9415.5769999999993</v>
      </c>
      <c r="V4" s="125">
        <v>1E-4</v>
      </c>
      <c r="W4" s="125">
        <v>3.202E-2</v>
      </c>
      <c r="X4" s="126">
        <v>8.0300000000000007E-3</v>
      </c>
      <c r="Y4" s="161"/>
    </row>
    <row r="5" spans="1:25" x14ac:dyDescent="0.2">
      <c r="A5" s="121" t="s">
        <v>1211</v>
      </c>
      <c r="B5" s="122" t="s">
        <v>1211</v>
      </c>
      <c r="C5" s="122" t="s">
        <v>1504</v>
      </c>
      <c r="D5" s="122" t="s">
        <v>1505</v>
      </c>
      <c r="E5" s="122" t="s">
        <v>429</v>
      </c>
      <c r="F5" s="122" t="s">
        <v>1909</v>
      </c>
      <c r="G5" s="122" t="s">
        <v>1910</v>
      </c>
      <c r="H5" s="122" t="s">
        <v>76</v>
      </c>
      <c r="I5" s="122" t="s">
        <v>73</v>
      </c>
      <c r="J5" s="122" t="s">
        <v>53</v>
      </c>
      <c r="K5" s="122" t="s">
        <v>53</v>
      </c>
      <c r="L5" s="122" t="s">
        <v>805</v>
      </c>
      <c r="M5" s="122" t="s">
        <v>311</v>
      </c>
      <c r="N5" s="122" t="s">
        <v>269</v>
      </c>
      <c r="O5" s="122" t="s">
        <v>62</v>
      </c>
      <c r="P5" s="122" t="s">
        <v>1216</v>
      </c>
      <c r="Q5" s="123">
        <v>49983</v>
      </c>
      <c r="R5" s="123">
        <v>1</v>
      </c>
      <c r="S5" s="123">
        <v>12400</v>
      </c>
      <c r="T5" s="135"/>
      <c r="U5" s="123">
        <v>6197.8919999999998</v>
      </c>
      <c r="V5" s="125">
        <v>1.9000000000000001E-4</v>
      </c>
      <c r="W5" s="125">
        <v>2.1080000000000002E-2</v>
      </c>
      <c r="X5" s="126">
        <v>5.28E-3</v>
      </c>
      <c r="Y5" s="161"/>
    </row>
    <row r="6" spans="1:25" x14ac:dyDescent="0.2">
      <c r="A6" s="121" t="s">
        <v>1211</v>
      </c>
      <c r="B6" s="122" t="s">
        <v>1211</v>
      </c>
      <c r="C6" s="122" t="s">
        <v>1790</v>
      </c>
      <c r="D6" s="122" t="s">
        <v>1791</v>
      </c>
      <c r="E6" s="122" t="s">
        <v>429</v>
      </c>
      <c r="F6" s="122" t="s">
        <v>1911</v>
      </c>
      <c r="G6" s="122" t="s">
        <v>1912</v>
      </c>
      <c r="H6" s="122" t="s">
        <v>76</v>
      </c>
      <c r="I6" s="122" t="s">
        <v>73</v>
      </c>
      <c r="J6" s="122" t="s">
        <v>53</v>
      </c>
      <c r="K6" s="122" t="s">
        <v>53</v>
      </c>
      <c r="L6" s="122" t="s">
        <v>805</v>
      </c>
      <c r="M6" s="122" t="s">
        <v>311</v>
      </c>
      <c r="N6" s="122" t="s">
        <v>267</v>
      </c>
      <c r="O6" s="122" t="s">
        <v>62</v>
      </c>
      <c r="P6" s="122" t="s">
        <v>1216</v>
      </c>
      <c r="Q6" s="123">
        <v>53661</v>
      </c>
      <c r="R6" s="123">
        <v>1</v>
      </c>
      <c r="S6" s="123">
        <v>11190</v>
      </c>
      <c r="T6" s="135"/>
      <c r="U6" s="123">
        <v>6004.6660000000002</v>
      </c>
      <c r="V6" s="125">
        <v>4.6000000000000001E-4</v>
      </c>
      <c r="W6" s="125">
        <v>2.0420000000000001E-2</v>
      </c>
      <c r="X6" s="126">
        <v>5.1200000000000004E-3</v>
      </c>
      <c r="Y6" s="161"/>
    </row>
    <row r="7" spans="1:25" x14ac:dyDescent="0.2">
      <c r="A7" s="121" t="s">
        <v>1211</v>
      </c>
      <c r="B7" s="122" t="s">
        <v>1211</v>
      </c>
      <c r="C7" s="122" t="s">
        <v>1913</v>
      </c>
      <c r="D7" s="122" t="s">
        <v>1914</v>
      </c>
      <c r="E7" s="122" t="s">
        <v>429</v>
      </c>
      <c r="F7" s="122" t="s">
        <v>1915</v>
      </c>
      <c r="G7" s="122" t="s">
        <v>1916</v>
      </c>
      <c r="H7" s="122" t="s">
        <v>76</v>
      </c>
      <c r="I7" s="122" t="s">
        <v>73</v>
      </c>
      <c r="J7" s="122" t="s">
        <v>53</v>
      </c>
      <c r="K7" s="122" t="s">
        <v>53</v>
      </c>
      <c r="L7" s="122" t="s">
        <v>805</v>
      </c>
      <c r="M7" s="122" t="s">
        <v>311</v>
      </c>
      <c r="N7" s="122" t="s">
        <v>256</v>
      </c>
      <c r="O7" s="122" t="s">
        <v>62</v>
      </c>
      <c r="P7" s="122" t="s">
        <v>1216</v>
      </c>
      <c r="Q7" s="123">
        <v>24961</v>
      </c>
      <c r="R7" s="123">
        <v>1</v>
      </c>
      <c r="S7" s="123">
        <v>23710</v>
      </c>
      <c r="T7" s="135"/>
      <c r="U7" s="123">
        <v>5918.2529999999997</v>
      </c>
      <c r="V7" s="125">
        <v>2.5000000000000001E-4</v>
      </c>
      <c r="W7" s="125">
        <v>2.0129999999999999E-2</v>
      </c>
      <c r="X7" s="126">
        <v>5.0499999999999998E-3</v>
      </c>
      <c r="Y7" s="161"/>
    </row>
    <row r="8" spans="1:25" x14ac:dyDescent="0.2">
      <c r="A8" s="121" t="s">
        <v>1211</v>
      </c>
      <c r="B8" s="122" t="s">
        <v>1211</v>
      </c>
      <c r="C8" s="122" t="s">
        <v>1917</v>
      </c>
      <c r="D8" s="122" t="s">
        <v>1918</v>
      </c>
      <c r="E8" s="122" t="s">
        <v>429</v>
      </c>
      <c r="F8" s="122" t="s">
        <v>1919</v>
      </c>
      <c r="G8" s="122" t="s">
        <v>1920</v>
      </c>
      <c r="H8" s="122" t="s">
        <v>76</v>
      </c>
      <c r="I8" s="122" t="s">
        <v>73</v>
      </c>
      <c r="J8" s="122" t="s">
        <v>53</v>
      </c>
      <c r="K8" s="122" t="s">
        <v>53</v>
      </c>
      <c r="L8" s="122" t="s">
        <v>805</v>
      </c>
      <c r="M8" s="122" t="s">
        <v>311</v>
      </c>
      <c r="N8" s="122" t="s">
        <v>638</v>
      </c>
      <c r="O8" s="122" t="s">
        <v>62</v>
      </c>
      <c r="P8" s="122" t="s">
        <v>1216</v>
      </c>
      <c r="Q8" s="123">
        <v>3285</v>
      </c>
      <c r="R8" s="123">
        <v>1</v>
      </c>
      <c r="S8" s="123">
        <v>167700</v>
      </c>
      <c r="T8" s="135"/>
      <c r="U8" s="123">
        <v>5508.9449999999997</v>
      </c>
      <c r="V8" s="125">
        <v>6.9999999999999994E-5</v>
      </c>
      <c r="W8" s="125">
        <v>1.873E-2</v>
      </c>
      <c r="X8" s="126">
        <v>4.7000000000000002E-3</v>
      </c>
      <c r="Y8" s="161"/>
    </row>
    <row r="9" spans="1:25" x14ac:dyDescent="0.2">
      <c r="A9" s="121" t="s">
        <v>1211</v>
      </c>
      <c r="B9" s="122" t="s">
        <v>1211</v>
      </c>
      <c r="C9" s="122" t="s">
        <v>1921</v>
      </c>
      <c r="D9" s="122" t="s">
        <v>1922</v>
      </c>
      <c r="E9" s="122" t="s">
        <v>429</v>
      </c>
      <c r="F9" s="122" t="s">
        <v>1923</v>
      </c>
      <c r="G9" s="122" t="s">
        <v>1924</v>
      </c>
      <c r="H9" s="122" t="s">
        <v>76</v>
      </c>
      <c r="I9" s="122" t="s">
        <v>73</v>
      </c>
      <c r="J9" s="122" t="s">
        <v>53</v>
      </c>
      <c r="K9" s="122" t="s">
        <v>53</v>
      </c>
      <c r="L9" s="122" t="s">
        <v>805</v>
      </c>
      <c r="M9" s="122" t="s">
        <v>311</v>
      </c>
      <c r="N9" s="122" t="s">
        <v>631</v>
      </c>
      <c r="O9" s="122" t="s">
        <v>62</v>
      </c>
      <c r="P9" s="122" t="s">
        <v>1216</v>
      </c>
      <c r="Q9" s="123">
        <v>263200</v>
      </c>
      <c r="R9" s="123">
        <v>1</v>
      </c>
      <c r="S9" s="123">
        <v>2014</v>
      </c>
      <c r="T9" s="135"/>
      <c r="U9" s="123">
        <v>5300.848</v>
      </c>
      <c r="V9" s="125">
        <v>4.0499999999999998E-3</v>
      </c>
      <c r="W9" s="125">
        <v>1.8030000000000001E-2</v>
      </c>
      <c r="X9" s="126">
        <v>4.5199999999999997E-3</v>
      </c>
      <c r="Y9" s="161"/>
    </row>
    <row r="10" spans="1:25" x14ac:dyDescent="0.2">
      <c r="A10" s="121" t="s">
        <v>1211</v>
      </c>
      <c r="B10" s="122" t="s">
        <v>1211</v>
      </c>
      <c r="C10" s="122" t="s">
        <v>1925</v>
      </c>
      <c r="D10" s="122" t="s">
        <v>1926</v>
      </c>
      <c r="E10" s="122" t="s">
        <v>429</v>
      </c>
      <c r="F10" s="122" t="s">
        <v>1927</v>
      </c>
      <c r="G10" s="122" t="s">
        <v>1928</v>
      </c>
      <c r="H10" s="122" t="s">
        <v>76</v>
      </c>
      <c r="I10" s="122" t="s">
        <v>73</v>
      </c>
      <c r="J10" s="122" t="s">
        <v>53</v>
      </c>
      <c r="K10" s="122" t="s">
        <v>53</v>
      </c>
      <c r="L10" s="122" t="s">
        <v>805</v>
      </c>
      <c r="M10" s="122" t="s">
        <v>311</v>
      </c>
      <c r="N10" s="122" t="s">
        <v>85</v>
      </c>
      <c r="O10" s="122" t="s">
        <v>62</v>
      </c>
      <c r="P10" s="122" t="s">
        <v>1216</v>
      </c>
      <c r="Q10" s="123">
        <v>80984</v>
      </c>
      <c r="R10" s="123">
        <v>1</v>
      </c>
      <c r="S10" s="123">
        <v>6440</v>
      </c>
      <c r="T10" s="135"/>
      <c r="U10" s="123">
        <v>5215.37</v>
      </c>
      <c r="V10" s="125">
        <v>6.0000000000000002E-5</v>
      </c>
      <c r="W10" s="125">
        <v>1.7739999999999999E-2</v>
      </c>
      <c r="X10" s="126">
        <v>4.45E-3</v>
      </c>
      <c r="Y10" s="161"/>
    </row>
    <row r="11" spans="1:25" x14ac:dyDescent="0.2">
      <c r="A11" s="121" t="s">
        <v>1211</v>
      </c>
      <c r="B11" s="122" t="s">
        <v>1211</v>
      </c>
      <c r="C11" s="122" t="s">
        <v>1929</v>
      </c>
      <c r="D11" s="122" t="s">
        <v>1930</v>
      </c>
      <c r="E11" s="122" t="s">
        <v>429</v>
      </c>
      <c r="F11" s="122" t="s">
        <v>1931</v>
      </c>
      <c r="G11" s="122" t="s">
        <v>1932</v>
      </c>
      <c r="H11" s="122" t="s">
        <v>76</v>
      </c>
      <c r="I11" s="122" t="s">
        <v>73</v>
      </c>
      <c r="J11" s="122" t="s">
        <v>53</v>
      </c>
      <c r="K11" s="122" t="s">
        <v>53</v>
      </c>
      <c r="L11" s="122" t="s">
        <v>805</v>
      </c>
      <c r="M11" s="122" t="s">
        <v>311</v>
      </c>
      <c r="N11" s="122" t="s">
        <v>638</v>
      </c>
      <c r="O11" s="122" t="s">
        <v>62</v>
      </c>
      <c r="P11" s="122" t="s">
        <v>1216</v>
      </c>
      <c r="Q11" s="123">
        <v>33735</v>
      </c>
      <c r="R11" s="123">
        <v>1</v>
      </c>
      <c r="S11" s="123">
        <v>15000</v>
      </c>
      <c r="T11" s="135"/>
      <c r="U11" s="123">
        <v>5060.25</v>
      </c>
      <c r="V11" s="125">
        <v>3.6999999999999999E-4</v>
      </c>
      <c r="W11" s="125">
        <v>1.721E-2</v>
      </c>
      <c r="X11" s="126">
        <v>4.3099999999999996E-3</v>
      </c>
      <c r="Y11" s="161"/>
    </row>
    <row r="12" spans="1:25" x14ac:dyDescent="0.2">
      <c r="A12" s="121" t="s">
        <v>1211</v>
      </c>
      <c r="B12" s="122" t="s">
        <v>1211</v>
      </c>
      <c r="C12" s="122" t="s">
        <v>1933</v>
      </c>
      <c r="D12" s="122" t="s">
        <v>1934</v>
      </c>
      <c r="E12" s="122" t="s">
        <v>429</v>
      </c>
      <c r="F12" s="122" t="s">
        <v>1935</v>
      </c>
      <c r="G12" s="122" t="s">
        <v>1936</v>
      </c>
      <c r="H12" s="122" t="s">
        <v>76</v>
      </c>
      <c r="I12" s="122" t="s">
        <v>73</v>
      </c>
      <c r="J12" s="122" t="s">
        <v>53</v>
      </c>
      <c r="K12" s="122" t="s">
        <v>53</v>
      </c>
      <c r="L12" s="122" t="s">
        <v>805</v>
      </c>
      <c r="M12" s="122" t="s">
        <v>311</v>
      </c>
      <c r="N12" s="122" t="s">
        <v>256</v>
      </c>
      <c r="O12" s="122" t="s">
        <v>62</v>
      </c>
      <c r="P12" s="122" t="s">
        <v>1216</v>
      </c>
      <c r="Q12" s="123">
        <v>147130</v>
      </c>
      <c r="R12" s="123">
        <v>1</v>
      </c>
      <c r="S12" s="123">
        <v>3274</v>
      </c>
      <c r="T12" s="135"/>
      <c r="U12" s="123">
        <v>4817.0360000000001</v>
      </c>
      <c r="V12" s="125">
        <v>1.2E-4</v>
      </c>
      <c r="W12" s="125">
        <v>1.6379999999999999E-2</v>
      </c>
      <c r="X12" s="126">
        <v>4.1099999999999999E-3</v>
      </c>
      <c r="Y12" s="161"/>
    </row>
    <row r="13" spans="1:25" x14ac:dyDescent="0.2">
      <c r="A13" s="121" t="s">
        <v>1211</v>
      </c>
      <c r="B13" s="122" t="s">
        <v>1211</v>
      </c>
      <c r="C13" s="122" t="s">
        <v>1937</v>
      </c>
      <c r="D13" s="122" t="s">
        <v>1938</v>
      </c>
      <c r="E13" s="122" t="s">
        <v>429</v>
      </c>
      <c r="F13" s="122" t="s">
        <v>1939</v>
      </c>
      <c r="G13" s="122" t="s">
        <v>1940</v>
      </c>
      <c r="H13" s="122" t="s">
        <v>76</v>
      </c>
      <c r="I13" s="122" t="s">
        <v>73</v>
      </c>
      <c r="J13" s="122" t="s">
        <v>53</v>
      </c>
      <c r="K13" s="122" t="s">
        <v>53</v>
      </c>
      <c r="L13" s="122" t="s">
        <v>805</v>
      </c>
      <c r="M13" s="122" t="s">
        <v>311</v>
      </c>
      <c r="N13" s="122" t="s">
        <v>263</v>
      </c>
      <c r="O13" s="122" t="s">
        <v>62</v>
      </c>
      <c r="P13" s="122" t="s">
        <v>1216</v>
      </c>
      <c r="Q13" s="123">
        <v>7035</v>
      </c>
      <c r="R13" s="123">
        <v>1</v>
      </c>
      <c r="S13" s="123">
        <v>67920</v>
      </c>
      <c r="T13" s="135"/>
      <c r="U13" s="123">
        <v>4778.1719999999996</v>
      </c>
      <c r="V13" s="125">
        <v>7.6999999999999996E-4</v>
      </c>
      <c r="W13" s="125">
        <v>1.6250000000000001E-2</v>
      </c>
      <c r="X13" s="126">
        <v>4.0699999999999998E-3</v>
      </c>
      <c r="Y13" s="161"/>
    </row>
    <row r="14" spans="1:25" x14ac:dyDescent="0.2">
      <c r="A14" s="121" t="s">
        <v>1211</v>
      </c>
      <c r="B14" s="122" t="s">
        <v>1211</v>
      </c>
      <c r="C14" s="122" t="s">
        <v>1941</v>
      </c>
      <c r="D14" s="122" t="s">
        <v>1942</v>
      </c>
      <c r="E14" s="122" t="s">
        <v>429</v>
      </c>
      <c r="F14" s="122" t="s">
        <v>1943</v>
      </c>
      <c r="G14" s="122" t="s">
        <v>1944</v>
      </c>
      <c r="H14" s="122" t="s">
        <v>76</v>
      </c>
      <c r="I14" s="122" t="s">
        <v>73</v>
      </c>
      <c r="J14" s="122" t="s">
        <v>53</v>
      </c>
      <c r="K14" s="122" t="s">
        <v>53</v>
      </c>
      <c r="L14" s="122" t="s">
        <v>805</v>
      </c>
      <c r="M14" s="122" t="s">
        <v>311</v>
      </c>
      <c r="N14" s="122" t="s">
        <v>256</v>
      </c>
      <c r="O14" s="122" t="s">
        <v>62</v>
      </c>
      <c r="P14" s="122" t="s">
        <v>1216</v>
      </c>
      <c r="Q14" s="123">
        <v>21914</v>
      </c>
      <c r="R14" s="123">
        <v>1</v>
      </c>
      <c r="S14" s="123">
        <v>21790</v>
      </c>
      <c r="T14" s="135"/>
      <c r="U14" s="123">
        <v>4775.0609999999997</v>
      </c>
      <c r="V14" s="125">
        <v>8.0000000000000007E-5</v>
      </c>
      <c r="W14" s="125">
        <v>1.6240000000000001E-2</v>
      </c>
      <c r="X14" s="126">
        <v>4.0699999999999998E-3</v>
      </c>
      <c r="Y14" s="161"/>
    </row>
    <row r="15" spans="1:25" x14ac:dyDescent="0.2">
      <c r="A15" s="121" t="s">
        <v>1211</v>
      </c>
      <c r="B15" s="122" t="s">
        <v>1211</v>
      </c>
      <c r="C15" s="122" t="s">
        <v>1945</v>
      </c>
      <c r="D15" s="122" t="s">
        <v>1946</v>
      </c>
      <c r="E15" s="122" t="s">
        <v>429</v>
      </c>
      <c r="F15" s="122" t="s">
        <v>1947</v>
      </c>
      <c r="G15" s="122" t="s">
        <v>1948</v>
      </c>
      <c r="H15" s="122" t="s">
        <v>76</v>
      </c>
      <c r="I15" s="122" t="s">
        <v>73</v>
      </c>
      <c r="J15" s="122" t="s">
        <v>53</v>
      </c>
      <c r="K15" s="122" t="s">
        <v>53</v>
      </c>
      <c r="L15" s="122" t="s">
        <v>805</v>
      </c>
      <c r="M15" s="122" t="s">
        <v>311</v>
      </c>
      <c r="N15" s="122" t="s">
        <v>631</v>
      </c>
      <c r="O15" s="122" t="s">
        <v>62</v>
      </c>
      <c r="P15" s="122" t="s">
        <v>1216</v>
      </c>
      <c r="Q15" s="123">
        <v>44746.8</v>
      </c>
      <c r="R15" s="123">
        <v>1</v>
      </c>
      <c r="S15" s="123">
        <v>3116</v>
      </c>
      <c r="T15" s="135"/>
      <c r="U15" s="123">
        <v>4566.4560000000001</v>
      </c>
      <c r="V15" s="125">
        <v>3.8000000000000002E-4</v>
      </c>
      <c r="W15" s="125">
        <v>1.553E-2</v>
      </c>
      <c r="X15" s="126">
        <v>3.8899999999999998E-3</v>
      </c>
      <c r="Y15" s="161"/>
    </row>
    <row r="16" spans="1:25" x14ac:dyDescent="0.2">
      <c r="A16" s="121" t="s">
        <v>1211</v>
      </c>
      <c r="B16" s="122" t="s">
        <v>1211</v>
      </c>
      <c r="C16" s="122" t="s">
        <v>1415</v>
      </c>
      <c r="D16" s="122" t="s">
        <v>1416</v>
      </c>
      <c r="E16" s="122" t="s">
        <v>429</v>
      </c>
      <c r="F16" s="122" t="s">
        <v>1949</v>
      </c>
      <c r="G16" s="122" t="s">
        <v>1950</v>
      </c>
      <c r="H16" s="122" t="s">
        <v>76</v>
      </c>
      <c r="I16" s="122" t="s">
        <v>73</v>
      </c>
      <c r="J16" s="122" t="s">
        <v>53</v>
      </c>
      <c r="K16" s="122" t="s">
        <v>53</v>
      </c>
      <c r="L16" s="122" t="s">
        <v>805</v>
      </c>
      <c r="M16" s="122" t="s">
        <v>311</v>
      </c>
      <c r="N16" s="122" t="s">
        <v>269</v>
      </c>
      <c r="O16" s="122" t="s">
        <v>62</v>
      </c>
      <c r="P16" s="122" t="s">
        <v>1216</v>
      </c>
      <c r="Q16" s="123">
        <v>25711</v>
      </c>
      <c r="R16" s="123">
        <v>1</v>
      </c>
      <c r="S16" s="123">
        <v>16970</v>
      </c>
      <c r="T16" s="135"/>
      <c r="U16" s="123">
        <v>4363.1570000000002</v>
      </c>
      <c r="V16" s="125">
        <v>3.2000000000000003E-4</v>
      </c>
      <c r="W16" s="125">
        <v>1.4840000000000001E-2</v>
      </c>
      <c r="X16" s="126">
        <v>3.7200000000000002E-3</v>
      </c>
      <c r="Y16" s="161"/>
    </row>
    <row r="17" spans="1:25" x14ac:dyDescent="0.2">
      <c r="A17" s="121" t="s">
        <v>1211</v>
      </c>
      <c r="B17" s="122" t="s">
        <v>1211</v>
      </c>
      <c r="C17" s="122" t="s">
        <v>1951</v>
      </c>
      <c r="D17" s="122" t="s">
        <v>1952</v>
      </c>
      <c r="E17" s="122" t="s">
        <v>429</v>
      </c>
      <c r="F17" s="122" t="s">
        <v>1953</v>
      </c>
      <c r="G17" s="122" t="s">
        <v>1954</v>
      </c>
      <c r="H17" s="122" t="s">
        <v>76</v>
      </c>
      <c r="I17" s="122" t="s">
        <v>73</v>
      </c>
      <c r="J17" s="122" t="s">
        <v>53</v>
      </c>
      <c r="K17" s="122" t="s">
        <v>53</v>
      </c>
      <c r="L17" s="122" t="s">
        <v>805</v>
      </c>
      <c r="M17" s="122" t="s">
        <v>311</v>
      </c>
      <c r="N17" s="122" t="s">
        <v>253</v>
      </c>
      <c r="O17" s="122" t="s">
        <v>62</v>
      </c>
      <c r="P17" s="122" t="s">
        <v>1216</v>
      </c>
      <c r="Q17" s="123">
        <v>8518</v>
      </c>
      <c r="R17" s="123">
        <v>1</v>
      </c>
      <c r="S17" s="123">
        <v>48800</v>
      </c>
      <c r="T17" s="135"/>
      <c r="U17" s="123">
        <v>4156.7839999999997</v>
      </c>
      <c r="V17" s="125">
        <v>1.1E-4</v>
      </c>
      <c r="W17" s="125">
        <v>1.414E-2</v>
      </c>
      <c r="X17" s="126">
        <v>3.5400000000000002E-3</v>
      </c>
      <c r="Y17" s="161"/>
    </row>
    <row r="18" spans="1:25" x14ac:dyDescent="0.2">
      <c r="A18" s="121" t="s">
        <v>1211</v>
      </c>
      <c r="B18" s="122" t="s">
        <v>1211</v>
      </c>
      <c r="C18" s="122" t="s">
        <v>1635</v>
      </c>
      <c r="D18" s="122" t="s">
        <v>1636</v>
      </c>
      <c r="E18" s="122" t="s">
        <v>429</v>
      </c>
      <c r="F18" s="122" t="s">
        <v>1955</v>
      </c>
      <c r="G18" s="122" t="s">
        <v>1956</v>
      </c>
      <c r="H18" s="122" t="s">
        <v>76</v>
      </c>
      <c r="I18" s="122" t="s">
        <v>73</v>
      </c>
      <c r="J18" s="122" t="s">
        <v>53</v>
      </c>
      <c r="K18" s="122" t="s">
        <v>53</v>
      </c>
      <c r="L18" s="122" t="s">
        <v>805</v>
      </c>
      <c r="M18" s="122" t="s">
        <v>311</v>
      </c>
      <c r="N18" s="122" t="s">
        <v>635</v>
      </c>
      <c r="O18" s="122" t="s">
        <v>62</v>
      </c>
      <c r="P18" s="122" t="s">
        <v>1216</v>
      </c>
      <c r="Q18" s="123">
        <v>10270</v>
      </c>
      <c r="R18" s="123">
        <v>1</v>
      </c>
      <c r="S18" s="123">
        <v>40000</v>
      </c>
      <c r="T18" s="135"/>
      <c r="U18" s="123">
        <v>4108</v>
      </c>
      <c r="V18" s="125">
        <v>2.2000000000000001E-4</v>
      </c>
      <c r="W18" s="125">
        <v>1.397E-2</v>
      </c>
      <c r="X18" s="126">
        <v>3.5000000000000001E-3</v>
      </c>
      <c r="Y18" s="161"/>
    </row>
    <row r="19" spans="1:25" x14ac:dyDescent="0.2">
      <c r="A19" s="121" t="s">
        <v>1211</v>
      </c>
      <c r="B19" s="122" t="s">
        <v>1211</v>
      </c>
      <c r="C19" s="122" t="s">
        <v>1645</v>
      </c>
      <c r="D19" s="122" t="s">
        <v>1646</v>
      </c>
      <c r="E19" s="122" t="s">
        <v>429</v>
      </c>
      <c r="F19" s="122" t="s">
        <v>1957</v>
      </c>
      <c r="G19" s="122" t="s">
        <v>1958</v>
      </c>
      <c r="H19" s="122" t="s">
        <v>76</v>
      </c>
      <c r="I19" s="122" t="s">
        <v>73</v>
      </c>
      <c r="J19" s="122" t="s">
        <v>53</v>
      </c>
      <c r="K19" s="122" t="s">
        <v>53</v>
      </c>
      <c r="L19" s="122" t="s">
        <v>805</v>
      </c>
      <c r="M19" s="122" t="s">
        <v>311</v>
      </c>
      <c r="N19" s="122" t="s">
        <v>265</v>
      </c>
      <c r="O19" s="122" t="s">
        <v>62</v>
      </c>
      <c r="P19" s="122" t="s">
        <v>1216</v>
      </c>
      <c r="Q19" s="123">
        <v>196391</v>
      </c>
      <c r="R19" s="123">
        <v>1</v>
      </c>
      <c r="S19" s="123">
        <v>2070</v>
      </c>
      <c r="T19" s="135"/>
      <c r="U19" s="123">
        <v>4065.2939999999999</v>
      </c>
      <c r="V19" s="125">
        <v>1.4999999999999999E-4</v>
      </c>
      <c r="W19" s="125">
        <v>1.3820000000000001E-2</v>
      </c>
      <c r="X19" s="126">
        <v>3.47E-3</v>
      </c>
      <c r="Y19" s="161"/>
    </row>
    <row r="20" spans="1:25" x14ac:dyDescent="0.2">
      <c r="A20" s="121" t="s">
        <v>1211</v>
      </c>
      <c r="B20" s="122" t="s">
        <v>1211</v>
      </c>
      <c r="C20" s="122" t="s">
        <v>1959</v>
      </c>
      <c r="D20" s="122" t="s">
        <v>1960</v>
      </c>
      <c r="E20" s="122" t="s">
        <v>429</v>
      </c>
      <c r="F20" s="122" t="s">
        <v>1961</v>
      </c>
      <c r="G20" s="122" t="s">
        <v>1962</v>
      </c>
      <c r="H20" s="122" t="s">
        <v>76</v>
      </c>
      <c r="I20" s="122" t="s">
        <v>73</v>
      </c>
      <c r="J20" s="122" t="s">
        <v>53</v>
      </c>
      <c r="K20" s="122" t="s">
        <v>53</v>
      </c>
      <c r="L20" s="122" t="s">
        <v>805</v>
      </c>
      <c r="M20" s="122" t="s">
        <v>311</v>
      </c>
      <c r="N20" s="122" t="s">
        <v>631</v>
      </c>
      <c r="O20" s="122" t="s">
        <v>62</v>
      </c>
      <c r="P20" s="122" t="s">
        <v>1216</v>
      </c>
      <c r="Q20" s="123">
        <v>12372.56</v>
      </c>
      <c r="R20" s="123">
        <v>1</v>
      </c>
      <c r="S20" s="123">
        <v>9625</v>
      </c>
      <c r="T20" s="135"/>
      <c r="U20" s="123">
        <v>3935.3330000000001</v>
      </c>
      <c r="V20" s="125">
        <v>2.0000000000000001E-4</v>
      </c>
      <c r="W20" s="125">
        <v>1.338E-2</v>
      </c>
      <c r="X20" s="126">
        <v>3.3600000000000001E-3</v>
      </c>
      <c r="Y20" s="161"/>
    </row>
    <row r="21" spans="1:25" x14ac:dyDescent="0.2">
      <c r="A21" s="121" t="s">
        <v>1211</v>
      </c>
      <c r="B21" s="122" t="s">
        <v>1211</v>
      </c>
      <c r="C21" s="122" t="s">
        <v>1542</v>
      </c>
      <c r="D21" s="122" t="s">
        <v>1543</v>
      </c>
      <c r="E21" s="122" t="s">
        <v>429</v>
      </c>
      <c r="F21" s="122" t="s">
        <v>1963</v>
      </c>
      <c r="G21" s="122" t="s">
        <v>1964</v>
      </c>
      <c r="H21" s="122" t="s">
        <v>76</v>
      </c>
      <c r="I21" s="122" t="s">
        <v>73</v>
      </c>
      <c r="J21" s="122" t="s">
        <v>53</v>
      </c>
      <c r="K21" s="122" t="s">
        <v>53</v>
      </c>
      <c r="L21" s="122" t="s">
        <v>805</v>
      </c>
      <c r="M21" s="122" t="s">
        <v>311</v>
      </c>
      <c r="N21" s="122" t="s">
        <v>635</v>
      </c>
      <c r="O21" s="122" t="s">
        <v>62</v>
      </c>
      <c r="P21" s="122" t="s">
        <v>1216</v>
      </c>
      <c r="Q21" s="123">
        <v>11858</v>
      </c>
      <c r="R21" s="123">
        <v>1</v>
      </c>
      <c r="S21" s="123">
        <v>32870</v>
      </c>
      <c r="T21" s="122"/>
      <c r="U21" s="123">
        <v>3897.7249999999999</v>
      </c>
      <c r="V21" s="125">
        <v>1E-4</v>
      </c>
      <c r="W21" s="125">
        <v>1.325E-2</v>
      </c>
      <c r="X21" s="126">
        <v>3.32E-3</v>
      </c>
      <c r="Y21" s="161"/>
    </row>
    <row r="22" spans="1:25" x14ac:dyDescent="0.2">
      <c r="A22" s="121" t="s">
        <v>1211</v>
      </c>
      <c r="B22" s="122" t="s">
        <v>1211</v>
      </c>
      <c r="C22" s="122" t="s">
        <v>1575</v>
      </c>
      <c r="D22" s="122" t="s">
        <v>1576</v>
      </c>
      <c r="E22" s="122" t="s">
        <v>429</v>
      </c>
      <c r="F22" s="122" t="s">
        <v>1965</v>
      </c>
      <c r="G22" s="122" t="s">
        <v>1966</v>
      </c>
      <c r="H22" s="122" t="s">
        <v>76</v>
      </c>
      <c r="I22" s="122" t="s">
        <v>73</v>
      </c>
      <c r="J22" s="122" t="s">
        <v>53</v>
      </c>
      <c r="K22" s="122" t="s">
        <v>53</v>
      </c>
      <c r="L22" s="122" t="s">
        <v>805</v>
      </c>
      <c r="M22" s="122" t="s">
        <v>311</v>
      </c>
      <c r="N22" s="122" t="s">
        <v>635</v>
      </c>
      <c r="O22" s="122" t="s">
        <v>62</v>
      </c>
      <c r="P22" s="122" t="s">
        <v>1216</v>
      </c>
      <c r="Q22" s="123">
        <v>5621</v>
      </c>
      <c r="R22" s="123">
        <v>1</v>
      </c>
      <c r="S22" s="123">
        <v>68050</v>
      </c>
      <c r="T22" s="122"/>
      <c r="U22" s="123">
        <v>3825.0909999999999</v>
      </c>
      <c r="V22" s="125">
        <v>2.3000000000000001E-4</v>
      </c>
      <c r="W22" s="125">
        <v>1.3010000000000001E-2</v>
      </c>
      <c r="X22" s="126">
        <v>3.2599999999999999E-3</v>
      </c>
      <c r="Y22" s="161"/>
    </row>
    <row r="23" spans="1:25" x14ac:dyDescent="0.2">
      <c r="A23" s="121" t="s">
        <v>1211</v>
      </c>
      <c r="B23" s="122" t="s">
        <v>1211</v>
      </c>
      <c r="C23" s="122" t="s">
        <v>1520</v>
      </c>
      <c r="D23" s="122" t="s">
        <v>1521</v>
      </c>
      <c r="E23" s="122" t="s">
        <v>429</v>
      </c>
      <c r="F23" s="122" t="s">
        <v>1967</v>
      </c>
      <c r="G23" s="122" t="s">
        <v>1968</v>
      </c>
      <c r="H23" s="122" t="s">
        <v>76</v>
      </c>
      <c r="I23" s="122" t="s">
        <v>73</v>
      </c>
      <c r="J23" s="122" t="s">
        <v>53</v>
      </c>
      <c r="K23" s="122" t="s">
        <v>53</v>
      </c>
      <c r="L23" s="122" t="s">
        <v>805</v>
      </c>
      <c r="M23" s="122" t="s">
        <v>311</v>
      </c>
      <c r="N23" s="122" t="s">
        <v>269</v>
      </c>
      <c r="O23" s="122" t="s">
        <v>62</v>
      </c>
      <c r="P23" s="122" t="s">
        <v>1216</v>
      </c>
      <c r="Q23" s="123">
        <v>10482</v>
      </c>
      <c r="R23" s="123">
        <v>1</v>
      </c>
      <c r="S23" s="123">
        <v>32500</v>
      </c>
      <c r="T23" s="122"/>
      <c r="U23" s="123">
        <v>3406.65</v>
      </c>
      <c r="V23" s="125">
        <v>1.7000000000000001E-4</v>
      </c>
      <c r="W23" s="125">
        <v>1.158E-2</v>
      </c>
      <c r="X23" s="126">
        <v>2.8999999999999998E-3</v>
      </c>
      <c r="Y23" s="161"/>
    </row>
    <row r="24" spans="1:25" x14ac:dyDescent="0.2">
      <c r="A24" s="121" t="s">
        <v>1211</v>
      </c>
      <c r="B24" s="122" t="s">
        <v>1211</v>
      </c>
      <c r="C24" s="122" t="s">
        <v>1727</v>
      </c>
      <c r="D24" s="122" t="s">
        <v>1728</v>
      </c>
      <c r="E24" s="122" t="s">
        <v>429</v>
      </c>
      <c r="F24" s="122" t="s">
        <v>1969</v>
      </c>
      <c r="G24" s="122" t="s">
        <v>1970</v>
      </c>
      <c r="H24" s="122" t="s">
        <v>76</v>
      </c>
      <c r="I24" s="122" t="s">
        <v>73</v>
      </c>
      <c r="J24" s="122" t="s">
        <v>53</v>
      </c>
      <c r="K24" s="122" t="s">
        <v>53</v>
      </c>
      <c r="L24" s="122" t="s">
        <v>805</v>
      </c>
      <c r="M24" s="122" t="s">
        <v>311</v>
      </c>
      <c r="N24" s="122" t="s">
        <v>269</v>
      </c>
      <c r="O24" s="122" t="s">
        <v>62</v>
      </c>
      <c r="P24" s="122" t="s">
        <v>1216</v>
      </c>
      <c r="Q24" s="123">
        <v>29623</v>
      </c>
      <c r="R24" s="123">
        <v>1</v>
      </c>
      <c r="S24" s="123">
        <v>11160</v>
      </c>
      <c r="T24" s="122"/>
      <c r="U24" s="123">
        <v>3305.9270000000001</v>
      </c>
      <c r="V24" s="125">
        <v>1.2999999999999999E-4</v>
      </c>
      <c r="W24" s="125">
        <v>1.124E-2</v>
      </c>
      <c r="X24" s="126">
        <v>2.82E-3</v>
      </c>
      <c r="Y24" s="161"/>
    </row>
    <row r="25" spans="1:25" x14ac:dyDescent="0.2">
      <c r="A25" s="121" t="s">
        <v>1211</v>
      </c>
      <c r="B25" s="122" t="s">
        <v>1211</v>
      </c>
      <c r="C25" s="122" t="s">
        <v>1971</v>
      </c>
      <c r="D25" s="122" t="s">
        <v>1972</v>
      </c>
      <c r="E25" s="122" t="s">
        <v>429</v>
      </c>
      <c r="F25" s="122" t="s">
        <v>1973</v>
      </c>
      <c r="G25" s="122" t="s">
        <v>1974</v>
      </c>
      <c r="H25" s="122" t="s">
        <v>76</v>
      </c>
      <c r="I25" s="122" t="s">
        <v>73</v>
      </c>
      <c r="J25" s="122" t="s">
        <v>53</v>
      </c>
      <c r="K25" s="122" t="s">
        <v>53</v>
      </c>
      <c r="L25" s="122" t="s">
        <v>805</v>
      </c>
      <c r="M25" s="122" t="s">
        <v>311</v>
      </c>
      <c r="N25" s="122" t="s">
        <v>692</v>
      </c>
      <c r="O25" s="122" t="s">
        <v>62</v>
      </c>
      <c r="P25" s="122" t="s">
        <v>1216</v>
      </c>
      <c r="Q25" s="123">
        <v>324370</v>
      </c>
      <c r="R25" s="123">
        <v>1</v>
      </c>
      <c r="S25" s="123">
        <v>952.3</v>
      </c>
      <c r="T25" s="122"/>
      <c r="U25" s="123">
        <v>3088.9760000000001</v>
      </c>
      <c r="V25" s="125">
        <v>1.73E-3</v>
      </c>
      <c r="W25" s="125">
        <v>1.0500000000000001E-2</v>
      </c>
      <c r="X25" s="126">
        <v>2.63E-3</v>
      </c>
      <c r="Y25" s="161"/>
    </row>
    <row r="26" spans="1:25" x14ac:dyDescent="0.2">
      <c r="A26" s="121" t="s">
        <v>1211</v>
      </c>
      <c r="B26" s="122" t="s">
        <v>1211</v>
      </c>
      <c r="C26" s="122" t="s">
        <v>1782</v>
      </c>
      <c r="D26" s="122" t="s">
        <v>1783</v>
      </c>
      <c r="E26" s="122" t="s">
        <v>429</v>
      </c>
      <c r="F26" s="122" t="s">
        <v>1975</v>
      </c>
      <c r="G26" s="122" t="s">
        <v>1976</v>
      </c>
      <c r="H26" s="122" t="s">
        <v>76</v>
      </c>
      <c r="I26" s="122" t="s">
        <v>73</v>
      </c>
      <c r="J26" s="122" t="s">
        <v>53</v>
      </c>
      <c r="K26" s="122" t="s">
        <v>53</v>
      </c>
      <c r="L26" s="122" t="s">
        <v>805</v>
      </c>
      <c r="M26" s="122" t="s">
        <v>311</v>
      </c>
      <c r="N26" s="122" t="s">
        <v>260</v>
      </c>
      <c r="O26" s="122" t="s">
        <v>62</v>
      </c>
      <c r="P26" s="122" t="s">
        <v>1216</v>
      </c>
      <c r="Q26" s="123">
        <v>78639</v>
      </c>
      <c r="R26" s="123">
        <v>1</v>
      </c>
      <c r="S26" s="123">
        <v>3298</v>
      </c>
      <c r="T26" s="122"/>
      <c r="U26" s="123">
        <v>2593.5140000000001</v>
      </c>
      <c r="V26" s="125">
        <v>4.6999999999999999E-4</v>
      </c>
      <c r="W26" s="125">
        <v>8.8199999999999997E-3</v>
      </c>
      <c r="X26" s="126">
        <v>2.2100000000000002E-3</v>
      </c>
      <c r="Y26" s="161"/>
    </row>
    <row r="27" spans="1:25" x14ac:dyDescent="0.2">
      <c r="A27" s="121" t="s">
        <v>1211</v>
      </c>
      <c r="B27" s="122" t="s">
        <v>1211</v>
      </c>
      <c r="C27" s="122" t="s">
        <v>1977</v>
      </c>
      <c r="D27" s="122" t="s">
        <v>1978</v>
      </c>
      <c r="E27" s="122" t="s">
        <v>429</v>
      </c>
      <c r="F27" s="122" t="s">
        <v>1979</v>
      </c>
      <c r="G27" s="122" t="s">
        <v>1980</v>
      </c>
      <c r="H27" s="122" t="s">
        <v>76</v>
      </c>
      <c r="I27" s="122" t="s">
        <v>73</v>
      </c>
      <c r="J27" s="122" t="s">
        <v>53</v>
      </c>
      <c r="K27" s="122" t="s">
        <v>53</v>
      </c>
      <c r="L27" s="122" t="s">
        <v>805</v>
      </c>
      <c r="M27" s="122" t="s">
        <v>311</v>
      </c>
      <c r="N27" s="122" t="s">
        <v>264</v>
      </c>
      <c r="O27" s="122" t="s">
        <v>62</v>
      </c>
      <c r="P27" s="122" t="s">
        <v>1216</v>
      </c>
      <c r="Q27" s="123">
        <v>19024</v>
      </c>
      <c r="R27" s="123">
        <v>1</v>
      </c>
      <c r="S27" s="123">
        <v>13500</v>
      </c>
      <c r="T27" s="122"/>
      <c r="U27" s="123">
        <v>2568.2399999999998</v>
      </c>
      <c r="V27" s="125">
        <v>1.4400000000000001E-3</v>
      </c>
      <c r="W27" s="125">
        <v>8.7299999999999999E-3</v>
      </c>
      <c r="X27" s="126">
        <v>2.1900000000000001E-3</v>
      </c>
      <c r="Y27" s="161"/>
    </row>
    <row r="28" spans="1:25" x14ac:dyDescent="0.2">
      <c r="A28" s="121" t="s">
        <v>1211</v>
      </c>
      <c r="B28" s="122" t="s">
        <v>1211</v>
      </c>
      <c r="C28" s="122" t="s">
        <v>1981</v>
      </c>
      <c r="D28" s="122" t="s">
        <v>1982</v>
      </c>
      <c r="E28" s="122" t="s">
        <v>429</v>
      </c>
      <c r="F28" s="122" t="s">
        <v>1983</v>
      </c>
      <c r="G28" s="122" t="s">
        <v>1984</v>
      </c>
      <c r="H28" s="122" t="s">
        <v>76</v>
      </c>
      <c r="I28" s="122" t="s">
        <v>73</v>
      </c>
      <c r="J28" s="122" t="s">
        <v>53</v>
      </c>
      <c r="K28" s="122" t="s">
        <v>53</v>
      </c>
      <c r="L28" s="122" t="s">
        <v>805</v>
      </c>
      <c r="M28" s="122" t="s">
        <v>311</v>
      </c>
      <c r="N28" s="122" t="s">
        <v>263</v>
      </c>
      <c r="O28" s="122" t="s">
        <v>62</v>
      </c>
      <c r="P28" s="122" t="s">
        <v>1216</v>
      </c>
      <c r="Q28" s="123">
        <v>291273</v>
      </c>
      <c r="R28" s="123">
        <v>1</v>
      </c>
      <c r="S28" s="123">
        <v>875.3</v>
      </c>
      <c r="T28" s="122"/>
      <c r="U28" s="123">
        <v>2549.5129999999999</v>
      </c>
      <c r="V28" s="125">
        <v>1.01E-3</v>
      </c>
      <c r="W28" s="125">
        <v>8.6700000000000006E-3</v>
      </c>
      <c r="X28" s="126">
        <v>2.1700000000000001E-3</v>
      </c>
      <c r="Y28" s="161"/>
    </row>
    <row r="29" spans="1:25" x14ac:dyDescent="0.2">
      <c r="A29" s="121" t="s">
        <v>1211</v>
      </c>
      <c r="B29" s="122" t="s">
        <v>1211</v>
      </c>
      <c r="C29" s="122" t="s">
        <v>1472</v>
      </c>
      <c r="D29" s="122" t="s">
        <v>1473</v>
      </c>
      <c r="E29" s="122" t="s">
        <v>429</v>
      </c>
      <c r="F29" s="122" t="s">
        <v>1985</v>
      </c>
      <c r="G29" s="122" t="s">
        <v>1986</v>
      </c>
      <c r="H29" s="122" t="s">
        <v>76</v>
      </c>
      <c r="I29" s="122" t="s">
        <v>73</v>
      </c>
      <c r="J29" s="122" t="s">
        <v>53</v>
      </c>
      <c r="K29" s="122" t="s">
        <v>53</v>
      </c>
      <c r="L29" s="122" t="s">
        <v>805</v>
      </c>
      <c r="M29" s="122" t="s">
        <v>311</v>
      </c>
      <c r="N29" s="122" t="s">
        <v>260</v>
      </c>
      <c r="O29" s="122" t="s">
        <v>62</v>
      </c>
      <c r="P29" s="122" t="s">
        <v>1216</v>
      </c>
      <c r="Q29" s="123">
        <v>356525</v>
      </c>
      <c r="R29" s="123">
        <v>1</v>
      </c>
      <c r="S29" s="123">
        <v>634.70000000000005</v>
      </c>
      <c r="T29" s="123">
        <v>74.956999999999994</v>
      </c>
      <c r="U29" s="123">
        <v>2337.8220000000001</v>
      </c>
      <c r="V29" s="125">
        <v>1.2999999999999999E-4</v>
      </c>
      <c r="W29" s="125">
        <v>8.2000000000000007E-3</v>
      </c>
      <c r="X29" s="126">
        <v>2.0600000000000002E-3</v>
      </c>
      <c r="Y29" s="161"/>
    </row>
    <row r="30" spans="1:25" x14ac:dyDescent="0.2">
      <c r="A30" s="121" t="s">
        <v>1211</v>
      </c>
      <c r="B30" s="122" t="s">
        <v>1211</v>
      </c>
      <c r="C30" s="122" t="s">
        <v>1703</v>
      </c>
      <c r="D30" s="122" t="s">
        <v>1704</v>
      </c>
      <c r="E30" s="122" t="s">
        <v>429</v>
      </c>
      <c r="F30" s="122" t="s">
        <v>1987</v>
      </c>
      <c r="G30" s="122" t="s">
        <v>1988</v>
      </c>
      <c r="H30" s="122" t="s">
        <v>76</v>
      </c>
      <c r="I30" s="122" t="s">
        <v>73</v>
      </c>
      <c r="J30" s="122" t="s">
        <v>53</v>
      </c>
      <c r="K30" s="122" t="s">
        <v>53</v>
      </c>
      <c r="L30" s="122" t="s">
        <v>805</v>
      </c>
      <c r="M30" s="122" t="s">
        <v>311</v>
      </c>
      <c r="N30" s="122" t="s">
        <v>263</v>
      </c>
      <c r="O30" s="122" t="s">
        <v>62</v>
      </c>
      <c r="P30" s="122" t="s">
        <v>1216</v>
      </c>
      <c r="Q30" s="123">
        <v>81722</v>
      </c>
      <c r="R30" s="123">
        <v>1</v>
      </c>
      <c r="S30" s="123">
        <v>2708</v>
      </c>
      <c r="T30" s="122"/>
      <c r="U30" s="123">
        <v>2213.0320000000002</v>
      </c>
      <c r="V30" s="125">
        <v>2.3000000000000001E-4</v>
      </c>
      <c r="W30" s="125">
        <v>7.5300000000000002E-3</v>
      </c>
      <c r="X30" s="126">
        <v>1.89E-3</v>
      </c>
      <c r="Y30" s="161"/>
    </row>
    <row r="31" spans="1:25" x14ac:dyDescent="0.2">
      <c r="A31" s="121" t="s">
        <v>1211</v>
      </c>
      <c r="B31" s="122" t="s">
        <v>1211</v>
      </c>
      <c r="C31" s="122" t="s">
        <v>1499</v>
      </c>
      <c r="D31" s="122" t="s">
        <v>1500</v>
      </c>
      <c r="E31" s="122" t="s">
        <v>429</v>
      </c>
      <c r="F31" s="122" t="s">
        <v>1989</v>
      </c>
      <c r="G31" s="122" t="s">
        <v>1990</v>
      </c>
      <c r="H31" s="122" t="s">
        <v>76</v>
      </c>
      <c r="I31" s="122" t="s">
        <v>73</v>
      </c>
      <c r="J31" s="122" t="s">
        <v>53</v>
      </c>
      <c r="K31" s="122" t="s">
        <v>53</v>
      </c>
      <c r="L31" s="122" t="s">
        <v>805</v>
      </c>
      <c r="M31" s="122" t="s">
        <v>311</v>
      </c>
      <c r="N31" s="122" t="s">
        <v>692</v>
      </c>
      <c r="O31" s="122" t="s">
        <v>62</v>
      </c>
      <c r="P31" s="122" t="s">
        <v>1216</v>
      </c>
      <c r="Q31" s="123">
        <v>1117</v>
      </c>
      <c r="R31" s="123">
        <v>1</v>
      </c>
      <c r="S31" s="123">
        <v>192960</v>
      </c>
      <c r="T31" s="123">
        <v>13.705</v>
      </c>
      <c r="U31" s="123">
        <v>2169.0680000000002</v>
      </c>
      <c r="V31" s="125">
        <v>2.7E-4</v>
      </c>
      <c r="W31" s="125">
        <v>7.4200000000000004E-3</v>
      </c>
      <c r="X31" s="126">
        <v>1.8600000000000001E-3</v>
      </c>
      <c r="Y31" s="161"/>
    </row>
    <row r="32" spans="1:25" x14ac:dyDescent="0.2">
      <c r="A32" s="121" t="s">
        <v>1211</v>
      </c>
      <c r="B32" s="122" t="s">
        <v>1211</v>
      </c>
      <c r="C32" s="122" t="s">
        <v>1766</v>
      </c>
      <c r="D32" s="122" t="s">
        <v>1767</v>
      </c>
      <c r="E32" s="122" t="s">
        <v>429</v>
      </c>
      <c r="F32" s="122" t="s">
        <v>1766</v>
      </c>
      <c r="G32" s="122" t="s">
        <v>1991</v>
      </c>
      <c r="H32" s="122" t="s">
        <v>76</v>
      </c>
      <c r="I32" s="122" t="s">
        <v>73</v>
      </c>
      <c r="J32" s="122" t="s">
        <v>53</v>
      </c>
      <c r="K32" s="122" t="s">
        <v>53</v>
      </c>
      <c r="L32" s="122" t="s">
        <v>805</v>
      </c>
      <c r="M32" s="122" t="s">
        <v>311</v>
      </c>
      <c r="N32" s="122" t="s">
        <v>631</v>
      </c>
      <c r="O32" s="122" t="s">
        <v>62</v>
      </c>
      <c r="P32" s="122" t="s">
        <v>1216</v>
      </c>
      <c r="Q32" s="123">
        <v>18426</v>
      </c>
      <c r="R32" s="123">
        <v>1</v>
      </c>
      <c r="S32" s="123">
        <v>10550</v>
      </c>
      <c r="T32" s="122"/>
      <c r="U32" s="123">
        <v>1943.943</v>
      </c>
      <c r="V32" s="125">
        <v>5.1999999999999995E-4</v>
      </c>
      <c r="W32" s="125">
        <v>6.6100000000000004E-3</v>
      </c>
      <c r="X32" s="126">
        <v>1.66E-3</v>
      </c>
      <c r="Y32" s="161"/>
    </row>
    <row r="33" spans="1:25" x14ac:dyDescent="0.2">
      <c r="A33" s="121" t="s">
        <v>1211</v>
      </c>
      <c r="B33" s="122" t="s">
        <v>1211</v>
      </c>
      <c r="C33" s="122" t="s">
        <v>1557</v>
      </c>
      <c r="D33" s="122" t="s">
        <v>1558</v>
      </c>
      <c r="E33" s="122" t="s">
        <v>429</v>
      </c>
      <c r="F33" s="122" t="s">
        <v>1992</v>
      </c>
      <c r="G33" s="122" t="s">
        <v>1993</v>
      </c>
      <c r="H33" s="122" t="s">
        <v>76</v>
      </c>
      <c r="I33" s="122" t="s">
        <v>73</v>
      </c>
      <c r="J33" s="122" t="s">
        <v>53</v>
      </c>
      <c r="K33" s="122" t="s">
        <v>53</v>
      </c>
      <c r="L33" s="122" t="s">
        <v>805</v>
      </c>
      <c r="M33" s="122" t="s">
        <v>311</v>
      </c>
      <c r="N33" s="122" t="s">
        <v>635</v>
      </c>
      <c r="O33" s="122" t="s">
        <v>62</v>
      </c>
      <c r="P33" s="122" t="s">
        <v>1216</v>
      </c>
      <c r="Q33" s="123">
        <v>51105</v>
      </c>
      <c r="R33" s="123">
        <v>1</v>
      </c>
      <c r="S33" s="123">
        <v>3680</v>
      </c>
      <c r="T33" s="122"/>
      <c r="U33" s="123">
        <v>1880.664</v>
      </c>
      <c r="V33" s="125">
        <v>1.2600000000000001E-3</v>
      </c>
      <c r="W33" s="125">
        <v>6.4000000000000003E-3</v>
      </c>
      <c r="X33" s="126">
        <v>1.6000000000000001E-3</v>
      </c>
      <c r="Y33" s="161"/>
    </row>
    <row r="34" spans="1:25" x14ac:dyDescent="0.2">
      <c r="A34" s="121" t="s">
        <v>1211</v>
      </c>
      <c r="B34" s="122" t="s">
        <v>1211</v>
      </c>
      <c r="C34" s="122" t="s">
        <v>1515</v>
      </c>
      <c r="D34" s="122" t="s">
        <v>1516</v>
      </c>
      <c r="E34" s="122" t="s">
        <v>429</v>
      </c>
      <c r="F34" s="122" t="s">
        <v>1994</v>
      </c>
      <c r="G34" s="122" t="s">
        <v>1995</v>
      </c>
      <c r="H34" s="122" t="s">
        <v>76</v>
      </c>
      <c r="I34" s="122" t="s">
        <v>73</v>
      </c>
      <c r="J34" s="122" t="s">
        <v>53</v>
      </c>
      <c r="K34" s="122" t="s">
        <v>53</v>
      </c>
      <c r="L34" s="122" t="s">
        <v>805</v>
      </c>
      <c r="M34" s="122" t="s">
        <v>311</v>
      </c>
      <c r="N34" s="122" t="s">
        <v>635</v>
      </c>
      <c r="O34" s="122" t="s">
        <v>62</v>
      </c>
      <c r="P34" s="122" t="s">
        <v>1216</v>
      </c>
      <c r="Q34" s="123">
        <v>171688</v>
      </c>
      <c r="R34" s="123">
        <v>1</v>
      </c>
      <c r="S34" s="123">
        <v>1079</v>
      </c>
      <c r="T34" s="122"/>
      <c r="U34" s="123">
        <v>1852.5139999999999</v>
      </c>
      <c r="V34" s="125">
        <v>7.2000000000000005E-4</v>
      </c>
      <c r="W34" s="125">
        <v>6.3E-3</v>
      </c>
      <c r="X34" s="126">
        <v>1.58E-3</v>
      </c>
      <c r="Y34" s="161"/>
    </row>
    <row r="35" spans="1:25" x14ac:dyDescent="0.2">
      <c r="A35" s="121" t="s">
        <v>1211</v>
      </c>
      <c r="B35" s="122" t="s">
        <v>1211</v>
      </c>
      <c r="C35" s="122" t="s">
        <v>1996</v>
      </c>
      <c r="D35" s="122" t="s">
        <v>1997</v>
      </c>
      <c r="E35" s="122" t="s">
        <v>430</v>
      </c>
      <c r="F35" s="122" t="s">
        <v>1998</v>
      </c>
      <c r="G35" s="122" t="s">
        <v>1999</v>
      </c>
      <c r="H35" s="122" t="s">
        <v>76</v>
      </c>
      <c r="I35" s="122" t="s">
        <v>73</v>
      </c>
      <c r="J35" s="122" t="s">
        <v>53</v>
      </c>
      <c r="K35" s="122" t="s">
        <v>53</v>
      </c>
      <c r="L35" s="122" t="s">
        <v>805</v>
      </c>
      <c r="M35" s="122" t="s">
        <v>311</v>
      </c>
      <c r="N35" s="122" t="s">
        <v>267</v>
      </c>
      <c r="O35" s="122" t="s">
        <v>62</v>
      </c>
      <c r="P35" s="122" t="s">
        <v>1216</v>
      </c>
      <c r="Q35" s="123">
        <v>46951</v>
      </c>
      <c r="R35" s="123">
        <v>1</v>
      </c>
      <c r="S35" s="123">
        <v>829</v>
      </c>
      <c r="T35" s="123">
        <v>46.566000000000003</v>
      </c>
      <c r="U35" s="123">
        <v>1825.64</v>
      </c>
      <c r="V35" s="125">
        <v>2.5999999999999998E-4</v>
      </c>
      <c r="W35" s="125">
        <v>6.3699999999999998E-3</v>
      </c>
      <c r="X35" s="126">
        <v>1.6000000000000001E-3</v>
      </c>
      <c r="Y35" s="161"/>
    </row>
    <row r="36" spans="1:25" x14ac:dyDescent="0.2">
      <c r="A36" s="121" t="s">
        <v>1211</v>
      </c>
      <c r="B36" s="122" t="s">
        <v>1211</v>
      </c>
      <c r="C36" s="122" t="s">
        <v>1612</v>
      </c>
      <c r="D36" s="122" t="s">
        <v>1613</v>
      </c>
      <c r="E36" s="122" t="s">
        <v>429</v>
      </c>
      <c r="F36" s="122" t="s">
        <v>2000</v>
      </c>
      <c r="G36" s="122" t="s">
        <v>2001</v>
      </c>
      <c r="H36" s="122" t="s">
        <v>76</v>
      </c>
      <c r="I36" s="122" t="s">
        <v>73</v>
      </c>
      <c r="J36" s="122" t="s">
        <v>53</v>
      </c>
      <c r="K36" s="122" t="s">
        <v>53</v>
      </c>
      <c r="L36" s="122" t="s">
        <v>805</v>
      </c>
      <c r="M36" s="122" t="s">
        <v>311</v>
      </c>
      <c r="N36" s="122" t="s">
        <v>635</v>
      </c>
      <c r="O36" s="122" t="s">
        <v>62</v>
      </c>
      <c r="P36" s="122" t="s">
        <v>1216</v>
      </c>
      <c r="Q36" s="123">
        <v>9818</v>
      </c>
      <c r="R36" s="123">
        <v>1</v>
      </c>
      <c r="S36" s="123">
        <v>17940</v>
      </c>
      <c r="T36" s="122"/>
      <c r="U36" s="123">
        <v>1761.3489999999999</v>
      </c>
      <c r="V36" s="125">
        <v>2.7E-4</v>
      </c>
      <c r="W36" s="125">
        <v>5.9899999999999997E-3</v>
      </c>
      <c r="X36" s="126">
        <v>1.5E-3</v>
      </c>
      <c r="Y36" s="161"/>
    </row>
    <row r="37" spans="1:25" x14ac:dyDescent="0.2">
      <c r="A37" s="121" t="s">
        <v>1211</v>
      </c>
      <c r="B37" s="122" t="s">
        <v>1211</v>
      </c>
      <c r="C37" s="122" t="s">
        <v>1879</v>
      </c>
      <c r="D37" s="122" t="s">
        <v>1880</v>
      </c>
      <c r="E37" s="122" t="s">
        <v>429</v>
      </c>
      <c r="F37" s="122" t="s">
        <v>2002</v>
      </c>
      <c r="G37" s="122" t="s">
        <v>2003</v>
      </c>
      <c r="H37" s="122" t="s">
        <v>76</v>
      </c>
      <c r="I37" s="122" t="s">
        <v>73</v>
      </c>
      <c r="J37" s="122" t="s">
        <v>53</v>
      </c>
      <c r="K37" s="122" t="s">
        <v>53</v>
      </c>
      <c r="L37" s="122" t="s">
        <v>805</v>
      </c>
      <c r="M37" s="122" t="s">
        <v>311</v>
      </c>
      <c r="N37" s="122" t="s">
        <v>260</v>
      </c>
      <c r="O37" s="122" t="s">
        <v>62</v>
      </c>
      <c r="P37" s="122" t="s">
        <v>1216</v>
      </c>
      <c r="Q37" s="123">
        <v>54572</v>
      </c>
      <c r="R37" s="123">
        <v>1</v>
      </c>
      <c r="S37" s="123">
        <v>3170</v>
      </c>
      <c r="T37" s="122"/>
      <c r="U37" s="123">
        <v>1729.932</v>
      </c>
      <c r="V37" s="125">
        <v>2.7999999999999998E-4</v>
      </c>
      <c r="W37" s="125">
        <v>5.8799999999999998E-3</v>
      </c>
      <c r="X37" s="126">
        <v>1.47E-3</v>
      </c>
      <c r="Y37" s="161"/>
    </row>
    <row r="38" spans="1:25" x14ac:dyDescent="0.2">
      <c r="A38" s="121" t="s">
        <v>1211</v>
      </c>
      <c r="B38" s="122" t="s">
        <v>1211</v>
      </c>
      <c r="C38" s="122" t="s">
        <v>2004</v>
      </c>
      <c r="D38" s="122" t="s">
        <v>2005</v>
      </c>
      <c r="E38" s="122" t="s">
        <v>429</v>
      </c>
      <c r="F38" s="122" t="s">
        <v>2006</v>
      </c>
      <c r="G38" s="122" t="s">
        <v>2007</v>
      </c>
      <c r="H38" s="122" t="s">
        <v>76</v>
      </c>
      <c r="I38" s="122" t="s">
        <v>73</v>
      </c>
      <c r="J38" s="122" t="s">
        <v>53</v>
      </c>
      <c r="K38" s="122" t="s">
        <v>53</v>
      </c>
      <c r="L38" s="122" t="s">
        <v>805</v>
      </c>
      <c r="M38" s="122" t="s">
        <v>311</v>
      </c>
      <c r="N38" s="122" t="s">
        <v>634</v>
      </c>
      <c r="O38" s="122" t="s">
        <v>62</v>
      </c>
      <c r="P38" s="122" t="s">
        <v>1216</v>
      </c>
      <c r="Q38" s="123">
        <v>82230</v>
      </c>
      <c r="R38" s="123">
        <v>1</v>
      </c>
      <c r="S38" s="123">
        <v>2066</v>
      </c>
      <c r="T38" s="122"/>
      <c r="U38" s="123">
        <v>1698.8720000000001</v>
      </c>
      <c r="V38" s="125">
        <v>5.6999999999999998E-4</v>
      </c>
      <c r="W38" s="125">
        <v>5.7800000000000004E-3</v>
      </c>
      <c r="X38" s="126">
        <v>1.4499999999999999E-3</v>
      </c>
      <c r="Y38" s="161"/>
    </row>
    <row r="39" spans="1:25" x14ac:dyDescent="0.2">
      <c r="A39" s="121" t="s">
        <v>1211</v>
      </c>
      <c r="B39" s="122" t="s">
        <v>1211</v>
      </c>
      <c r="C39" s="122" t="s">
        <v>1446</v>
      </c>
      <c r="D39" s="122" t="s">
        <v>1447</v>
      </c>
      <c r="E39" s="122" t="s">
        <v>429</v>
      </c>
      <c r="F39" s="122" t="s">
        <v>2008</v>
      </c>
      <c r="G39" s="122" t="s">
        <v>2009</v>
      </c>
      <c r="H39" s="122" t="s">
        <v>76</v>
      </c>
      <c r="I39" s="122" t="s">
        <v>73</v>
      </c>
      <c r="J39" s="122" t="s">
        <v>53</v>
      </c>
      <c r="K39" s="122" t="s">
        <v>53</v>
      </c>
      <c r="L39" s="122" t="s">
        <v>805</v>
      </c>
      <c r="M39" s="122" t="s">
        <v>311</v>
      </c>
      <c r="N39" s="122" t="s">
        <v>156</v>
      </c>
      <c r="O39" s="122" t="s">
        <v>62</v>
      </c>
      <c r="P39" s="122" t="s">
        <v>1216</v>
      </c>
      <c r="Q39" s="123">
        <v>31788</v>
      </c>
      <c r="R39" s="123">
        <v>1</v>
      </c>
      <c r="S39" s="123">
        <v>5239</v>
      </c>
      <c r="T39" s="122"/>
      <c r="U39" s="123">
        <v>1665.373</v>
      </c>
      <c r="V39" s="125">
        <v>1.1E-4</v>
      </c>
      <c r="W39" s="125">
        <v>5.6600000000000001E-3</v>
      </c>
      <c r="X39" s="126">
        <v>1.42E-3</v>
      </c>
      <c r="Y39" s="161"/>
    </row>
    <row r="40" spans="1:25" x14ac:dyDescent="0.2">
      <c r="A40" s="121" t="s">
        <v>1211</v>
      </c>
      <c r="B40" s="122" t="s">
        <v>1211</v>
      </c>
      <c r="C40" s="122" t="s">
        <v>2010</v>
      </c>
      <c r="D40" s="122" t="s">
        <v>2011</v>
      </c>
      <c r="E40" s="122" t="s">
        <v>429</v>
      </c>
      <c r="F40" s="122" t="s">
        <v>2012</v>
      </c>
      <c r="G40" s="122" t="s">
        <v>2013</v>
      </c>
      <c r="H40" s="122" t="s">
        <v>76</v>
      </c>
      <c r="I40" s="122" t="s">
        <v>73</v>
      </c>
      <c r="J40" s="122" t="s">
        <v>53</v>
      </c>
      <c r="K40" s="122" t="s">
        <v>53</v>
      </c>
      <c r="L40" s="122" t="s">
        <v>805</v>
      </c>
      <c r="M40" s="122" t="s">
        <v>311</v>
      </c>
      <c r="N40" s="122" t="s">
        <v>75</v>
      </c>
      <c r="O40" s="122" t="s">
        <v>62</v>
      </c>
      <c r="P40" s="122" t="s">
        <v>1216</v>
      </c>
      <c r="Q40" s="123">
        <v>56000</v>
      </c>
      <c r="R40" s="123">
        <v>1</v>
      </c>
      <c r="S40" s="123">
        <v>2875</v>
      </c>
      <c r="T40" s="122"/>
      <c r="U40" s="123">
        <v>1610</v>
      </c>
      <c r="V40" s="125">
        <v>4.4000000000000002E-4</v>
      </c>
      <c r="W40" s="125">
        <v>5.47E-3</v>
      </c>
      <c r="X40" s="126">
        <v>1.3699999999999999E-3</v>
      </c>
      <c r="Y40" s="161"/>
    </row>
    <row r="41" spans="1:25" x14ac:dyDescent="0.2">
      <c r="A41" s="121" t="s">
        <v>1211</v>
      </c>
      <c r="B41" s="122" t="s">
        <v>1211</v>
      </c>
      <c r="C41" s="122" t="s">
        <v>2014</v>
      </c>
      <c r="D41" s="122" t="s">
        <v>2015</v>
      </c>
      <c r="E41" s="122" t="s">
        <v>429</v>
      </c>
      <c r="F41" s="122" t="s">
        <v>2016</v>
      </c>
      <c r="G41" s="122" t="s">
        <v>2017</v>
      </c>
      <c r="H41" s="122" t="s">
        <v>76</v>
      </c>
      <c r="I41" s="122" t="s">
        <v>73</v>
      </c>
      <c r="J41" s="122" t="s">
        <v>53</v>
      </c>
      <c r="K41" s="122" t="s">
        <v>53</v>
      </c>
      <c r="L41" s="122" t="s">
        <v>805</v>
      </c>
      <c r="M41" s="122" t="s">
        <v>311</v>
      </c>
      <c r="N41" s="122" t="s">
        <v>636</v>
      </c>
      <c r="O41" s="122" t="s">
        <v>62</v>
      </c>
      <c r="P41" s="122" t="s">
        <v>1216</v>
      </c>
      <c r="Q41" s="123">
        <v>14473</v>
      </c>
      <c r="R41" s="123">
        <v>1</v>
      </c>
      <c r="S41" s="123">
        <v>11110</v>
      </c>
      <c r="T41" s="122"/>
      <c r="U41" s="123">
        <v>1607.95</v>
      </c>
      <c r="V41" s="125">
        <v>6.7000000000000002E-4</v>
      </c>
      <c r="W41" s="125">
        <v>5.47E-3</v>
      </c>
      <c r="X41" s="126">
        <v>1.3699999999999999E-3</v>
      </c>
      <c r="Y41" s="161"/>
    </row>
    <row r="42" spans="1:25" x14ac:dyDescent="0.2">
      <c r="A42" s="121" t="s">
        <v>1211</v>
      </c>
      <c r="B42" s="122" t="s">
        <v>1211</v>
      </c>
      <c r="C42" s="122" t="s">
        <v>1596</v>
      </c>
      <c r="D42" s="122" t="s">
        <v>1597</v>
      </c>
      <c r="E42" s="122" t="s">
        <v>429</v>
      </c>
      <c r="F42" s="122" t="s">
        <v>2018</v>
      </c>
      <c r="G42" s="122" t="s">
        <v>2019</v>
      </c>
      <c r="H42" s="122" t="s">
        <v>76</v>
      </c>
      <c r="I42" s="122" t="s">
        <v>73</v>
      </c>
      <c r="J42" s="122" t="s">
        <v>53</v>
      </c>
      <c r="K42" s="122" t="s">
        <v>53</v>
      </c>
      <c r="L42" s="122" t="s">
        <v>805</v>
      </c>
      <c r="M42" s="122" t="s">
        <v>311</v>
      </c>
      <c r="N42" s="122" t="s">
        <v>635</v>
      </c>
      <c r="O42" s="122" t="s">
        <v>62</v>
      </c>
      <c r="P42" s="122" t="s">
        <v>1216</v>
      </c>
      <c r="Q42" s="123">
        <v>108350</v>
      </c>
      <c r="R42" s="123">
        <v>1</v>
      </c>
      <c r="S42" s="123">
        <v>1357</v>
      </c>
      <c r="T42" s="122"/>
      <c r="U42" s="123">
        <v>1470.31</v>
      </c>
      <c r="V42" s="125">
        <v>7.2000000000000005E-4</v>
      </c>
      <c r="W42" s="125">
        <v>5.0000000000000001E-3</v>
      </c>
      <c r="X42" s="126">
        <v>1.25E-3</v>
      </c>
      <c r="Y42" s="161"/>
    </row>
    <row r="43" spans="1:25" x14ac:dyDescent="0.2">
      <c r="A43" s="121" t="s">
        <v>1211</v>
      </c>
      <c r="B43" s="122" t="s">
        <v>1211</v>
      </c>
      <c r="C43" s="122" t="s">
        <v>2020</v>
      </c>
      <c r="D43" s="122" t="s">
        <v>2021</v>
      </c>
      <c r="E43" s="122" t="s">
        <v>429</v>
      </c>
      <c r="F43" s="122" t="s">
        <v>2022</v>
      </c>
      <c r="G43" s="122" t="s">
        <v>2023</v>
      </c>
      <c r="H43" s="122" t="s">
        <v>76</v>
      </c>
      <c r="I43" s="122" t="s">
        <v>73</v>
      </c>
      <c r="J43" s="122" t="s">
        <v>53</v>
      </c>
      <c r="K43" s="122" t="s">
        <v>53</v>
      </c>
      <c r="L43" s="122" t="s">
        <v>805</v>
      </c>
      <c r="M43" s="122" t="s">
        <v>311</v>
      </c>
      <c r="N43" s="122" t="s">
        <v>261</v>
      </c>
      <c r="O43" s="122" t="s">
        <v>62</v>
      </c>
      <c r="P43" s="122" t="s">
        <v>1216</v>
      </c>
      <c r="Q43" s="123">
        <v>15618</v>
      </c>
      <c r="R43" s="123">
        <v>1</v>
      </c>
      <c r="S43" s="123">
        <v>9361</v>
      </c>
      <c r="T43" s="122"/>
      <c r="U43" s="123">
        <v>1462.001</v>
      </c>
      <c r="V43" s="125">
        <v>1.2999999999999999E-4</v>
      </c>
      <c r="W43" s="125">
        <v>4.9699999999999996E-3</v>
      </c>
      <c r="X43" s="126">
        <v>1.25E-3</v>
      </c>
      <c r="Y43" s="161"/>
    </row>
    <row r="44" spans="1:25" x14ac:dyDescent="0.2">
      <c r="A44" s="121" t="s">
        <v>1211</v>
      </c>
      <c r="B44" s="122" t="s">
        <v>1211</v>
      </c>
      <c r="C44" s="122" t="s">
        <v>2024</v>
      </c>
      <c r="D44" s="122" t="s">
        <v>2025</v>
      </c>
      <c r="E44" s="122" t="s">
        <v>429</v>
      </c>
      <c r="F44" s="122" t="s">
        <v>2026</v>
      </c>
      <c r="G44" s="122" t="s">
        <v>2027</v>
      </c>
      <c r="H44" s="122" t="s">
        <v>76</v>
      </c>
      <c r="I44" s="122" t="s">
        <v>73</v>
      </c>
      <c r="J44" s="122" t="s">
        <v>53</v>
      </c>
      <c r="K44" s="122" t="s">
        <v>53</v>
      </c>
      <c r="L44" s="122" t="s">
        <v>805</v>
      </c>
      <c r="M44" s="122" t="s">
        <v>311</v>
      </c>
      <c r="N44" s="122" t="s">
        <v>267</v>
      </c>
      <c r="O44" s="122" t="s">
        <v>62</v>
      </c>
      <c r="P44" s="122" t="s">
        <v>1216</v>
      </c>
      <c r="Q44" s="123">
        <v>67529</v>
      </c>
      <c r="R44" s="123">
        <v>1</v>
      </c>
      <c r="S44" s="123">
        <v>2114</v>
      </c>
      <c r="T44" s="123">
        <v>33.484999999999999</v>
      </c>
      <c r="U44" s="123">
        <v>1461.048</v>
      </c>
      <c r="V44" s="125">
        <v>3.3800000000000002E-3</v>
      </c>
      <c r="W44" s="125">
        <v>5.0800000000000003E-3</v>
      </c>
      <c r="X44" s="126">
        <v>1.2700000000000001E-3</v>
      </c>
      <c r="Y44" s="161"/>
    </row>
    <row r="45" spans="1:25" x14ac:dyDescent="0.2">
      <c r="A45" s="121" t="s">
        <v>1211</v>
      </c>
      <c r="B45" s="122" t="s">
        <v>1211</v>
      </c>
      <c r="C45" s="122" t="s">
        <v>1462</v>
      </c>
      <c r="D45" s="122" t="s">
        <v>1463</v>
      </c>
      <c r="E45" s="122" t="s">
        <v>429</v>
      </c>
      <c r="F45" s="122" t="s">
        <v>2028</v>
      </c>
      <c r="G45" s="122" t="s">
        <v>2029</v>
      </c>
      <c r="H45" s="122" t="s">
        <v>76</v>
      </c>
      <c r="I45" s="122" t="s">
        <v>73</v>
      </c>
      <c r="J45" s="122" t="s">
        <v>53</v>
      </c>
      <c r="K45" s="122" t="s">
        <v>53</v>
      </c>
      <c r="L45" s="122" t="s">
        <v>805</v>
      </c>
      <c r="M45" s="122" t="s">
        <v>311</v>
      </c>
      <c r="N45" s="122" t="s">
        <v>156</v>
      </c>
      <c r="O45" s="122" t="s">
        <v>62</v>
      </c>
      <c r="P45" s="122" t="s">
        <v>1216</v>
      </c>
      <c r="Q45" s="123">
        <v>1991</v>
      </c>
      <c r="R45" s="123">
        <v>1</v>
      </c>
      <c r="S45" s="123">
        <v>67880</v>
      </c>
      <c r="T45" s="123">
        <v>22.274999999999999</v>
      </c>
      <c r="U45" s="123">
        <v>1373.7650000000001</v>
      </c>
      <c r="V45" s="125">
        <v>1.3999999999999999E-4</v>
      </c>
      <c r="W45" s="125">
        <v>4.7499999999999999E-3</v>
      </c>
      <c r="X45" s="126">
        <v>1.1900000000000001E-3</v>
      </c>
      <c r="Y45" s="161"/>
    </row>
    <row r="46" spans="1:25" x14ac:dyDescent="0.2">
      <c r="A46" s="121" t="s">
        <v>1211</v>
      </c>
      <c r="B46" s="122" t="s">
        <v>1211</v>
      </c>
      <c r="C46" s="122" t="s">
        <v>2030</v>
      </c>
      <c r="D46" s="122" t="s">
        <v>2031</v>
      </c>
      <c r="E46" s="122" t="s">
        <v>429</v>
      </c>
      <c r="F46" s="122" t="s">
        <v>2032</v>
      </c>
      <c r="G46" s="122" t="s">
        <v>2033</v>
      </c>
      <c r="H46" s="122" t="s">
        <v>76</v>
      </c>
      <c r="I46" s="122" t="s">
        <v>73</v>
      </c>
      <c r="J46" s="122" t="s">
        <v>53</v>
      </c>
      <c r="K46" s="122" t="s">
        <v>53</v>
      </c>
      <c r="L46" s="122" t="s">
        <v>805</v>
      </c>
      <c r="M46" s="122" t="s">
        <v>311</v>
      </c>
      <c r="N46" s="122" t="s">
        <v>634</v>
      </c>
      <c r="O46" s="122" t="s">
        <v>62</v>
      </c>
      <c r="P46" s="122" t="s">
        <v>1216</v>
      </c>
      <c r="Q46" s="123">
        <v>4957</v>
      </c>
      <c r="R46" s="123">
        <v>1</v>
      </c>
      <c r="S46" s="123">
        <v>27550</v>
      </c>
      <c r="T46" s="122"/>
      <c r="U46" s="123">
        <v>1365.654</v>
      </c>
      <c r="V46" s="125">
        <v>3.4000000000000002E-4</v>
      </c>
      <c r="W46" s="125">
        <v>4.64E-3</v>
      </c>
      <c r="X46" s="126">
        <v>1.16E-3</v>
      </c>
      <c r="Y46" s="161"/>
    </row>
    <row r="47" spans="1:25" x14ac:dyDescent="0.2">
      <c r="A47" s="121" t="s">
        <v>1211</v>
      </c>
      <c r="B47" s="122" t="s">
        <v>1211</v>
      </c>
      <c r="C47" s="122" t="s">
        <v>2034</v>
      </c>
      <c r="D47" s="122" t="s">
        <v>2035</v>
      </c>
      <c r="E47" s="122" t="s">
        <v>429</v>
      </c>
      <c r="F47" s="122" t="s">
        <v>2036</v>
      </c>
      <c r="G47" s="122" t="s">
        <v>2037</v>
      </c>
      <c r="H47" s="122" t="s">
        <v>76</v>
      </c>
      <c r="I47" s="122" t="s">
        <v>73</v>
      </c>
      <c r="J47" s="122" t="s">
        <v>53</v>
      </c>
      <c r="K47" s="122" t="s">
        <v>53</v>
      </c>
      <c r="L47" s="122" t="s">
        <v>805</v>
      </c>
      <c r="M47" s="122" t="s">
        <v>311</v>
      </c>
      <c r="N47" s="122" t="s">
        <v>252</v>
      </c>
      <c r="O47" s="122" t="s">
        <v>62</v>
      </c>
      <c r="P47" s="122" t="s">
        <v>1216</v>
      </c>
      <c r="Q47" s="123">
        <v>11065</v>
      </c>
      <c r="R47" s="123">
        <v>1</v>
      </c>
      <c r="S47" s="123">
        <v>11650</v>
      </c>
      <c r="T47" s="123">
        <v>9.4049999999999994</v>
      </c>
      <c r="U47" s="123">
        <v>1298.4780000000001</v>
      </c>
      <c r="V47" s="125">
        <v>1.7000000000000001E-4</v>
      </c>
      <c r="W47" s="125">
        <v>4.45E-3</v>
      </c>
      <c r="X47" s="126">
        <v>1.1199999999999999E-3</v>
      </c>
      <c r="Y47" s="161"/>
    </row>
    <row r="48" spans="1:25" x14ac:dyDescent="0.2">
      <c r="A48" s="121" t="s">
        <v>1211</v>
      </c>
      <c r="B48" s="122" t="s">
        <v>1211</v>
      </c>
      <c r="C48" s="122" t="s">
        <v>2038</v>
      </c>
      <c r="D48" s="122" t="s">
        <v>2039</v>
      </c>
      <c r="E48" s="122" t="s">
        <v>429</v>
      </c>
      <c r="F48" s="122" t="s">
        <v>2040</v>
      </c>
      <c r="G48" s="122" t="s">
        <v>2041</v>
      </c>
      <c r="H48" s="122" t="s">
        <v>76</v>
      </c>
      <c r="I48" s="122" t="s">
        <v>73</v>
      </c>
      <c r="J48" s="122" t="s">
        <v>53</v>
      </c>
      <c r="K48" s="122" t="s">
        <v>53</v>
      </c>
      <c r="L48" s="122" t="s">
        <v>805</v>
      </c>
      <c r="M48" s="122" t="s">
        <v>311</v>
      </c>
      <c r="N48" s="122" t="s">
        <v>252</v>
      </c>
      <c r="O48" s="122" t="s">
        <v>62</v>
      </c>
      <c r="P48" s="122" t="s">
        <v>1216</v>
      </c>
      <c r="Q48" s="123">
        <v>2739</v>
      </c>
      <c r="R48" s="123">
        <v>1</v>
      </c>
      <c r="S48" s="123">
        <v>46080</v>
      </c>
      <c r="T48" s="122"/>
      <c r="U48" s="123">
        <v>1262.1310000000001</v>
      </c>
      <c r="V48" s="125">
        <v>1.7000000000000001E-4</v>
      </c>
      <c r="W48" s="125">
        <v>4.2900000000000004E-3</v>
      </c>
      <c r="X48" s="126">
        <v>1.08E-3</v>
      </c>
      <c r="Y48" s="161"/>
    </row>
    <row r="49" spans="1:25" x14ac:dyDescent="0.2">
      <c r="A49" s="121" t="s">
        <v>1211</v>
      </c>
      <c r="B49" s="122" t="s">
        <v>1211</v>
      </c>
      <c r="C49" s="122" t="s">
        <v>1477</v>
      </c>
      <c r="D49" s="122" t="s">
        <v>1478</v>
      </c>
      <c r="E49" s="122" t="s">
        <v>429</v>
      </c>
      <c r="F49" s="122" t="s">
        <v>2042</v>
      </c>
      <c r="G49" s="122" t="s">
        <v>2043</v>
      </c>
      <c r="H49" s="122" t="s">
        <v>76</v>
      </c>
      <c r="I49" s="122" t="s">
        <v>73</v>
      </c>
      <c r="J49" s="122" t="s">
        <v>53</v>
      </c>
      <c r="K49" s="122" t="s">
        <v>53</v>
      </c>
      <c r="L49" s="122" t="s">
        <v>805</v>
      </c>
      <c r="M49" s="122" t="s">
        <v>311</v>
      </c>
      <c r="N49" s="122" t="s">
        <v>634</v>
      </c>
      <c r="O49" s="122" t="s">
        <v>62</v>
      </c>
      <c r="P49" s="122" t="s">
        <v>1216</v>
      </c>
      <c r="Q49" s="123">
        <v>31320</v>
      </c>
      <c r="R49" s="123">
        <v>1</v>
      </c>
      <c r="S49" s="123">
        <v>3901</v>
      </c>
      <c r="T49" s="123">
        <v>21.14</v>
      </c>
      <c r="U49" s="123">
        <v>1242.933</v>
      </c>
      <c r="V49" s="125">
        <v>1.1E-4</v>
      </c>
      <c r="W49" s="125">
        <v>4.3E-3</v>
      </c>
      <c r="X49" s="126">
        <v>1.08E-3</v>
      </c>
      <c r="Y49" s="161"/>
    </row>
    <row r="50" spans="1:25" x14ac:dyDescent="0.2">
      <c r="A50" s="121" t="s">
        <v>1211</v>
      </c>
      <c r="B50" s="122" t="s">
        <v>1211</v>
      </c>
      <c r="C50" s="122" t="s">
        <v>1670</v>
      </c>
      <c r="D50" s="122" t="s">
        <v>1671</v>
      </c>
      <c r="E50" s="122" t="s">
        <v>429</v>
      </c>
      <c r="F50" s="122" t="s">
        <v>2044</v>
      </c>
      <c r="G50" s="122" t="s">
        <v>2045</v>
      </c>
      <c r="H50" s="122" t="s">
        <v>76</v>
      </c>
      <c r="I50" s="122" t="s">
        <v>73</v>
      </c>
      <c r="J50" s="122" t="s">
        <v>53</v>
      </c>
      <c r="K50" s="122" t="s">
        <v>53</v>
      </c>
      <c r="L50" s="122" t="s">
        <v>805</v>
      </c>
      <c r="M50" s="122" t="s">
        <v>311</v>
      </c>
      <c r="N50" s="122" t="s">
        <v>140</v>
      </c>
      <c r="O50" s="122" t="s">
        <v>62</v>
      </c>
      <c r="P50" s="122" t="s">
        <v>1216</v>
      </c>
      <c r="Q50" s="123">
        <v>17500</v>
      </c>
      <c r="R50" s="123">
        <v>1</v>
      </c>
      <c r="S50" s="123">
        <v>6966</v>
      </c>
      <c r="T50" s="122"/>
      <c r="U50" s="123">
        <v>1219.05</v>
      </c>
      <c r="V50" s="125">
        <v>1.6000000000000001E-4</v>
      </c>
      <c r="W50" s="125">
        <v>4.15E-3</v>
      </c>
      <c r="X50" s="126">
        <v>1.0399999999999999E-3</v>
      </c>
      <c r="Y50" s="161"/>
    </row>
    <row r="51" spans="1:25" x14ac:dyDescent="0.2">
      <c r="A51" s="121" t="s">
        <v>1211</v>
      </c>
      <c r="B51" s="122" t="s">
        <v>1211</v>
      </c>
      <c r="C51" s="122" t="s">
        <v>1585</v>
      </c>
      <c r="D51" s="122" t="s">
        <v>1586</v>
      </c>
      <c r="E51" s="122" t="s">
        <v>429</v>
      </c>
      <c r="F51" s="122" t="s">
        <v>2046</v>
      </c>
      <c r="G51" s="122" t="s">
        <v>2047</v>
      </c>
      <c r="H51" s="122" t="s">
        <v>76</v>
      </c>
      <c r="I51" s="122" t="s">
        <v>73</v>
      </c>
      <c r="J51" s="122" t="s">
        <v>53</v>
      </c>
      <c r="K51" s="122" t="s">
        <v>53</v>
      </c>
      <c r="L51" s="122" t="s">
        <v>805</v>
      </c>
      <c r="M51" s="122" t="s">
        <v>311</v>
      </c>
      <c r="N51" s="122" t="s">
        <v>265</v>
      </c>
      <c r="O51" s="122" t="s">
        <v>62</v>
      </c>
      <c r="P51" s="122" t="s">
        <v>1216</v>
      </c>
      <c r="Q51" s="123">
        <v>1114</v>
      </c>
      <c r="R51" s="123">
        <v>1</v>
      </c>
      <c r="S51" s="123">
        <v>103430</v>
      </c>
      <c r="T51" s="122"/>
      <c r="U51" s="123">
        <v>1152.21</v>
      </c>
      <c r="V51" s="125">
        <v>1.3999999999999999E-4</v>
      </c>
      <c r="W51" s="125">
        <v>3.9199999999999999E-3</v>
      </c>
      <c r="X51" s="126">
        <v>9.7999999999999997E-4</v>
      </c>
      <c r="Y51" s="161"/>
    </row>
    <row r="52" spans="1:25" x14ac:dyDescent="0.2">
      <c r="A52" s="121" t="s">
        <v>1211</v>
      </c>
      <c r="B52" s="122" t="s">
        <v>1211</v>
      </c>
      <c r="C52" s="122" t="s">
        <v>2048</v>
      </c>
      <c r="D52" s="122" t="s">
        <v>2049</v>
      </c>
      <c r="E52" s="122" t="s">
        <v>429</v>
      </c>
      <c r="F52" s="122" t="s">
        <v>2050</v>
      </c>
      <c r="G52" s="122" t="s">
        <v>2051</v>
      </c>
      <c r="H52" s="122" t="s">
        <v>76</v>
      </c>
      <c r="I52" s="122" t="s">
        <v>73</v>
      </c>
      <c r="J52" s="122" t="s">
        <v>53</v>
      </c>
      <c r="K52" s="122" t="s">
        <v>53</v>
      </c>
      <c r="L52" s="122" t="s">
        <v>805</v>
      </c>
      <c r="M52" s="122" t="s">
        <v>311</v>
      </c>
      <c r="N52" s="122" t="s">
        <v>634</v>
      </c>
      <c r="O52" s="122" t="s">
        <v>62</v>
      </c>
      <c r="P52" s="122" t="s">
        <v>1216</v>
      </c>
      <c r="Q52" s="123">
        <v>99500</v>
      </c>
      <c r="R52" s="123">
        <v>1</v>
      </c>
      <c r="S52" s="123">
        <v>1154</v>
      </c>
      <c r="T52" s="122"/>
      <c r="U52" s="123">
        <v>1148.23</v>
      </c>
      <c r="V52" s="125">
        <v>6.9999999999999999E-4</v>
      </c>
      <c r="W52" s="125">
        <v>3.8999999999999998E-3</v>
      </c>
      <c r="X52" s="126">
        <v>9.7999999999999997E-4</v>
      </c>
      <c r="Y52" s="161"/>
    </row>
    <row r="53" spans="1:25" x14ac:dyDescent="0.2">
      <c r="A53" s="121" t="s">
        <v>1211</v>
      </c>
      <c r="B53" s="122" t="s">
        <v>1211</v>
      </c>
      <c r="C53" s="122" t="s">
        <v>1770</v>
      </c>
      <c r="D53" s="122" t="s">
        <v>1771</v>
      </c>
      <c r="E53" s="122" t="s">
        <v>429</v>
      </c>
      <c r="F53" s="122" t="s">
        <v>2052</v>
      </c>
      <c r="G53" s="122" t="s">
        <v>2053</v>
      </c>
      <c r="H53" s="122" t="s">
        <v>76</v>
      </c>
      <c r="I53" s="122" t="s">
        <v>73</v>
      </c>
      <c r="J53" s="122" t="s">
        <v>53</v>
      </c>
      <c r="K53" s="122" t="s">
        <v>53</v>
      </c>
      <c r="L53" s="122" t="s">
        <v>805</v>
      </c>
      <c r="M53" s="122" t="s">
        <v>311</v>
      </c>
      <c r="N53" s="122" t="s">
        <v>635</v>
      </c>
      <c r="O53" s="122" t="s">
        <v>62</v>
      </c>
      <c r="P53" s="122" t="s">
        <v>1216</v>
      </c>
      <c r="Q53" s="123">
        <v>84731.41</v>
      </c>
      <c r="R53" s="123">
        <v>1</v>
      </c>
      <c r="S53" s="123">
        <v>1292</v>
      </c>
      <c r="T53" s="122"/>
      <c r="U53" s="123">
        <v>1094.73</v>
      </c>
      <c r="V53" s="125">
        <v>1.2E-4</v>
      </c>
      <c r="W53" s="125">
        <v>3.7200000000000002E-3</v>
      </c>
      <c r="X53" s="126">
        <v>9.3000000000000005E-4</v>
      </c>
      <c r="Y53" s="161"/>
    </row>
    <row r="54" spans="1:25" x14ac:dyDescent="0.2">
      <c r="A54" s="121" t="s">
        <v>1211</v>
      </c>
      <c r="B54" s="122" t="s">
        <v>1211</v>
      </c>
      <c r="C54" s="122" t="s">
        <v>2054</v>
      </c>
      <c r="D54" s="122" t="s">
        <v>2055</v>
      </c>
      <c r="E54" s="122" t="s">
        <v>429</v>
      </c>
      <c r="F54" s="122" t="s">
        <v>2054</v>
      </c>
      <c r="G54" s="122" t="s">
        <v>2056</v>
      </c>
      <c r="H54" s="122" t="s">
        <v>76</v>
      </c>
      <c r="I54" s="122" t="s">
        <v>73</v>
      </c>
      <c r="J54" s="122" t="s">
        <v>53</v>
      </c>
      <c r="K54" s="122" t="s">
        <v>53</v>
      </c>
      <c r="L54" s="122" t="s">
        <v>805</v>
      </c>
      <c r="M54" s="122" t="s">
        <v>311</v>
      </c>
      <c r="N54" s="122" t="s">
        <v>258</v>
      </c>
      <c r="O54" s="122" t="s">
        <v>62</v>
      </c>
      <c r="P54" s="122" t="s">
        <v>1216</v>
      </c>
      <c r="Q54" s="123">
        <v>143000</v>
      </c>
      <c r="R54" s="123">
        <v>1</v>
      </c>
      <c r="S54" s="123">
        <v>745.1</v>
      </c>
      <c r="T54" s="122"/>
      <c r="U54" s="123">
        <v>1065.4929999999999</v>
      </c>
      <c r="V54" s="125">
        <v>1.41E-3</v>
      </c>
      <c r="W54" s="125">
        <v>3.62E-3</v>
      </c>
      <c r="X54" s="126">
        <v>9.1E-4</v>
      </c>
      <c r="Y54" s="161"/>
    </row>
    <row r="55" spans="1:25" x14ac:dyDescent="0.2">
      <c r="A55" s="121" t="s">
        <v>1211</v>
      </c>
      <c r="B55" s="122" t="s">
        <v>1211</v>
      </c>
      <c r="C55" s="122" t="s">
        <v>2057</v>
      </c>
      <c r="D55" s="122" t="s">
        <v>2058</v>
      </c>
      <c r="E55" s="122" t="s">
        <v>429</v>
      </c>
      <c r="F55" s="122" t="s">
        <v>2059</v>
      </c>
      <c r="G55" s="122" t="s">
        <v>2060</v>
      </c>
      <c r="H55" s="122" t="s">
        <v>76</v>
      </c>
      <c r="I55" s="122" t="s">
        <v>73</v>
      </c>
      <c r="J55" s="122" t="s">
        <v>53</v>
      </c>
      <c r="K55" s="122" t="s">
        <v>53</v>
      </c>
      <c r="L55" s="122" t="s">
        <v>805</v>
      </c>
      <c r="M55" s="122" t="s">
        <v>311</v>
      </c>
      <c r="N55" s="122" t="s">
        <v>634</v>
      </c>
      <c r="O55" s="122" t="s">
        <v>62</v>
      </c>
      <c r="P55" s="122" t="s">
        <v>1216</v>
      </c>
      <c r="Q55" s="123">
        <v>10283</v>
      </c>
      <c r="R55" s="123">
        <v>1</v>
      </c>
      <c r="S55" s="123">
        <v>9640</v>
      </c>
      <c r="T55" s="122"/>
      <c r="U55" s="123">
        <v>991.28099999999995</v>
      </c>
      <c r="V55" s="125">
        <v>4.0999999999999999E-4</v>
      </c>
      <c r="W55" s="125">
        <v>3.3700000000000002E-3</v>
      </c>
      <c r="X55" s="126">
        <v>8.4999999999999995E-4</v>
      </c>
      <c r="Y55" s="161"/>
    </row>
    <row r="56" spans="1:25" x14ac:dyDescent="0.2">
      <c r="A56" s="121" t="s">
        <v>1211</v>
      </c>
      <c r="B56" s="122" t="s">
        <v>1211</v>
      </c>
      <c r="C56" s="122" t="s">
        <v>2061</v>
      </c>
      <c r="D56" s="122" t="s">
        <v>2062</v>
      </c>
      <c r="E56" s="122" t="s">
        <v>429</v>
      </c>
      <c r="F56" s="122" t="s">
        <v>2063</v>
      </c>
      <c r="G56" s="122" t="s">
        <v>2064</v>
      </c>
      <c r="H56" s="122" t="s">
        <v>76</v>
      </c>
      <c r="I56" s="122" t="s">
        <v>73</v>
      </c>
      <c r="J56" s="122" t="s">
        <v>53</v>
      </c>
      <c r="K56" s="122" t="s">
        <v>53</v>
      </c>
      <c r="L56" s="122" t="s">
        <v>805</v>
      </c>
      <c r="M56" s="122" t="s">
        <v>311</v>
      </c>
      <c r="N56" s="122" t="s">
        <v>261</v>
      </c>
      <c r="O56" s="122" t="s">
        <v>62</v>
      </c>
      <c r="P56" s="122" t="s">
        <v>1216</v>
      </c>
      <c r="Q56" s="123">
        <v>19019</v>
      </c>
      <c r="R56" s="123">
        <v>1</v>
      </c>
      <c r="S56" s="123">
        <v>4954</v>
      </c>
      <c r="T56" s="122"/>
      <c r="U56" s="123">
        <v>942.20100000000002</v>
      </c>
      <c r="V56" s="125">
        <v>1.8000000000000001E-4</v>
      </c>
      <c r="W56" s="125">
        <v>3.2000000000000002E-3</v>
      </c>
      <c r="X56" s="126">
        <v>8.0000000000000004E-4</v>
      </c>
      <c r="Y56" s="161"/>
    </row>
    <row r="57" spans="1:25" x14ac:dyDescent="0.2">
      <c r="A57" s="121" t="s">
        <v>1211</v>
      </c>
      <c r="B57" s="122" t="s">
        <v>1211</v>
      </c>
      <c r="C57" s="122" t="s">
        <v>2065</v>
      </c>
      <c r="D57" s="122" t="s">
        <v>2066</v>
      </c>
      <c r="E57" s="122" t="s">
        <v>429</v>
      </c>
      <c r="F57" s="122" t="s">
        <v>2067</v>
      </c>
      <c r="G57" s="122" t="s">
        <v>2068</v>
      </c>
      <c r="H57" s="122" t="s">
        <v>76</v>
      </c>
      <c r="I57" s="122" t="s">
        <v>73</v>
      </c>
      <c r="J57" s="122" t="s">
        <v>53</v>
      </c>
      <c r="K57" s="122" t="s">
        <v>53</v>
      </c>
      <c r="L57" s="122" t="s">
        <v>805</v>
      </c>
      <c r="M57" s="122" t="s">
        <v>311</v>
      </c>
      <c r="N57" s="122" t="s">
        <v>140</v>
      </c>
      <c r="O57" s="122" t="s">
        <v>62</v>
      </c>
      <c r="P57" s="122" t="s">
        <v>1216</v>
      </c>
      <c r="Q57" s="123">
        <v>42442</v>
      </c>
      <c r="R57" s="123">
        <v>1</v>
      </c>
      <c r="S57" s="123">
        <v>2195</v>
      </c>
      <c r="T57" s="122"/>
      <c r="U57" s="123">
        <v>931.60199999999998</v>
      </c>
      <c r="V57" s="125">
        <v>1.4999999999999999E-4</v>
      </c>
      <c r="W57" s="125">
        <v>3.1700000000000001E-3</v>
      </c>
      <c r="X57" s="126">
        <v>7.9000000000000001E-4</v>
      </c>
      <c r="Y57" s="161"/>
    </row>
    <row r="58" spans="1:25" x14ac:dyDescent="0.2">
      <c r="A58" s="121" t="s">
        <v>1211</v>
      </c>
      <c r="B58" s="122" t="s">
        <v>1211</v>
      </c>
      <c r="C58" s="122" t="s">
        <v>2069</v>
      </c>
      <c r="D58" s="122" t="s">
        <v>2070</v>
      </c>
      <c r="E58" s="122" t="s">
        <v>429</v>
      </c>
      <c r="F58" s="122" t="s">
        <v>2071</v>
      </c>
      <c r="G58" s="122" t="s">
        <v>2072</v>
      </c>
      <c r="H58" s="122" t="s">
        <v>76</v>
      </c>
      <c r="I58" s="122" t="s">
        <v>73</v>
      </c>
      <c r="J58" s="122" t="s">
        <v>53</v>
      </c>
      <c r="K58" s="122" t="s">
        <v>53</v>
      </c>
      <c r="L58" s="122" t="s">
        <v>805</v>
      </c>
      <c r="M58" s="122" t="s">
        <v>311</v>
      </c>
      <c r="N58" s="122" t="s">
        <v>634</v>
      </c>
      <c r="O58" s="122" t="s">
        <v>62</v>
      </c>
      <c r="P58" s="122" t="s">
        <v>1216</v>
      </c>
      <c r="Q58" s="123">
        <v>106608</v>
      </c>
      <c r="R58" s="123">
        <v>1</v>
      </c>
      <c r="S58" s="123">
        <v>862.4</v>
      </c>
      <c r="T58" s="122"/>
      <c r="U58" s="123">
        <v>919.38699999999994</v>
      </c>
      <c r="V58" s="125">
        <v>9.7999999999999997E-4</v>
      </c>
      <c r="W58" s="125">
        <v>3.13E-3</v>
      </c>
      <c r="X58" s="126">
        <v>7.7999999999999999E-4</v>
      </c>
      <c r="Y58" s="161"/>
    </row>
    <row r="59" spans="1:25" x14ac:dyDescent="0.2">
      <c r="A59" s="121" t="s">
        <v>1211</v>
      </c>
      <c r="B59" s="122" t="s">
        <v>1211</v>
      </c>
      <c r="C59" s="122" t="s">
        <v>1442</v>
      </c>
      <c r="D59" s="122" t="s">
        <v>1443</v>
      </c>
      <c r="E59" s="122" t="s">
        <v>429</v>
      </c>
      <c r="F59" s="122" t="s">
        <v>2073</v>
      </c>
      <c r="G59" s="122" t="s">
        <v>2074</v>
      </c>
      <c r="H59" s="122" t="s">
        <v>76</v>
      </c>
      <c r="I59" s="122" t="s">
        <v>73</v>
      </c>
      <c r="J59" s="122" t="s">
        <v>53</v>
      </c>
      <c r="K59" s="122" t="s">
        <v>53</v>
      </c>
      <c r="L59" s="122" t="s">
        <v>805</v>
      </c>
      <c r="M59" s="122" t="s">
        <v>311</v>
      </c>
      <c r="N59" s="122" t="s">
        <v>635</v>
      </c>
      <c r="O59" s="122" t="s">
        <v>62</v>
      </c>
      <c r="P59" s="122" t="s">
        <v>1216</v>
      </c>
      <c r="Q59" s="123">
        <v>14597.09</v>
      </c>
      <c r="R59" s="123">
        <v>1</v>
      </c>
      <c r="S59" s="123">
        <v>6144</v>
      </c>
      <c r="T59" s="122"/>
      <c r="U59" s="123">
        <v>896.84500000000003</v>
      </c>
      <c r="V59" s="125">
        <v>1.1E-4</v>
      </c>
      <c r="W59" s="125">
        <v>3.0500000000000002E-3</v>
      </c>
      <c r="X59" s="126">
        <v>7.6000000000000004E-4</v>
      </c>
      <c r="Y59" s="161"/>
    </row>
    <row r="60" spans="1:25" x14ac:dyDescent="0.2">
      <c r="A60" s="121" t="s">
        <v>1211</v>
      </c>
      <c r="B60" s="122" t="s">
        <v>1211</v>
      </c>
      <c r="C60" s="122" t="s">
        <v>2075</v>
      </c>
      <c r="D60" s="122" t="s">
        <v>2076</v>
      </c>
      <c r="E60" s="122" t="s">
        <v>429</v>
      </c>
      <c r="F60" s="122" t="s">
        <v>2077</v>
      </c>
      <c r="G60" s="122" t="s">
        <v>2078</v>
      </c>
      <c r="H60" s="122" t="s">
        <v>76</v>
      </c>
      <c r="I60" s="122" t="s">
        <v>73</v>
      </c>
      <c r="J60" s="122" t="s">
        <v>53</v>
      </c>
      <c r="K60" s="122" t="s">
        <v>53</v>
      </c>
      <c r="L60" s="122" t="s">
        <v>805</v>
      </c>
      <c r="M60" s="122" t="s">
        <v>311</v>
      </c>
      <c r="N60" s="122" t="s">
        <v>252</v>
      </c>
      <c r="O60" s="122" t="s">
        <v>62</v>
      </c>
      <c r="P60" s="122" t="s">
        <v>1216</v>
      </c>
      <c r="Q60" s="123">
        <v>3445</v>
      </c>
      <c r="R60" s="123">
        <v>1</v>
      </c>
      <c r="S60" s="123">
        <v>25560</v>
      </c>
      <c r="T60" s="122"/>
      <c r="U60" s="123">
        <v>880.54200000000003</v>
      </c>
      <c r="V60" s="125">
        <v>1.4999999999999999E-4</v>
      </c>
      <c r="W60" s="125">
        <v>2.99E-3</v>
      </c>
      <c r="X60" s="126">
        <v>7.5000000000000002E-4</v>
      </c>
      <c r="Y60" s="161"/>
    </row>
    <row r="61" spans="1:25" x14ac:dyDescent="0.2">
      <c r="A61" s="121" t="s">
        <v>1211</v>
      </c>
      <c r="B61" s="122" t="s">
        <v>1211</v>
      </c>
      <c r="C61" s="122" t="s">
        <v>2079</v>
      </c>
      <c r="D61" s="122" t="s">
        <v>2080</v>
      </c>
      <c r="E61" s="122" t="s">
        <v>429</v>
      </c>
      <c r="F61" s="122" t="s">
        <v>2081</v>
      </c>
      <c r="G61" s="122" t="s">
        <v>2082</v>
      </c>
      <c r="H61" s="122" t="s">
        <v>76</v>
      </c>
      <c r="I61" s="122" t="s">
        <v>73</v>
      </c>
      <c r="J61" s="122" t="s">
        <v>53</v>
      </c>
      <c r="K61" s="122" t="s">
        <v>53</v>
      </c>
      <c r="L61" s="122" t="s">
        <v>805</v>
      </c>
      <c r="M61" s="122" t="s">
        <v>311</v>
      </c>
      <c r="N61" s="122" t="s">
        <v>692</v>
      </c>
      <c r="O61" s="122" t="s">
        <v>62</v>
      </c>
      <c r="P61" s="122" t="s">
        <v>1216</v>
      </c>
      <c r="Q61" s="123">
        <v>758649</v>
      </c>
      <c r="R61" s="123">
        <v>1</v>
      </c>
      <c r="S61" s="123">
        <v>113.5</v>
      </c>
      <c r="T61" s="123">
        <v>8.9600000000000009</v>
      </c>
      <c r="U61" s="123">
        <v>870.02700000000004</v>
      </c>
      <c r="V61" s="125">
        <v>5.9999999999999995E-4</v>
      </c>
      <c r="W61" s="125">
        <v>2.99E-3</v>
      </c>
      <c r="X61" s="126">
        <v>7.5000000000000002E-4</v>
      </c>
      <c r="Y61" s="161"/>
    </row>
    <row r="62" spans="1:25" x14ac:dyDescent="0.2">
      <c r="A62" s="121" t="s">
        <v>1211</v>
      </c>
      <c r="B62" s="122" t="s">
        <v>1211</v>
      </c>
      <c r="C62" s="122" t="s">
        <v>1650</v>
      </c>
      <c r="D62" s="122" t="s">
        <v>1651</v>
      </c>
      <c r="E62" s="122" t="s">
        <v>429</v>
      </c>
      <c r="F62" s="122" t="s">
        <v>2083</v>
      </c>
      <c r="G62" s="122" t="s">
        <v>2084</v>
      </c>
      <c r="H62" s="122" t="s">
        <v>76</v>
      </c>
      <c r="I62" s="122" t="s">
        <v>73</v>
      </c>
      <c r="J62" s="122" t="s">
        <v>53</v>
      </c>
      <c r="K62" s="122" t="s">
        <v>53</v>
      </c>
      <c r="L62" s="122" t="s">
        <v>805</v>
      </c>
      <c r="M62" s="122" t="s">
        <v>311</v>
      </c>
      <c r="N62" s="122" t="s">
        <v>156</v>
      </c>
      <c r="O62" s="122" t="s">
        <v>62</v>
      </c>
      <c r="P62" s="122" t="s">
        <v>1216</v>
      </c>
      <c r="Q62" s="123">
        <v>957922</v>
      </c>
      <c r="R62" s="123">
        <v>1</v>
      </c>
      <c r="S62" s="123">
        <v>89.4</v>
      </c>
      <c r="T62" s="122"/>
      <c r="U62" s="123">
        <v>856.38199999999995</v>
      </c>
      <c r="V62" s="125">
        <v>2.9999999999999997E-4</v>
      </c>
      <c r="W62" s="125">
        <v>2.9099999999999998E-3</v>
      </c>
      <c r="X62" s="126">
        <v>7.2999999999999996E-4</v>
      </c>
      <c r="Y62" s="161"/>
    </row>
    <row r="63" spans="1:25" x14ac:dyDescent="0.2">
      <c r="A63" s="121" t="s">
        <v>1211</v>
      </c>
      <c r="B63" s="122" t="s">
        <v>1211</v>
      </c>
      <c r="C63" s="122" t="s">
        <v>1829</v>
      </c>
      <c r="D63" s="122" t="s">
        <v>1830</v>
      </c>
      <c r="E63" s="122" t="s">
        <v>429</v>
      </c>
      <c r="F63" s="122" t="s">
        <v>2085</v>
      </c>
      <c r="G63" s="122" t="s">
        <v>2086</v>
      </c>
      <c r="H63" s="122" t="s">
        <v>76</v>
      </c>
      <c r="I63" s="122" t="s">
        <v>73</v>
      </c>
      <c r="J63" s="122" t="s">
        <v>53</v>
      </c>
      <c r="K63" s="122" t="s">
        <v>53</v>
      </c>
      <c r="L63" s="122" t="s">
        <v>805</v>
      </c>
      <c r="M63" s="122" t="s">
        <v>311</v>
      </c>
      <c r="N63" s="122" t="s">
        <v>267</v>
      </c>
      <c r="O63" s="122" t="s">
        <v>62</v>
      </c>
      <c r="P63" s="122" t="s">
        <v>1216</v>
      </c>
      <c r="Q63" s="123">
        <v>317658.3</v>
      </c>
      <c r="R63" s="123">
        <v>1</v>
      </c>
      <c r="S63" s="123">
        <v>246.2</v>
      </c>
      <c r="T63" s="122"/>
      <c r="U63" s="123">
        <v>782.07500000000005</v>
      </c>
      <c r="V63" s="125">
        <v>1.2E-4</v>
      </c>
      <c r="W63" s="125">
        <v>2.66E-3</v>
      </c>
      <c r="X63" s="126">
        <v>6.7000000000000002E-4</v>
      </c>
      <c r="Y63" s="161"/>
    </row>
    <row r="64" spans="1:25" x14ac:dyDescent="0.2">
      <c r="A64" s="121" t="s">
        <v>1211</v>
      </c>
      <c r="B64" s="122" t="s">
        <v>1211</v>
      </c>
      <c r="C64" s="122" t="s">
        <v>2087</v>
      </c>
      <c r="D64" s="122" t="s">
        <v>2088</v>
      </c>
      <c r="E64" s="122" t="s">
        <v>429</v>
      </c>
      <c r="F64" s="122" t="s">
        <v>2089</v>
      </c>
      <c r="G64" s="122" t="s">
        <v>2090</v>
      </c>
      <c r="H64" s="122" t="s">
        <v>76</v>
      </c>
      <c r="I64" s="122" t="s">
        <v>73</v>
      </c>
      <c r="J64" s="122" t="s">
        <v>53</v>
      </c>
      <c r="K64" s="122" t="s">
        <v>53</v>
      </c>
      <c r="L64" s="122" t="s">
        <v>805</v>
      </c>
      <c r="M64" s="122" t="s">
        <v>311</v>
      </c>
      <c r="N64" s="122" t="s">
        <v>262</v>
      </c>
      <c r="O64" s="122" t="s">
        <v>62</v>
      </c>
      <c r="P64" s="122" t="s">
        <v>1216</v>
      </c>
      <c r="Q64" s="123">
        <v>4387</v>
      </c>
      <c r="R64" s="123">
        <v>1</v>
      </c>
      <c r="S64" s="123">
        <v>17410</v>
      </c>
      <c r="T64" s="122"/>
      <c r="U64" s="123">
        <v>763.77700000000004</v>
      </c>
      <c r="V64" s="125">
        <v>1.6000000000000001E-4</v>
      </c>
      <c r="W64" s="125">
        <v>2.5999999999999999E-3</v>
      </c>
      <c r="X64" s="126">
        <v>6.4999999999999997E-4</v>
      </c>
      <c r="Y64" s="161"/>
    </row>
    <row r="65" spans="1:25" x14ac:dyDescent="0.2">
      <c r="A65" s="121" t="s">
        <v>1211</v>
      </c>
      <c r="B65" s="122" t="s">
        <v>1211</v>
      </c>
      <c r="C65" s="122" t="s">
        <v>2091</v>
      </c>
      <c r="D65" s="122" t="s">
        <v>2092</v>
      </c>
      <c r="E65" s="122" t="s">
        <v>429</v>
      </c>
      <c r="F65" s="122" t="s">
        <v>2093</v>
      </c>
      <c r="G65" s="122" t="s">
        <v>2094</v>
      </c>
      <c r="H65" s="122" t="s">
        <v>76</v>
      </c>
      <c r="I65" s="122" t="s">
        <v>73</v>
      </c>
      <c r="J65" s="122" t="s">
        <v>53</v>
      </c>
      <c r="K65" s="122" t="s">
        <v>53</v>
      </c>
      <c r="L65" s="122" t="s">
        <v>805</v>
      </c>
      <c r="M65" s="122" t="s">
        <v>311</v>
      </c>
      <c r="N65" s="122" t="s">
        <v>636</v>
      </c>
      <c r="O65" s="122" t="s">
        <v>62</v>
      </c>
      <c r="P65" s="122" t="s">
        <v>1216</v>
      </c>
      <c r="Q65" s="123">
        <v>103133</v>
      </c>
      <c r="R65" s="123">
        <v>1</v>
      </c>
      <c r="S65" s="123">
        <v>726.7</v>
      </c>
      <c r="T65" s="122"/>
      <c r="U65" s="123">
        <v>749.46799999999996</v>
      </c>
      <c r="V65" s="125">
        <v>1.5200000000000001E-3</v>
      </c>
      <c r="W65" s="125">
        <v>2.5500000000000002E-3</v>
      </c>
      <c r="X65" s="126">
        <v>6.4000000000000005E-4</v>
      </c>
      <c r="Y65" s="161"/>
    </row>
    <row r="66" spans="1:25" x14ac:dyDescent="0.2">
      <c r="A66" s="121" t="s">
        <v>1211</v>
      </c>
      <c r="B66" s="122" t="s">
        <v>1211</v>
      </c>
      <c r="C66" s="122" t="s">
        <v>2095</v>
      </c>
      <c r="D66" s="122" t="s">
        <v>2096</v>
      </c>
      <c r="E66" s="122" t="s">
        <v>429</v>
      </c>
      <c r="F66" s="122" t="s">
        <v>2095</v>
      </c>
      <c r="G66" s="122" t="s">
        <v>2097</v>
      </c>
      <c r="H66" s="122" t="s">
        <v>76</v>
      </c>
      <c r="I66" s="122" t="s">
        <v>73</v>
      </c>
      <c r="J66" s="122" t="s">
        <v>53</v>
      </c>
      <c r="K66" s="122" t="s">
        <v>53</v>
      </c>
      <c r="L66" s="122" t="s">
        <v>805</v>
      </c>
      <c r="M66" s="122" t="s">
        <v>311</v>
      </c>
      <c r="N66" s="122" t="s">
        <v>255</v>
      </c>
      <c r="O66" s="122" t="s">
        <v>62</v>
      </c>
      <c r="P66" s="122" t="s">
        <v>1216</v>
      </c>
      <c r="Q66" s="123">
        <v>31372.5</v>
      </c>
      <c r="R66" s="123">
        <v>1</v>
      </c>
      <c r="S66" s="123">
        <v>2350</v>
      </c>
      <c r="T66" s="122"/>
      <c r="U66" s="123">
        <v>737.25400000000002</v>
      </c>
      <c r="V66" s="125">
        <v>2.2000000000000001E-4</v>
      </c>
      <c r="W66" s="125">
        <v>2.5100000000000001E-3</v>
      </c>
      <c r="X66" s="126">
        <v>6.3000000000000003E-4</v>
      </c>
      <c r="Y66" s="161"/>
    </row>
    <row r="67" spans="1:25" x14ac:dyDescent="0.2">
      <c r="A67" s="121" t="s">
        <v>1211</v>
      </c>
      <c r="B67" s="122" t="s">
        <v>1211</v>
      </c>
      <c r="C67" s="122" t="s">
        <v>2098</v>
      </c>
      <c r="D67" s="122" t="s">
        <v>2099</v>
      </c>
      <c r="E67" s="122" t="s">
        <v>429</v>
      </c>
      <c r="F67" s="122" t="s">
        <v>2100</v>
      </c>
      <c r="G67" s="122" t="s">
        <v>2101</v>
      </c>
      <c r="H67" s="122" t="s">
        <v>76</v>
      </c>
      <c r="I67" s="122" t="s">
        <v>73</v>
      </c>
      <c r="J67" s="122" t="s">
        <v>53</v>
      </c>
      <c r="K67" s="122" t="s">
        <v>53</v>
      </c>
      <c r="L67" s="122" t="s">
        <v>805</v>
      </c>
      <c r="M67" s="122" t="s">
        <v>311</v>
      </c>
      <c r="N67" s="122" t="s">
        <v>692</v>
      </c>
      <c r="O67" s="122" t="s">
        <v>62</v>
      </c>
      <c r="P67" s="122" t="s">
        <v>1216</v>
      </c>
      <c r="Q67" s="123">
        <v>951000</v>
      </c>
      <c r="R67" s="123">
        <v>1</v>
      </c>
      <c r="S67" s="123">
        <v>75.2</v>
      </c>
      <c r="T67" s="122"/>
      <c r="U67" s="123">
        <v>715.15200000000004</v>
      </c>
      <c r="V67" s="125">
        <v>3.0899999999999999E-3</v>
      </c>
      <c r="W67" s="125">
        <v>2.4299999999999999E-3</v>
      </c>
      <c r="X67" s="126">
        <v>6.0999999999999997E-4</v>
      </c>
      <c r="Y67" s="161"/>
    </row>
    <row r="68" spans="1:25" x14ac:dyDescent="0.2">
      <c r="A68" s="121" t="s">
        <v>1211</v>
      </c>
      <c r="B68" s="122" t="s">
        <v>1211</v>
      </c>
      <c r="C68" s="122" t="s">
        <v>2102</v>
      </c>
      <c r="D68" s="122" t="s">
        <v>2103</v>
      </c>
      <c r="E68" s="122" t="s">
        <v>429</v>
      </c>
      <c r="F68" s="122" t="s">
        <v>2104</v>
      </c>
      <c r="G68" s="122" t="s">
        <v>2105</v>
      </c>
      <c r="H68" s="122" t="s">
        <v>76</v>
      </c>
      <c r="I68" s="122" t="s">
        <v>73</v>
      </c>
      <c r="J68" s="122" t="s">
        <v>53</v>
      </c>
      <c r="K68" s="122" t="s">
        <v>53</v>
      </c>
      <c r="L68" s="122" t="s">
        <v>805</v>
      </c>
      <c r="M68" s="122" t="s">
        <v>311</v>
      </c>
      <c r="N68" s="122" t="s">
        <v>140</v>
      </c>
      <c r="O68" s="122" t="s">
        <v>62</v>
      </c>
      <c r="P68" s="122" t="s">
        <v>1216</v>
      </c>
      <c r="Q68" s="123">
        <v>35229</v>
      </c>
      <c r="R68" s="123">
        <v>1</v>
      </c>
      <c r="S68" s="123">
        <v>2021</v>
      </c>
      <c r="T68" s="122"/>
      <c r="U68" s="123">
        <v>711.97799999999995</v>
      </c>
      <c r="V68" s="125">
        <v>1.7000000000000001E-4</v>
      </c>
      <c r="W68" s="125">
        <v>2.4199999999999998E-3</v>
      </c>
      <c r="X68" s="126">
        <v>6.0999999999999997E-4</v>
      </c>
      <c r="Y68" s="161"/>
    </row>
    <row r="69" spans="1:25" x14ac:dyDescent="0.2">
      <c r="A69" s="121" t="s">
        <v>1211</v>
      </c>
      <c r="B69" s="122" t="s">
        <v>1211</v>
      </c>
      <c r="C69" s="122" t="s">
        <v>2106</v>
      </c>
      <c r="D69" s="122" t="s">
        <v>2107</v>
      </c>
      <c r="E69" s="122" t="s">
        <v>429</v>
      </c>
      <c r="F69" s="122" t="s">
        <v>2108</v>
      </c>
      <c r="G69" s="122" t="s">
        <v>2109</v>
      </c>
      <c r="H69" s="122" t="s">
        <v>76</v>
      </c>
      <c r="I69" s="122" t="s">
        <v>73</v>
      </c>
      <c r="J69" s="122" t="s">
        <v>53</v>
      </c>
      <c r="K69" s="122" t="s">
        <v>53</v>
      </c>
      <c r="L69" s="122" t="s">
        <v>805</v>
      </c>
      <c r="M69" s="122" t="s">
        <v>311</v>
      </c>
      <c r="N69" s="122" t="s">
        <v>269</v>
      </c>
      <c r="O69" s="122" t="s">
        <v>62</v>
      </c>
      <c r="P69" s="122" t="s">
        <v>1216</v>
      </c>
      <c r="Q69" s="123">
        <v>10440</v>
      </c>
      <c r="R69" s="123">
        <v>1</v>
      </c>
      <c r="S69" s="123">
        <v>6741</v>
      </c>
      <c r="T69" s="122"/>
      <c r="U69" s="123">
        <v>703.76</v>
      </c>
      <c r="V69" s="125">
        <v>3.8000000000000002E-4</v>
      </c>
      <c r="W69" s="125">
        <v>2.3900000000000002E-3</v>
      </c>
      <c r="X69" s="126">
        <v>5.9999999999999995E-4</v>
      </c>
      <c r="Y69" s="161"/>
    </row>
    <row r="70" spans="1:25" x14ac:dyDescent="0.2">
      <c r="A70" s="121" t="s">
        <v>1211</v>
      </c>
      <c r="B70" s="122" t="s">
        <v>1211</v>
      </c>
      <c r="C70" s="122" t="s">
        <v>2110</v>
      </c>
      <c r="D70" s="122" t="s">
        <v>2111</v>
      </c>
      <c r="E70" s="122" t="s">
        <v>429</v>
      </c>
      <c r="F70" s="122" t="s">
        <v>2112</v>
      </c>
      <c r="G70" s="122" t="s">
        <v>2113</v>
      </c>
      <c r="H70" s="122" t="s">
        <v>76</v>
      </c>
      <c r="I70" s="122" t="s">
        <v>73</v>
      </c>
      <c r="J70" s="122" t="s">
        <v>53</v>
      </c>
      <c r="K70" s="122" t="s">
        <v>53</v>
      </c>
      <c r="L70" s="122" t="s">
        <v>805</v>
      </c>
      <c r="M70" s="122" t="s">
        <v>311</v>
      </c>
      <c r="N70" s="122" t="s">
        <v>269</v>
      </c>
      <c r="O70" s="122" t="s">
        <v>62</v>
      </c>
      <c r="P70" s="122" t="s">
        <v>1216</v>
      </c>
      <c r="Q70" s="123">
        <v>3348</v>
      </c>
      <c r="R70" s="123">
        <v>1</v>
      </c>
      <c r="S70" s="123">
        <v>20440</v>
      </c>
      <c r="T70" s="122"/>
      <c r="U70" s="123">
        <v>684.33100000000002</v>
      </c>
      <c r="V70" s="125">
        <v>2.3000000000000001E-4</v>
      </c>
      <c r="W70" s="125">
        <v>2.33E-3</v>
      </c>
      <c r="X70" s="126">
        <v>5.8E-4</v>
      </c>
      <c r="Y70" s="161"/>
    </row>
    <row r="71" spans="1:25" x14ac:dyDescent="0.2">
      <c r="A71" s="121" t="s">
        <v>1211</v>
      </c>
      <c r="B71" s="122" t="s">
        <v>1211</v>
      </c>
      <c r="C71" s="122" t="s">
        <v>2114</v>
      </c>
      <c r="D71" s="122" t="s">
        <v>2115</v>
      </c>
      <c r="E71" s="122" t="s">
        <v>429</v>
      </c>
      <c r="F71" s="122" t="s">
        <v>2116</v>
      </c>
      <c r="G71" s="122" t="s">
        <v>2117</v>
      </c>
      <c r="H71" s="122" t="s">
        <v>76</v>
      </c>
      <c r="I71" s="122" t="s">
        <v>73</v>
      </c>
      <c r="J71" s="122" t="s">
        <v>53</v>
      </c>
      <c r="K71" s="122" t="s">
        <v>53</v>
      </c>
      <c r="L71" s="122" t="s">
        <v>805</v>
      </c>
      <c r="M71" s="122" t="s">
        <v>311</v>
      </c>
      <c r="N71" s="122" t="s">
        <v>265</v>
      </c>
      <c r="O71" s="122" t="s">
        <v>62</v>
      </c>
      <c r="P71" s="122" t="s">
        <v>1216</v>
      </c>
      <c r="Q71" s="123">
        <v>62199</v>
      </c>
      <c r="R71" s="123">
        <v>1</v>
      </c>
      <c r="S71" s="123">
        <v>1060</v>
      </c>
      <c r="T71" s="122"/>
      <c r="U71" s="123">
        <v>659.30899999999997</v>
      </c>
      <c r="V71" s="125">
        <v>5.8E-4</v>
      </c>
      <c r="W71" s="125">
        <v>2.2399999999999998E-3</v>
      </c>
      <c r="X71" s="126">
        <v>5.5999999999999995E-4</v>
      </c>
      <c r="Y71" s="161"/>
    </row>
    <row r="72" spans="1:25" x14ac:dyDescent="0.2">
      <c r="A72" s="121" t="s">
        <v>1211</v>
      </c>
      <c r="B72" s="122" t="s">
        <v>1211</v>
      </c>
      <c r="C72" s="122" t="s">
        <v>1812</v>
      </c>
      <c r="D72" s="122" t="s">
        <v>1813</v>
      </c>
      <c r="E72" s="122" t="s">
        <v>429</v>
      </c>
      <c r="F72" s="122" t="s">
        <v>2118</v>
      </c>
      <c r="G72" s="122" t="s">
        <v>2119</v>
      </c>
      <c r="H72" s="122" t="s">
        <v>76</v>
      </c>
      <c r="I72" s="122" t="s">
        <v>73</v>
      </c>
      <c r="J72" s="122" t="s">
        <v>53</v>
      </c>
      <c r="K72" s="122" t="s">
        <v>53</v>
      </c>
      <c r="L72" s="122" t="s">
        <v>805</v>
      </c>
      <c r="M72" s="122" t="s">
        <v>311</v>
      </c>
      <c r="N72" s="122" t="s">
        <v>635</v>
      </c>
      <c r="O72" s="122" t="s">
        <v>62</v>
      </c>
      <c r="P72" s="122" t="s">
        <v>1216</v>
      </c>
      <c r="Q72" s="123">
        <v>26764</v>
      </c>
      <c r="R72" s="123">
        <v>1</v>
      </c>
      <c r="S72" s="123">
        <v>2450</v>
      </c>
      <c r="T72" s="122"/>
      <c r="U72" s="123">
        <v>655.71799999999996</v>
      </c>
      <c r="V72" s="125">
        <v>1.2999999999999999E-4</v>
      </c>
      <c r="W72" s="125">
        <v>2.2300000000000002E-3</v>
      </c>
      <c r="X72" s="126">
        <v>5.5999999999999995E-4</v>
      </c>
      <c r="Y72" s="161"/>
    </row>
    <row r="73" spans="1:25" x14ac:dyDescent="0.2">
      <c r="A73" s="121" t="s">
        <v>1211</v>
      </c>
      <c r="B73" s="122" t="s">
        <v>1211</v>
      </c>
      <c r="C73" s="122" t="s">
        <v>2120</v>
      </c>
      <c r="D73" s="122" t="s">
        <v>2121</v>
      </c>
      <c r="E73" s="122" t="s">
        <v>429</v>
      </c>
      <c r="F73" s="122" t="s">
        <v>2122</v>
      </c>
      <c r="G73" s="122" t="s">
        <v>2123</v>
      </c>
      <c r="H73" s="122" t="s">
        <v>76</v>
      </c>
      <c r="I73" s="122" t="s">
        <v>73</v>
      </c>
      <c r="J73" s="122" t="s">
        <v>53</v>
      </c>
      <c r="K73" s="122" t="s">
        <v>53</v>
      </c>
      <c r="L73" s="122" t="s">
        <v>805</v>
      </c>
      <c r="M73" s="122" t="s">
        <v>311</v>
      </c>
      <c r="N73" s="122" t="s">
        <v>256</v>
      </c>
      <c r="O73" s="122" t="s">
        <v>62</v>
      </c>
      <c r="P73" s="122" t="s">
        <v>1216</v>
      </c>
      <c r="Q73" s="123">
        <v>2598</v>
      </c>
      <c r="R73" s="123">
        <v>1</v>
      </c>
      <c r="S73" s="123">
        <v>25140</v>
      </c>
      <c r="T73" s="122"/>
      <c r="U73" s="123">
        <v>653.13699999999994</v>
      </c>
      <c r="V73" s="125">
        <v>6.9999999999999994E-5</v>
      </c>
      <c r="W73" s="125">
        <v>2.2200000000000002E-3</v>
      </c>
      <c r="X73" s="126">
        <v>5.5999999999999995E-4</v>
      </c>
      <c r="Y73" s="161"/>
    </row>
    <row r="74" spans="1:25" x14ac:dyDescent="0.2">
      <c r="A74" s="121" t="s">
        <v>1211</v>
      </c>
      <c r="B74" s="122" t="s">
        <v>1211</v>
      </c>
      <c r="C74" s="122" t="s">
        <v>2124</v>
      </c>
      <c r="D74" s="122" t="s">
        <v>2125</v>
      </c>
      <c r="E74" s="122" t="s">
        <v>429</v>
      </c>
      <c r="F74" s="122" t="s">
        <v>2126</v>
      </c>
      <c r="G74" s="122" t="s">
        <v>2127</v>
      </c>
      <c r="H74" s="122" t="s">
        <v>76</v>
      </c>
      <c r="I74" s="122" t="s">
        <v>73</v>
      </c>
      <c r="J74" s="122" t="s">
        <v>53</v>
      </c>
      <c r="K74" s="122" t="s">
        <v>53</v>
      </c>
      <c r="L74" s="122" t="s">
        <v>805</v>
      </c>
      <c r="M74" s="122" t="s">
        <v>311</v>
      </c>
      <c r="N74" s="122" t="s">
        <v>638</v>
      </c>
      <c r="O74" s="122" t="s">
        <v>62</v>
      </c>
      <c r="P74" s="122" t="s">
        <v>1216</v>
      </c>
      <c r="Q74" s="123">
        <v>16389</v>
      </c>
      <c r="R74" s="123">
        <v>1</v>
      </c>
      <c r="S74" s="123">
        <v>3811</v>
      </c>
      <c r="T74" s="122"/>
      <c r="U74" s="123">
        <v>624.58500000000004</v>
      </c>
      <c r="V74" s="125">
        <v>6.4000000000000005E-4</v>
      </c>
      <c r="W74" s="125">
        <v>2.1199999999999999E-3</v>
      </c>
      <c r="X74" s="126">
        <v>5.2999999999999998E-4</v>
      </c>
      <c r="Y74" s="161"/>
    </row>
    <row r="75" spans="1:25" x14ac:dyDescent="0.2">
      <c r="A75" s="121" t="s">
        <v>1211</v>
      </c>
      <c r="B75" s="122" t="s">
        <v>1211</v>
      </c>
      <c r="C75" s="122" t="s">
        <v>2128</v>
      </c>
      <c r="D75" s="122" t="s">
        <v>2129</v>
      </c>
      <c r="E75" s="122" t="s">
        <v>429</v>
      </c>
      <c r="F75" s="122" t="s">
        <v>2130</v>
      </c>
      <c r="G75" s="122" t="s">
        <v>2131</v>
      </c>
      <c r="H75" s="122" t="s">
        <v>76</v>
      </c>
      <c r="I75" s="122" t="s">
        <v>73</v>
      </c>
      <c r="J75" s="122" t="s">
        <v>53</v>
      </c>
      <c r="K75" s="122" t="s">
        <v>53</v>
      </c>
      <c r="L75" s="122" t="s">
        <v>805</v>
      </c>
      <c r="M75" s="122" t="s">
        <v>311</v>
      </c>
      <c r="N75" s="122" t="s">
        <v>252</v>
      </c>
      <c r="O75" s="122" t="s">
        <v>62</v>
      </c>
      <c r="P75" s="122" t="s">
        <v>1216</v>
      </c>
      <c r="Q75" s="123">
        <v>6995</v>
      </c>
      <c r="R75" s="123">
        <v>1</v>
      </c>
      <c r="S75" s="123">
        <v>8089</v>
      </c>
      <c r="T75" s="122"/>
      <c r="U75" s="123">
        <v>565.82600000000002</v>
      </c>
      <c r="V75" s="125">
        <v>1E-4</v>
      </c>
      <c r="W75" s="125">
        <v>1.92E-3</v>
      </c>
      <c r="X75" s="126">
        <v>4.8000000000000001E-4</v>
      </c>
      <c r="Y75" s="161"/>
    </row>
    <row r="76" spans="1:25" x14ac:dyDescent="0.2">
      <c r="A76" s="121" t="s">
        <v>1211</v>
      </c>
      <c r="B76" s="122" t="s">
        <v>1211</v>
      </c>
      <c r="C76" s="122" t="s">
        <v>2132</v>
      </c>
      <c r="D76" s="122" t="s">
        <v>2133</v>
      </c>
      <c r="E76" s="122" t="s">
        <v>429</v>
      </c>
      <c r="F76" s="122" t="s">
        <v>2134</v>
      </c>
      <c r="G76" s="122" t="s">
        <v>2135</v>
      </c>
      <c r="H76" s="122" t="s">
        <v>76</v>
      </c>
      <c r="I76" s="122" t="s">
        <v>73</v>
      </c>
      <c r="J76" s="122" t="s">
        <v>53</v>
      </c>
      <c r="K76" s="122" t="s">
        <v>53</v>
      </c>
      <c r="L76" s="122" t="s">
        <v>805</v>
      </c>
      <c r="M76" s="122" t="s">
        <v>311</v>
      </c>
      <c r="N76" s="122" t="s">
        <v>631</v>
      </c>
      <c r="O76" s="122" t="s">
        <v>62</v>
      </c>
      <c r="P76" s="122" t="s">
        <v>1216</v>
      </c>
      <c r="Q76" s="123">
        <v>39177.58</v>
      </c>
      <c r="R76" s="123">
        <v>1</v>
      </c>
      <c r="S76" s="123">
        <v>1428</v>
      </c>
      <c r="T76" s="122"/>
      <c r="U76" s="123">
        <v>559.45600000000002</v>
      </c>
      <c r="V76" s="125">
        <v>6.9999999999999994E-5</v>
      </c>
      <c r="W76" s="125">
        <v>1.9E-3</v>
      </c>
      <c r="X76" s="126">
        <v>4.8000000000000001E-4</v>
      </c>
      <c r="Y76" s="161"/>
    </row>
    <row r="77" spans="1:25" x14ac:dyDescent="0.2">
      <c r="A77" s="121" t="s">
        <v>1211</v>
      </c>
      <c r="B77" s="122" t="s">
        <v>1211</v>
      </c>
      <c r="C77" s="122" t="s">
        <v>2136</v>
      </c>
      <c r="D77" s="122" t="s">
        <v>2137</v>
      </c>
      <c r="E77" s="122" t="s">
        <v>429</v>
      </c>
      <c r="F77" s="122" t="s">
        <v>2138</v>
      </c>
      <c r="G77" s="122" t="s">
        <v>2139</v>
      </c>
      <c r="H77" s="122" t="s">
        <v>76</v>
      </c>
      <c r="I77" s="122" t="s">
        <v>73</v>
      </c>
      <c r="J77" s="122" t="s">
        <v>53</v>
      </c>
      <c r="K77" s="122" t="s">
        <v>53</v>
      </c>
      <c r="L77" s="122" t="s">
        <v>805</v>
      </c>
      <c r="M77" s="122" t="s">
        <v>311</v>
      </c>
      <c r="N77" s="122" t="s">
        <v>264</v>
      </c>
      <c r="O77" s="122" t="s">
        <v>62</v>
      </c>
      <c r="P77" s="122" t="s">
        <v>1216</v>
      </c>
      <c r="Q77" s="123">
        <v>50000</v>
      </c>
      <c r="R77" s="123">
        <v>1</v>
      </c>
      <c r="S77" s="123">
        <v>1074</v>
      </c>
      <c r="T77" s="122"/>
      <c r="U77" s="123">
        <v>537</v>
      </c>
      <c r="V77" s="125">
        <v>6.8999999999999997E-4</v>
      </c>
      <c r="W77" s="125">
        <v>1.83E-3</v>
      </c>
      <c r="X77" s="126">
        <v>4.6000000000000001E-4</v>
      </c>
      <c r="Y77" s="161"/>
    </row>
    <row r="78" spans="1:25" x14ac:dyDescent="0.2">
      <c r="A78" s="121" t="s">
        <v>1211</v>
      </c>
      <c r="B78" s="122" t="s">
        <v>1211</v>
      </c>
      <c r="C78" s="122" t="s">
        <v>2140</v>
      </c>
      <c r="D78" s="122" t="s">
        <v>2141</v>
      </c>
      <c r="E78" s="122" t="s">
        <v>429</v>
      </c>
      <c r="F78" s="122" t="s">
        <v>2142</v>
      </c>
      <c r="G78" s="122" t="s">
        <v>2143</v>
      </c>
      <c r="H78" s="122" t="s">
        <v>76</v>
      </c>
      <c r="I78" s="122" t="s">
        <v>73</v>
      </c>
      <c r="J78" s="122" t="s">
        <v>53</v>
      </c>
      <c r="K78" s="122" t="s">
        <v>53</v>
      </c>
      <c r="L78" s="122" t="s">
        <v>805</v>
      </c>
      <c r="M78" s="122" t="s">
        <v>311</v>
      </c>
      <c r="N78" s="122" t="s">
        <v>636</v>
      </c>
      <c r="O78" s="122" t="s">
        <v>62</v>
      </c>
      <c r="P78" s="122" t="s">
        <v>1216</v>
      </c>
      <c r="Q78" s="123">
        <v>8343</v>
      </c>
      <c r="R78" s="123">
        <v>1</v>
      </c>
      <c r="S78" s="123">
        <v>6396</v>
      </c>
      <c r="T78" s="122"/>
      <c r="U78" s="123">
        <v>533.61800000000005</v>
      </c>
      <c r="V78" s="125">
        <v>1.1E-4</v>
      </c>
      <c r="W78" s="125">
        <v>1.81E-3</v>
      </c>
      <c r="X78" s="126">
        <v>4.4999999999999999E-4</v>
      </c>
      <c r="Y78" s="161"/>
    </row>
    <row r="79" spans="1:25" x14ac:dyDescent="0.2">
      <c r="A79" s="121" t="s">
        <v>1211</v>
      </c>
      <c r="B79" s="122" t="s">
        <v>1211</v>
      </c>
      <c r="C79" s="122" t="s">
        <v>2144</v>
      </c>
      <c r="D79" s="122" t="s">
        <v>2145</v>
      </c>
      <c r="E79" s="122" t="s">
        <v>429</v>
      </c>
      <c r="F79" s="122" t="s">
        <v>2146</v>
      </c>
      <c r="G79" s="122" t="s">
        <v>2147</v>
      </c>
      <c r="H79" s="122" t="s">
        <v>76</v>
      </c>
      <c r="I79" s="122" t="s">
        <v>73</v>
      </c>
      <c r="J79" s="122" t="s">
        <v>53</v>
      </c>
      <c r="K79" s="122" t="s">
        <v>53</v>
      </c>
      <c r="L79" s="122" t="s">
        <v>805</v>
      </c>
      <c r="M79" s="122" t="s">
        <v>311</v>
      </c>
      <c r="N79" s="122" t="s">
        <v>140</v>
      </c>
      <c r="O79" s="122" t="s">
        <v>62</v>
      </c>
      <c r="P79" s="122" t="s">
        <v>1216</v>
      </c>
      <c r="Q79" s="123">
        <v>76070</v>
      </c>
      <c r="R79" s="123">
        <v>1</v>
      </c>
      <c r="S79" s="123">
        <v>690</v>
      </c>
      <c r="T79" s="122"/>
      <c r="U79" s="123">
        <v>524.88300000000004</v>
      </c>
      <c r="V79" s="125">
        <v>8.7000000000000001E-4</v>
      </c>
      <c r="W79" s="125">
        <v>1.7799999999999999E-3</v>
      </c>
      <c r="X79" s="126">
        <v>4.4999999999999999E-4</v>
      </c>
      <c r="Y79" s="161"/>
    </row>
    <row r="80" spans="1:25" x14ac:dyDescent="0.2">
      <c r="A80" s="121" t="s">
        <v>1211</v>
      </c>
      <c r="B80" s="122" t="s">
        <v>1211</v>
      </c>
      <c r="C80" s="122" t="s">
        <v>1562</v>
      </c>
      <c r="D80" s="122" t="s">
        <v>1563</v>
      </c>
      <c r="E80" s="122" t="s">
        <v>429</v>
      </c>
      <c r="F80" s="122" t="s">
        <v>2148</v>
      </c>
      <c r="G80" s="122" t="s">
        <v>2149</v>
      </c>
      <c r="H80" s="122" t="s">
        <v>76</v>
      </c>
      <c r="I80" s="122" t="s">
        <v>73</v>
      </c>
      <c r="J80" s="122" t="s">
        <v>53</v>
      </c>
      <c r="K80" s="122" t="s">
        <v>53</v>
      </c>
      <c r="L80" s="122" t="s">
        <v>805</v>
      </c>
      <c r="M80" s="122" t="s">
        <v>311</v>
      </c>
      <c r="N80" s="122" t="s">
        <v>140</v>
      </c>
      <c r="O80" s="122" t="s">
        <v>62</v>
      </c>
      <c r="P80" s="122" t="s">
        <v>1216</v>
      </c>
      <c r="Q80" s="123">
        <v>9800</v>
      </c>
      <c r="R80" s="123">
        <v>1</v>
      </c>
      <c r="S80" s="123">
        <v>4656</v>
      </c>
      <c r="T80" s="122"/>
      <c r="U80" s="123">
        <v>456.28800000000001</v>
      </c>
      <c r="V80" s="125">
        <v>1.6000000000000001E-4</v>
      </c>
      <c r="W80" s="125">
        <v>1.5499999999999999E-3</v>
      </c>
      <c r="X80" s="126">
        <v>3.8999999999999999E-4</v>
      </c>
      <c r="Y80" s="161"/>
    </row>
    <row r="81" spans="1:25" x14ac:dyDescent="0.2">
      <c r="A81" s="121" t="s">
        <v>1211</v>
      </c>
      <c r="B81" s="122" t="s">
        <v>1211</v>
      </c>
      <c r="C81" s="122" t="s">
        <v>2150</v>
      </c>
      <c r="D81" s="122" t="s">
        <v>2151</v>
      </c>
      <c r="E81" s="122" t="s">
        <v>429</v>
      </c>
      <c r="F81" s="122" t="s">
        <v>2152</v>
      </c>
      <c r="G81" s="122" t="s">
        <v>2153</v>
      </c>
      <c r="H81" s="122" t="s">
        <v>76</v>
      </c>
      <c r="I81" s="122" t="s">
        <v>73</v>
      </c>
      <c r="J81" s="122" t="s">
        <v>53</v>
      </c>
      <c r="K81" s="122" t="s">
        <v>53</v>
      </c>
      <c r="L81" s="122" t="s">
        <v>805</v>
      </c>
      <c r="M81" s="122" t="s">
        <v>311</v>
      </c>
      <c r="N81" s="122" t="s">
        <v>638</v>
      </c>
      <c r="O81" s="122" t="s">
        <v>62</v>
      </c>
      <c r="P81" s="122" t="s">
        <v>1216</v>
      </c>
      <c r="Q81" s="123">
        <v>24000</v>
      </c>
      <c r="R81" s="123">
        <v>1</v>
      </c>
      <c r="S81" s="123">
        <v>1792</v>
      </c>
      <c r="T81" s="122"/>
      <c r="U81" s="123">
        <v>430.08</v>
      </c>
      <c r="V81" s="125">
        <v>3.2000000000000003E-4</v>
      </c>
      <c r="W81" s="125">
        <v>1.4599999999999999E-3</v>
      </c>
      <c r="X81" s="126">
        <v>3.6999999999999999E-4</v>
      </c>
      <c r="Y81" s="161"/>
    </row>
    <row r="82" spans="1:25" x14ac:dyDescent="0.2">
      <c r="A82" s="121" t="s">
        <v>1211</v>
      </c>
      <c r="B82" s="122" t="s">
        <v>1211</v>
      </c>
      <c r="C82" s="122" t="s">
        <v>2154</v>
      </c>
      <c r="D82" s="122" t="s">
        <v>2155</v>
      </c>
      <c r="E82" s="122" t="s">
        <v>429</v>
      </c>
      <c r="F82" s="122" t="s">
        <v>2156</v>
      </c>
      <c r="G82" s="122" t="s">
        <v>2157</v>
      </c>
      <c r="H82" s="122" t="s">
        <v>76</v>
      </c>
      <c r="I82" s="122" t="s">
        <v>73</v>
      </c>
      <c r="J82" s="122" t="s">
        <v>53</v>
      </c>
      <c r="K82" s="122" t="s">
        <v>53</v>
      </c>
      <c r="L82" s="122" t="s">
        <v>805</v>
      </c>
      <c r="M82" s="122" t="s">
        <v>311</v>
      </c>
      <c r="N82" s="122" t="s">
        <v>635</v>
      </c>
      <c r="O82" s="122" t="s">
        <v>62</v>
      </c>
      <c r="P82" s="122" t="s">
        <v>1216</v>
      </c>
      <c r="Q82" s="123">
        <v>189195</v>
      </c>
      <c r="R82" s="123">
        <v>1</v>
      </c>
      <c r="S82" s="123">
        <v>220.8</v>
      </c>
      <c r="T82" s="122"/>
      <c r="U82" s="123">
        <v>417.74299999999999</v>
      </c>
      <c r="V82" s="125">
        <v>2.5000000000000001E-4</v>
      </c>
      <c r="W82" s="125">
        <v>1.42E-3</v>
      </c>
      <c r="X82" s="126">
        <v>3.6000000000000002E-4</v>
      </c>
      <c r="Y82" s="161"/>
    </row>
    <row r="83" spans="1:25" x14ac:dyDescent="0.2">
      <c r="A83" s="121" t="s">
        <v>1211</v>
      </c>
      <c r="B83" s="122" t="s">
        <v>1211</v>
      </c>
      <c r="C83" s="122" t="s">
        <v>2158</v>
      </c>
      <c r="D83" s="122" t="s">
        <v>2159</v>
      </c>
      <c r="E83" s="122" t="s">
        <v>429</v>
      </c>
      <c r="F83" s="122" t="s">
        <v>2160</v>
      </c>
      <c r="G83" s="122" t="s">
        <v>2161</v>
      </c>
      <c r="H83" s="122" t="s">
        <v>76</v>
      </c>
      <c r="I83" s="122" t="s">
        <v>73</v>
      </c>
      <c r="J83" s="122" t="s">
        <v>53</v>
      </c>
      <c r="K83" s="122" t="s">
        <v>53</v>
      </c>
      <c r="L83" s="122" t="s">
        <v>805</v>
      </c>
      <c r="M83" s="122" t="s">
        <v>311</v>
      </c>
      <c r="N83" s="122" t="s">
        <v>635</v>
      </c>
      <c r="O83" s="122" t="s">
        <v>62</v>
      </c>
      <c r="P83" s="122" t="s">
        <v>1216</v>
      </c>
      <c r="Q83" s="123">
        <v>62607.13</v>
      </c>
      <c r="R83" s="123">
        <v>1</v>
      </c>
      <c r="S83" s="123">
        <v>560.9</v>
      </c>
      <c r="T83" s="122"/>
      <c r="U83" s="123">
        <v>351.16300000000001</v>
      </c>
      <c r="V83" s="125">
        <v>5.8E-4</v>
      </c>
      <c r="W83" s="125">
        <v>1.1900000000000001E-3</v>
      </c>
      <c r="X83" s="126">
        <v>2.9999999999999997E-4</v>
      </c>
      <c r="Y83" s="161"/>
    </row>
    <row r="84" spans="1:25" x14ac:dyDescent="0.2">
      <c r="A84" s="121" t="s">
        <v>1211</v>
      </c>
      <c r="B84" s="122" t="s">
        <v>1211</v>
      </c>
      <c r="C84" s="122" t="s">
        <v>2162</v>
      </c>
      <c r="D84" s="122" t="s">
        <v>2163</v>
      </c>
      <c r="E84" s="122" t="s">
        <v>429</v>
      </c>
      <c r="F84" s="122" t="s">
        <v>2164</v>
      </c>
      <c r="G84" s="122" t="s">
        <v>2165</v>
      </c>
      <c r="H84" s="122" t="s">
        <v>76</v>
      </c>
      <c r="I84" s="122" t="s">
        <v>73</v>
      </c>
      <c r="J84" s="122" t="s">
        <v>53</v>
      </c>
      <c r="K84" s="122" t="s">
        <v>53</v>
      </c>
      <c r="L84" s="122" t="s">
        <v>805</v>
      </c>
      <c r="M84" s="122" t="s">
        <v>311</v>
      </c>
      <c r="N84" s="122" t="s">
        <v>75</v>
      </c>
      <c r="O84" s="122" t="s">
        <v>62</v>
      </c>
      <c r="P84" s="122" t="s">
        <v>1216</v>
      </c>
      <c r="Q84" s="123">
        <v>1948</v>
      </c>
      <c r="R84" s="123">
        <v>1</v>
      </c>
      <c r="S84" s="123">
        <v>16620</v>
      </c>
      <c r="T84" s="122"/>
      <c r="U84" s="123">
        <v>323.75799999999998</v>
      </c>
      <c r="V84" s="125">
        <v>2.3000000000000001E-4</v>
      </c>
      <c r="W84" s="125">
        <v>1.1000000000000001E-3</v>
      </c>
      <c r="X84" s="126">
        <v>2.7999999999999998E-4</v>
      </c>
      <c r="Y84" s="161"/>
    </row>
    <row r="85" spans="1:25" x14ac:dyDescent="0.2">
      <c r="A85" s="121" t="s">
        <v>1211</v>
      </c>
      <c r="B85" s="122" t="s">
        <v>1211</v>
      </c>
      <c r="C85" s="122" t="s">
        <v>2166</v>
      </c>
      <c r="D85" s="122" t="s">
        <v>2167</v>
      </c>
      <c r="E85" s="122" t="s">
        <v>429</v>
      </c>
      <c r="F85" s="122" t="s">
        <v>2168</v>
      </c>
      <c r="G85" s="122" t="s">
        <v>2169</v>
      </c>
      <c r="H85" s="122" t="s">
        <v>76</v>
      </c>
      <c r="I85" s="122" t="s">
        <v>73</v>
      </c>
      <c r="J85" s="122" t="s">
        <v>53</v>
      </c>
      <c r="K85" s="122" t="s">
        <v>53</v>
      </c>
      <c r="L85" s="122" t="s">
        <v>805</v>
      </c>
      <c r="M85" s="122" t="s">
        <v>311</v>
      </c>
      <c r="N85" s="122" t="s">
        <v>258</v>
      </c>
      <c r="O85" s="122" t="s">
        <v>62</v>
      </c>
      <c r="P85" s="122" t="s">
        <v>1216</v>
      </c>
      <c r="Q85" s="123">
        <v>51227.16</v>
      </c>
      <c r="R85" s="123">
        <v>1</v>
      </c>
      <c r="S85" s="123">
        <v>443.7</v>
      </c>
      <c r="T85" s="122"/>
      <c r="U85" s="123">
        <v>227.29499999999999</v>
      </c>
      <c r="V85" s="125">
        <v>9.3000000000000005E-4</v>
      </c>
      <c r="W85" s="125">
        <v>7.6999999999999996E-4</v>
      </c>
      <c r="X85" s="126">
        <v>1.9000000000000001E-4</v>
      </c>
      <c r="Y85" s="161"/>
    </row>
    <row r="86" spans="1:25" x14ac:dyDescent="0.2">
      <c r="A86" s="121" t="s">
        <v>1211</v>
      </c>
      <c r="B86" s="122" t="s">
        <v>1211</v>
      </c>
      <c r="C86" s="122" t="s">
        <v>2170</v>
      </c>
      <c r="D86" s="122" t="s">
        <v>2171</v>
      </c>
      <c r="E86" s="122" t="s">
        <v>429</v>
      </c>
      <c r="F86" s="122" t="s">
        <v>2172</v>
      </c>
      <c r="G86" s="122" t="s">
        <v>2173</v>
      </c>
      <c r="H86" s="122" t="s">
        <v>76</v>
      </c>
      <c r="I86" s="122" t="s">
        <v>73</v>
      </c>
      <c r="J86" s="122" t="s">
        <v>53</v>
      </c>
      <c r="K86" s="122" t="s">
        <v>53</v>
      </c>
      <c r="L86" s="122" t="s">
        <v>805</v>
      </c>
      <c r="M86" s="122" t="s">
        <v>311</v>
      </c>
      <c r="N86" s="122" t="s">
        <v>629</v>
      </c>
      <c r="O86" s="122" t="s">
        <v>62</v>
      </c>
      <c r="P86" s="122" t="s">
        <v>1216</v>
      </c>
      <c r="Q86" s="123">
        <v>46009.63</v>
      </c>
      <c r="R86" s="123">
        <v>1</v>
      </c>
      <c r="S86" s="123">
        <v>464</v>
      </c>
      <c r="T86" s="122"/>
      <c r="U86" s="123">
        <v>213.48500000000001</v>
      </c>
      <c r="V86" s="125">
        <v>4.2000000000000002E-4</v>
      </c>
      <c r="W86" s="125">
        <v>7.2999999999999996E-4</v>
      </c>
      <c r="X86" s="126">
        <v>1.8000000000000001E-4</v>
      </c>
      <c r="Y86" s="161"/>
    </row>
    <row r="87" spans="1:25" x14ac:dyDescent="0.2">
      <c r="A87" s="121" t="s">
        <v>1211</v>
      </c>
      <c r="B87" s="122" t="s">
        <v>1211</v>
      </c>
      <c r="C87" s="122" t="s">
        <v>2174</v>
      </c>
      <c r="D87" s="122" t="s">
        <v>2175</v>
      </c>
      <c r="E87" s="122" t="s">
        <v>429</v>
      </c>
      <c r="F87" s="122" t="s">
        <v>2176</v>
      </c>
      <c r="G87" s="122" t="s">
        <v>2177</v>
      </c>
      <c r="H87" s="122" t="s">
        <v>76</v>
      </c>
      <c r="I87" s="122" t="s">
        <v>73</v>
      </c>
      <c r="J87" s="122" t="s">
        <v>53</v>
      </c>
      <c r="K87" s="122" t="s">
        <v>53</v>
      </c>
      <c r="L87" s="122" t="s">
        <v>805</v>
      </c>
      <c r="M87" s="122" t="s">
        <v>311</v>
      </c>
      <c r="N87" s="122" t="s">
        <v>140</v>
      </c>
      <c r="O87" s="122" t="s">
        <v>62</v>
      </c>
      <c r="P87" s="122" t="s">
        <v>1216</v>
      </c>
      <c r="Q87" s="123">
        <v>41662</v>
      </c>
      <c r="R87" s="123">
        <v>1</v>
      </c>
      <c r="S87" s="123">
        <v>409</v>
      </c>
      <c r="T87" s="122"/>
      <c r="U87" s="123">
        <v>170.398</v>
      </c>
      <c r="V87" s="125">
        <v>5.2999999999999998E-4</v>
      </c>
      <c r="W87" s="125">
        <v>5.8E-4</v>
      </c>
      <c r="X87" s="126">
        <v>1.4999999999999999E-4</v>
      </c>
      <c r="Y87" s="161"/>
    </row>
    <row r="88" spans="1:25" x14ac:dyDescent="0.2">
      <c r="A88" s="121" t="s">
        <v>1211</v>
      </c>
      <c r="B88" s="122" t="s">
        <v>1211</v>
      </c>
      <c r="C88" s="122" t="s">
        <v>2178</v>
      </c>
      <c r="D88" s="122" t="s">
        <v>2179</v>
      </c>
      <c r="E88" s="122" t="s">
        <v>429</v>
      </c>
      <c r="F88" s="122" t="s">
        <v>2180</v>
      </c>
      <c r="G88" s="122" t="s">
        <v>2181</v>
      </c>
      <c r="H88" s="122" t="s">
        <v>76</v>
      </c>
      <c r="I88" s="122" t="s">
        <v>73</v>
      </c>
      <c r="J88" s="122" t="s">
        <v>53</v>
      </c>
      <c r="K88" s="122" t="s">
        <v>53</v>
      </c>
      <c r="L88" s="122" t="s">
        <v>805</v>
      </c>
      <c r="M88" s="122" t="s">
        <v>311</v>
      </c>
      <c r="N88" s="122" t="s">
        <v>637</v>
      </c>
      <c r="O88" s="122" t="s">
        <v>62</v>
      </c>
      <c r="P88" s="122" t="s">
        <v>1216</v>
      </c>
      <c r="Q88" s="123">
        <v>31814</v>
      </c>
      <c r="R88" s="123">
        <v>1</v>
      </c>
      <c r="S88" s="123">
        <v>98.7</v>
      </c>
      <c r="T88" s="122"/>
      <c r="U88" s="123">
        <v>31.4</v>
      </c>
      <c r="V88" s="125">
        <v>7.7999999999999999E-4</v>
      </c>
      <c r="W88" s="125">
        <v>1.1E-4</v>
      </c>
      <c r="X88" s="126">
        <v>3.0000000000000001E-5</v>
      </c>
      <c r="Y88" s="161"/>
    </row>
    <row r="89" spans="1:25" x14ac:dyDescent="0.2">
      <c r="A89" s="121" t="s">
        <v>1211</v>
      </c>
      <c r="B89" s="122" t="s">
        <v>1211</v>
      </c>
      <c r="C89" s="122" t="s">
        <v>2182</v>
      </c>
      <c r="D89" s="122" t="s">
        <v>2183</v>
      </c>
      <c r="E89" s="122" t="s">
        <v>429</v>
      </c>
      <c r="F89" s="122" t="s">
        <v>2184</v>
      </c>
      <c r="G89" s="122" t="s">
        <v>2185</v>
      </c>
      <c r="H89" s="122" t="s">
        <v>76</v>
      </c>
      <c r="I89" s="122" t="s">
        <v>73</v>
      </c>
      <c r="J89" s="122" t="s">
        <v>53</v>
      </c>
      <c r="K89" s="122" t="s">
        <v>53</v>
      </c>
      <c r="L89" s="122" t="s">
        <v>805</v>
      </c>
      <c r="M89" s="122" t="s">
        <v>311</v>
      </c>
      <c r="N89" s="122" t="s">
        <v>629</v>
      </c>
      <c r="O89" s="122" t="s">
        <v>62</v>
      </c>
      <c r="P89" s="122" t="s">
        <v>1216</v>
      </c>
      <c r="Q89" s="123">
        <v>232162</v>
      </c>
      <c r="R89" s="123">
        <v>1</v>
      </c>
      <c r="S89" s="123">
        <v>7.4</v>
      </c>
      <c r="T89" s="122"/>
      <c r="U89" s="123">
        <v>17.18</v>
      </c>
      <c r="V89" s="125">
        <v>2.0699999999999998E-3</v>
      </c>
      <c r="W89" s="125">
        <v>6.0000000000000002E-5</v>
      </c>
      <c r="X89" s="126">
        <v>1.0000000000000001E-5</v>
      </c>
      <c r="Y89" s="161"/>
    </row>
    <row r="90" spans="1:25" x14ac:dyDescent="0.2">
      <c r="A90" s="121" t="s">
        <v>1211</v>
      </c>
      <c r="B90" s="122" t="s">
        <v>1211</v>
      </c>
      <c r="C90" s="122" t="s">
        <v>2186</v>
      </c>
      <c r="D90" s="122" t="s">
        <v>2187</v>
      </c>
      <c r="E90" s="122" t="s">
        <v>429</v>
      </c>
      <c r="F90" s="122" t="s">
        <v>2188</v>
      </c>
      <c r="G90" s="122" t="s">
        <v>2189</v>
      </c>
      <c r="H90" s="122" t="s">
        <v>76</v>
      </c>
      <c r="I90" s="122" t="s">
        <v>73</v>
      </c>
      <c r="J90" s="122" t="s">
        <v>53</v>
      </c>
      <c r="K90" s="122" t="s">
        <v>53</v>
      </c>
      <c r="L90" s="122" t="s">
        <v>805</v>
      </c>
      <c r="M90" s="122" t="s">
        <v>311</v>
      </c>
      <c r="N90" s="122" t="s">
        <v>1152</v>
      </c>
      <c r="O90" s="122" t="s">
        <v>62</v>
      </c>
      <c r="P90" s="122" t="s">
        <v>1216</v>
      </c>
      <c r="Q90" s="123">
        <v>29961</v>
      </c>
      <c r="R90" s="123">
        <v>1</v>
      </c>
      <c r="S90" s="123">
        <v>27.6</v>
      </c>
      <c r="T90" s="122"/>
      <c r="U90" s="123">
        <v>8.2690000000000001</v>
      </c>
      <c r="V90" s="125">
        <v>1.1199999999999999E-3</v>
      </c>
      <c r="W90" s="125">
        <v>3.0000000000000001E-5</v>
      </c>
      <c r="X90" s="126">
        <v>1.0000000000000001E-5</v>
      </c>
      <c r="Y90" s="161"/>
    </row>
    <row r="91" spans="1:25" x14ac:dyDescent="0.2">
      <c r="A91" s="121" t="s">
        <v>1211</v>
      </c>
      <c r="B91" s="122" t="s">
        <v>1211</v>
      </c>
      <c r="C91" s="122" t="s">
        <v>2190</v>
      </c>
      <c r="D91" s="122" t="s">
        <v>2191</v>
      </c>
      <c r="E91" s="122" t="s">
        <v>429</v>
      </c>
      <c r="F91" s="122" t="s">
        <v>2192</v>
      </c>
      <c r="G91" s="122" t="s">
        <v>2193</v>
      </c>
      <c r="H91" s="122" t="s">
        <v>76</v>
      </c>
      <c r="I91" s="122" t="s">
        <v>73</v>
      </c>
      <c r="J91" s="122" t="s">
        <v>53</v>
      </c>
      <c r="K91" s="122" t="s">
        <v>53</v>
      </c>
      <c r="L91" s="122" t="s">
        <v>805</v>
      </c>
      <c r="M91" s="122" t="s">
        <v>311</v>
      </c>
      <c r="N91" s="122" t="s">
        <v>261</v>
      </c>
      <c r="O91" s="122" t="s">
        <v>62</v>
      </c>
      <c r="P91" s="122" t="s">
        <v>1216</v>
      </c>
      <c r="Q91" s="123">
        <v>0.38</v>
      </c>
      <c r="R91" s="123">
        <v>1</v>
      </c>
      <c r="S91" s="123">
        <v>29900</v>
      </c>
      <c r="T91" s="122"/>
      <c r="U91" s="123">
        <v>0.114</v>
      </c>
      <c r="V91" s="125">
        <v>0</v>
      </c>
      <c r="W91" s="125">
        <v>0</v>
      </c>
      <c r="X91" s="126">
        <v>0</v>
      </c>
      <c r="Y91" s="161"/>
    </row>
    <row r="92" spans="1:25" x14ac:dyDescent="0.2">
      <c r="A92" s="121" t="s">
        <v>1211</v>
      </c>
      <c r="B92" s="122" t="s">
        <v>1211</v>
      </c>
      <c r="C92" s="122" t="s">
        <v>2194</v>
      </c>
      <c r="D92" s="122" t="s">
        <v>2195</v>
      </c>
      <c r="E92" s="122" t="s">
        <v>429</v>
      </c>
      <c r="F92" s="122" t="s">
        <v>2196</v>
      </c>
      <c r="G92" s="122" t="s">
        <v>2197</v>
      </c>
      <c r="H92" s="122" t="s">
        <v>76</v>
      </c>
      <c r="I92" s="122" t="s">
        <v>73</v>
      </c>
      <c r="J92" s="122" t="s">
        <v>53</v>
      </c>
      <c r="K92" s="122" t="s">
        <v>53</v>
      </c>
      <c r="L92" s="122" t="s">
        <v>805</v>
      </c>
      <c r="M92" s="122" t="s">
        <v>311</v>
      </c>
      <c r="N92" s="122" t="s">
        <v>629</v>
      </c>
      <c r="O92" s="122" t="s">
        <v>62</v>
      </c>
      <c r="P92" s="122" t="s">
        <v>1216</v>
      </c>
      <c r="Q92" s="123">
        <v>0.32</v>
      </c>
      <c r="R92" s="123">
        <v>1</v>
      </c>
      <c r="S92" s="123">
        <v>537.20000000000005</v>
      </c>
      <c r="T92" s="122"/>
      <c r="U92" s="123">
        <v>2E-3</v>
      </c>
      <c r="V92" s="125">
        <v>0</v>
      </c>
      <c r="W92" s="125">
        <v>0</v>
      </c>
      <c r="X92" s="126">
        <v>0</v>
      </c>
      <c r="Y92" s="161"/>
    </row>
    <row r="93" spans="1:25" x14ac:dyDescent="0.2">
      <c r="A93" s="121" t="s">
        <v>1211</v>
      </c>
      <c r="B93" s="122" t="s">
        <v>1211</v>
      </c>
      <c r="C93" s="122" t="s">
        <v>2198</v>
      </c>
      <c r="D93" s="122" t="s">
        <v>2199</v>
      </c>
      <c r="E93" s="122" t="s">
        <v>430</v>
      </c>
      <c r="F93" s="122" t="s">
        <v>2200</v>
      </c>
      <c r="G93" s="122" t="s">
        <v>2201</v>
      </c>
      <c r="H93" s="122" t="s">
        <v>76</v>
      </c>
      <c r="I93" s="122" t="s">
        <v>73</v>
      </c>
      <c r="J93" s="122" t="s">
        <v>61</v>
      </c>
      <c r="K93" s="122" t="s">
        <v>314</v>
      </c>
      <c r="L93" s="122" t="s">
        <v>805</v>
      </c>
      <c r="M93" s="122" t="s">
        <v>476</v>
      </c>
      <c r="N93" s="122" t="s">
        <v>901</v>
      </c>
      <c r="O93" s="122" t="s">
        <v>62</v>
      </c>
      <c r="P93" s="122" t="s">
        <v>1217</v>
      </c>
      <c r="Q93" s="123">
        <v>5305</v>
      </c>
      <c r="R93" s="123">
        <v>3.306</v>
      </c>
      <c r="S93" s="123">
        <v>27929</v>
      </c>
      <c r="T93" s="123">
        <v>4.6929999999999996</v>
      </c>
      <c r="U93" s="123">
        <v>4913.7960000000003</v>
      </c>
      <c r="V93" s="125">
        <v>0</v>
      </c>
      <c r="W93" s="125">
        <v>1.6729999999999998E-2</v>
      </c>
      <c r="X93" s="126">
        <v>4.1900000000000001E-3</v>
      </c>
      <c r="Y93" s="161"/>
    </row>
    <row r="94" spans="1:25" x14ac:dyDescent="0.2">
      <c r="A94" s="121" t="s">
        <v>1211</v>
      </c>
      <c r="B94" s="122" t="s">
        <v>1211</v>
      </c>
      <c r="C94" s="122" t="s">
        <v>2202</v>
      </c>
      <c r="D94" s="122" t="s">
        <v>2203</v>
      </c>
      <c r="E94" s="122" t="s">
        <v>430</v>
      </c>
      <c r="F94" s="122" t="s">
        <v>2202</v>
      </c>
      <c r="G94" s="122" t="s">
        <v>2204</v>
      </c>
      <c r="H94" s="122" t="s">
        <v>76</v>
      </c>
      <c r="I94" s="122" t="s">
        <v>73</v>
      </c>
      <c r="J94" s="122" t="s">
        <v>61</v>
      </c>
      <c r="K94" s="122" t="s">
        <v>314</v>
      </c>
      <c r="L94" s="122" t="s">
        <v>805</v>
      </c>
      <c r="M94" s="122" t="s">
        <v>479</v>
      </c>
      <c r="N94" s="122" t="s">
        <v>901</v>
      </c>
      <c r="O94" s="122" t="s">
        <v>62</v>
      </c>
      <c r="P94" s="122" t="s">
        <v>1217</v>
      </c>
      <c r="Q94" s="123">
        <v>2747</v>
      </c>
      <c r="R94" s="123">
        <v>3.306</v>
      </c>
      <c r="S94" s="123">
        <v>51795</v>
      </c>
      <c r="T94" s="122"/>
      <c r="U94" s="123">
        <v>4703.8050000000003</v>
      </c>
      <c r="V94" s="125">
        <v>0</v>
      </c>
      <c r="W94" s="125">
        <v>1.6E-2</v>
      </c>
      <c r="X94" s="126">
        <v>4.0099999999999997E-3</v>
      </c>
      <c r="Y94" s="161"/>
    </row>
    <row r="95" spans="1:25" x14ac:dyDescent="0.2">
      <c r="A95" s="121" t="s">
        <v>1211</v>
      </c>
      <c r="B95" s="122" t="s">
        <v>1211</v>
      </c>
      <c r="C95" s="122" t="s">
        <v>1925</v>
      </c>
      <c r="D95" s="122" t="s">
        <v>1926</v>
      </c>
      <c r="E95" s="122" t="s">
        <v>429</v>
      </c>
      <c r="F95" s="122" t="s">
        <v>2205</v>
      </c>
      <c r="G95" s="122" t="s">
        <v>2206</v>
      </c>
      <c r="H95" s="122" t="s">
        <v>76</v>
      </c>
      <c r="I95" s="122" t="s">
        <v>73</v>
      </c>
      <c r="J95" s="122" t="s">
        <v>61</v>
      </c>
      <c r="K95" s="122" t="s">
        <v>53</v>
      </c>
      <c r="L95" s="122" t="s">
        <v>805</v>
      </c>
      <c r="M95" s="122" t="s">
        <v>476</v>
      </c>
      <c r="N95" s="122" t="s">
        <v>85</v>
      </c>
      <c r="O95" s="122" t="s">
        <v>62</v>
      </c>
      <c r="P95" s="122" t="s">
        <v>1217</v>
      </c>
      <c r="Q95" s="123">
        <v>69441</v>
      </c>
      <c r="R95" s="123">
        <v>3.306</v>
      </c>
      <c r="S95" s="123">
        <v>2020</v>
      </c>
      <c r="T95" s="122"/>
      <c r="U95" s="123">
        <v>4637.3530000000001</v>
      </c>
      <c r="V95" s="125">
        <v>6.0000000000000002E-5</v>
      </c>
      <c r="W95" s="125">
        <v>1.5769999999999999E-2</v>
      </c>
      <c r="X95" s="126">
        <v>3.9500000000000004E-3</v>
      </c>
      <c r="Y95" s="161"/>
    </row>
    <row r="96" spans="1:25" x14ac:dyDescent="0.2">
      <c r="A96" s="121" t="s">
        <v>1211</v>
      </c>
      <c r="B96" s="122" t="s">
        <v>1211</v>
      </c>
      <c r="C96" s="122" t="s">
        <v>2207</v>
      </c>
      <c r="D96" s="122" t="s">
        <v>2208</v>
      </c>
      <c r="E96" s="122" t="s">
        <v>429</v>
      </c>
      <c r="F96" s="122" t="s">
        <v>2209</v>
      </c>
      <c r="G96" s="122" t="s">
        <v>2210</v>
      </c>
      <c r="H96" s="122" t="s">
        <v>76</v>
      </c>
      <c r="I96" s="122" t="s">
        <v>73</v>
      </c>
      <c r="J96" s="122" t="s">
        <v>61</v>
      </c>
      <c r="K96" s="122" t="s">
        <v>53</v>
      </c>
      <c r="L96" s="122" t="s">
        <v>805</v>
      </c>
      <c r="M96" s="122" t="s">
        <v>479</v>
      </c>
      <c r="N96" s="122" t="s">
        <v>254</v>
      </c>
      <c r="O96" s="122" t="s">
        <v>62</v>
      </c>
      <c r="P96" s="122" t="s">
        <v>1217</v>
      </c>
      <c r="Q96" s="123">
        <v>4295</v>
      </c>
      <c r="R96" s="123">
        <v>3.306</v>
      </c>
      <c r="S96" s="123">
        <v>104950</v>
      </c>
      <c r="T96" s="122"/>
      <c r="U96" s="123">
        <v>4528.1260000000002</v>
      </c>
      <c r="V96" s="125">
        <v>1.4999999999999999E-4</v>
      </c>
      <c r="W96" s="125">
        <v>1.54E-2</v>
      </c>
      <c r="X96" s="126">
        <v>3.8600000000000001E-3</v>
      </c>
      <c r="Y96" s="161"/>
    </row>
    <row r="97" spans="1:25" x14ac:dyDescent="0.2">
      <c r="A97" s="121" t="s">
        <v>1211</v>
      </c>
      <c r="B97" s="122" t="s">
        <v>1211</v>
      </c>
      <c r="C97" s="122" t="s">
        <v>2211</v>
      </c>
      <c r="D97" s="122" t="s">
        <v>2212</v>
      </c>
      <c r="E97" s="122" t="s">
        <v>430</v>
      </c>
      <c r="F97" s="122" t="s">
        <v>2211</v>
      </c>
      <c r="G97" s="122" t="s">
        <v>2213</v>
      </c>
      <c r="H97" s="122" t="s">
        <v>76</v>
      </c>
      <c r="I97" s="122" t="s">
        <v>73</v>
      </c>
      <c r="J97" s="122" t="s">
        <v>61</v>
      </c>
      <c r="K97" s="122" t="s">
        <v>314</v>
      </c>
      <c r="L97" s="122" t="s">
        <v>805</v>
      </c>
      <c r="M97" s="122" t="s">
        <v>479</v>
      </c>
      <c r="N97" s="122" t="s">
        <v>899</v>
      </c>
      <c r="O97" s="122" t="s">
        <v>62</v>
      </c>
      <c r="P97" s="122" t="s">
        <v>1217</v>
      </c>
      <c r="Q97" s="123">
        <v>1835</v>
      </c>
      <c r="R97" s="123">
        <v>3.306</v>
      </c>
      <c r="S97" s="123">
        <v>73438</v>
      </c>
      <c r="T97" s="122"/>
      <c r="U97" s="123">
        <v>4455.1239999999998</v>
      </c>
      <c r="V97" s="125">
        <v>0</v>
      </c>
      <c r="W97" s="125">
        <v>1.515E-2</v>
      </c>
      <c r="X97" s="126">
        <v>3.8E-3</v>
      </c>
      <c r="Y97" s="161"/>
    </row>
    <row r="98" spans="1:25" x14ac:dyDescent="0.2">
      <c r="A98" s="121" t="s">
        <v>1211</v>
      </c>
      <c r="B98" s="122" t="s">
        <v>1211</v>
      </c>
      <c r="C98" s="122" t="s">
        <v>2214</v>
      </c>
      <c r="D98" s="122" t="s">
        <v>2215</v>
      </c>
      <c r="E98" s="122" t="s">
        <v>430</v>
      </c>
      <c r="F98" s="122" t="s">
        <v>2214</v>
      </c>
      <c r="G98" s="122" t="s">
        <v>2216</v>
      </c>
      <c r="H98" s="122" t="s">
        <v>76</v>
      </c>
      <c r="I98" s="122" t="s">
        <v>73</v>
      </c>
      <c r="J98" s="122" t="s">
        <v>61</v>
      </c>
      <c r="K98" s="122" t="s">
        <v>314</v>
      </c>
      <c r="L98" s="122" t="s">
        <v>805</v>
      </c>
      <c r="M98" s="122" t="s">
        <v>479</v>
      </c>
      <c r="N98" s="122" t="s">
        <v>885</v>
      </c>
      <c r="O98" s="122" t="s">
        <v>62</v>
      </c>
      <c r="P98" s="122" t="s">
        <v>1217</v>
      </c>
      <c r="Q98" s="123">
        <v>6079</v>
      </c>
      <c r="R98" s="123">
        <v>3.306</v>
      </c>
      <c r="S98" s="123">
        <v>21957</v>
      </c>
      <c r="T98" s="122"/>
      <c r="U98" s="123">
        <v>4412.7359999999999</v>
      </c>
      <c r="V98" s="125">
        <v>0</v>
      </c>
      <c r="W98" s="125">
        <v>1.5010000000000001E-2</v>
      </c>
      <c r="X98" s="126">
        <v>3.7599999999999999E-3</v>
      </c>
      <c r="Y98" s="161"/>
    </row>
    <row r="99" spans="1:25" x14ac:dyDescent="0.2">
      <c r="A99" s="121" t="s">
        <v>1211</v>
      </c>
      <c r="B99" s="122" t="s">
        <v>1211</v>
      </c>
      <c r="C99" s="122" t="s">
        <v>2217</v>
      </c>
      <c r="D99" s="122" t="s">
        <v>2218</v>
      </c>
      <c r="E99" s="122" t="s">
        <v>429</v>
      </c>
      <c r="F99" s="122" t="s">
        <v>2219</v>
      </c>
      <c r="G99" s="122" t="s">
        <v>2220</v>
      </c>
      <c r="H99" s="122" t="s">
        <v>76</v>
      </c>
      <c r="I99" s="122" t="s">
        <v>73</v>
      </c>
      <c r="J99" s="122" t="s">
        <v>61</v>
      </c>
      <c r="K99" s="122" t="s">
        <v>314</v>
      </c>
      <c r="L99" s="122" t="s">
        <v>805</v>
      </c>
      <c r="M99" s="122" t="s">
        <v>479</v>
      </c>
      <c r="N99" s="122" t="s">
        <v>254</v>
      </c>
      <c r="O99" s="122" t="s">
        <v>62</v>
      </c>
      <c r="P99" s="122" t="s">
        <v>1217</v>
      </c>
      <c r="Q99" s="123">
        <v>17741.580000000002</v>
      </c>
      <c r="R99" s="123">
        <v>3.306</v>
      </c>
      <c r="S99" s="123">
        <v>23540</v>
      </c>
      <c r="T99" s="122"/>
      <c r="U99" s="123">
        <v>4191.5839999999998</v>
      </c>
      <c r="V99" s="125">
        <v>1.6000000000000001E-4</v>
      </c>
      <c r="W99" s="125">
        <v>1.4250000000000001E-2</v>
      </c>
      <c r="X99" s="126">
        <v>3.5699999999999998E-3</v>
      </c>
      <c r="Y99" s="161"/>
    </row>
    <row r="100" spans="1:25" x14ac:dyDescent="0.2">
      <c r="A100" s="121" t="s">
        <v>1211</v>
      </c>
      <c r="B100" s="122" t="s">
        <v>1211</v>
      </c>
      <c r="C100" s="122" t="s">
        <v>2221</v>
      </c>
      <c r="D100" s="122" t="s">
        <v>2222</v>
      </c>
      <c r="E100" s="122" t="s">
        <v>430</v>
      </c>
      <c r="F100" s="122" t="s">
        <v>2221</v>
      </c>
      <c r="G100" s="122" t="s">
        <v>2223</v>
      </c>
      <c r="H100" s="122" t="s">
        <v>76</v>
      </c>
      <c r="I100" s="122" t="s">
        <v>73</v>
      </c>
      <c r="J100" s="122" t="s">
        <v>61</v>
      </c>
      <c r="K100" s="122" t="s">
        <v>314</v>
      </c>
      <c r="L100" s="122" t="s">
        <v>805</v>
      </c>
      <c r="M100" s="122" t="s">
        <v>479</v>
      </c>
      <c r="N100" s="122" t="s">
        <v>901</v>
      </c>
      <c r="O100" s="122" t="s">
        <v>62</v>
      </c>
      <c r="P100" s="122" t="s">
        <v>1217</v>
      </c>
      <c r="Q100" s="123">
        <v>6253</v>
      </c>
      <c r="R100" s="123">
        <v>3.306</v>
      </c>
      <c r="S100" s="123">
        <v>18658</v>
      </c>
      <c r="T100" s="123">
        <v>6.3E-2</v>
      </c>
      <c r="U100" s="123">
        <v>3857.2660000000001</v>
      </c>
      <c r="V100" s="125">
        <v>0</v>
      </c>
      <c r="W100" s="125">
        <v>1.312E-2</v>
      </c>
      <c r="X100" s="126">
        <v>3.29E-3</v>
      </c>
      <c r="Y100" s="161"/>
    </row>
    <row r="101" spans="1:25" x14ac:dyDescent="0.2">
      <c r="A101" s="121" t="s">
        <v>1211</v>
      </c>
      <c r="B101" s="122" t="s">
        <v>1211</v>
      </c>
      <c r="C101" s="122" t="s">
        <v>2224</v>
      </c>
      <c r="D101" s="122" t="s">
        <v>2225</v>
      </c>
      <c r="E101" s="122" t="s">
        <v>430</v>
      </c>
      <c r="F101" s="122" t="s">
        <v>2226</v>
      </c>
      <c r="G101" s="122" t="s">
        <v>2227</v>
      </c>
      <c r="H101" s="122" t="s">
        <v>76</v>
      </c>
      <c r="I101" s="122" t="s">
        <v>73</v>
      </c>
      <c r="J101" s="122" t="s">
        <v>61</v>
      </c>
      <c r="K101" s="122" t="s">
        <v>314</v>
      </c>
      <c r="L101" s="122" t="s">
        <v>805</v>
      </c>
      <c r="M101" s="122" t="s">
        <v>476</v>
      </c>
      <c r="N101" s="122" t="s">
        <v>896</v>
      </c>
      <c r="O101" s="122" t="s">
        <v>62</v>
      </c>
      <c r="P101" s="122" t="s">
        <v>1217</v>
      </c>
      <c r="Q101" s="123">
        <v>3390</v>
      </c>
      <c r="R101" s="123">
        <v>3.306</v>
      </c>
      <c r="S101" s="123">
        <v>34138</v>
      </c>
      <c r="T101" s="122"/>
      <c r="U101" s="123">
        <v>3825.962</v>
      </c>
      <c r="V101" s="125">
        <v>0</v>
      </c>
      <c r="W101" s="125">
        <v>1.3010000000000001E-2</v>
      </c>
      <c r="X101" s="126">
        <v>3.2599999999999999E-3</v>
      </c>
      <c r="Y101" s="161"/>
    </row>
    <row r="102" spans="1:25" x14ac:dyDescent="0.2">
      <c r="A102" s="121" t="s">
        <v>1211</v>
      </c>
      <c r="B102" s="122" t="s">
        <v>1211</v>
      </c>
      <c r="C102" s="122" t="s">
        <v>2228</v>
      </c>
      <c r="D102" s="122" t="s">
        <v>2229</v>
      </c>
      <c r="E102" s="122" t="s">
        <v>430</v>
      </c>
      <c r="F102" s="122" t="s">
        <v>2230</v>
      </c>
      <c r="G102" s="122" t="s">
        <v>2231</v>
      </c>
      <c r="H102" s="122" t="s">
        <v>76</v>
      </c>
      <c r="I102" s="122" t="s">
        <v>73</v>
      </c>
      <c r="J102" s="122" t="s">
        <v>61</v>
      </c>
      <c r="K102" s="122" t="s">
        <v>314</v>
      </c>
      <c r="L102" s="122" t="s">
        <v>805</v>
      </c>
      <c r="M102" s="122" t="s">
        <v>479</v>
      </c>
      <c r="N102" s="122" t="s">
        <v>901</v>
      </c>
      <c r="O102" s="122" t="s">
        <v>62</v>
      </c>
      <c r="P102" s="122" t="s">
        <v>1217</v>
      </c>
      <c r="Q102" s="123">
        <v>4163</v>
      </c>
      <c r="R102" s="123">
        <v>3.306</v>
      </c>
      <c r="S102" s="123">
        <v>24355</v>
      </c>
      <c r="T102" s="122"/>
      <c r="U102" s="123">
        <v>3351.9490000000001</v>
      </c>
      <c r="V102" s="125">
        <v>0</v>
      </c>
      <c r="W102" s="125">
        <v>1.14E-2</v>
      </c>
      <c r="X102" s="126">
        <v>2.8600000000000001E-3</v>
      </c>
      <c r="Y102" s="161"/>
    </row>
    <row r="103" spans="1:25" x14ac:dyDescent="0.2">
      <c r="A103" s="121" t="s">
        <v>1211</v>
      </c>
      <c r="B103" s="122" t="s">
        <v>1211</v>
      </c>
      <c r="C103" s="122" t="s">
        <v>2232</v>
      </c>
      <c r="D103" s="122" t="s">
        <v>2233</v>
      </c>
      <c r="E103" s="122" t="s">
        <v>430</v>
      </c>
      <c r="F103" s="122" t="s">
        <v>2232</v>
      </c>
      <c r="G103" s="122" t="s">
        <v>2234</v>
      </c>
      <c r="H103" s="122" t="s">
        <v>76</v>
      </c>
      <c r="I103" s="122" t="s">
        <v>73</v>
      </c>
      <c r="J103" s="122" t="s">
        <v>61</v>
      </c>
      <c r="K103" s="122" t="s">
        <v>314</v>
      </c>
      <c r="L103" s="122" t="s">
        <v>805</v>
      </c>
      <c r="M103" s="122" t="s">
        <v>479</v>
      </c>
      <c r="N103" s="122" t="s">
        <v>899</v>
      </c>
      <c r="O103" s="122" t="s">
        <v>62</v>
      </c>
      <c r="P103" s="122" t="s">
        <v>1217</v>
      </c>
      <c r="Q103" s="123">
        <v>4335</v>
      </c>
      <c r="R103" s="123">
        <v>3.306</v>
      </c>
      <c r="S103" s="123">
        <v>20362</v>
      </c>
      <c r="T103" s="122"/>
      <c r="U103" s="123">
        <v>2918.1819999999998</v>
      </c>
      <c r="V103" s="125">
        <v>1.0000000000000001E-5</v>
      </c>
      <c r="W103" s="125">
        <v>9.92E-3</v>
      </c>
      <c r="X103" s="126">
        <v>2.49E-3</v>
      </c>
      <c r="Y103" s="161"/>
    </row>
    <row r="104" spans="1:25" x14ac:dyDescent="0.2">
      <c r="A104" s="121" t="s">
        <v>1211</v>
      </c>
      <c r="B104" s="122" t="s">
        <v>1211</v>
      </c>
      <c r="C104" s="122" t="s">
        <v>2235</v>
      </c>
      <c r="D104" s="122" t="s">
        <v>2236</v>
      </c>
      <c r="E104" s="122" t="s">
        <v>429</v>
      </c>
      <c r="F104" s="122" t="s">
        <v>2237</v>
      </c>
      <c r="G104" s="122" t="s">
        <v>2238</v>
      </c>
      <c r="H104" s="122" t="s">
        <v>76</v>
      </c>
      <c r="I104" s="122" t="s">
        <v>73</v>
      </c>
      <c r="J104" s="122" t="s">
        <v>61</v>
      </c>
      <c r="K104" s="122" t="s">
        <v>314</v>
      </c>
      <c r="L104" s="122" t="s">
        <v>805</v>
      </c>
      <c r="M104" s="122" t="s">
        <v>479</v>
      </c>
      <c r="N104" s="122" t="s">
        <v>899</v>
      </c>
      <c r="O104" s="122" t="s">
        <v>62</v>
      </c>
      <c r="P104" s="122" t="s">
        <v>1217</v>
      </c>
      <c r="Q104" s="123">
        <v>45588</v>
      </c>
      <c r="R104" s="123">
        <v>3.306</v>
      </c>
      <c r="S104" s="123">
        <v>1853</v>
      </c>
      <c r="T104" s="122"/>
      <c r="U104" s="123">
        <v>2792.7289999999998</v>
      </c>
      <c r="V104" s="125">
        <v>2.2000000000000001E-4</v>
      </c>
      <c r="W104" s="125">
        <v>9.4999999999999998E-3</v>
      </c>
      <c r="X104" s="126">
        <v>2.3800000000000002E-3</v>
      </c>
      <c r="Y104" s="161"/>
    </row>
    <row r="105" spans="1:25" x14ac:dyDescent="0.2">
      <c r="A105" s="121" t="s">
        <v>1211</v>
      </c>
      <c r="B105" s="122" t="s">
        <v>1211</v>
      </c>
      <c r="C105" s="122" t="s">
        <v>2239</v>
      </c>
      <c r="D105" s="122" t="s">
        <v>2240</v>
      </c>
      <c r="E105" s="122" t="s">
        <v>430</v>
      </c>
      <c r="F105" s="122" t="s">
        <v>2239</v>
      </c>
      <c r="G105" s="122" t="s">
        <v>2241</v>
      </c>
      <c r="H105" s="122" t="s">
        <v>76</v>
      </c>
      <c r="I105" s="122" t="s">
        <v>73</v>
      </c>
      <c r="J105" s="122" t="s">
        <v>61</v>
      </c>
      <c r="K105" s="122" t="s">
        <v>314</v>
      </c>
      <c r="L105" s="122" t="s">
        <v>805</v>
      </c>
      <c r="M105" s="122" t="s">
        <v>479</v>
      </c>
      <c r="N105" s="122" t="s">
        <v>885</v>
      </c>
      <c r="O105" s="122" t="s">
        <v>62</v>
      </c>
      <c r="P105" s="122" t="s">
        <v>1217</v>
      </c>
      <c r="Q105" s="123">
        <v>903</v>
      </c>
      <c r="R105" s="123">
        <v>3.306</v>
      </c>
      <c r="S105" s="123">
        <v>92563</v>
      </c>
      <c r="T105" s="122"/>
      <c r="U105" s="123">
        <v>2763.3</v>
      </c>
      <c r="V105" s="125">
        <v>0</v>
      </c>
      <c r="W105" s="125">
        <v>9.4000000000000004E-3</v>
      </c>
      <c r="X105" s="126">
        <v>2.3600000000000001E-3</v>
      </c>
      <c r="Y105" s="161"/>
    </row>
    <row r="106" spans="1:25" x14ac:dyDescent="0.2">
      <c r="A106" s="121" t="s">
        <v>1211</v>
      </c>
      <c r="B106" s="122" t="s">
        <v>1211</v>
      </c>
      <c r="C106" s="122" t="s">
        <v>2242</v>
      </c>
      <c r="D106" s="122" t="s">
        <v>2243</v>
      </c>
      <c r="E106" s="122" t="s">
        <v>102</v>
      </c>
      <c r="F106" s="122" t="s">
        <v>2242</v>
      </c>
      <c r="G106" s="122" t="s">
        <v>2244</v>
      </c>
      <c r="H106" s="122" t="s">
        <v>76</v>
      </c>
      <c r="I106" s="122" t="s">
        <v>73</v>
      </c>
      <c r="J106" s="122" t="s">
        <v>61</v>
      </c>
      <c r="K106" s="122" t="s">
        <v>314</v>
      </c>
      <c r="L106" s="122" t="s">
        <v>805</v>
      </c>
      <c r="M106" s="122" t="s">
        <v>479</v>
      </c>
      <c r="N106" s="122" t="s">
        <v>901</v>
      </c>
      <c r="O106" s="122" t="s">
        <v>62</v>
      </c>
      <c r="P106" s="122" t="s">
        <v>1217</v>
      </c>
      <c r="Q106" s="123">
        <v>9832</v>
      </c>
      <c r="R106" s="123">
        <v>3.306</v>
      </c>
      <c r="S106" s="123">
        <v>8407</v>
      </c>
      <c r="T106" s="122"/>
      <c r="U106" s="123">
        <v>2732.6610000000001</v>
      </c>
      <c r="V106" s="125">
        <v>1.0000000000000001E-5</v>
      </c>
      <c r="W106" s="125">
        <v>9.2899999999999996E-3</v>
      </c>
      <c r="X106" s="126">
        <v>2.33E-3</v>
      </c>
      <c r="Y106" s="161"/>
    </row>
    <row r="107" spans="1:25" x14ac:dyDescent="0.2">
      <c r="A107" s="121" t="s">
        <v>1211</v>
      </c>
      <c r="B107" s="122" t="s">
        <v>1211</v>
      </c>
      <c r="C107" s="122" t="s">
        <v>2245</v>
      </c>
      <c r="D107" s="122" t="s">
        <v>2246</v>
      </c>
      <c r="E107" s="122" t="s">
        <v>430</v>
      </c>
      <c r="F107" s="122" t="s">
        <v>2245</v>
      </c>
      <c r="G107" s="122" t="s">
        <v>2247</v>
      </c>
      <c r="H107" s="122" t="s">
        <v>76</v>
      </c>
      <c r="I107" s="122" t="s">
        <v>73</v>
      </c>
      <c r="J107" s="122" t="s">
        <v>61</v>
      </c>
      <c r="K107" s="122" t="s">
        <v>203</v>
      </c>
      <c r="L107" s="122" t="s">
        <v>805</v>
      </c>
      <c r="M107" s="122" t="s">
        <v>486</v>
      </c>
      <c r="N107" s="122" t="s">
        <v>882</v>
      </c>
      <c r="O107" s="122" t="s">
        <v>62</v>
      </c>
      <c r="P107" s="122" t="s">
        <v>1218</v>
      </c>
      <c r="Q107" s="123">
        <v>325</v>
      </c>
      <c r="R107" s="123">
        <v>3.8809999999999998</v>
      </c>
      <c r="S107" s="123">
        <v>208300</v>
      </c>
      <c r="T107" s="122"/>
      <c r="U107" s="123">
        <v>2627.1370000000002</v>
      </c>
      <c r="V107" s="125">
        <v>0</v>
      </c>
      <c r="W107" s="125">
        <v>8.9300000000000004E-3</v>
      </c>
      <c r="X107" s="126">
        <v>2.2399999999999998E-3</v>
      </c>
      <c r="Y107" s="161"/>
    </row>
    <row r="108" spans="1:25" x14ac:dyDescent="0.2">
      <c r="A108" s="121" t="s">
        <v>1211</v>
      </c>
      <c r="B108" s="122" t="s">
        <v>1211</v>
      </c>
      <c r="C108" s="122" t="s">
        <v>2248</v>
      </c>
      <c r="D108" s="122" t="s">
        <v>2249</v>
      </c>
      <c r="E108" s="122" t="s">
        <v>102</v>
      </c>
      <c r="F108" s="122" t="s">
        <v>2248</v>
      </c>
      <c r="G108" s="122" t="s">
        <v>2250</v>
      </c>
      <c r="H108" s="122" t="s">
        <v>76</v>
      </c>
      <c r="I108" s="122" t="s">
        <v>73</v>
      </c>
      <c r="J108" s="122" t="s">
        <v>61</v>
      </c>
      <c r="K108" s="122" t="s">
        <v>314</v>
      </c>
      <c r="L108" s="122" t="s">
        <v>805</v>
      </c>
      <c r="M108" s="122" t="s">
        <v>476</v>
      </c>
      <c r="N108" s="122" t="s">
        <v>899</v>
      </c>
      <c r="O108" s="122" t="s">
        <v>62</v>
      </c>
      <c r="P108" s="122" t="s">
        <v>1217</v>
      </c>
      <c r="Q108" s="123">
        <v>2663</v>
      </c>
      <c r="R108" s="123">
        <v>3.306</v>
      </c>
      <c r="S108" s="123">
        <v>28124</v>
      </c>
      <c r="T108" s="122"/>
      <c r="U108" s="123">
        <v>2476.0030000000002</v>
      </c>
      <c r="V108" s="125">
        <v>0</v>
      </c>
      <c r="W108" s="125">
        <v>8.4200000000000004E-3</v>
      </c>
      <c r="X108" s="126">
        <v>2.1099999999999999E-3</v>
      </c>
      <c r="Y108" s="161"/>
    </row>
    <row r="109" spans="1:25" x14ac:dyDescent="0.2">
      <c r="A109" s="121" t="s">
        <v>1211</v>
      </c>
      <c r="B109" s="122" t="s">
        <v>1211</v>
      </c>
      <c r="C109" s="122" t="s">
        <v>2251</v>
      </c>
      <c r="D109" s="122" t="s">
        <v>2252</v>
      </c>
      <c r="E109" s="122" t="s">
        <v>429</v>
      </c>
      <c r="F109" s="122" t="s">
        <v>2253</v>
      </c>
      <c r="G109" s="122" t="s">
        <v>2254</v>
      </c>
      <c r="H109" s="122" t="s">
        <v>76</v>
      </c>
      <c r="I109" s="122" t="s">
        <v>73</v>
      </c>
      <c r="J109" s="122" t="s">
        <v>61</v>
      </c>
      <c r="K109" s="122" t="s">
        <v>53</v>
      </c>
      <c r="L109" s="122" t="s">
        <v>805</v>
      </c>
      <c r="M109" s="122" t="s">
        <v>479</v>
      </c>
      <c r="N109" s="122" t="s">
        <v>254</v>
      </c>
      <c r="O109" s="122" t="s">
        <v>62</v>
      </c>
      <c r="P109" s="122" t="s">
        <v>1217</v>
      </c>
      <c r="Q109" s="123">
        <v>3552</v>
      </c>
      <c r="R109" s="123">
        <v>3.306</v>
      </c>
      <c r="S109" s="123">
        <v>20691</v>
      </c>
      <c r="T109" s="122"/>
      <c r="U109" s="123">
        <v>2429.7260000000001</v>
      </c>
      <c r="V109" s="125">
        <v>3.0000000000000001E-5</v>
      </c>
      <c r="W109" s="125">
        <v>8.26E-3</v>
      </c>
      <c r="X109" s="126">
        <v>2.0699999999999998E-3</v>
      </c>
      <c r="Y109" s="161"/>
    </row>
    <row r="110" spans="1:25" x14ac:dyDescent="0.2">
      <c r="A110" s="121" t="s">
        <v>1211</v>
      </c>
      <c r="B110" s="122" t="s">
        <v>1211</v>
      </c>
      <c r="C110" s="122" t="s">
        <v>2255</v>
      </c>
      <c r="D110" s="122" t="s">
        <v>2256</v>
      </c>
      <c r="E110" s="122" t="s">
        <v>430</v>
      </c>
      <c r="F110" s="122" t="s">
        <v>2255</v>
      </c>
      <c r="G110" s="122" t="s">
        <v>2257</v>
      </c>
      <c r="H110" s="122" t="s">
        <v>76</v>
      </c>
      <c r="I110" s="122" t="s">
        <v>73</v>
      </c>
      <c r="J110" s="122" t="s">
        <v>61</v>
      </c>
      <c r="K110" s="122" t="s">
        <v>314</v>
      </c>
      <c r="L110" s="122" t="s">
        <v>805</v>
      </c>
      <c r="M110" s="122" t="s">
        <v>476</v>
      </c>
      <c r="N110" s="122" t="s">
        <v>897</v>
      </c>
      <c r="O110" s="122" t="s">
        <v>62</v>
      </c>
      <c r="P110" s="122" t="s">
        <v>1217</v>
      </c>
      <c r="Q110" s="123">
        <v>1923</v>
      </c>
      <c r="R110" s="123">
        <v>3.306</v>
      </c>
      <c r="S110" s="123">
        <v>37425</v>
      </c>
      <c r="T110" s="122"/>
      <c r="U110" s="123">
        <v>2379.2710000000002</v>
      </c>
      <c r="V110" s="125">
        <v>0</v>
      </c>
      <c r="W110" s="125">
        <v>8.09E-3</v>
      </c>
      <c r="X110" s="126">
        <v>2.0300000000000001E-3</v>
      </c>
      <c r="Y110" s="161"/>
    </row>
    <row r="111" spans="1:25" x14ac:dyDescent="0.2">
      <c r="A111" s="121" t="s">
        <v>1211</v>
      </c>
      <c r="B111" s="122" t="s">
        <v>1211</v>
      </c>
      <c r="C111" s="122" t="s">
        <v>2258</v>
      </c>
      <c r="D111" s="122" t="s">
        <v>2259</v>
      </c>
      <c r="E111" s="122" t="s">
        <v>430</v>
      </c>
      <c r="F111" s="122" t="s">
        <v>2260</v>
      </c>
      <c r="G111" s="122" t="s">
        <v>2261</v>
      </c>
      <c r="H111" s="122" t="s">
        <v>76</v>
      </c>
      <c r="I111" s="122" t="s">
        <v>73</v>
      </c>
      <c r="J111" s="122" t="s">
        <v>61</v>
      </c>
      <c r="K111" s="122" t="s">
        <v>314</v>
      </c>
      <c r="L111" s="122" t="s">
        <v>805</v>
      </c>
      <c r="M111" s="122" t="s">
        <v>476</v>
      </c>
      <c r="N111" s="122" t="s">
        <v>896</v>
      </c>
      <c r="O111" s="122" t="s">
        <v>62</v>
      </c>
      <c r="P111" s="122" t="s">
        <v>1217</v>
      </c>
      <c r="Q111" s="123">
        <v>1247</v>
      </c>
      <c r="R111" s="123">
        <v>3.306</v>
      </c>
      <c r="S111" s="123">
        <v>56881</v>
      </c>
      <c r="T111" s="122"/>
      <c r="U111" s="123">
        <v>2344.9659999999999</v>
      </c>
      <c r="V111" s="125">
        <v>0</v>
      </c>
      <c r="W111" s="125">
        <v>7.9699999999999997E-3</v>
      </c>
      <c r="X111" s="126">
        <v>2E-3</v>
      </c>
      <c r="Y111" s="161"/>
    </row>
    <row r="112" spans="1:25" x14ac:dyDescent="0.2">
      <c r="A112" s="121" t="s">
        <v>1211</v>
      </c>
      <c r="B112" s="122" t="s">
        <v>1211</v>
      </c>
      <c r="C112" s="122" t="s">
        <v>2262</v>
      </c>
      <c r="D112" s="122" t="s">
        <v>2263</v>
      </c>
      <c r="E112" s="122" t="s">
        <v>430</v>
      </c>
      <c r="F112" s="122" t="s">
        <v>2262</v>
      </c>
      <c r="G112" s="122" t="s">
        <v>2264</v>
      </c>
      <c r="H112" s="122" t="s">
        <v>76</v>
      </c>
      <c r="I112" s="122" t="s">
        <v>73</v>
      </c>
      <c r="J112" s="122" t="s">
        <v>61</v>
      </c>
      <c r="K112" s="122" t="s">
        <v>314</v>
      </c>
      <c r="L112" s="122" t="s">
        <v>805</v>
      </c>
      <c r="M112" s="122" t="s">
        <v>476</v>
      </c>
      <c r="N112" s="122" t="s">
        <v>899</v>
      </c>
      <c r="O112" s="122" t="s">
        <v>62</v>
      </c>
      <c r="P112" s="122" t="s">
        <v>1217</v>
      </c>
      <c r="Q112" s="123">
        <v>2939</v>
      </c>
      <c r="R112" s="123">
        <v>3.306</v>
      </c>
      <c r="S112" s="123">
        <v>23700</v>
      </c>
      <c r="T112" s="123">
        <v>1.2230000000000001</v>
      </c>
      <c r="U112" s="123">
        <v>2306.8130000000001</v>
      </c>
      <c r="V112" s="125">
        <v>0</v>
      </c>
      <c r="W112" s="125">
        <v>7.8499999999999993E-3</v>
      </c>
      <c r="X112" s="126">
        <v>1.97E-3</v>
      </c>
      <c r="Y112" s="161"/>
    </row>
    <row r="113" spans="1:25" x14ac:dyDescent="0.2">
      <c r="A113" s="121" t="s">
        <v>1211</v>
      </c>
      <c r="B113" s="122" t="s">
        <v>1211</v>
      </c>
      <c r="C113" s="122" t="s">
        <v>2265</v>
      </c>
      <c r="D113" s="122" t="s">
        <v>2266</v>
      </c>
      <c r="E113" s="122" t="s">
        <v>430</v>
      </c>
      <c r="F113" s="122" t="s">
        <v>2265</v>
      </c>
      <c r="G113" s="122" t="s">
        <v>2267</v>
      </c>
      <c r="H113" s="122" t="s">
        <v>76</v>
      </c>
      <c r="I113" s="122" t="s">
        <v>73</v>
      </c>
      <c r="J113" s="122" t="s">
        <v>61</v>
      </c>
      <c r="K113" s="122" t="s">
        <v>314</v>
      </c>
      <c r="L113" s="122" t="s">
        <v>805</v>
      </c>
      <c r="M113" s="122" t="s">
        <v>476</v>
      </c>
      <c r="N113" s="122" t="s">
        <v>893</v>
      </c>
      <c r="O113" s="122" t="s">
        <v>62</v>
      </c>
      <c r="P113" s="122" t="s">
        <v>1217</v>
      </c>
      <c r="Q113" s="123">
        <v>905</v>
      </c>
      <c r="R113" s="123">
        <v>3.306</v>
      </c>
      <c r="S113" s="123">
        <v>76300</v>
      </c>
      <c r="T113" s="122"/>
      <c r="U113" s="123">
        <v>2282.8429999999998</v>
      </c>
      <c r="V113" s="125">
        <v>0</v>
      </c>
      <c r="W113" s="125">
        <v>7.7600000000000004E-3</v>
      </c>
      <c r="X113" s="126">
        <v>1.9499999999999999E-3</v>
      </c>
      <c r="Y113" s="161"/>
    </row>
    <row r="114" spans="1:25" x14ac:dyDescent="0.2">
      <c r="A114" s="121" t="s">
        <v>1211</v>
      </c>
      <c r="B114" s="122" t="s">
        <v>1211</v>
      </c>
      <c r="C114" s="122" t="s">
        <v>2268</v>
      </c>
      <c r="D114" s="122" t="s">
        <v>2269</v>
      </c>
      <c r="E114" s="122" t="s">
        <v>430</v>
      </c>
      <c r="F114" s="122" t="s">
        <v>2268</v>
      </c>
      <c r="G114" s="122" t="s">
        <v>2270</v>
      </c>
      <c r="H114" s="122" t="s">
        <v>76</v>
      </c>
      <c r="I114" s="122" t="s">
        <v>73</v>
      </c>
      <c r="J114" s="122" t="s">
        <v>61</v>
      </c>
      <c r="K114" s="122" t="s">
        <v>314</v>
      </c>
      <c r="L114" s="122" t="s">
        <v>805</v>
      </c>
      <c r="M114" s="122" t="s">
        <v>476</v>
      </c>
      <c r="N114" s="122" t="s">
        <v>873</v>
      </c>
      <c r="O114" s="122" t="s">
        <v>62</v>
      </c>
      <c r="P114" s="122" t="s">
        <v>1217</v>
      </c>
      <c r="Q114" s="123">
        <v>11270</v>
      </c>
      <c r="R114" s="123">
        <v>3.306</v>
      </c>
      <c r="S114" s="123">
        <v>5970</v>
      </c>
      <c r="T114" s="122"/>
      <c r="U114" s="123">
        <v>2224.34</v>
      </c>
      <c r="V114" s="125">
        <v>1.0000000000000001E-5</v>
      </c>
      <c r="W114" s="125">
        <v>7.5599999999999999E-3</v>
      </c>
      <c r="X114" s="126">
        <v>1.9E-3</v>
      </c>
      <c r="Y114" s="161"/>
    </row>
    <row r="115" spans="1:25" x14ac:dyDescent="0.2">
      <c r="A115" s="121" t="s">
        <v>1211</v>
      </c>
      <c r="B115" s="122" t="s">
        <v>1211</v>
      </c>
      <c r="C115" s="122" t="s">
        <v>2271</v>
      </c>
      <c r="D115" s="122" t="s">
        <v>2272</v>
      </c>
      <c r="E115" s="122" t="s">
        <v>430</v>
      </c>
      <c r="F115" s="122" t="s">
        <v>2271</v>
      </c>
      <c r="G115" s="122" t="s">
        <v>2273</v>
      </c>
      <c r="H115" s="122" t="s">
        <v>76</v>
      </c>
      <c r="I115" s="122" t="s">
        <v>73</v>
      </c>
      <c r="J115" s="122" t="s">
        <v>61</v>
      </c>
      <c r="K115" s="122" t="s">
        <v>92</v>
      </c>
      <c r="L115" s="122" t="s">
        <v>805</v>
      </c>
      <c r="M115" s="122" t="s">
        <v>476</v>
      </c>
      <c r="N115" s="122" t="s">
        <v>1134</v>
      </c>
      <c r="O115" s="122" t="s">
        <v>62</v>
      </c>
      <c r="P115" s="122" t="s">
        <v>1217</v>
      </c>
      <c r="Q115" s="123">
        <v>1378</v>
      </c>
      <c r="R115" s="123">
        <v>3.306</v>
      </c>
      <c r="S115" s="123">
        <v>48522</v>
      </c>
      <c r="T115" s="122"/>
      <c r="U115" s="123">
        <v>2210.5010000000002</v>
      </c>
      <c r="V115" s="125">
        <v>1.0000000000000001E-5</v>
      </c>
      <c r="W115" s="125">
        <v>7.5199999999999998E-3</v>
      </c>
      <c r="X115" s="126">
        <v>1.8799999999999999E-3</v>
      </c>
      <c r="Y115" s="161"/>
    </row>
    <row r="116" spans="1:25" x14ac:dyDescent="0.2">
      <c r="A116" s="121" t="s">
        <v>1211</v>
      </c>
      <c r="B116" s="122" t="s">
        <v>1211</v>
      </c>
      <c r="C116" s="122" t="s">
        <v>2274</v>
      </c>
      <c r="D116" s="122" t="s">
        <v>2275</v>
      </c>
      <c r="E116" s="122" t="s">
        <v>430</v>
      </c>
      <c r="F116" s="122" t="s">
        <v>2274</v>
      </c>
      <c r="G116" s="122" t="s">
        <v>2276</v>
      </c>
      <c r="H116" s="122" t="s">
        <v>76</v>
      </c>
      <c r="I116" s="122" t="s">
        <v>73</v>
      </c>
      <c r="J116" s="122" t="s">
        <v>61</v>
      </c>
      <c r="K116" s="122" t="s">
        <v>314</v>
      </c>
      <c r="L116" s="122" t="s">
        <v>805</v>
      </c>
      <c r="M116" s="122" t="s">
        <v>476</v>
      </c>
      <c r="N116" s="122" t="s">
        <v>862</v>
      </c>
      <c r="O116" s="122" t="s">
        <v>62</v>
      </c>
      <c r="P116" s="122" t="s">
        <v>1217</v>
      </c>
      <c r="Q116" s="123">
        <v>8847</v>
      </c>
      <c r="R116" s="123">
        <v>3.306</v>
      </c>
      <c r="S116" s="123">
        <v>7549</v>
      </c>
      <c r="T116" s="122"/>
      <c r="U116" s="123">
        <v>2207.9450000000002</v>
      </c>
      <c r="V116" s="125">
        <v>0</v>
      </c>
      <c r="W116" s="125">
        <v>7.5100000000000002E-3</v>
      </c>
      <c r="X116" s="126">
        <v>1.8799999999999999E-3</v>
      </c>
      <c r="Y116" s="161"/>
    </row>
    <row r="117" spans="1:25" x14ac:dyDescent="0.2">
      <c r="A117" s="121" t="s">
        <v>1211</v>
      </c>
      <c r="B117" s="122" t="s">
        <v>1211</v>
      </c>
      <c r="C117" s="122" t="s">
        <v>2228</v>
      </c>
      <c r="D117" s="122" t="s">
        <v>2229</v>
      </c>
      <c r="E117" s="122" t="s">
        <v>430</v>
      </c>
      <c r="F117" s="122" t="s">
        <v>2277</v>
      </c>
      <c r="G117" s="122" t="s">
        <v>2278</v>
      </c>
      <c r="H117" s="122" t="s">
        <v>76</v>
      </c>
      <c r="I117" s="122" t="s">
        <v>73</v>
      </c>
      <c r="J117" s="122" t="s">
        <v>61</v>
      </c>
      <c r="K117" s="122" t="s">
        <v>314</v>
      </c>
      <c r="L117" s="122" t="s">
        <v>805</v>
      </c>
      <c r="M117" s="122" t="s">
        <v>479</v>
      </c>
      <c r="N117" s="122" t="s">
        <v>901</v>
      </c>
      <c r="O117" s="122" t="s">
        <v>62</v>
      </c>
      <c r="P117" s="122" t="s">
        <v>1217</v>
      </c>
      <c r="Q117" s="123">
        <v>2652</v>
      </c>
      <c r="R117" s="123">
        <v>3.306</v>
      </c>
      <c r="S117" s="123">
        <v>24310</v>
      </c>
      <c r="T117" s="122"/>
      <c r="U117" s="123">
        <v>2131.3820000000001</v>
      </c>
      <c r="V117" s="125">
        <v>0</v>
      </c>
      <c r="W117" s="125">
        <v>7.2500000000000004E-3</v>
      </c>
      <c r="X117" s="126">
        <v>1.82E-3</v>
      </c>
      <c r="Y117" s="161"/>
    </row>
    <row r="118" spans="1:25" x14ac:dyDescent="0.2">
      <c r="A118" s="121" t="s">
        <v>1211</v>
      </c>
      <c r="B118" s="122" t="s">
        <v>1211</v>
      </c>
      <c r="C118" s="122" t="s">
        <v>2279</v>
      </c>
      <c r="D118" s="122" t="s">
        <v>2280</v>
      </c>
      <c r="E118" s="122" t="s">
        <v>430</v>
      </c>
      <c r="F118" s="122" t="s">
        <v>2281</v>
      </c>
      <c r="G118" s="122" t="s">
        <v>2282</v>
      </c>
      <c r="H118" s="122" t="s">
        <v>76</v>
      </c>
      <c r="I118" s="122" t="s">
        <v>73</v>
      </c>
      <c r="J118" s="122" t="s">
        <v>61</v>
      </c>
      <c r="K118" s="122" t="s">
        <v>314</v>
      </c>
      <c r="L118" s="122" t="s">
        <v>805</v>
      </c>
      <c r="M118" s="122" t="s">
        <v>476</v>
      </c>
      <c r="N118" s="122" t="s">
        <v>896</v>
      </c>
      <c r="O118" s="122" t="s">
        <v>62</v>
      </c>
      <c r="P118" s="122" t="s">
        <v>1217</v>
      </c>
      <c r="Q118" s="123">
        <v>4931</v>
      </c>
      <c r="R118" s="123">
        <v>3.306</v>
      </c>
      <c r="S118" s="123">
        <v>12995</v>
      </c>
      <c r="T118" s="122"/>
      <c r="U118" s="123">
        <v>2118.4299999999998</v>
      </c>
      <c r="V118" s="125">
        <v>1.0000000000000001E-5</v>
      </c>
      <c r="W118" s="125">
        <v>7.1999999999999998E-3</v>
      </c>
      <c r="X118" s="126">
        <v>1.81E-3</v>
      </c>
      <c r="Y118" s="161"/>
    </row>
    <row r="119" spans="1:25" x14ac:dyDescent="0.2">
      <c r="A119" s="121" t="s">
        <v>1211</v>
      </c>
      <c r="B119" s="122" t="s">
        <v>1211</v>
      </c>
      <c r="C119" s="122" t="s">
        <v>2283</v>
      </c>
      <c r="D119" s="122" t="s">
        <v>2284</v>
      </c>
      <c r="E119" s="122" t="s">
        <v>430</v>
      </c>
      <c r="F119" s="122" t="s">
        <v>2285</v>
      </c>
      <c r="G119" s="122" t="s">
        <v>2286</v>
      </c>
      <c r="H119" s="122" t="s">
        <v>76</v>
      </c>
      <c r="I119" s="122" t="s">
        <v>73</v>
      </c>
      <c r="J119" s="122" t="s">
        <v>61</v>
      </c>
      <c r="K119" s="122" t="s">
        <v>314</v>
      </c>
      <c r="L119" s="122" t="s">
        <v>805</v>
      </c>
      <c r="M119" s="122" t="s">
        <v>476</v>
      </c>
      <c r="N119" s="122" t="s">
        <v>896</v>
      </c>
      <c r="O119" s="122" t="s">
        <v>62</v>
      </c>
      <c r="P119" s="122" t="s">
        <v>1217</v>
      </c>
      <c r="Q119" s="123">
        <v>3635</v>
      </c>
      <c r="R119" s="123">
        <v>3.306</v>
      </c>
      <c r="S119" s="123">
        <v>17085</v>
      </c>
      <c r="T119" s="122"/>
      <c r="U119" s="123">
        <v>2053.1570000000002</v>
      </c>
      <c r="V119" s="125">
        <v>1.0000000000000001E-5</v>
      </c>
      <c r="W119" s="125">
        <v>6.9800000000000001E-3</v>
      </c>
      <c r="X119" s="126">
        <v>1.75E-3</v>
      </c>
      <c r="Y119" s="161"/>
    </row>
    <row r="120" spans="1:25" x14ac:dyDescent="0.2">
      <c r="A120" s="121" t="s">
        <v>1211</v>
      </c>
      <c r="B120" s="122" t="s">
        <v>1211</v>
      </c>
      <c r="C120" s="122" t="s">
        <v>2287</v>
      </c>
      <c r="D120" s="122" t="s">
        <v>2288</v>
      </c>
      <c r="E120" s="122" t="s">
        <v>430</v>
      </c>
      <c r="F120" s="122" t="s">
        <v>2287</v>
      </c>
      <c r="G120" s="122" t="s">
        <v>2289</v>
      </c>
      <c r="H120" s="122" t="s">
        <v>76</v>
      </c>
      <c r="I120" s="122" t="s">
        <v>73</v>
      </c>
      <c r="J120" s="122" t="s">
        <v>61</v>
      </c>
      <c r="K120" s="122" t="s">
        <v>314</v>
      </c>
      <c r="L120" s="122" t="s">
        <v>805</v>
      </c>
      <c r="M120" s="122" t="s">
        <v>476</v>
      </c>
      <c r="N120" s="122" t="s">
        <v>897</v>
      </c>
      <c r="O120" s="122" t="s">
        <v>62</v>
      </c>
      <c r="P120" s="122" t="s">
        <v>1217</v>
      </c>
      <c r="Q120" s="123">
        <v>5980</v>
      </c>
      <c r="R120" s="123">
        <v>3.306</v>
      </c>
      <c r="S120" s="123">
        <v>10137</v>
      </c>
      <c r="T120" s="122"/>
      <c r="U120" s="123">
        <v>2004.0730000000001</v>
      </c>
      <c r="V120" s="125">
        <v>4.0000000000000003E-5</v>
      </c>
      <c r="W120" s="125">
        <v>6.8199999999999997E-3</v>
      </c>
      <c r="X120" s="126">
        <v>1.7099999999999999E-3</v>
      </c>
      <c r="Y120" s="161"/>
    </row>
    <row r="121" spans="1:25" x14ac:dyDescent="0.2">
      <c r="A121" s="121" t="s">
        <v>1211</v>
      </c>
      <c r="B121" s="122" t="s">
        <v>1211</v>
      </c>
      <c r="C121" s="122" t="s">
        <v>2290</v>
      </c>
      <c r="D121" s="122" t="s">
        <v>2291</v>
      </c>
      <c r="E121" s="122" t="s">
        <v>430</v>
      </c>
      <c r="F121" s="122" t="s">
        <v>2290</v>
      </c>
      <c r="G121" s="122" t="s">
        <v>2292</v>
      </c>
      <c r="H121" s="122" t="s">
        <v>76</v>
      </c>
      <c r="I121" s="122" t="s">
        <v>73</v>
      </c>
      <c r="J121" s="122" t="s">
        <v>61</v>
      </c>
      <c r="K121" s="122" t="s">
        <v>314</v>
      </c>
      <c r="L121" s="122" t="s">
        <v>805</v>
      </c>
      <c r="M121" s="122" t="s">
        <v>476</v>
      </c>
      <c r="N121" s="122" t="s">
        <v>882</v>
      </c>
      <c r="O121" s="122" t="s">
        <v>62</v>
      </c>
      <c r="P121" s="122" t="s">
        <v>1217</v>
      </c>
      <c r="Q121" s="123">
        <v>8362</v>
      </c>
      <c r="R121" s="123">
        <v>3.306</v>
      </c>
      <c r="S121" s="123">
        <v>6973</v>
      </c>
      <c r="T121" s="123">
        <v>3.3450000000000002</v>
      </c>
      <c r="U121" s="123">
        <v>1938.7280000000001</v>
      </c>
      <c r="V121" s="125">
        <v>1.0000000000000001E-5</v>
      </c>
      <c r="W121" s="125">
        <v>6.6E-3</v>
      </c>
      <c r="X121" s="126">
        <v>1.66E-3</v>
      </c>
      <c r="Y121" s="161"/>
    </row>
    <row r="122" spans="1:25" x14ac:dyDescent="0.2">
      <c r="A122" s="121" t="s">
        <v>1211</v>
      </c>
      <c r="B122" s="122" t="s">
        <v>1211</v>
      </c>
      <c r="C122" s="122" t="s">
        <v>2293</v>
      </c>
      <c r="D122" s="122" t="s">
        <v>2294</v>
      </c>
      <c r="E122" s="122" t="s">
        <v>430</v>
      </c>
      <c r="F122" s="122" t="s">
        <v>2295</v>
      </c>
      <c r="G122" s="122" t="s">
        <v>2296</v>
      </c>
      <c r="H122" s="122" t="s">
        <v>76</v>
      </c>
      <c r="I122" s="122" t="s">
        <v>73</v>
      </c>
      <c r="J122" s="122" t="s">
        <v>61</v>
      </c>
      <c r="K122" s="122" t="s">
        <v>314</v>
      </c>
      <c r="L122" s="122" t="s">
        <v>805</v>
      </c>
      <c r="M122" s="122" t="s">
        <v>476</v>
      </c>
      <c r="N122" s="122" t="s">
        <v>884</v>
      </c>
      <c r="O122" s="122" t="s">
        <v>62</v>
      </c>
      <c r="P122" s="122" t="s">
        <v>1217</v>
      </c>
      <c r="Q122" s="123">
        <v>5574</v>
      </c>
      <c r="R122" s="123">
        <v>3.306</v>
      </c>
      <c r="S122" s="123">
        <v>10306</v>
      </c>
      <c r="T122" s="122"/>
      <c r="U122" s="123">
        <v>1899.153</v>
      </c>
      <c r="V122" s="125">
        <v>0</v>
      </c>
      <c r="W122" s="125">
        <v>6.4599999999999996E-3</v>
      </c>
      <c r="X122" s="126">
        <v>1.6199999999999999E-3</v>
      </c>
      <c r="Y122" s="161"/>
    </row>
    <row r="123" spans="1:25" x14ac:dyDescent="0.2">
      <c r="A123" s="121" t="s">
        <v>1211</v>
      </c>
      <c r="B123" s="122" t="s">
        <v>1211</v>
      </c>
      <c r="C123" s="122" t="s">
        <v>2297</v>
      </c>
      <c r="D123" s="122" t="s">
        <v>2298</v>
      </c>
      <c r="E123" s="122" t="s">
        <v>430</v>
      </c>
      <c r="F123" s="122" t="s">
        <v>2297</v>
      </c>
      <c r="G123" s="122" t="s">
        <v>2299</v>
      </c>
      <c r="H123" s="122" t="s">
        <v>76</v>
      </c>
      <c r="I123" s="122" t="s">
        <v>73</v>
      </c>
      <c r="J123" s="122" t="s">
        <v>61</v>
      </c>
      <c r="K123" s="122" t="s">
        <v>314</v>
      </c>
      <c r="L123" s="122" t="s">
        <v>805</v>
      </c>
      <c r="M123" s="122" t="s">
        <v>479</v>
      </c>
      <c r="N123" s="122" t="s">
        <v>899</v>
      </c>
      <c r="O123" s="122" t="s">
        <v>62</v>
      </c>
      <c r="P123" s="122" t="s">
        <v>1217</v>
      </c>
      <c r="Q123" s="123">
        <v>1527</v>
      </c>
      <c r="R123" s="123">
        <v>3.306</v>
      </c>
      <c r="S123" s="123">
        <v>35275</v>
      </c>
      <c r="T123" s="122"/>
      <c r="U123" s="123">
        <v>1780.7739999999999</v>
      </c>
      <c r="V123" s="125">
        <v>0</v>
      </c>
      <c r="W123" s="125">
        <v>6.0600000000000003E-3</v>
      </c>
      <c r="X123" s="126">
        <v>1.5200000000000001E-3</v>
      </c>
      <c r="Y123" s="161"/>
    </row>
    <row r="124" spans="1:25" x14ac:dyDescent="0.2">
      <c r="A124" s="121" t="s">
        <v>1211</v>
      </c>
      <c r="B124" s="122" t="s">
        <v>1211</v>
      </c>
      <c r="C124" s="122" t="s">
        <v>2300</v>
      </c>
      <c r="D124" s="122" t="s">
        <v>2301</v>
      </c>
      <c r="E124" s="122" t="s">
        <v>430</v>
      </c>
      <c r="F124" s="122" t="s">
        <v>2300</v>
      </c>
      <c r="G124" s="122" t="s">
        <v>2302</v>
      </c>
      <c r="H124" s="122" t="s">
        <v>76</v>
      </c>
      <c r="I124" s="122" t="s">
        <v>73</v>
      </c>
      <c r="J124" s="122" t="s">
        <v>61</v>
      </c>
      <c r="K124" s="122" t="s">
        <v>314</v>
      </c>
      <c r="L124" s="122" t="s">
        <v>805</v>
      </c>
      <c r="M124" s="122" t="s">
        <v>479</v>
      </c>
      <c r="N124" s="122" t="s">
        <v>901</v>
      </c>
      <c r="O124" s="122" t="s">
        <v>62</v>
      </c>
      <c r="P124" s="122" t="s">
        <v>1217</v>
      </c>
      <c r="Q124" s="123">
        <v>1909</v>
      </c>
      <c r="R124" s="123">
        <v>3.306</v>
      </c>
      <c r="S124" s="123">
        <v>25463</v>
      </c>
      <c r="T124" s="122"/>
      <c r="U124" s="123">
        <v>1607.009</v>
      </c>
      <c r="V124" s="125">
        <v>0</v>
      </c>
      <c r="W124" s="125">
        <v>5.4599999999999996E-3</v>
      </c>
      <c r="X124" s="126">
        <v>1.3699999999999999E-3</v>
      </c>
      <c r="Y124" s="161"/>
    </row>
    <row r="125" spans="1:25" x14ac:dyDescent="0.2">
      <c r="A125" s="121" t="s">
        <v>1211</v>
      </c>
      <c r="B125" s="122" t="s">
        <v>1211</v>
      </c>
      <c r="C125" s="122" t="s">
        <v>2303</v>
      </c>
      <c r="D125" s="122" t="s">
        <v>2304</v>
      </c>
      <c r="E125" s="122" t="s">
        <v>430</v>
      </c>
      <c r="F125" s="122" t="s">
        <v>2303</v>
      </c>
      <c r="G125" s="122" t="s">
        <v>2305</v>
      </c>
      <c r="H125" s="122" t="s">
        <v>76</v>
      </c>
      <c r="I125" s="122" t="s">
        <v>73</v>
      </c>
      <c r="J125" s="122" t="s">
        <v>61</v>
      </c>
      <c r="K125" s="122" t="s">
        <v>314</v>
      </c>
      <c r="L125" s="122" t="s">
        <v>805</v>
      </c>
      <c r="M125" s="122" t="s">
        <v>479</v>
      </c>
      <c r="N125" s="122" t="s">
        <v>901</v>
      </c>
      <c r="O125" s="122" t="s">
        <v>62</v>
      </c>
      <c r="P125" s="122" t="s">
        <v>1217</v>
      </c>
      <c r="Q125" s="123">
        <v>1456</v>
      </c>
      <c r="R125" s="123">
        <v>3.306</v>
      </c>
      <c r="S125" s="123">
        <v>32991</v>
      </c>
      <c r="T125" s="123">
        <v>0.85899999999999999</v>
      </c>
      <c r="U125" s="123">
        <v>1590.874</v>
      </c>
      <c r="V125" s="125">
        <v>0</v>
      </c>
      <c r="W125" s="125">
        <v>5.4099999999999999E-3</v>
      </c>
      <c r="X125" s="126">
        <v>1.3600000000000001E-3</v>
      </c>
      <c r="Y125" s="161"/>
    </row>
    <row r="126" spans="1:25" x14ac:dyDescent="0.2">
      <c r="A126" s="121" t="s">
        <v>1211</v>
      </c>
      <c r="B126" s="122" t="s">
        <v>1211</v>
      </c>
      <c r="C126" s="122" t="s">
        <v>2306</v>
      </c>
      <c r="D126" s="122" t="s">
        <v>2307</v>
      </c>
      <c r="E126" s="122" t="s">
        <v>430</v>
      </c>
      <c r="F126" s="122" t="s">
        <v>2306</v>
      </c>
      <c r="G126" s="122" t="s">
        <v>2308</v>
      </c>
      <c r="H126" s="122" t="s">
        <v>76</v>
      </c>
      <c r="I126" s="122" t="s">
        <v>73</v>
      </c>
      <c r="J126" s="122" t="s">
        <v>61</v>
      </c>
      <c r="K126" s="122" t="s">
        <v>314</v>
      </c>
      <c r="L126" s="122" t="s">
        <v>805</v>
      </c>
      <c r="M126" s="122" t="s">
        <v>476</v>
      </c>
      <c r="N126" s="122" t="s">
        <v>901</v>
      </c>
      <c r="O126" s="122" t="s">
        <v>62</v>
      </c>
      <c r="P126" s="122" t="s">
        <v>1217</v>
      </c>
      <c r="Q126" s="123">
        <v>3000</v>
      </c>
      <c r="R126" s="123">
        <v>3.306</v>
      </c>
      <c r="S126" s="123">
        <v>15086</v>
      </c>
      <c r="T126" s="122"/>
      <c r="U126" s="123">
        <v>1496.229</v>
      </c>
      <c r="V126" s="125">
        <v>1.0000000000000001E-5</v>
      </c>
      <c r="W126" s="125">
        <v>5.0899999999999999E-3</v>
      </c>
      <c r="X126" s="126">
        <v>1.2800000000000001E-3</v>
      </c>
      <c r="Y126" s="161"/>
    </row>
    <row r="127" spans="1:25" x14ac:dyDescent="0.2">
      <c r="A127" s="121" t="s">
        <v>1211</v>
      </c>
      <c r="B127" s="122" t="s">
        <v>1211</v>
      </c>
      <c r="C127" s="122" t="s">
        <v>2309</v>
      </c>
      <c r="D127" s="122" t="s">
        <v>2310</v>
      </c>
      <c r="E127" s="122" t="s">
        <v>102</v>
      </c>
      <c r="F127" s="122" t="s">
        <v>2311</v>
      </c>
      <c r="G127" s="122" t="s">
        <v>2312</v>
      </c>
      <c r="H127" s="122" t="s">
        <v>76</v>
      </c>
      <c r="I127" s="122" t="s">
        <v>73</v>
      </c>
      <c r="J127" s="122" t="s">
        <v>61</v>
      </c>
      <c r="K127" s="122" t="s">
        <v>314</v>
      </c>
      <c r="L127" s="122" t="s">
        <v>805</v>
      </c>
      <c r="M127" s="122" t="s">
        <v>479</v>
      </c>
      <c r="N127" s="122" t="s">
        <v>899</v>
      </c>
      <c r="O127" s="122" t="s">
        <v>62</v>
      </c>
      <c r="P127" s="122" t="s">
        <v>1217</v>
      </c>
      <c r="Q127" s="123">
        <v>573</v>
      </c>
      <c r="R127" s="123">
        <v>3.306</v>
      </c>
      <c r="S127" s="123">
        <v>71854</v>
      </c>
      <c r="T127" s="122"/>
      <c r="U127" s="123">
        <v>1361.1579999999999</v>
      </c>
      <c r="V127" s="125">
        <v>0</v>
      </c>
      <c r="W127" s="125">
        <v>4.6299999999999996E-3</v>
      </c>
      <c r="X127" s="126">
        <v>1.16E-3</v>
      </c>
      <c r="Y127" s="161"/>
    </row>
    <row r="128" spans="1:25" x14ac:dyDescent="0.2">
      <c r="A128" s="121" t="s">
        <v>1211</v>
      </c>
      <c r="B128" s="122" t="s">
        <v>1211</v>
      </c>
      <c r="C128" s="122" t="s">
        <v>2313</v>
      </c>
      <c r="D128" s="122" t="s">
        <v>2314</v>
      </c>
      <c r="E128" s="122" t="s">
        <v>429</v>
      </c>
      <c r="F128" s="122" t="s">
        <v>2315</v>
      </c>
      <c r="G128" s="122" t="s">
        <v>2316</v>
      </c>
      <c r="H128" s="122" t="s">
        <v>76</v>
      </c>
      <c r="I128" s="122" t="s">
        <v>73</v>
      </c>
      <c r="J128" s="122" t="s">
        <v>61</v>
      </c>
      <c r="K128" s="122" t="s">
        <v>53</v>
      </c>
      <c r="L128" s="122" t="s">
        <v>805</v>
      </c>
      <c r="M128" s="122" t="s">
        <v>479</v>
      </c>
      <c r="N128" s="122" t="s">
        <v>254</v>
      </c>
      <c r="O128" s="122" t="s">
        <v>62</v>
      </c>
      <c r="P128" s="122" t="s">
        <v>1217</v>
      </c>
      <c r="Q128" s="123">
        <v>3703</v>
      </c>
      <c r="R128" s="123">
        <v>3.306</v>
      </c>
      <c r="S128" s="123">
        <v>10505</v>
      </c>
      <c r="T128" s="122"/>
      <c r="U128" s="123">
        <v>1286.0340000000001</v>
      </c>
      <c r="V128" s="125">
        <v>8.0000000000000007E-5</v>
      </c>
      <c r="W128" s="125">
        <v>4.3699999999999998E-3</v>
      </c>
      <c r="X128" s="126">
        <v>1.1000000000000001E-3</v>
      </c>
      <c r="Y128" s="161"/>
    </row>
    <row r="129" spans="1:25" x14ac:dyDescent="0.2">
      <c r="A129" s="121" t="s">
        <v>1211</v>
      </c>
      <c r="B129" s="122" t="s">
        <v>1211</v>
      </c>
      <c r="C129" s="122" t="s">
        <v>2317</v>
      </c>
      <c r="D129" s="122" t="s">
        <v>2318</v>
      </c>
      <c r="E129" s="122" t="s">
        <v>430</v>
      </c>
      <c r="F129" s="122" t="s">
        <v>2319</v>
      </c>
      <c r="G129" s="122" t="s">
        <v>2320</v>
      </c>
      <c r="H129" s="122" t="s">
        <v>76</v>
      </c>
      <c r="I129" s="122" t="s">
        <v>73</v>
      </c>
      <c r="J129" s="122" t="s">
        <v>61</v>
      </c>
      <c r="K129" s="122" t="s">
        <v>153</v>
      </c>
      <c r="L129" s="122" t="s">
        <v>805</v>
      </c>
      <c r="M129" s="122" t="s">
        <v>488</v>
      </c>
      <c r="N129" s="122" t="s">
        <v>899</v>
      </c>
      <c r="O129" s="122" t="s">
        <v>62</v>
      </c>
      <c r="P129" s="122" t="s">
        <v>1218</v>
      </c>
      <c r="Q129" s="123">
        <v>1433</v>
      </c>
      <c r="R129" s="123">
        <v>3.8809999999999998</v>
      </c>
      <c r="S129" s="123">
        <v>22790</v>
      </c>
      <c r="T129" s="122"/>
      <c r="U129" s="123">
        <v>1267.3620000000001</v>
      </c>
      <c r="V129" s="125">
        <v>0</v>
      </c>
      <c r="W129" s="125">
        <v>4.3099999999999996E-3</v>
      </c>
      <c r="X129" s="126">
        <v>1.08E-3</v>
      </c>
      <c r="Y129" s="161"/>
    </row>
    <row r="130" spans="1:25" x14ac:dyDescent="0.2">
      <c r="A130" s="121" t="s">
        <v>1211</v>
      </c>
      <c r="B130" s="122" t="s">
        <v>1211</v>
      </c>
      <c r="C130" s="122" t="s">
        <v>2321</v>
      </c>
      <c r="D130" s="122" t="s">
        <v>2322</v>
      </c>
      <c r="E130" s="122" t="s">
        <v>430</v>
      </c>
      <c r="F130" s="122" t="s">
        <v>2321</v>
      </c>
      <c r="G130" s="122" t="s">
        <v>2323</v>
      </c>
      <c r="H130" s="122" t="s">
        <v>76</v>
      </c>
      <c r="I130" s="122" t="s">
        <v>73</v>
      </c>
      <c r="J130" s="122" t="s">
        <v>61</v>
      </c>
      <c r="K130" s="122" t="s">
        <v>314</v>
      </c>
      <c r="L130" s="122" t="s">
        <v>805</v>
      </c>
      <c r="M130" s="122" t="s">
        <v>476</v>
      </c>
      <c r="N130" s="122" t="s">
        <v>873</v>
      </c>
      <c r="O130" s="122" t="s">
        <v>62</v>
      </c>
      <c r="P130" s="122" t="s">
        <v>1217</v>
      </c>
      <c r="Q130" s="123">
        <v>2556</v>
      </c>
      <c r="R130" s="123">
        <v>3.306</v>
      </c>
      <c r="S130" s="123">
        <v>14216</v>
      </c>
      <c r="T130" s="122"/>
      <c r="U130" s="123">
        <v>1201.271</v>
      </c>
      <c r="V130" s="125">
        <v>5.0000000000000002E-5</v>
      </c>
      <c r="W130" s="125">
        <v>4.0899999999999999E-3</v>
      </c>
      <c r="X130" s="126">
        <v>1.0200000000000001E-3</v>
      </c>
      <c r="Y130" s="161"/>
    </row>
    <row r="131" spans="1:25" x14ac:dyDescent="0.2">
      <c r="A131" s="121" t="s">
        <v>1211</v>
      </c>
      <c r="B131" s="122" t="s">
        <v>1211</v>
      </c>
      <c r="C131" s="122" t="s">
        <v>2324</v>
      </c>
      <c r="D131" s="122" t="s">
        <v>2325</v>
      </c>
      <c r="E131" s="122" t="s">
        <v>430</v>
      </c>
      <c r="F131" s="122" t="s">
        <v>2324</v>
      </c>
      <c r="G131" s="122" t="s">
        <v>2326</v>
      </c>
      <c r="H131" s="122" t="s">
        <v>76</v>
      </c>
      <c r="I131" s="122" t="s">
        <v>73</v>
      </c>
      <c r="J131" s="122" t="s">
        <v>61</v>
      </c>
      <c r="K131" s="122" t="s">
        <v>317</v>
      </c>
      <c r="L131" s="122" t="s">
        <v>805</v>
      </c>
      <c r="M131" s="122" t="s">
        <v>494</v>
      </c>
      <c r="N131" s="122" t="s">
        <v>896</v>
      </c>
      <c r="O131" s="122" t="s">
        <v>62</v>
      </c>
      <c r="P131" s="122" t="s">
        <v>1221</v>
      </c>
      <c r="Q131" s="123">
        <v>8809</v>
      </c>
      <c r="R131" s="123">
        <v>4.4409999999999998</v>
      </c>
      <c r="S131" s="123">
        <v>2865</v>
      </c>
      <c r="T131" s="122"/>
      <c r="U131" s="123">
        <v>1120.7850000000001</v>
      </c>
      <c r="V131" s="125">
        <v>1.2E-4</v>
      </c>
      <c r="W131" s="125">
        <v>3.81E-3</v>
      </c>
      <c r="X131" s="126">
        <v>9.6000000000000002E-4</v>
      </c>
      <c r="Y131" s="161"/>
    </row>
    <row r="132" spans="1:25" x14ac:dyDescent="0.2">
      <c r="A132" s="121" t="s">
        <v>1211</v>
      </c>
      <c r="B132" s="122" t="s">
        <v>1211</v>
      </c>
      <c r="C132" s="122" t="s">
        <v>2327</v>
      </c>
      <c r="D132" s="122" t="s">
        <v>2328</v>
      </c>
      <c r="E132" s="122" t="s">
        <v>430</v>
      </c>
      <c r="F132" s="122" t="s">
        <v>2329</v>
      </c>
      <c r="G132" s="122" t="s">
        <v>2330</v>
      </c>
      <c r="H132" s="122" t="s">
        <v>76</v>
      </c>
      <c r="I132" s="122" t="s">
        <v>73</v>
      </c>
      <c r="J132" s="122" t="s">
        <v>61</v>
      </c>
      <c r="K132" s="122" t="s">
        <v>314</v>
      </c>
      <c r="L132" s="122" t="s">
        <v>805</v>
      </c>
      <c r="M132" s="122" t="s">
        <v>476</v>
      </c>
      <c r="N132" s="122" t="s">
        <v>896</v>
      </c>
      <c r="O132" s="122" t="s">
        <v>62</v>
      </c>
      <c r="P132" s="122" t="s">
        <v>1217</v>
      </c>
      <c r="Q132" s="123">
        <v>636</v>
      </c>
      <c r="R132" s="123">
        <v>3.306</v>
      </c>
      <c r="S132" s="123">
        <v>50274</v>
      </c>
      <c r="T132" s="122"/>
      <c r="U132" s="123">
        <v>1057.069</v>
      </c>
      <c r="V132" s="125">
        <v>0</v>
      </c>
      <c r="W132" s="125">
        <v>3.5899999999999999E-3</v>
      </c>
      <c r="X132" s="126">
        <v>8.9999999999999998E-4</v>
      </c>
      <c r="Y132" s="161"/>
    </row>
    <row r="133" spans="1:25" x14ac:dyDescent="0.2">
      <c r="A133" s="121" t="s">
        <v>1211</v>
      </c>
      <c r="B133" s="122" t="s">
        <v>1211</v>
      </c>
      <c r="C133" s="122" t="s">
        <v>2331</v>
      </c>
      <c r="D133" s="122" t="s">
        <v>2332</v>
      </c>
      <c r="E133" s="122" t="s">
        <v>430</v>
      </c>
      <c r="F133" s="122" t="s">
        <v>2331</v>
      </c>
      <c r="G133" s="122" t="s">
        <v>2333</v>
      </c>
      <c r="H133" s="122" t="s">
        <v>76</v>
      </c>
      <c r="I133" s="122" t="s">
        <v>73</v>
      </c>
      <c r="J133" s="122" t="s">
        <v>61</v>
      </c>
      <c r="K133" s="122" t="s">
        <v>314</v>
      </c>
      <c r="L133" s="122" t="s">
        <v>805</v>
      </c>
      <c r="M133" s="122" t="s">
        <v>476</v>
      </c>
      <c r="N133" s="122" t="s">
        <v>896</v>
      </c>
      <c r="O133" s="122" t="s">
        <v>62</v>
      </c>
      <c r="P133" s="122" t="s">
        <v>1217</v>
      </c>
      <c r="Q133" s="123">
        <v>2315</v>
      </c>
      <c r="R133" s="123">
        <v>3.306</v>
      </c>
      <c r="S133" s="123">
        <v>13327</v>
      </c>
      <c r="T133" s="122"/>
      <c r="U133" s="123">
        <v>1019.967</v>
      </c>
      <c r="V133" s="125">
        <v>0</v>
      </c>
      <c r="W133" s="125">
        <v>3.47E-3</v>
      </c>
      <c r="X133" s="126">
        <v>8.7000000000000001E-4</v>
      </c>
      <c r="Y133" s="161"/>
    </row>
    <row r="134" spans="1:25" x14ac:dyDescent="0.2">
      <c r="A134" s="121" t="s">
        <v>1211</v>
      </c>
      <c r="B134" s="122" t="s">
        <v>1211</v>
      </c>
      <c r="C134" s="122" t="s">
        <v>2334</v>
      </c>
      <c r="D134" s="122" t="s">
        <v>2335</v>
      </c>
      <c r="E134" s="122" t="s">
        <v>430</v>
      </c>
      <c r="F134" s="122" t="s">
        <v>2334</v>
      </c>
      <c r="G134" s="122" t="s">
        <v>2336</v>
      </c>
      <c r="H134" s="122" t="s">
        <v>76</v>
      </c>
      <c r="I134" s="122" t="s">
        <v>73</v>
      </c>
      <c r="J134" s="122" t="s">
        <v>61</v>
      </c>
      <c r="K134" s="122" t="s">
        <v>314</v>
      </c>
      <c r="L134" s="122" t="s">
        <v>805</v>
      </c>
      <c r="M134" s="122" t="s">
        <v>476</v>
      </c>
      <c r="N134" s="122" t="s">
        <v>915</v>
      </c>
      <c r="O134" s="122" t="s">
        <v>62</v>
      </c>
      <c r="P134" s="122" t="s">
        <v>1217</v>
      </c>
      <c r="Q134" s="123">
        <v>2635</v>
      </c>
      <c r="R134" s="123">
        <v>3.306</v>
      </c>
      <c r="S134" s="123">
        <v>11452</v>
      </c>
      <c r="T134" s="123">
        <v>2.661</v>
      </c>
      <c r="U134" s="123">
        <v>1006.418</v>
      </c>
      <c r="V134" s="125">
        <v>0</v>
      </c>
      <c r="W134" s="125">
        <v>3.4299999999999999E-3</v>
      </c>
      <c r="X134" s="126">
        <v>8.5999999999999998E-4</v>
      </c>
      <c r="Y134" s="161"/>
    </row>
    <row r="135" spans="1:25" x14ac:dyDescent="0.2">
      <c r="A135" s="121" t="s">
        <v>1211</v>
      </c>
      <c r="B135" s="122" t="s">
        <v>1211</v>
      </c>
      <c r="C135" s="122" t="s">
        <v>2337</v>
      </c>
      <c r="D135" s="122" t="s">
        <v>2338</v>
      </c>
      <c r="E135" s="122" t="s">
        <v>430</v>
      </c>
      <c r="F135" s="122" t="s">
        <v>2339</v>
      </c>
      <c r="G135" s="122" t="s">
        <v>2340</v>
      </c>
      <c r="H135" s="122" t="s">
        <v>76</v>
      </c>
      <c r="I135" s="122" t="s">
        <v>73</v>
      </c>
      <c r="J135" s="122" t="s">
        <v>61</v>
      </c>
      <c r="K135" s="122" t="s">
        <v>203</v>
      </c>
      <c r="L135" s="122" t="s">
        <v>805</v>
      </c>
      <c r="M135" s="122" t="s">
        <v>486</v>
      </c>
      <c r="N135" s="122" t="s">
        <v>884</v>
      </c>
      <c r="O135" s="122" t="s">
        <v>62</v>
      </c>
      <c r="P135" s="122" t="s">
        <v>1218</v>
      </c>
      <c r="Q135" s="123">
        <v>687</v>
      </c>
      <c r="R135" s="123">
        <v>3.8809999999999998</v>
      </c>
      <c r="S135" s="123">
        <v>36850</v>
      </c>
      <c r="T135" s="122"/>
      <c r="U135" s="123">
        <v>982.43600000000004</v>
      </c>
      <c r="V135" s="125">
        <v>0</v>
      </c>
      <c r="W135" s="125">
        <v>3.3400000000000001E-3</v>
      </c>
      <c r="X135" s="126">
        <v>8.4000000000000003E-4</v>
      </c>
      <c r="Y135" s="161"/>
    </row>
    <row r="136" spans="1:25" x14ac:dyDescent="0.2">
      <c r="A136" s="121" t="s">
        <v>1211</v>
      </c>
      <c r="B136" s="122" t="s">
        <v>1211</v>
      </c>
      <c r="C136" s="122" t="s">
        <v>1951</v>
      </c>
      <c r="D136" s="122" t="s">
        <v>1952</v>
      </c>
      <c r="E136" s="122" t="s">
        <v>429</v>
      </c>
      <c r="F136" s="122" t="s">
        <v>2341</v>
      </c>
      <c r="G136" s="122" t="s">
        <v>2342</v>
      </c>
      <c r="H136" s="122" t="s">
        <v>76</v>
      </c>
      <c r="I136" s="122" t="s">
        <v>73</v>
      </c>
      <c r="J136" s="122" t="s">
        <v>61</v>
      </c>
      <c r="K136" s="122" t="s">
        <v>53</v>
      </c>
      <c r="L136" s="122" t="s">
        <v>805</v>
      </c>
      <c r="M136" s="122" t="s">
        <v>479</v>
      </c>
      <c r="N136" s="122" t="s">
        <v>253</v>
      </c>
      <c r="O136" s="122" t="s">
        <v>62</v>
      </c>
      <c r="P136" s="122" t="s">
        <v>1217</v>
      </c>
      <c r="Q136" s="123">
        <v>1604</v>
      </c>
      <c r="R136" s="123">
        <v>3.306</v>
      </c>
      <c r="S136" s="123">
        <v>14478</v>
      </c>
      <c r="T136" s="122"/>
      <c r="U136" s="123">
        <v>767.74300000000005</v>
      </c>
      <c r="V136" s="125">
        <v>3.0000000000000001E-5</v>
      </c>
      <c r="W136" s="125">
        <v>2.6099999999999999E-3</v>
      </c>
      <c r="X136" s="126">
        <v>6.4999999999999997E-4</v>
      </c>
      <c r="Y136" s="161"/>
    </row>
    <row r="137" spans="1:25" x14ac:dyDescent="0.2">
      <c r="A137" s="121" t="s">
        <v>1211</v>
      </c>
      <c r="B137" s="122" t="s">
        <v>1211</v>
      </c>
      <c r="C137" s="122" t="s">
        <v>2343</v>
      </c>
      <c r="D137" s="122" t="s">
        <v>2344</v>
      </c>
      <c r="E137" s="122" t="s">
        <v>430</v>
      </c>
      <c r="F137" s="122" t="s">
        <v>2345</v>
      </c>
      <c r="G137" s="122" t="s">
        <v>2346</v>
      </c>
      <c r="H137" s="122" t="s">
        <v>76</v>
      </c>
      <c r="I137" s="122" t="s">
        <v>73</v>
      </c>
      <c r="J137" s="122" t="s">
        <v>61</v>
      </c>
      <c r="K137" s="122" t="s">
        <v>314</v>
      </c>
      <c r="L137" s="122" t="s">
        <v>805</v>
      </c>
      <c r="M137" s="122" t="s">
        <v>479</v>
      </c>
      <c r="N137" s="122" t="s">
        <v>202</v>
      </c>
      <c r="O137" s="122" t="s">
        <v>62</v>
      </c>
      <c r="P137" s="122" t="s">
        <v>1217</v>
      </c>
      <c r="Q137" s="123">
        <v>4707</v>
      </c>
      <c r="R137" s="123">
        <v>3.306</v>
      </c>
      <c r="S137" s="123">
        <v>3700</v>
      </c>
      <c r="T137" s="122"/>
      <c r="U137" s="123">
        <v>575.77</v>
      </c>
      <c r="V137" s="125">
        <v>8.0000000000000007E-5</v>
      </c>
      <c r="W137" s="125">
        <v>1.9599999999999999E-3</v>
      </c>
      <c r="X137" s="126">
        <v>4.8999999999999998E-4</v>
      </c>
      <c r="Y137" s="161"/>
    </row>
    <row r="138" spans="1:25" x14ac:dyDescent="0.2">
      <c r="A138" s="121" t="s">
        <v>1211</v>
      </c>
      <c r="B138" s="122" t="s">
        <v>1211</v>
      </c>
      <c r="C138" s="122" t="s">
        <v>2347</v>
      </c>
      <c r="D138" s="122" t="s">
        <v>2348</v>
      </c>
      <c r="E138" s="122" t="s">
        <v>430</v>
      </c>
      <c r="F138" s="122" t="s">
        <v>2347</v>
      </c>
      <c r="G138" s="122" t="s">
        <v>2349</v>
      </c>
      <c r="H138" s="122" t="s">
        <v>76</v>
      </c>
      <c r="I138" s="122" t="s">
        <v>73</v>
      </c>
      <c r="J138" s="122" t="s">
        <v>61</v>
      </c>
      <c r="K138" s="122" t="s">
        <v>164</v>
      </c>
      <c r="L138" s="122" t="s">
        <v>805</v>
      </c>
      <c r="M138" s="122" t="s">
        <v>102</v>
      </c>
      <c r="N138" s="122" t="s">
        <v>885</v>
      </c>
      <c r="O138" s="122" t="s">
        <v>62</v>
      </c>
      <c r="P138" s="122" t="s">
        <v>1218</v>
      </c>
      <c r="Q138" s="123">
        <v>4735</v>
      </c>
      <c r="R138" s="123">
        <v>3.8809999999999998</v>
      </c>
      <c r="S138" s="123">
        <v>2922</v>
      </c>
      <c r="T138" s="122"/>
      <c r="U138" s="123">
        <v>536.92100000000005</v>
      </c>
      <c r="V138" s="125">
        <v>3.0000000000000001E-5</v>
      </c>
      <c r="W138" s="125">
        <v>1.83E-3</v>
      </c>
      <c r="X138" s="126">
        <v>4.6000000000000001E-4</v>
      </c>
      <c r="Y138" s="161"/>
    </row>
    <row r="139" spans="1:25" x14ac:dyDescent="0.2">
      <c r="A139" s="121" t="s">
        <v>1211</v>
      </c>
      <c r="B139" s="122" t="s">
        <v>1211</v>
      </c>
      <c r="C139" s="122" t="s">
        <v>2350</v>
      </c>
      <c r="D139" s="122" t="s">
        <v>2351</v>
      </c>
      <c r="E139" s="122" t="s">
        <v>430</v>
      </c>
      <c r="F139" s="122" t="s">
        <v>2352</v>
      </c>
      <c r="G139" s="122" t="s">
        <v>2353</v>
      </c>
      <c r="H139" s="122" t="s">
        <v>76</v>
      </c>
      <c r="I139" s="122" t="s">
        <v>73</v>
      </c>
      <c r="J139" s="122" t="s">
        <v>61</v>
      </c>
      <c r="K139" s="122" t="s">
        <v>314</v>
      </c>
      <c r="L139" s="122" t="s">
        <v>805</v>
      </c>
      <c r="M139" s="122" t="s">
        <v>476</v>
      </c>
      <c r="N139" s="122" t="s">
        <v>865</v>
      </c>
      <c r="O139" s="122" t="s">
        <v>62</v>
      </c>
      <c r="P139" s="122" t="s">
        <v>1217</v>
      </c>
      <c r="Q139" s="123">
        <v>26467</v>
      </c>
      <c r="R139" s="123">
        <v>3.306</v>
      </c>
      <c r="S139" s="123">
        <v>450</v>
      </c>
      <c r="T139" s="122"/>
      <c r="U139" s="123">
        <v>393.75</v>
      </c>
      <c r="V139" s="125">
        <v>2.5400000000000002E-3</v>
      </c>
      <c r="W139" s="125">
        <v>1.34E-3</v>
      </c>
      <c r="X139" s="126">
        <v>3.4000000000000002E-4</v>
      </c>
      <c r="Y139" s="161"/>
    </row>
    <row r="140" spans="1:25" x14ac:dyDescent="0.2">
      <c r="A140" s="121" t="s">
        <v>1211</v>
      </c>
      <c r="B140" s="122" t="s">
        <v>1211</v>
      </c>
      <c r="C140" s="122" t="s">
        <v>2354</v>
      </c>
      <c r="D140" s="122" t="s">
        <v>2355</v>
      </c>
      <c r="E140" s="122" t="s">
        <v>429</v>
      </c>
      <c r="F140" s="122" t="s">
        <v>2356</v>
      </c>
      <c r="G140" s="122" t="s">
        <v>2357</v>
      </c>
      <c r="H140" s="122" t="s">
        <v>76</v>
      </c>
      <c r="I140" s="122" t="s">
        <v>73</v>
      </c>
      <c r="J140" s="122" t="s">
        <v>61</v>
      </c>
      <c r="K140" s="122" t="s">
        <v>53</v>
      </c>
      <c r="L140" s="122" t="s">
        <v>805</v>
      </c>
      <c r="M140" s="122" t="s">
        <v>479</v>
      </c>
      <c r="N140" s="122" t="s">
        <v>253</v>
      </c>
      <c r="O140" s="122" t="s">
        <v>62</v>
      </c>
      <c r="P140" s="122" t="s">
        <v>1217</v>
      </c>
      <c r="Q140" s="123">
        <v>8030</v>
      </c>
      <c r="R140" s="123">
        <v>3.306</v>
      </c>
      <c r="S140" s="123">
        <v>960</v>
      </c>
      <c r="T140" s="122"/>
      <c r="U140" s="123">
        <v>254.85300000000001</v>
      </c>
      <c r="V140" s="125">
        <v>1.7000000000000001E-4</v>
      </c>
      <c r="W140" s="125">
        <v>8.7000000000000001E-4</v>
      </c>
      <c r="X140" s="126">
        <v>2.2000000000000001E-4</v>
      </c>
      <c r="Y140" s="161"/>
    </row>
    <row r="141" spans="1:25" x14ac:dyDescent="0.2">
      <c r="A141" s="121" t="s">
        <v>1211</v>
      </c>
      <c r="B141" s="122" t="s">
        <v>1211</v>
      </c>
      <c r="C141" s="122" t="s">
        <v>2358</v>
      </c>
      <c r="D141" s="122" t="s">
        <v>2359</v>
      </c>
      <c r="E141" s="122" t="s">
        <v>430</v>
      </c>
      <c r="F141" s="122" t="s">
        <v>2360</v>
      </c>
      <c r="G141" s="122" t="s">
        <v>2361</v>
      </c>
      <c r="H141" s="122" t="s">
        <v>76</v>
      </c>
      <c r="I141" s="122" t="s">
        <v>73</v>
      </c>
      <c r="J141" s="122" t="s">
        <v>61</v>
      </c>
      <c r="K141" s="122" t="s">
        <v>314</v>
      </c>
      <c r="L141" s="122" t="s">
        <v>805</v>
      </c>
      <c r="M141" s="122" t="s">
        <v>476</v>
      </c>
      <c r="N141" s="122" t="s">
        <v>899</v>
      </c>
      <c r="O141" s="122" t="s">
        <v>62</v>
      </c>
      <c r="P141" s="122" t="s">
        <v>1217</v>
      </c>
      <c r="Q141" s="123">
        <v>527</v>
      </c>
      <c r="R141" s="123">
        <v>3.306</v>
      </c>
      <c r="S141" s="123">
        <v>1761</v>
      </c>
      <c r="T141" s="122"/>
      <c r="U141" s="123">
        <v>30.681000000000001</v>
      </c>
      <c r="V141" s="125">
        <v>1.7899999999999999E-3</v>
      </c>
      <c r="W141" s="125">
        <v>1E-4</v>
      </c>
      <c r="X141" s="126">
        <v>3.0000000000000001E-5</v>
      </c>
      <c r="Y141" s="161"/>
    </row>
    <row r="142" spans="1:25" x14ac:dyDescent="0.2">
      <c r="A142" s="121" t="s">
        <v>1211</v>
      </c>
      <c r="B142" s="122" t="s">
        <v>1211</v>
      </c>
      <c r="C142" s="122" t="s">
        <v>2362</v>
      </c>
      <c r="D142" s="122" t="s">
        <v>2363</v>
      </c>
      <c r="E142" s="122" t="s">
        <v>430</v>
      </c>
      <c r="F142" s="122" t="s">
        <v>2362</v>
      </c>
      <c r="G142" s="122" t="s">
        <v>2364</v>
      </c>
      <c r="H142" s="122" t="s">
        <v>76</v>
      </c>
      <c r="I142" s="122" t="s">
        <v>73</v>
      </c>
      <c r="J142" s="122" t="s">
        <v>61</v>
      </c>
      <c r="K142" s="122" t="s">
        <v>153</v>
      </c>
      <c r="L142" s="122" t="s">
        <v>805</v>
      </c>
      <c r="M142" s="122" t="s">
        <v>488</v>
      </c>
      <c r="N142" s="122" t="s">
        <v>1134</v>
      </c>
      <c r="O142" s="122" t="s">
        <v>62</v>
      </c>
      <c r="P142" s="122" t="s">
        <v>1218</v>
      </c>
      <c r="Q142" s="123">
        <v>47</v>
      </c>
      <c r="R142" s="123">
        <v>3.8809999999999998</v>
      </c>
      <c r="S142" s="123">
        <v>3502</v>
      </c>
      <c r="T142" s="122"/>
      <c r="U142" s="123">
        <v>6.3869999999999996</v>
      </c>
      <c r="V142" s="125">
        <v>0</v>
      </c>
      <c r="W142" s="125">
        <v>2.0000000000000002E-5</v>
      </c>
      <c r="X142" s="126">
        <v>1.0000000000000001E-5</v>
      </c>
      <c r="Y142" s="161"/>
    </row>
    <row r="143" spans="1:25" x14ac:dyDescent="0.2">
      <c r="A143" s="121" t="s">
        <v>1211</v>
      </c>
      <c r="B143" s="122" t="s">
        <v>1211</v>
      </c>
      <c r="C143" s="122" t="s">
        <v>2365</v>
      </c>
      <c r="D143" s="122" t="s">
        <v>2366</v>
      </c>
      <c r="E143" s="122" t="s">
        <v>429</v>
      </c>
      <c r="F143" s="122" t="s">
        <v>2365</v>
      </c>
      <c r="G143" s="122" t="s">
        <v>2367</v>
      </c>
      <c r="H143" s="122" t="s">
        <v>76</v>
      </c>
      <c r="I143" s="122" t="s">
        <v>73</v>
      </c>
      <c r="J143" s="122" t="s">
        <v>61</v>
      </c>
      <c r="K143" s="122" t="s">
        <v>53</v>
      </c>
      <c r="L143" s="122" t="s">
        <v>805</v>
      </c>
      <c r="M143" s="122" t="s">
        <v>476</v>
      </c>
      <c r="N143" s="122" t="s">
        <v>893</v>
      </c>
      <c r="O143" s="122" t="s">
        <v>62</v>
      </c>
      <c r="P143" s="122" t="s">
        <v>1217</v>
      </c>
      <c r="Q143" s="123">
        <v>92165</v>
      </c>
      <c r="R143" s="123">
        <v>3.306</v>
      </c>
      <c r="S143" s="123">
        <v>1.7</v>
      </c>
      <c r="T143" s="122"/>
      <c r="U143" s="123">
        <v>5.18</v>
      </c>
      <c r="V143" s="125">
        <v>5.9999999999999995E-4</v>
      </c>
      <c r="W143" s="125">
        <v>2.0000000000000002E-5</v>
      </c>
      <c r="X143" s="126">
        <v>0</v>
      </c>
      <c r="Y143" s="161"/>
    </row>
    <row r="144" spans="1:25" x14ac:dyDescent="0.2">
      <c r="A144" s="121" t="s">
        <v>1211</v>
      </c>
      <c r="B144" s="122" t="s">
        <v>1211</v>
      </c>
      <c r="C144" s="122" t="s">
        <v>2368</v>
      </c>
      <c r="D144" s="122" t="s">
        <v>2369</v>
      </c>
      <c r="E144" s="122" t="s">
        <v>430</v>
      </c>
      <c r="F144" s="122" t="s">
        <v>2368</v>
      </c>
      <c r="G144" s="122" t="s">
        <v>2370</v>
      </c>
      <c r="H144" s="122" t="s">
        <v>76</v>
      </c>
      <c r="I144" s="122" t="s">
        <v>73</v>
      </c>
      <c r="J144" s="122" t="s">
        <v>61</v>
      </c>
      <c r="K144" s="122" t="s">
        <v>314</v>
      </c>
      <c r="L144" s="122" t="s">
        <v>805</v>
      </c>
      <c r="M144" s="122" t="s">
        <v>479</v>
      </c>
      <c r="N144" s="122" t="s">
        <v>899</v>
      </c>
      <c r="O144" s="122" t="s">
        <v>62</v>
      </c>
      <c r="P144" s="122" t="s">
        <v>1217</v>
      </c>
      <c r="Q144" s="123">
        <v>50</v>
      </c>
      <c r="R144" s="123">
        <v>3.306</v>
      </c>
      <c r="S144" s="123">
        <v>2711</v>
      </c>
      <c r="T144" s="122"/>
      <c r="U144" s="123">
        <v>4.4809999999999999</v>
      </c>
      <c r="V144" s="125">
        <v>0</v>
      </c>
      <c r="W144" s="125">
        <v>2.0000000000000002E-5</v>
      </c>
      <c r="X144" s="126">
        <v>0</v>
      </c>
      <c r="Y144" s="161"/>
    </row>
    <row r="145" spans="1:25" x14ac:dyDescent="0.2">
      <c r="A145" s="121" t="s">
        <v>1211</v>
      </c>
      <c r="B145" s="122" t="s">
        <v>1211</v>
      </c>
      <c r="C145" s="122" t="s">
        <v>2371</v>
      </c>
      <c r="D145" s="122" t="s">
        <v>2372</v>
      </c>
      <c r="E145" s="122" t="s">
        <v>430</v>
      </c>
      <c r="F145" s="122" t="s">
        <v>2371</v>
      </c>
      <c r="G145" s="122" t="s">
        <v>2373</v>
      </c>
      <c r="H145" s="122" t="s">
        <v>76</v>
      </c>
      <c r="I145" s="122" t="s">
        <v>73</v>
      </c>
      <c r="J145" s="122" t="s">
        <v>61</v>
      </c>
      <c r="K145" s="122" t="s">
        <v>314</v>
      </c>
      <c r="L145" s="122" t="s">
        <v>805</v>
      </c>
      <c r="M145" s="122" t="s">
        <v>479</v>
      </c>
      <c r="N145" s="122" t="s">
        <v>899</v>
      </c>
      <c r="O145" s="122" t="s">
        <v>62</v>
      </c>
      <c r="P145" s="122" t="s">
        <v>1217</v>
      </c>
      <c r="Q145" s="123">
        <v>8</v>
      </c>
      <c r="R145" s="123">
        <v>3.306</v>
      </c>
      <c r="S145" s="123">
        <v>701</v>
      </c>
      <c r="T145" s="122"/>
      <c r="U145" s="123">
        <v>0.185</v>
      </c>
      <c r="V145" s="125">
        <v>0</v>
      </c>
      <c r="W145" s="125">
        <v>0</v>
      </c>
      <c r="X145" s="126">
        <v>0</v>
      </c>
      <c r="Y145" s="161"/>
    </row>
    <row r="146" spans="1:25" x14ac:dyDescent="0.2">
      <c r="A146" s="121" t="s">
        <v>1223</v>
      </c>
      <c r="B146" s="122" t="s">
        <v>1223</v>
      </c>
      <c r="C146" s="122" t="s">
        <v>1348</v>
      </c>
      <c r="D146" s="122" t="s">
        <v>1349</v>
      </c>
      <c r="E146" s="122" t="s">
        <v>429</v>
      </c>
      <c r="F146" s="122" t="s">
        <v>1905</v>
      </c>
      <c r="G146" s="122" t="s">
        <v>1906</v>
      </c>
      <c r="H146" s="122" t="s">
        <v>76</v>
      </c>
      <c r="I146" s="122" t="s">
        <v>73</v>
      </c>
      <c r="J146" s="122" t="s">
        <v>53</v>
      </c>
      <c r="K146" s="122" t="s">
        <v>53</v>
      </c>
      <c r="L146" s="122" t="s">
        <v>805</v>
      </c>
      <c r="M146" s="122" t="s">
        <v>311</v>
      </c>
      <c r="N146" s="122" t="s">
        <v>256</v>
      </c>
      <c r="O146" s="122" t="s">
        <v>62</v>
      </c>
      <c r="P146" s="122" t="s">
        <v>1216</v>
      </c>
      <c r="Q146" s="123">
        <v>3419056</v>
      </c>
      <c r="R146" s="123">
        <v>1</v>
      </c>
      <c r="S146" s="123">
        <v>6529</v>
      </c>
      <c r="T146" s="122"/>
      <c r="U146" s="123">
        <v>223230.166</v>
      </c>
      <c r="V146" s="125">
        <v>2.1199999999999999E-3</v>
      </c>
      <c r="W146" s="125">
        <v>3.3169999999999998E-2</v>
      </c>
      <c r="X146" s="126">
        <v>8.1799999999999998E-3</v>
      </c>
      <c r="Y146" s="161"/>
    </row>
    <row r="147" spans="1:25" x14ac:dyDescent="0.2">
      <c r="A147" s="121" t="s">
        <v>1223</v>
      </c>
      <c r="B147" s="122" t="s">
        <v>1223</v>
      </c>
      <c r="C147" s="122" t="s">
        <v>1326</v>
      </c>
      <c r="D147" s="122" t="s">
        <v>1327</v>
      </c>
      <c r="E147" s="122" t="s">
        <v>429</v>
      </c>
      <c r="F147" s="122" t="s">
        <v>1907</v>
      </c>
      <c r="G147" s="122" t="s">
        <v>1908</v>
      </c>
      <c r="H147" s="122" t="s">
        <v>76</v>
      </c>
      <c r="I147" s="122" t="s">
        <v>73</v>
      </c>
      <c r="J147" s="122" t="s">
        <v>53</v>
      </c>
      <c r="K147" s="122" t="s">
        <v>53</v>
      </c>
      <c r="L147" s="122" t="s">
        <v>805</v>
      </c>
      <c r="M147" s="122" t="s">
        <v>311</v>
      </c>
      <c r="N147" s="122" t="s">
        <v>256</v>
      </c>
      <c r="O147" s="122" t="s">
        <v>62</v>
      </c>
      <c r="P147" s="122" t="s">
        <v>1216</v>
      </c>
      <c r="Q147" s="123">
        <v>3223859</v>
      </c>
      <c r="R147" s="123">
        <v>1</v>
      </c>
      <c r="S147" s="123">
        <v>6732</v>
      </c>
      <c r="T147" s="122"/>
      <c r="U147" s="123">
        <v>217030.18799999999</v>
      </c>
      <c r="V147" s="125">
        <v>2.4099999999999998E-3</v>
      </c>
      <c r="W147" s="125">
        <v>3.2250000000000001E-2</v>
      </c>
      <c r="X147" s="126">
        <v>7.9500000000000005E-3</v>
      </c>
      <c r="Y147" s="161"/>
    </row>
    <row r="148" spans="1:25" x14ac:dyDescent="0.2">
      <c r="A148" s="121" t="s">
        <v>1223</v>
      </c>
      <c r="B148" s="122" t="s">
        <v>1223</v>
      </c>
      <c r="C148" s="122" t="s">
        <v>1790</v>
      </c>
      <c r="D148" s="122" t="s">
        <v>1791</v>
      </c>
      <c r="E148" s="122" t="s">
        <v>429</v>
      </c>
      <c r="F148" s="122" t="s">
        <v>1911</v>
      </c>
      <c r="G148" s="122" t="s">
        <v>1912</v>
      </c>
      <c r="H148" s="122" t="s">
        <v>76</v>
      </c>
      <c r="I148" s="122" t="s">
        <v>73</v>
      </c>
      <c r="J148" s="122" t="s">
        <v>53</v>
      </c>
      <c r="K148" s="122" t="s">
        <v>53</v>
      </c>
      <c r="L148" s="122" t="s">
        <v>805</v>
      </c>
      <c r="M148" s="122" t="s">
        <v>311</v>
      </c>
      <c r="N148" s="122" t="s">
        <v>267</v>
      </c>
      <c r="O148" s="122" t="s">
        <v>62</v>
      </c>
      <c r="P148" s="122" t="s">
        <v>1216</v>
      </c>
      <c r="Q148" s="123">
        <v>1254401</v>
      </c>
      <c r="R148" s="123">
        <v>1</v>
      </c>
      <c r="S148" s="123">
        <v>11190</v>
      </c>
      <c r="T148" s="122"/>
      <c r="U148" s="123">
        <v>140367.47200000001</v>
      </c>
      <c r="V148" s="125">
        <v>1.074E-2</v>
      </c>
      <c r="W148" s="125">
        <v>2.086E-2</v>
      </c>
      <c r="X148" s="126">
        <v>5.1399999999999996E-3</v>
      </c>
      <c r="Y148" s="161"/>
    </row>
    <row r="149" spans="1:25" x14ac:dyDescent="0.2">
      <c r="A149" s="121" t="s">
        <v>1223</v>
      </c>
      <c r="B149" s="122" t="s">
        <v>1223</v>
      </c>
      <c r="C149" s="122" t="s">
        <v>1913</v>
      </c>
      <c r="D149" s="122" t="s">
        <v>1914</v>
      </c>
      <c r="E149" s="122" t="s">
        <v>429</v>
      </c>
      <c r="F149" s="122" t="s">
        <v>1915</v>
      </c>
      <c r="G149" s="122" t="s">
        <v>1916</v>
      </c>
      <c r="H149" s="122" t="s">
        <v>76</v>
      </c>
      <c r="I149" s="122" t="s">
        <v>73</v>
      </c>
      <c r="J149" s="122" t="s">
        <v>53</v>
      </c>
      <c r="K149" s="122" t="s">
        <v>53</v>
      </c>
      <c r="L149" s="122" t="s">
        <v>805</v>
      </c>
      <c r="M149" s="122" t="s">
        <v>311</v>
      </c>
      <c r="N149" s="122" t="s">
        <v>256</v>
      </c>
      <c r="O149" s="122" t="s">
        <v>62</v>
      </c>
      <c r="P149" s="122" t="s">
        <v>1216</v>
      </c>
      <c r="Q149" s="123">
        <v>584885</v>
      </c>
      <c r="R149" s="123">
        <v>1</v>
      </c>
      <c r="S149" s="123">
        <v>23710</v>
      </c>
      <c r="T149" s="122"/>
      <c r="U149" s="123">
        <v>138676.234</v>
      </c>
      <c r="V149" s="125">
        <v>5.8300000000000001E-3</v>
      </c>
      <c r="W149" s="125">
        <v>2.061E-2</v>
      </c>
      <c r="X149" s="126">
        <v>5.0800000000000003E-3</v>
      </c>
      <c r="Y149" s="161"/>
    </row>
    <row r="150" spans="1:25" x14ac:dyDescent="0.2">
      <c r="A150" s="121" t="s">
        <v>1223</v>
      </c>
      <c r="B150" s="122" t="s">
        <v>1223</v>
      </c>
      <c r="C150" s="122" t="s">
        <v>1504</v>
      </c>
      <c r="D150" s="122" t="s">
        <v>1505</v>
      </c>
      <c r="E150" s="122" t="s">
        <v>429</v>
      </c>
      <c r="F150" s="122" t="s">
        <v>1909</v>
      </c>
      <c r="G150" s="122" t="s">
        <v>1910</v>
      </c>
      <c r="H150" s="122" t="s">
        <v>76</v>
      </c>
      <c r="I150" s="122" t="s">
        <v>73</v>
      </c>
      <c r="J150" s="122" t="s">
        <v>53</v>
      </c>
      <c r="K150" s="122" t="s">
        <v>53</v>
      </c>
      <c r="L150" s="122" t="s">
        <v>805</v>
      </c>
      <c r="M150" s="122" t="s">
        <v>311</v>
      </c>
      <c r="N150" s="122" t="s">
        <v>269</v>
      </c>
      <c r="O150" s="122" t="s">
        <v>62</v>
      </c>
      <c r="P150" s="122" t="s">
        <v>1216</v>
      </c>
      <c r="Q150" s="123">
        <v>1088416</v>
      </c>
      <c r="R150" s="123">
        <v>1</v>
      </c>
      <c r="S150" s="123">
        <v>12400</v>
      </c>
      <c r="T150" s="122"/>
      <c r="U150" s="123">
        <v>134963.584</v>
      </c>
      <c r="V150" s="125">
        <v>4.13E-3</v>
      </c>
      <c r="W150" s="125">
        <v>2.0060000000000001E-2</v>
      </c>
      <c r="X150" s="126">
        <v>4.9399999999999999E-3</v>
      </c>
      <c r="Y150" s="161"/>
    </row>
    <row r="151" spans="1:25" x14ac:dyDescent="0.2">
      <c r="A151" s="121" t="s">
        <v>1223</v>
      </c>
      <c r="B151" s="122" t="s">
        <v>1223</v>
      </c>
      <c r="C151" s="122" t="s">
        <v>1917</v>
      </c>
      <c r="D151" s="122" t="s">
        <v>1918</v>
      </c>
      <c r="E151" s="122" t="s">
        <v>429</v>
      </c>
      <c r="F151" s="122" t="s">
        <v>1919</v>
      </c>
      <c r="G151" s="122" t="s">
        <v>1920</v>
      </c>
      <c r="H151" s="122" t="s">
        <v>76</v>
      </c>
      <c r="I151" s="122" t="s">
        <v>73</v>
      </c>
      <c r="J151" s="122" t="s">
        <v>53</v>
      </c>
      <c r="K151" s="122" t="s">
        <v>53</v>
      </c>
      <c r="L151" s="122" t="s">
        <v>805</v>
      </c>
      <c r="M151" s="122" t="s">
        <v>311</v>
      </c>
      <c r="N151" s="122" t="s">
        <v>638</v>
      </c>
      <c r="O151" s="122" t="s">
        <v>62</v>
      </c>
      <c r="P151" s="122" t="s">
        <v>1216</v>
      </c>
      <c r="Q151" s="123">
        <v>77112</v>
      </c>
      <c r="R151" s="123">
        <v>1</v>
      </c>
      <c r="S151" s="123">
        <v>167700</v>
      </c>
      <c r="T151" s="122"/>
      <c r="U151" s="123">
        <v>129316.82399999999</v>
      </c>
      <c r="V151" s="125">
        <v>1.66E-3</v>
      </c>
      <c r="W151" s="125">
        <v>1.9220000000000001E-2</v>
      </c>
      <c r="X151" s="126">
        <v>4.7400000000000003E-3</v>
      </c>
      <c r="Y151" s="161"/>
    </row>
    <row r="152" spans="1:25" x14ac:dyDescent="0.2">
      <c r="A152" s="121" t="s">
        <v>1223</v>
      </c>
      <c r="B152" s="122" t="s">
        <v>1223</v>
      </c>
      <c r="C152" s="122" t="s">
        <v>1921</v>
      </c>
      <c r="D152" s="122" t="s">
        <v>1922</v>
      </c>
      <c r="E152" s="122" t="s">
        <v>429</v>
      </c>
      <c r="F152" s="122" t="s">
        <v>1923</v>
      </c>
      <c r="G152" s="122" t="s">
        <v>1924</v>
      </c>
      <c r="H152" s="122" t="s">
        <v>76</v>
      </c>
      <c r="I152" s="122" t="s">
        <v>73</v>
      </c>
      <c r="J152" s="122" t="s">
        <v>53</v>
      </c>
      <c r="K152" s="122" t="s">
        <v>53</v>
      </c>
      <c r="L152" s="122" t="s">
        <v>805</v>
      </c>
      <c r="M152" s="122" t="s">
        <v>311</v>
      </c>
      <c r="N152" s="122" t="s">
        <v>631</v>
      </c>
      <c r="O152" s="122" t="s">
        <v>62</v>
      </c>
      <c r="P152" s="122" t="s">
        <v>1216</v>
      </c>
      <c r="Q152" s="123">
        <v>5947200</v>
      </c>
      <c r="R152" s="123">
        <v>1</v>
      </c>
      <c r="S152" s="123">
        <v>2014</v>
      </c>
      <c r="T152" s="122"/>
      <c r="U152" s="123">
        <v>119776.60799999999</v>
      </c>
      <c r="V152" s="125">
        <v>9.1469999999999996E-2</v>
      </c>
      <c r="W152" s="125">
        <v>1.78E-2</v>
      </c>
      <c r="X152" s="126">
        <v>4.3899999999999998E-3</v>
      </c>
      <c r="Y152" s="161"/>
    </row>
    <row r="153" spans="1:25" x14ac:dyDescent="0.2">
      <c r="A153" s="121" t="s">
        <v>1223</v>
      </c>
      <c r="B153" s="122" t="s">
        <v>1223</v>
      </c>
      <c r="C153" s="122" t="s">
        <v>1925</v>
      </c>
      <c r="D153" s="122" t="s">
        <v>1926</v>
      </c>
      <c r="E153" s="122" t="s">
        <v>429</v>
      </c>
      <c r="F153" s="122" t="s">
        <v>1927</v>
      </c>
      <c r="G153" s="122" t="s">
        <v>1928</v>
      </c>
      <c r="H153" s="122" t="s">
        <v>76</v>
      </c>
      <c r="I153" s="122" t="s">
        <v>73</v>
      </c>
      <c r="J153" s="122" t="s">
        <v>53</v>
      </c>
      <c r="K153" s="122" t="s">
        <v>53</v>
      </c>
      <c r="L153" s="122" t="s">
        <v>805</v>
      </c>
      <c r="M153" s="122" t="s">
        <v>311</v>
      </c>
      <c r="N153" s="122" t="s">
        <v>85</v>
      </c>
      <c r="O153" s="122" t="s">
        <v>62</v>
      </c>
      <c r="P153" s="122" t="s">
        <v>1216</v>
      </c>
      <c r="Q153" s="123">
        <v>1837014</v>
      </c>
      <c r="R153" s="123">
        <v>1</v>
      </c>
      <c r="S153" s="123">
        <v>6440</v>
      </c>
      <c r="T153" s="122"/>
      <c r="U153" s="123">
        <v>118303.702</v>
      </c>
      <c r="V153" s="125">
        <v>1.47E-3</v>
      </c>
      <c r="W153" s="125">
        <v>1.7579999999999998E-2</v>
      </c>
      <c r="X153" s="126">
        <v>4.3299999999999996E-3</v>
      </c>
      <c r="Y153" s="161"/>
    </row>
    <row r="154" spans="1:25" x14ac:dyDescent="0.2">
      <c r="A154" s="121" t="s">
        <v>1223</v>
      </c>
      <c r="B154" s="122" t="s">
        <v>1223</v>
      </c>
      <c r="C154" s="122" t="s">
        <v>1929</v>
      </c>
      <c r="D154" s="122" t="s">
        <v>1930</v>
      </c>
      <c r="E154" s="122" t="s">
        <v>429</v>
      </c>
      <c r="F154" s="122" t="s">
        <v>1931</v>
      </c>
      <c r="G154" s="122" t="s">
        <v>1932</v>
      </c>
      <c r="H154" s="122" t="s">
        <v>76</v>
      </c>
      <c r="I154" s="122" t="s">
        <v>73</v>
      </c>
      <c r="J154" s="122" t="s">
        <v>53</v>
      </c>
      <c r="K154" s="122" t="s">
        <v>53</v>
      </c>
      <c r="L154" s="122" t="s">
        <v>805</v>
      </c>
      <c r="M154" s="122" t="s">
        <v>311</v>
      </c>
      <c r="N154" s="122" t="s">
        <v>638</v>
      </c>
      <c r="O154" s="122" t="s">
        <v>62</v>
      </c>
      <c r="P154" s="122" t="s">
        <v>1216</v>
      </c>
      <c r="Q154" s="123">
        <v>780104</v>
      </c>
      <c r="R154" s="123">
        <v>1</v>
      </c>
      <c r="S154" s="123">
        <v>15000</v>
      </c>
      <c r="T154" s="122"/>
      <c r="U154" s="123">
        <v>117015.6</v>
      </c>
      <c r="V154" s="125">
        <v>8.5699999999999995E-3</v>
      </c>
      <c r="W154" s="125">
        <v>1.7389999999999999E-2</v>
      </c>
      <c r="X154" s="126">
        <v>4.2900000000000004E-3</v>
      </c>
      <c r="Y154" s="161"/>
    </row>
    <row r="155" spans="1:25" x14ac:dyDescent="0.2">
      <c r="A155" s="121" t="s">
        <v>1223</v>
      </c>
      <c r="B155" s="122" t="s">
        <v>1223</v>
      </c>
      <c r="C155" s="122" t="s">
        <v>1941</v>
      </c>
      <c r="D155" s="122" t="s">
        <v>1942</v>
      </c>
      <c r="E155" s="122" t="s">
        <v>429</v>
      </c>
      <c r="F155" s="122" t="s">
        <v>1943</v>
      </c>
      <c r="G155" s="122" t="s">
        <v>1944</v>
      </c>
      <c r="H155" s="122" t="s">
        <v>76</v>
      </c>
      <c r="I155" s="122" t="s">
        <v>73</v>
      </c>
      <c r="J155" s="122" t="s">
        <v>53</v>
      </c>
      <c r="K155" s="122" t="s">
        <v>53</v>
      </c>
      <c r="L155" s="122" t="s">
        <v>805</v>
      </c>
      <c r="M155" s="122" t="s">
        <v>311</v>
      </c>
      <c r="N155" s="122" t="s">
        <v>256</v>
      </c>
      <c r="O155" s="122" t="s">
        <v>62</v>
      </c>
      <c r="P155" s="122" t="s">
        <v>1216</v>
      </c>
      <c r="Q155" s="123">
        <v>514720</v>
      </c>
      <c r="R155" s="123">
        <v>1</v>
      </c>
      <c r="S155" s="123">
        <v>21790</v>
      </c>
      <c r="T155" s="122"/>
      <c r="U155" s="123">
        <v>112157.488</v>
      </c>
      <c r="V155" s="125">
        <v>1.98E-3</v>
      </c>
      <c r="W155" s="125">
        <v>1.6670000000000001E-2</v>
      </c>
      <c r="X155" s="126">
        <v>4.1099999999999999E-3</v>
      </c>
      <c r="Y155" s="161"/>
    </row>
    <row r="156" spans="1:25" x14ac:dyDescent="0.2">
      <c r="A156" s="121" t="s">
        <v>1223</v>
      </c>
      <c r="B156" s="122" t="s">
        <v>1223</v>
      </c>
      <c r="C156" s="122" t="s">
        <v>1933</v>
      </c>
      <c r="D156" s="122" t="s">
        <v>1934</v>
      </c>
      <c r="E156" s="122" t="s">
        <v>429</v>
      </c>
      <c r="F156" s="122" t="s">
        <v>1935</v>
      </c>
      <c r="G156" s="122" t="s">
        <v>1936</v>
      </c>
      <c r="H156" s="122" t="s">
        <v>76</v>
      </c>
      <c r="I156" s="122" t="s">
        <v>73</v>
      </c>
      <c r="J156" s="122" t="s">
        <v>53</v>
      </c>
      <c r="K156" s="122" t="s">
        <v>53</v>
      </c>
      <c r="L156" s="122" t="s">
        <v>805</v>
      </c>
      <c r="M156" s="122" t="s">
        <v>311</v>
      </c>
      <c r="N156" s="122" t="s">
        <v>256</v>
      </c>
      <c r="O156" s="122" t="s">
        <v>62</v>
      </c>
      <c r="P156" s="122" t="s">
        <v>1216</v>
      </c>
      <c r="Q156" s="123">
        <v>3373775</v>
      </c>
      <c r="R156" s="123">
        <v>1</v>
      </c>
      <c r="S156" s="123">
        <v>3274</v>
      </c>
      <c r="T156" s="122"/>
      <c r="U156" s="123">
        <v>110457.394</v>
      </c>
      <c r="V156" s="125">
        <v>2.7200000000000002E-3</v>
      </c>
      <c r="W156" s="125">
        <v>1.6420000000000001E-2</v>
      </c>
      <c r="X156" s="126">
        <v>4.0499999999999998E-3</v>
      </c>
      <c r="Y156" s="161"/>
    </row>
    <row r="157" spans="1:25" x14ac:dyDescent="0.2">
      <c r="A157" s="121" t="s">
        <v>1223</v>
      </c>
      <c r="B157" s="122" t="s">
        <v>1223</v>
      </c>
      <c r="C157" s="122" t="s">
        <v>1937</v>
      </c>
      <c r="D157" s="122" t="s">
        <v>1938</v>
      </c>
      <c r="E157" s="122" t="s">
        <v>429</v>
      </c>
      <c r="F157" s="122" t="s">
        <v>1939</v>
      </c>
      <c r="G157" s="122" t="s">
        <v>1940</v>
      </c>
      <c r="H157" s="122" t="s">
        <v>76</v>
      </c>
      <c r="I157" s="122" t="s">
        <v>73</v>
      </c>
      <c r="J157" s="122" t="s">
        <v>53</v>
      </c>
      <c r="K157" s="122" t="s">
        <v>53</v>
      </c>
      <c r="L157" s="122" t="s">
        <v>805</v>
      </c>
      <c r="M157" s="122" t="s">
        <v>311</v>
      </c>
      <c r="N157" s="122" t="s">
        <v>263</v>
      </c>
      <c r="O157" s="122" t="s">
        <v>62</v>
      </c>
      <c r="P157" s="122" t="s">
        <v>1216</v>
      </c>
      <c r="Q157" s="123">
        <v>161644</v>
      </c>
      <c r="R157" s="123">
        <v>1</v>
      </c>
      <c r="S157" s="123">
        <v>67920</v>
      </c>
      <c r="T157" s="122"/>
      <c r="U157" s="123">
        <v>109788.605</v>
      </c>
      <c r="V157" s="125">
        <v>1.7690000000000001E-2</v>
      </c>
      <c r="W157" s="125">
        <v>1.6320000000000001E-2</v>
      </c>
      <c r="X157" s="126">
        <v>4.0200000000000001E-3</v>
      </c>
      <c r="Y157" s="161"/>
    </row>
    <row r="158" spans="1:25" x14ac:dyDescent="0.2">
      <c r="A158" s="121" t="s">
        <v>1223</v>
      </c>
      <c r="B158" s="122" t="s">
        <v>1223</v>
      </c>
      <c r="C158" s="122" t="s">
        <v>1415</v>
      </c>
      <c r="D158" s="122" t="s">
        <v>1416</v>
      </c>
      <c r="E158" s="122" t="s">
        <v>429</v>
      </c>
      <c r="F158" s="122" t="s">
        <v>1949</v>
      </c>
      <c r="G158" s="122" t="s">
        <v>1950</v>
      </c>
      <c r="H158" s="122" t="s">
        <v>76</v>
      </c>
      <c r="I158" s="122" t="s">
        <v>73</v>
      </c>
      <c r="J158" s="122" t="s">
        <v>53</v>
      </c>
      <c r="K158" s="122" t="s">
        <v>53</v>
      </c>
      <c r="L158" s="122" t="s">
        <v>805</v>
      </c>
      <c r="M158" s="122" t="s">
        <v>311</v>
      </c>
      <c r="N158" s="122" t="s">
        <v>269</v>
      </c>
      <c r="O158" s="122" t="s">
        <v>62</v>
      </c>
      <c r="P158" s="122" t="s">
        <v>1216</v>
      </c>
      <c r="Q158" s="123">
        <v>611267</v>
      </c>
      <c r="R158" s="123">
        <v>1</v>
      </c>
      <c r="S158" s="123">
        <v>16970</v>
      </c>
      <c r="T158" s="122"/>
      <c r="U158" s="123">
        <v>103732.01</v>
      </c>
      <c r="V158" s="125">
        <v>7.6400000000000001E-3</v>
      </c>
      <c r="W158" s="125">
        <v>1.542E-2</v>
      </c>
      <c r="X158" s="126">
        <v>3.8E-3</v>
      </c>
      <c r="Y158" s="161"/>
    </row>
    <row r="159" spans="1:25" x14ac:dyDescent="0.2">
      <c r="A159" s="121" t="s">
        <v>1223</v>
      </c>
      <c r="B159" s="122" t="s">
        <v>1223</v>
      </c>
      <c r="C159" s="122" t="s">
        <v>1945</v>
      </c>
      <c r="D159" s="122" t="s">
        <v>1946</v>
      </c>
      <c r="E159" s="122" t="s">
        <v>429</v>
      </c>
      <c r="F159" s="122" t="s">
        <v>1947</v>
      </c>
      <c r="G159" s="122" t="s">
        <v>1948</v>
      </c>
      <c r="H159" s="122" t="s">
        <v>76</v>
      </c>
      <c r="I159" s="122" t="s">
        <v>73</v>
      </c>
      <c r="J159" s="122" t="s">
        <v>53</v>
      </c>
      <c r="K159" s="122" t="s">
        <v>53</v>
      </c>
      <c r="L159" s="122" t="s">
        <v>805</v>
      </c>
      <c r="M159" s="122" t="s">
        <v>311</v>
      </c>
      <c r="N159" s="122" t="s">
        <v>631</v>
      </c>
      <c r="O159" s="122" t="s">
        <v>62</v>
      </c>
      <c r="P159" s="122" t="s">
        <v>1216</v>
      </c>
      <c r="Q159" s="123">
        <v>1000185.8</v>
      </c>
      <c r="R159" s="123">
        <v>1</v>
      </c>
      <c r="S159" s="123">
        <v>3116</v>
      </c>
      <c r="T159" s="122"/>
      <c r="U159" s="123">
        <v>102069.999</v>
      </c>
      <c r="V159" s="125">
        <v>8.4399999999999996E-3</v>
      </c>
      <c r="W159" s="125">
        <v>1.5169999999999999E-2</v>
      </c>
      <c r="X159" s="126">
        <v>3.7399999999999998E-3</v>
      </c>
      <c r="Y159" s="161"/>
    </row>
    <row r="160" spans="1:25" x14ac:dyDescent="0.2">
      <c r="A160" s="121" t="s">
        <v>1223</v>
      </c>
      <c r="B160" s="122" t="s">
        <v>1223</v>
      </c>
      <c r="C160" s="122" t="s">
        <v>1635</v>
      </c>
      <c r="D160" s="122" t="s">
        <v>1636</v>
      </c>
      <c r="E160" s="122" t="s">
        <v>429</v>
      </c>
      <c r="F160" s="122" t="s">
        <v>1955</v>
      </c>
      <c r="G160" s="122" t="s">
        <v>1956</v>
      </c>
      <c r="H160" s="122" t="s">
        <v>76</v>
      </c>
      <c r="I160" s="122" t="s">
        <v>73</v>
      </c>
      <c r="J160" s="122" t="s">
        <v>53</v>
      </c>
      <c r="K160" s="122" t="s">
        <v>53</v>
      </c>
      <c r="L160" s="122" t="s">
        <v>805</v>
      </c>
      <c r="M160" s="122" t="s">
        <v>311</v>
      </c>
      <c r="N160" s="122" t="s">
        <v>635</v>
      </c>
      <c r="O160" s="122" t="s">
        <v>62</v>
      </c>
      <c r="P160" s="122" t="s">
        <v>1216</v>
      </c>
      <c r="Q160" s="123">
        <v>235141</v>
      </c>
      <c r="R160" s="123">
        <v>1</v>
      </c>
      <c r="S160" s="123">
        <v>40000</v>
      </c>
      <c r="T160" s="122"/>
      <c r="U160" s="123">
        <v>94056.4</v>
      </c>
      <c r="V160" s="125">
        <v>4.9300000000000004E-3</v>
      </c>
      <c r="W160" s="125">
        <v>1.3979999999999999E-2</v>
      </c>
      <c r="X160" s="126">
        <v>3.4499999999999999E-3</v>
      </c>
      <c r="Y160" s="161"/>
    </row>
    <row r="161" spans="1:25" x14ac:dyDescent="0.2">
      <c r="A161" s="121" t="s">
        <v>1223</v>
      </c>
      <c r="B161" s="122" t="s">
        <v>1223</v>
      </c>
      <c r="C161" s="122" t="s">
        <v>1645</v>
      </c>
      <c r="D161" s="122" t="s">
        <v>1646</v>
      </c>
      <c r="E161" s="122" t="s">
        <v>429</v>
      </c>
      <c r="F161" s="122" t="s">
        <v>1957</v>
      </c>
      <c r="G161" s="122" t="s">
        <v>1958</v>
      </c>
      <c r="H161" s="122" t="s">
        <v>76</v>
      </c>
      <c r="I161" s="122" t="s">
        <v>73</v>
      </c>
      <c r="J161" s="122" t="s">
        <v>53</v>
      </c>
      <c r="K161" s="122" t="s">
        <v>53</v>
      </c>
      <c r="L161" s="122" t="s">
        <v>805</v>
      </c>
      <c r="M161" s="122" t="s">
        <v>311</v>
      </c>
      <c r="N161" s="122" t="s">
        <v>265</v>
      </c>
      <c r="O161" s="122" t="s">
        <v>62</v>
      </c>
      <c r="P161" s="122" t="s">
        <v>1216</v>
      </c>
      <c r="Q161" s="123">
        <v>4383125</v>
      </c>
      <c r="R161" s="123">
        <v>1</v>
      </c>
      <c r="S161" s="123">
        <v>2070</v>
      </c>
      <c r="T161" s="122"/>
      <c r="U161" s="123">
        <v>90730.687999999995</v>
      </c>
      <c r="V161" s="125">
        <v>3.3300000000000001E-3</v>
      </c>
      <c r="W161" s="125">
        <v>1.3480000000000001E-2</v>
      </c>
      <c r="X161" s="126">
        <v>3.32E-3</v>
      </c>
      <c r="Y161" s="161"/>
    </row>
    <row r="162" spans="1:25" x14ac:dyDescent="0.2">
      <c r="A162" s="121" t="s">
        <v>1223</v>
      </c>
      <c r="B162" s="122" t="s">
        <v>1223</v>
      </c>
      <c r="C162" s="122" t="s">
        <v>1542</v>
      </c>
      <c r="D162" s="122" t="s">
        <v>1543</v>
      </c>
      <c r="E162" s="122" t="s">
        <v>429</v>
      </c>
      <c r="F162" s="122" t="s">
        <v>1963</v>
      </c>
      <c r="G162" s="122" t="s">
        <v>1964</v>
      </c>
      <c r="H162" s="122" t="s">
        <v>76</v>
      </c>
      <c r="I162" s="122" t="s">
        <v>73</v>
      </c>
      <c r="J162" s="122" t="s">
        <v>53</v>
      </c>
      <c r="K162" s="122" t="s">
        <v>53</v>
      </c>
      <c r="L162" s="122" t="s">
        <v>805</v>
      </c>
      <c r="M162" s="122" t="s">
        <v>311</v>
      </c>
      <c r="N162" s="122" t="s">
        <v>635</v>
      </c>
      <c r="O162" s="122" t="s">
        <v>62</v>
      </c>
      <c r="P162" s="122" t="s">
        <v>1216</v>
      </c>
      <c r="Q162" s="123">
        <v>275224</v>
      </c>
      <c r="R162" s="123">
        <v>1</v>
      </c>
      <c r="S162" s="123">
        <v>32870</v>
      </c>
      <c r="T162" s="122"/>
      <c r="U162" s="123">
        <v>90466.129000000001</v>
      </c>
      <c r="V162" s="125">
        <v>2.2699999999999999E-3</v>
      </c>
      <c r="W162" s="125">
        <v>1.3440000000000001E-2</v>
      </c>
      <c r="X162" s="126">
        <v>3.31E-3</v>
      </c>
      <c r="Y162" s="161"/>
    </row>
    <row r="163" spans="1:25" x14ac:dyDescent="0.2">
      <c r="A163" s="121" t="s">
        <v>1223</v>
      </c>
      <c r="B163" s="122" t="s">
        <v>1223</v>
      </c>
      <c r="C163" s="122" t="s">
        <v>1951</v>
      </c>
      <c r="D163" s="122" t="s">
        <v>1952</v>
      </c>
      <c r="E163" s="122" t="s">
        <v>429</v>
      </c>
      <c r="F163" s="122" t="s">
        <v>1953</v>
      </c>
      <c r="G163" s="122" t="s">
        <v>1954</v>
      </c>
      <c r="H163" s="122" t="s">
        <v>76</v>
      </c>
      <c r="I163" s="122" t="s">
        <v>73</v>
      </c>
      <c r="J163" s="122" t="s">
        <v>53</v>
      </c>
      <c r="K163" s="122" t="s">
        <v>53</v>
      </c>
      <c r="L163" s="122" t="s">
        <v>805</v>
      </c>
      <c r="M163" s="122" t="s">
        <v>311</v>
      </c>
      <c r="N163" s="122" t="s">
        <v>253</v>
      </c>
      <c r="O163" s="122" t="s">
        <v>62</v>
      </c>
      <c r="P163" s="122" t="s">
        <v>1216</v>
      </c>
      <c r="Q163" s="123">
        <v>185094</v>
      </c>
      <c r="R163" s="123">
        <v>1</v>
      </c>
      <c r="S163" s="123">
        <v>48800</v>
      </c>
      <c r="T163" s="122"/>
      <c r="U163" s="123">
        <v>90325.872000000003</v>
      </c>
      <c r="V163" s="125">
        <v>2.48E-3</v>
      </c>
      <c r="W163" s="125">
        <v>1.342E-2</v>
      </c>
      <c r="X163" s="126">
        <v>3.31E-3</v>
      </c>
      <c r="Y163" s="161"/>
    </row>
    <row r="164" spans="1:25" x14ac:dyDescent="0.2">
      <c r="A164" s="121" t="s">
        <v>1223</v>
      </c>
      <c r="B164" s="122" t="s">
        <v>1223</v>
      </c>
      <c r="C164" s="122" t="s">
        <v>1959</v>
      </c>
      <c r="D164" s="122" t="s">
        <v>1960</v>
      </c>
      <c r="E164" s="122" t="s">
        <v>429</v>
      </c>
      <c r="F164" s="122" t="s">
        <v>1961</v>
      </c>
      <c r="G164" s="122" t="s">
        <v>1962</v>
      </c>
      <c r="H164" s="122" t="s">
        <v>76</v>
      </c>
      <c r="I164" s="122" t="s">
        <v>73</v>
      </c>
      <c r="J164" s="122" t="s">
        <v>53</v>
      </c>
      <c r="K164" s="122" t="s">
        <v>53</v>
      </c>
      <c r="L164" s="122" t="s">
        <v>805</v>
      </c>
      <c r="M164" s="122" t="s">
        <v>311</v>
      </c>
      <c r="N164" s="122" t="s">
        <v>631</v>
      </c>
      <c r="O164" s="122" t="s">
        <v>62</v>
      </c>
      <c r="P164" s="122" t="s">
        <v>1216</v>
      </c>
      <c r="Q164" s="123">
        <v>282747.94</v>
      </c>
      <c r="R164" s="123">
        <v>1</v>
      </c>
      <c r="S164" s="123">
        <v>9625</v>
      </c>
      <c r="T164" s="122"/>
      <c r="U164" s="123">
        <v>89933.451000000001</v>
      </c>
      <c r="V164" s="125">
        <v>4.6800000000000001E-3</v>
      </c>
      <c r="W164" s="125">
        <v>1.337E-2</v>
      </c>
      <c r="X164" s="126">
        <v>3.29E-3</v>
      </c>
      <c r="Y164" s="161"/>
    </row>
    <row r="165" spans="1:25" x14ac:dyDescent="0.2">
      <c r="A165" s="121" t="s">
        <v>1223</v>
      </c>
      <c r="B165" s="122" t="s">
        <v>1223</v>
      </c>
      <c r="C165" s="122" t="s">
        <v>1575</v>
      </c>
      <c r="D165" s="122" t="s">
        <v>1576</v>
      </c>
      <c r="E165" s="122" t="s">
        <v>429</v>
      </c>
      <c r="F165" s="122" t="s">
        <v>1965</v>
      </c>
      <c r="G165" s="122" t="s">
        <v>1966</v>
      </c>
      <c r="H165" s="122" t="s">
        <v>76</v>
      </c>
      <c r="I165" s="122" t="s">
        <v>73</v>
      </c>
      <c r="J165" s="122" t="s">
        <v>53</v>
      </c>
      <c r="K165" s="122" t="s">
        <v>53</v>
      </c>
      <c r="L165" s="122" t="s">
        <v>805</v>
      </c>
      <c r="M165" s="122" t="s">
        <v>311</v>
      </c>
      <c r="N165" s="122" t="s">
        <v>635</v>
      </c>
      <c r="O165" s="122" t="s">
        <v>62</v>
      </c>
      <c r="P165" s="122" t="s">
        <v>1216</v>
      </c>
      <c r="Q165" s="123">
        <v>127766</v>
      </c>
      <c r="R165" s="123">
        <v>1</v>
      </c>
      <c r="S165" s="123">
        <v>68050</v>
      </c>
      <c r="T165" s="122"/>
      <c r="U165" s="123">
        <v>86944.763000000006</v>
      </c>
      <c r="V165" s="125">
        <v>5.1399999999999996E-3</v>
      </c>
      <c r="W165" s="125">
        <v>1.2919999999999999E-2</v>
      </c>
      <c r="X165" s="126">
        <v>3.1900000000000001E-3</v>
      </c>
      <c r="Y165" s="161"/>
    </row>
    <row r="166" spans="1:25" x14ac:dyDescent="0.2">
      <c r="A166" s="121" t="s">
        <v>1223</v>
      </c>
      <c r="B166" s="122" t="s">
        <v>1223</v>
      </c>
      <c r="C166" s="122" t="s">
        <v>1727</v>
      </c>
      <c r="D166" s="122" t="s">
        <v>1728</v>
      </c>
      <c r="E166" s="122" t="s">
        <v>429</v>
      </c>
      <c r="F166" s="122" t="s">
        <v>1969</v>
      </c>
      <c r="G166" s="122" t="s">
        <v>1970</v>
      </c>
      <c r="H166" s="122" t="s">
        <v>76</v>
      </c>
      <c r="I166" s="122" t="s">
        <v>73</v>
      </c>
      <c r="J166" s="122" t="s">
        <v>53</v>
      </c>
      <c r="K166" s="122" t="s">
        <v>53</v>
      </c>
      <c r="L166" s="122" t="s">
        <v>805</v>
      </c>
      <c r="M166" s="122" t="s">
        <v>311</v>
      </c>
      <c r="N166" s="122" t="s">
        <v>269</v>
      </c>
      <c r="O166" s="122" t="s">
        <v>62</v>
      </c>
      <c r="P166" s="122" t="s">
        <v>1216</v>
      </c>
      <c r="Q166" s="123">
        <v>716560</v>
      </c>
      <c r="R166" s="123">
        <v>1</v>
      </c>
      <c r="S166" s="123">
        <v>11160</v>
      </c>
      <c r="T166" s="122"/>
      <c r="U166" s="123">
        <v>79968.096000000005</v>
      </c>
      <c r="V166" s="125">
        <v>3.1800000000000001E-3</v>
      </c>
      <c r="W166" s="125">
        <v>1.188E-2</v>
      </c>
      <c r="X166" s="126">
        <v>2.9299999999999999E-3</v>
      </c>
      <c r="Y166" s="161"/>
    </row>
    <row r="167" spans="1:25" x14ac:dyDescent="0.2">
      <c r="A167" s="121" t="s">
        <v>1223</v>
      </c>
      <c r="B167" s="122" t="s">
        <v>1223</v>
      </c>
      <c r="C167" s="122" t="s">
        <v>1520</v>
      </c>
      <c r="D167" s="122" t="s">
        <v>1521</v>
      </c>
      <c r="E167" s="122" t="s">
        <v>429</v>
      </c>
      <c r="F167" s="122" t="s">
        <v>1967</v>
      </c>
      <c r="G167" s="122" t="s">
        <v>1968</v>
      </c>
      <c r="H167" s="122" t="s">
        <v>76</v>
      </c>
      <c r="I167" s="122" t="s">
        <v>73</v>
      </c>
      <c r="J167" s="122" t="s">
        <v>53</v>
      </c>
      <c r="K167" s="122" t="s">
        <v>53</v>
      </c>
      <c r="L167" s="122" t="s">
        <v>805</v>
      </c>
      <c r="M167" s="122" t="s">
        <v>311</v>
      </c>
      <c r="N167" s="122" t="s">
        <v>269</v>
      </c>
      <c r="O167" s="122" t="s">
        <v>62</v>
      </c>
      <c r="P167" s="122" t="s">
        <v>1216</v>
      </c>
      <c r="Q167" s="123">
        <v>228518</v>
      </c>
      <c r="R167" s="123">
        <v>1</v>
      </c>
      <c r="S167" s="123">
        <v>32500</v>
      </c>
      <c r="T167" s="122"/>
      <c r="U167" s="123">
        <v>74268.350000000006</v>
      </c>
      <c r="V167" s="125">
        <v>3.6099999999999999E-3</v>
      </c>
      <c r="W167" s="125">
        <v>1.1039999999999999E-2</v>
      </c>
      <c r="X167" s="126">
        <v>2.7200000000000002E-3</v>
      </c>
      <c r="Y167" s="161"/>
    </row>
    <row r="168" spans="1:25" x14ac:dyDescent="0.2">
      <c r="A168" s="121" t="s">
        <v>1223</v>
      </c>
      <c r="B168" s="122" t="s">
        <v>1223</v>
      </c>
      <c r="C168" s="122" t="s">
        <v>1472</v>
      </c>
      <c r="D168" s="122" t="s">
        <v>1473</v>
      </c>
      <c r="E168" s="122" t="s">
        <v>429</v>
      </c>
      <c r="F168" s="122" t="s">
        <v>1985</v>
      </c>
      <c r="G168" s="122" t="s">
        <v>1986</v>
      </c>
      <c r="H168" s="122" t="s">
        <v>76</v>
      </c>
      <c r="I168" s="122" t="s">
        <v>73</v>
      </c>
      <c r="J168" s="122" t="s">
        <v>53</v>
      </c>
      <c r="K168" s="122" t="s">
        <v>53</v>
      </c>
      <c r="L168" s="122" t="s">
        <v>805</v>
      </c>
      <c r="M168" s="122" t="s">
        <v>311</v>
      </c>
      <c r="N168" s="122" t="s">
        <v>260</v>
      </c>
      <c r="O168" s="122" t="s">
        <v>62</v>
      </c>
      <c r="P168" s="122" t="s">
        <v>1216</v>
      </c>
      <c r="Q168" s="123">
        <v>10636868</v>
      </c>
      <c r="R168" s="123">
        <v>1</v>
      </c>
      <c r="S168" s="123">
        <v>634.70000000000005</v>
      </c>
      <c r="T168" s="123">
        <v>2236.3440000000001</v>
      </c>
      <c r="U168" s="123">
        <v>69748.544999999998</v>
      </c>
      <c r="V168" s="125">
        <v>3.8400000000000001E-3</v>
      </c>
      <c r="W168" s="125">
        <v>1.0699999999999999E-2</v>
      </c>
      <c r="X168" s="126">
        <v>2.64E-3</v>
      </c>
      <c r="Y168" s="161"/>
    </row>
    <row r="169" spans="1:25" x14ac:dyDescent="0.2">
      <c r="A169" s="121" t="s">
        <v>1223</v>
      </c>
      <c r="B169" s="122" t="s">
        <v>1223</v>
      </c>
      <c r="C169" s="122" t="s">
        <v>1971</v>
      </c>
      <c r="D169" s="122" t="s">
        <v>1972</v>
      </c>
      <c r="E169" s="122" t="s">
        <v>429</v>
      </c>
      <c r="F169" s="122" t="s">
        <v>1973</v>
      </c>
      <c r="G169" s="122" t="s">
        <v>1974</v>
      </c>
      <c r="H169" s="122" t="s">
        <v>76</v>
      </c>
      <c r="I169" s="122" t="s">
        <v>73</v>
      </c>
      <c r="J169" s="122" t="s">
        <v>53</v>
      </c>
      <c r="K169" s="122" t="s">
        <v>53</v>
      </c>
      <c r="L169" s="122" t="s">
        <v>805</v>
      </c>
      <c r="M169" s="122" t="s">
        <v>311</v>
      </c>
      <c r="N169" s="122" t="s">
        <v>692</v>
      </c>
      <c r="O169" s="122" t="s">
        <v>62</v>
      </c>
      <c r="P169" s="122" t="s">
        <v>1216</v>
      </c>
      <c r="Q169" s="123">
        <v>7300731</v>
      </c>
      <c r="R169" s="123">
        <v>1</v>
      </c>
      <c r="S169" s="123">
        <v>952.3</v>
      </c>
      <c r="T169" s="122"/>
      <c r="U169" s="123">
        <v>69524.861000000004</v>
      </c>
      <c r="V169" s="125">
        <v>3.8940000000000002E-2</v>
      </c>
      <c r="W169" s="125">
        <v>1.0330000000000001E-2</v>
      </c>
      <c r="X169" s="126">
        <v>2.5500000000000002E-3</v>
      </c>
      <c r="Y169" s="161"/>
    </row>
    <row r="170" spans="1:25" x14ac:dyDescent="0.2">
      <c r="A170" s="121" t="s">
        <v>1223</v>
      </c>
      <c r="B170" s="122" t="s">
        <v>1223</v>
      </c>
      <c r="C170" s="122" t="s">
        <v>1782</v>
      </c>
      <c r="D170" s="122" t="s">
        <v>1783</v>
      </c>
      <c r="E170" s="122" t="s">
        <v>429</v>
      </c>
      <c r="F170" s="122" t="s">
        <v>1975</v>
      </c>
      <c r="G170" s="122" t="s">
        <v>1976</v>
      </c>
      <c r="H170" s="122" t="s">
        <v>76</v>
      </c>
      <c r="I170" s="122" t="s">
        <v>73</v>
      </c>
      <c r="J170" s="122" t="s">
        <v>53</v>
      </c>
      <c r="K170" s="122" t="s">
        <v>53</v>
      </c>
      <c r="L170" s="122" t="s">
        <v>805</v>
      </c>
      <c r="M170" s="122" t="s">
        <v>311</v>
      </c>
      <c r="N170" s="122" t="s">
        <v>260</v>
      </c>
      <c r="O170" s="122" t="s">
        <v>62</v>
      </c>
      <c r="P170" s="122" t="s">
        <v>1216</v>
      </c>
      <c r="Q170" s="123">
        <v>1823923</v>
      </c>
      <c r="R170" s="123">
        <v>1</v>
      </c>
      <c r="S170" s="123">
        <v>3298</v>
      </c>
      <c r="T170" s="122"/>
      <c r="U170" s="123">
        <v>60152.981</v>
      </c>
      <c r="V170" s="125">
        <v>1.086E-2</v>
      </c>
      <c r="W170" s="125">
        <v>8.94E-3</v>
      </c>
      <c r="X170" s="126">
        <v>2.2000000000000001E-3</v>
      </c>
      <c r="Y170" s="161"/>
    </row>
    <row r="171" spans="1:25" x14ac:dyDescent="0.2">
      <c r="A171" s="121" t="s">
        <v>1223</v>
      </c>
      <c r="B171" s="122" t="s">
        <v>1223</v>
      </c>
      <c r="C171" s="122" t="s">
        <v>1977</v>
      </c>
      <c r="D171" s="122" t="s">
        <v>1978</v>
      </c>
      <c r="E171" s="122" t="s">
        <v>429</v>
      </c>
      <c r="F171" s="122" t="s">
        <v>1979</v>
      </c>
      <c r="G171" s="122" t="s">
        <v>1980</v>
      </c>
      <c r="H171" s="122" t="s">
        <v>76</v>
      </c>
      <c r="I171" s="122" t="s">
        <v>73</v>
      </c>
      <c r="J171" s="122" t="s">
        <v>53</v>
      </c>
      <c r="K171" s="122" t="s">
        <v>53</v>
      </c>
      <c r="L171" s="122" t="s">
        <v>805</v>
      </c>
      <c r="M171" s="122" t="s">
        <v>311</v>
      </c>
      <c r="N171" s="122" t="s">
        <v>264</v>
      </c>
      <c r="O171" s="122" t="s">
        <v>62</v>
      </c>
      <c r="P171" s="122" t="s">
        <v>1216</v>
      </c>
      <c r="Q171" s="123">
        <v>427142</v>
      </c>
      <c r="R171" s="123">
        <v>1</v>
      </c>
      <c r="S171" s="123">
        <v>13500</v>
      </c>
      <c r="T171" s="122"/>
      <c r="U171" s="123">
        <v>57664.17</v>
      </c>
      <c r="V171" s="125">
        <v>3.243E-2</v>
      </c>
      <c r="W171" s="125">
        <v>8.5699999999999995E-3</v>
      </c>
      <c r="X171" s="126">
        <v>2.1099999999999999E-3</v>
      </c>
      <c r="Y171" s="161"/>
    </row>
    <row r="172" spans="1:25" x14ac:dyDescent="0.2">
      <c r="A172" s="121" t="s">
        <v>1223</v>
      </c>
      <c r="B172" s="122" t="s">
        <v>1223</v>
      </c>
      <c r="C172" s="122" t="s">
        <v>1981</v>
      </c>
      <c r="D172" s="122" t="s">
        <v>1982</v>
      </c>
      <c r="E172" s="122" t="s">
        <v>429</v>
      </c>
      <c r="F172" s="122" t="s">
        <v>1983</v>
      </c>
      <c r="G172" s="122" t="s">
        <v>1984</v>
      </c>
      <c r="H172" s="122" t="s">
        <v>76</v>
      </c>
      <c r="I172" s="122" t="s">
        <v>73</v>
      </c>
      <c r="J172" s="122" t="s">
        <v>53</v>
      </c>
      <c r="K172" s="122" t="s">
        <v>53</v>
      </c>
      <c r="L172" s="122" t="s">
        <v>805</v>
      </c>
      <c r="M172" s="122" t="s">
        <v>311</v>
      </c>
      <c r="N172" s="122" t="s">
        <v>263</v>
      </c>
      <c r="O172" s="122" t="s">
        <v>62</v>
      </c>
      <c r="P172" s="122" t="s">
        <v>1216</v>
      </c>
      <c r="Q172" s="123">
        <v>6524329</v>
      </c>
      <c r="R172" s="123">
        <v>1</v>
      </c>
      <c r="S172" s="123">
        <v>875.3</v>
      </c>
      <c r="T172" s="122"/>
      <c r="U172" s="123">
        <v>57107.451999999997</v>
      </c>
      <c r="V172" s="125">
        <v>2.2620000000000001E-2</v>
      </c>
      <c r="W172" s="125">
        <v>8.4899999999999993E-3</v>
      </c>
      <c r="X172" s="126">
        <v>2.0899999999999998E-3</v>
      </c>
      <c r="Y172" s="161"/>
    </row>
    <row r="173" spans="1:25" x14ac:dyDescent="0.2">
      <c r="A173" s="121" t="s">
        <v>1223</v>
      </c>
      <c r="B173" s="122" t="s">
        <v>1223</v>
      </c>
      <c r="C173" s="122" t="s">
        <v>1499</v>
      </c>
      <c r="D173" s="122" t="s">
        <v>1500</v>
      </c>
      <c r="E173" s="122" t="s">
        <v>429</v>
      </c>
      <c r="F173" s="122" t="s">
        <v>1989</v>
      </c>
      <c r="G173" s="122" t="s">
        <v>1990</v>
      </c>
      <c r="H173" s="122" t="s">
        <v>76</v>
      </c>
      <c r="I173" s="122" t="s">
        <v>73</v>
      </c>
      <c r="J173" s="122" t="s">
        <v>53</v>
      </c>
      <c r="K173" s="122" t="s">
        <v>53</v>
      </c>
      <c r="L173" s="122" t="s">
        <v>805</v>
      </c>
      <c r="M173" s="122" t="s">
        <v>311</v>
      </c>
      <c r="N173" s="122" t="s">
        <v>692</v>
      </c>
      <c r="O173" s="122" t="s">
        <v>62</v>
      </c>
      <c r="P173" s="122" t="s">
        <v>1216</v>
      </c>
      <c r="Q173" s="123">
        <v>25704</v>
      </c>
      <c r="R173" s="123">
        <v>1</v>
      </c>
      <c r="S173" s="123">
        <v>192960</v>
      </c>
      <c r="T173" s="123">
        <v>315.37</v>
      </c>
      <c r="U173" s="123">
        <v>49913.807999999997</v>
      </c>
      <c r="V173" s="125">
        <v>6.3200000000000001E-3</v>
      </c>
      <c r="W173" s="125">
        <v>7.4599999999999996E-3</v>
      </c>
      <c r="X173" s="126">
        <v>1.8400000000000001E-3</v>
      </c>
      <c r="Y173" s="161"/>
    </row>
    <row r="174" spans="1:25" x14ac:dyDescent="0.2">
      <c r="A174" s="121" t="s">
        <v>1223</v>
      </c>
      <c r="B174" s="122" t="s">
        <v>1223</v>
      </c>
      <c r="C174" s="122" t="s">
        <v>1703</v>
      </c>
      <c r="D174" s="122" t="s">
        <v>1704</v>
      </c>
      <c r="E174" s="122" t="s">
        <v>429</v>
      </c>
      <c r="F174" s="122" t="s">
        <v>1987</v>
      </c>
      <c r="G174" s="122" t="s">
        <v>1988</v>
      </c>
      <c r="H174" s="122" t="s">
        <v>76</v>
      </c>
      <c r="I174" s="122" t="s">
        <v>73</v>
      </c>
      <c r="J174" s="122" t="s">
        <v>53</v>
      </c>
      <c r="K174" s="122" t="s">
        <v>53</v>
      </c>
      <c r="L174" s="122" t="s">
        <v>805</v>
      </c>
      <c r="M174" s="122" t="s">
        <v>311</v>
      </c>
      <c r="N174" s="122" t="s">
        <v>263</v>
      </c>
      <c r="O174" s="122" t="s">
        <v>62</v>
      </c>
      <c r="P174" s="122" t="s">
        <v>1216</v>
      </c>
      <c r="Q174" s="123">
        <v>1831715</v>
      </c>
      <c r="R174" s="123">
        <v>1</v>
      </c>
      <c r="S174" s="123">
        <v>2708</v>
      </c>
      <c r="T174" s="122"/>
      <c r="U174" s="123">
        <v>49602.841999999997</v>
      </c>
      <c r="V174" s="125">
        <v>5.1200000000000004E-3</v>
      </c>
      <c r="W174" s="125">
        <v>7.3699999999999998E-3</v>
      </c>
      <c r="X174" s="126">
        <v>1.82E-3</v>
      </c>
      <c r="Y174" s="161"/>
    </row>
    <row r="175" spans="1:25" x14ac:dyDescent="0.2">
      <c r="A175" s="121" t="s">
        <v>1223</v>
      </c>
      <c r="B175" s="122" t="s">
        <v>1223</v>
      </c>
      <c r="C175" s="122" t="s">
        <v>1766</v>
      </c>
      <c r="D175" s="122" t="s">
        <v>1767</v>
      </c>
      <c r="E175" s="122" t="s">
        <v>429</v>
      </c>
      <c r="F175" s="122" t="s">
        <v>1766</v>
      </c>
      <c r="G175" s="122" t="s">
        <v>1991</v>
      </c>
      <c r="H175" s="122" t="s">
        <v>76</v>
      </c>
      <c r="I175" s="122" t="s">
        <v>73</v>
      </c>
      <c r="J175" s="122" t="s">
        <v>53</v>
      </c>
      <c r="K175" s="122" t="s">
        <v>53</v>
      </c>
      <c r="L175" s="122" t="s">
        <v>805</v>
      </c>
      <c r="M175" s="122" t="s">
        <v>311</v>
      </c>
      <c r="N175" s="122" t="s">
        <v>631</v>
      </c>
      <c r="O175" s="122" t="s">
        <v>62</v>
      </c>
      <c r="P175" s="122" t="s">
        <v>1216</v>
      </c>
      <c r="Q175" s="123">
        <v>430590</v>
      </c>
      <c r="R175" s="123">
        <v>1</v>
      </c>
      <c r="S175" s="123">
        <v>10550</v>
      </c>
      <c r="T175" s="122"/>
      <c r="U175" s="123">
        <v>45427.245000000003</v>
      </c>
      <c r="V175" s="125">
        <v>1.2120000000000001E-2</v>
      </c>
      <c r="W175" s="125">
        <v>6.7499999999999999E-3</v>
      </c>
      <c r="X175" s="126">
        <v>1.66E-3</v>
      </c>
      <c r="Y175" s="161"/>
    </row>
    <row r="176" spans="1:25" x14ac:dyDescent="0.2">
      <c r="A176" s="121" t="s">
        <v>1223</v>
      </c>
      <c r="B176" s="122" t="s">
        <v>1223</v>
      </c>
      <c r="C176" s="122" t="s">
        <v>1557</v>
      </c>
      <c r="D176" s="122" t="s">
        <v>1558</v>
      </c>
      <c r="E176" s="122" t="s">
        <v>429</v>
      </c>
      <c r="F176" s="122" t="s">
        <v>1992</v>
      </c>
      <c r="G176" s="122" t="s">
        <v>1993</v>
      </c>
      <c r="H176" s="122" t="s">
        <v>76</v>
      </c>
      <c r="I176" s="122" t="s">
        <v>73</v>
      </c>
      <c r="J176" s="122" t="s">
        <v>53</v>
      </c>
      <c r="K176" s="122" t="s">
        <v>53</v>
      </c>
      <c r="L176" s="122" t="s">
        <v>805</v>
      </c>
      <c r="M176" s="122" t="s">
        <v>311</v>
      </c>
      <c r="N176" s="122" t="s">
        <v>635</v>
      </c>
      <c r="O176" s="122" t="s">
        <v>62</v>
      </c>
      <c r="P176" s="122" t="s">
        <v>1216</v>
      </c>
      <c r="Q176" s="123">
        <v>1177251</v>
      </c>
      <c r="R176" s="123">
        <v>1</v>
      </c>
      <c r="S176" s="123">
        <v>3680</v>
      </c>
      <c r="T176" s="122"/>
      <c r="U176" s="123">
        <v>43322.837</v>
      </c>
      <c r="V176" s="125">
        <v>2.8969999999999999E-2</v>
      </c>
      <c r="W176" s="125">
        <v>6.4400000000000004E-3</v>
      </c>
      <c r="X176" s="126">
        <v>1.5900000000000001E-3</v>
      </c>
      <c r="Y176" s="161"/>
    </row>
    <row r="177" spans="1:25" x14ac:dyDescent="0.2">
      <c r="A177" s="121" t="s">
        <v>1223</v>
      </c>
      <c r="B177" s="122" t="s">
        <v>1223</v>
      </c>
      <c r="C177" s="122" t="s">
        <v>1515</v>
      </c>
      <c r="D177" s="122" t="s">
        <v>1516</v>
      </c>
      <c r="E177" s="122" t="s">
        <v>429</v>
      </c>
      <c r="F177" s="122" t="s">
        <v>1994</v>
      </c>
      <c r="G177" s="122" t="s">
        <v>1995</v>
      </c>
      <c r="H177" s="122" t="s">
        <v>76</v>
      </c>
      <c r="I177" s="122" t="s">
        <v>73</v>
      </c>
      <c r="J177" s="122" t="s">
        <v>53</v>
      </c>
      <c r="K177" s="122" t="s">
        <v>53</v>
      </c>
      <c r="L177" s="122" t="s">
        <v>805</v>
      </c>
      <c r="M177" s="122" t="s">
        <v>311</v>
      </c>
      <c r="N177" s="122" t="s">
        <v>635</v>
      </c>
      <c r="O177" s="122" t="s">
        <v>62</v>
      </c>
      <c r="P177" s="122" t="s">
        <v>1216</v>
      </c>
      <c r="Q177" s="123">
        <v>3911379</v>
      </c>
      <c r="R177" s="123">
        <v>1</v>
      </c>
      <c r="S177" s="123">
        <v>1079</v>
      </c>
      <c r="T177" s="122"/>
      <c r="U177" s="123">
        <v>42203.779000000002</v>
      </c>
      <c r="V177" s="125">
        <v>1.6400000000000001E-2</v>
      </c>
      <c r="W177" s="125">
        <v>6.2700000000000004E-3</v>
      </c>
      <c r="X177" s="126">
        <v>1.5499999999999999E-3</v>
      </c>
      <c r="Y177" s="161"/>
    </row>
    <row r="178" spans="1:25" x14ac:dyDescent="0.2">
      <c r="A178" s="121" t="s">
        <v>1223</v>
      </c>
      <c r="B178" s="122" t="s">
        <v>1223</v>
      </c>
      <c r="C178" s="122" t="s">
        <v>1879</v>
      </c>
      <c r="D178" s="122" t="s">
        <v>1880</v>
      </c>
      <c r="E178" s="122" t="s">
        <v>429</v>
      </c>
      <c r="F178" s="122" t="s">
        <v>2002</v>
      </c>
      <c r="G178" s="122" t="s">
        <v>2003</v>
      </c>
      <c r="H178" s="122" t="s">
        <v>76</v>
      </c>
      <c r="I178" s="122" t="s">
        <v>73</v>
      </c>
      <c r="J178" s="122" t="s">
        <v>53</v>
      </c>
      <c r="K178" s="122" t="s">
        <v>53</v>
      </c>
      <c r="L178" s="122" t="s">
        <v>805</v>
      </c>
      <c r="M178" s="122" t="s">
        <v>311</v>
      </c>
      <c r="N178" s="122" t="s">
        <v>260</v>
      </c>
      <c r="O178" s="122" t="s">
        <v>62</v>
      </c>
      <c r="P178" s="122" t="s">
        <v>1216</v>
      </c>
      <c r="Q178" s="123">
        <v>1294890</v>
      </c>
      <c r="R178" s="123">
        <v>1</v>
      </c>
      <c r="S178" s="123">
        <v>3170</v>
      </c>
      <c r="T178" s="122"/>
      <c r="U178" s="123">
        <v>41048.012999999999</v>
      </c>
      <c r="V178" s="125">
        <v>6.7499999999999999E-3</v>
      </c>
      <c r="W178" s="125">
        <v>6.1000000000000004E-3</v>
      </c>
      <c r="X178" s="126">
        <v>1.5E-3</v>
      </c>
      <c r="Y178" s="161"/>
    </row>
    <row r="179" spans="1:25" x14ac:dyDescent="0.2">
      <c r="A179" s="121" t="s">
        <v>1223</v>
      </c>
      <c r="B179" s="122" t="s">
        <v>1223</v>
      </c>
      <c r="C179" s="122" t="s">
        <v>1446</v>
      </c>
      <c r="D179" s="122" t="s">
        <v>1447</v>
      </c>
      <c r="E179" s="122" t="s">
        <v>429</v>
      </c>
      <c r="F179" s="122" t="s">
        <v>2008</v>
      </c>
      <c r="G179" s="122" t="s">
        <v>2009</v>
      </c>
      <c r="H179" s="122" t="s">
        <v>76</v>
      </c>
      <c r="I179" s="122" t="s">
        <v>73</v>
      </c>
      <c r="J179" s="122" t="s">
        <v>53</v>
      </c>
      <c r="K179" s="122" t="s">
        <v>53</v>
      </c>
      <c r="L179" s="122" t="s">
        <v>805</v>
      </c>
      <c r="M179" s="122" t="s">
        <v>311</v>
      </c>
      <c r="N179" s="122" t="s">
        <v>156</v>
      </c>
      <c r="O179" s="122" t="s">
        <v>62</v>
      </c>
      <c r="P179" s="122" t="s">
        <v>1216</v>
      </c>
      <c r="Q179" s="123">
        <v>780173</v>
      </c>
      <c r="R179" s="123">
        <v>1</v>
      </c>
      <c r="S179" s="123">
        <v>5239</v>
      </c>
      <c r="T179" s="122"/>
      <c r="U179" s="123">
        <v>40873.262999999999</v>
      </c>
      <c r="V179" s="125">
        <v>2.63E-3</v>
      </c>
      <c r="W179" s="125">
        <v>6.0699999999999999E-3</v>
      </c>
      <c r="X179" s="126">
        <v>1.5E-3</v>
      </c>
      <c r="Y179" s="161"/>
    </row>
    <row r="180" spans="1:25" x14ac:dyDescent="0.2">
      <c r="A180" s="121" t="s">
        <v>1223</v>
      </c>
      <c r="B180" s="122" t="s">
        <v>1223</v>
      </c>
      <c r="C180" s="122" t="s">
        <v>1996</v>
      </c>
      <c r="D180" s="122" t="s">
        <v>1997</v>
      </c>
      <c r="E180" s="122" t="s">
        <v>430</v>
      </c>
      <c r="F180" s="122" t="s">
        <v>1998</v>
      </c>
      <c r="G180" s="122" t="s">
        <v>1999</v>
      </c>
      <c r="H180" s="122" t="s">
        <v>76</v>
      </c>
      <c r="I180" s="122" t="s">
        <v>73</v>
      </c>
      <c r="J180" s="122" t="s">
        <v>53</v>
      </c>
      <c r="K180" s="122" t="s">
        <v>53</v>
      </c>
      <c r="L180" s="122" t="s">
        <v>805</v>
      </c>
      <c r="M180" s="122" t="s">
        <v>311</v>
      </c>
      <c r="N180" s="122" t="s">
        <v>267</v>
      </c>
      <c r="O180" s="122" t="s">
        <v>62</v>
      </c>
      <c r="P180" s="122" t="s">
        <v>1216</v>
      </c>
      <c r="Q180" s="123">
        <v>1015741</v>
      </c>
      <c r="R180" s="123">
        <v>1</v>
      </c>
      <c r="S180" s="123">
        <v>829</v>
      </c>
      <c r="T180" s="123">
        <v>1007.412</v>
      </c>
      <c r="U180" s="123">
        <v>39478.065000000002</v>
      </c>
      <c r="V180" s="125">
        <v>5.5399999999999998E-3</v>
      </c>
      <c r="W180" s="125">
        <v>6.0200000000000002E-3</v>
      </c>
      <c r="X180" s="126">
        <v>1.48E-3</v>
      </c>
      <c r="Y180" s="161"/>
    </row>
    <row r="181" spans="1:25" x14ac:dyDescent="0.2">
      <c r="A181" s="121" t="s">
        <v>1223</v>
      </c>
      <c r="B181" s="122" t="s">
        <v>1223</v>
      </c>
      <c r="C181" s="122" t="s">
        <v>2004</v>
      </c>
      <c r="D181" s="122" t="s">
        <v>2005</v>
      </c>
      <c r="E181" s="122" t="s">
        <v>429</v>
      </c>
      <c r="F181" s="122" t="s">
        <v>2006</v>
      </c>
      <c r="G181" s="122" t="s">
        <v>2007</v>
      </c>
      <c r="H181" s="122" t="s">
        <v>76</v>
      </c>
      <c r="I181" s="122" t="s">
        <v>73</v>
      </c>
      <c r="J181" s="122" t="s">
        <v>53</v>
      </c>
      <c r="K181" s="122" t="s">
        <v>53</v>
      </c>
      <c r="L181" s="122" t="s">
        <v>805</v>
      </c>
      <c r="M181" s="122" t="s">
        <v>311</v>
      </c>
      <c r="N181" s="122" t="s">
        <v>634</v>
      </c>
      <c r="O181" s="122" t="s">
        <v>62</v>
      </c>
      <c r="P181" s="122" t="s">
        <v>1216</v>
      </c>
      <c r="Q181" s="123">
        <v>1858419</v>
      </c>
      <c r="R181" s="123">
        <v>1</v>
      </c>
      <c r="S181" s="123">
        <v>2066</v>
      </c>
      <c r="T181" s="122"/>
      <c r="U181" s="123">
        <v>38394.936999999998</v>
      </c>
      <c r="V181" s="125">
        <v>1.2970000000000001E-2</v>
      </c>
      <c r="W181" s="125">
        <v>5.7099999999999998E-3</v>
      </c>
      <c r="X181" s="126">
        <v>1.41E-3</v>
      </c>
      <c r="Y181" s="161"/>
    </row>
    <row r="182" spans="1:25" x14ac:dyDescent="0.2">
      <c r="A182" s="121" t="s">
        <v>1223</v>
      </c>
      <c r="B182" s="122" t="s">
        <v>1223</v>
      </c>
      <c r="C182" s="122" t="s">
        <v>1612</v>
      </c>
      <c r="D182" s="122" t="s">
        <v>1613</v>
      </c>
      <c r="E182" s="122" t="s">
        <v>429</v>
      </c>
      <c r="F182" s="122" t="s">
        <v>2000</v>
      </c>
      <c r="G182" s="122" t="s">
        <v>2001</v>
      </c>
      <c r="H182" s="122" t="s">
        <v>76</v>
      </c>
      <c r="I182" s="122" t="s">
        <v>73</v>
      </c>
      <c r="J182" s="122" t="s">
        <v>53</v>
      </c>
      <c r="K182" s="122" t="s">
        <v>53</v>
      </c>
      <c r="L182" s="122" t="s">
        <v>805</v>
      </c>
      <c r="M182" s="122" t="s">
        <v>311</v>
      </c>
      <c r="N182" s="122" t="s">
        <v>635</v>
      </c>
      <c r="O182" s="122" t="s">
        <v>62</v>
      </c>
      <c r="P182" s="122" t="s">
        <v>1216</v>
      </c>
      <c r="Q182" s="123">
        <v>212230</v>
      </c>
      <c r="R182" s="123">
        <v>1</v>
      </c>
      <c r="S182" s="123">
        <v>17940</v>
      </c>
      <c r="T182" s="122"/>
      <c r="U182" s="123">
        <v>38074.061999999998</v>
      </c>
      <c r="V182" s="125">
        <v>5.79E-3</v>
      </c>
      <c r="W182" s="125">
        <v>5.6600000000000001E-3</v>
      </c>
      <c r="X182" s="126">
        <v>1.39E-3</v>
      </c>
      <c r="Y182" s="161"/>
    </row>
    <row r="183" spans="1:25" x14ac:dyDescent="0.2">
      <c r="A183" s="121" t="s">
        <v>1223</v>
      </c>
      <c r="B183" s="122" t="s">
        <v>1223</v>
      </c>
      <c r="C183" s="122" t="s">
        <v>2014</v>
      </c>
      <c r="D183" s="122" t="s">
        <v>2015</v>
      </c>
      <c r="E183" s="122" t="s">
        <v>429</v>
      </c>
      <c r="F183" s="122" t="s">
        <v>2016</v>
      </c>
      <c r="G183" s="122" t="s">
        <v>2017</v>
      </c>
      <c r="H183" s="122" t="s">
        <v>76</v>
      </c>
      <c r="I183" s="122" t="s">
        <v>73</v>
      </c>
      <c r="J183" s="122" t="s">
        <v>53</v>
      </c>
      <c r="K183" s="122" t="s">
        <v>53</v>
      </c>
      <c r="L183" s="122" t="s">
        <v>805</v>
      </c>
      <c r="M183" s="122" t="s">
        <v>311</v>
      </c>
      <c r="N183" s="122" t="s">
        <v>636</v>
      </c>
      <c r="O183" s="122" t="s">
        <v>62</v>
      </c>
      <c r="P183" s="122" t="s">
        <v>1216</v>
      </c>
      <c r="Q183" s="123">
        <v>335816</v>
      </c>
      <c r="R183" s="123">
        <v>1</v>
      </c>
      <c r="S183" s="123">
        <v>11110</v>
      </c>
      <c r="T183" s="122"/>
      <c r="U183" s="123">
        <v>37309.158000000003</v>
      </c>
      <c r="V183" s="125">
        <v>1.5429999999999999E-2</v>
      </c>
      <c r="W183" s="125">
        <v>5.5399999999999998E-3</v>
      </c>
      <c r="X183" s="126">
        <v>1.3699999999999999E-3</v>
      </c>
      <c r="Y183" s="161"/>
    </row>
    <row r="184" spans="1:25" x14ac:dyDescent="0.2">
      <c r="A184" s="121" t="s">
        <v>1223</v>
      </c>
      <c r="B184" s="122" t="s">
        <v>1223</v>
      </c>
      <c r="C184" s="122" t="s">
        <v>2010</v>
      </c>
      <c r="D184" s="122" t="s">
        <v>2011</v>
      </c>
      <c r="E184" s="122" t="s">
        <v>429</v>
      </c>
      <c r="F184" s="122" t="s">
        <v>2012</v>
      </c>
      <c r="G184" s="122" t="s">
        <v>2013</v>
      </c>
      <c r="H184" s="122" t="s">
        <v>76</v>
      </c>
      <c r="I184" s="122" t="s">
        <v>73</v>
      </c>
      <c r="J184" s="122" t="s">
        <v>53</v>
      </c>
      <c r="K184" s="122" t="s">
        <v>53</v>
      </c>
      <c r="L184" s="122" t="s">
        <v>805</v>
      </c>
      <c r="M184" s="122" t="s">
        <v>311</v>
      </c>
      <c r="N184" s="122" t="s">
        <v>75</v>
      </c>
      <c r="O184" s="122" t="s">
        <v>62</v>
      </c>
      <c r="P184" s="122" t="s">
        <v>1216</v>
      </c>
      <c r="Q184" s="123">
        <v>1284000</v>
      </c>
      <c r="R184" s="123">
        <v>1</v>
      </c>
      <c r="S184" s="123">
        <v>2875</v>
      </c>
      <c r="T184" s="122"/>
      <c r="U184" s="123">
        <v>36915</v>
      </c>
      <c r="V184" s="125">
        <v>1.0189999999999999E-2</v>
      </c>
      <c r="W184" s="125">
        <v>5.4900000000000001E-3</v>
      </c>
      <c r="X184" s="126">
        <v>1.3500000000000001E-3</v>
      </c>
      <c r="Y184" s="161"/>
    </row>
    <row r="185" spans="1:25" x14ac:dyDescent="0.2">
      <c r="A185" s="121" t="s">
        <v>1223</v>
      </c>
      <c r="B185" s="122" t="s">
        <v>1223</v>
      </c>
      <c r="C185" s="122" t="s">
        <v>2024</v>
      </c>
      <c r="D185" s="122" t="s">
        <v>2025</v>
      </c>
      <c r="E185" s="122" t="s">
        <v>429</v>
      </c>
      <c r="F185" s="122" t="s">
        <v>2026</v>
      </c>
      <c r="G185" s="122" t="s">
        <v>2027</v>
      </c>
      <c r="H185" s="122" t="s">
        <v>76</v>
      </c>
      <c r="I185" s="122" t="s">
        <v>73</v>
      </c>
      <c r="J185" s="122" t="s">
        <v>53</v>
      </c>
      <c r="K185" s="122" t="s">
        <v>53</v>
      </c>
      <c r="L185" s="122" t="s">
        <v>805</v>
      </c>
      <c r="M185" s="122" t="s">
        <v>311</v>
      </c>
      <c r="N185" s="122" t="s">
        <v>267</v>
      </c>
      <c r="O185" s="122" t="s">
        <v>62</v>
      </c>
      <c r="P185" s="122" t="s">
        <v>1216</v>
      </c>
      <c r="Q185" s="123">
        <v>1582534</v>
      </c>
      <c r="R185" s="123">
        <v>1</v>
      </c>
      <c r="S185" s="123">
        <v>2114</v>
      </c>
      <c r="T185" s="123">
        <v>784.726</v>
      </c>
      <c r="U185" s="123">
        <v>34239.495000000003</v>
      </c>
      <c r="V185" s="125">
        <v>7.9119999999999996E-2</v>
      </c>
      <c r="W185" s="125">
        <v>5.1999999999999998E-3</v>
      </c>
      <c r="X185" s="126">
        <v>1.2800000000000001E-3</v>
      </c>
      <c r="Y185" s="161"/>
    </row>
    <row r="186" spans="1:25" x14ac:dyDescent="0.2">
      <c r="A186" s="121" t="s">
        <v>1223</v>
      </c>
      <c r="B186" s="122" t="s">
        <v>1223</v>
      </c>
      <c r="C186" s="122" t="s">
        <v>1596</v>
      </c>
      <c r="D186" s="122" t="s">
        <v>1597</v>
      </c>
      <c r="E186" s="122" t="s">
        <v>429</v>
      </c>
      <c r="F186" s="122" t="s">
        <v>2018</v>
      </c>
      <c r="G186" s="122" t="s">
        <v>2019</v>
      </c>
      <c r="H186" s="122" t="s">
        <v>76</v>
      </c>
      <c r="I186" s="122" t="s">
        <v>73</v>
      </c>
      <c r="J186" s="122" t="s">
        <v>53</v>
      </c>
      <c r="K186" s="122" t="s">
        <v>53</v>
      </c>
      <c r="L186" s="122" t="s">
        <v>805</v>
      </c>
      <c r="M186" s="122" t="s">
        <v>311</v>
      </c>
      <c r="N186" s="122" t="s">
        <v>635</v>
      </c>
      <c r="O186" s="122" t="s">
        <v>62</v>
      </c>
      <c r="P186" s="122" t="s">
        <v>1216</v>
      </c>
      <c r="Q186" s="123">
        <v>2347947</v>
      </c>
      <c r="R186" s="123">
        <v>1</v>
      </c>
      <c r="S186" s="123">
        <v>1357</v>
      </c>
      <c r="T186" s="122"/>
      <c r="U186" s="123">
        <v>31861.641</v>
      </c>
      <c r="V186" s="125">
        <v>1.5570000000000001E-2</v>
      </c>
      <c r="W186" s="125">
        <v>4.7299999999999998E-3</v>
      </c>
      <c r="X186" s="126">
        <v>1.17E-3</v>
      </c>
      <c r="Y186" s="161"/>
    </row>
    <row r="187" spans="1:25" x14ac:dyDescent="0.2">
      <c r="A187" s="121" t="s">
        <v>1223</v>
      </c>
      <c r="B187" s="122" t="s">
        <v>1223</v>
      </c>
      <c r="C187" s="122" t="s">
        <v>2030</v>
      </c>
      <c r="D187" s="122" t="s">
        <v>2031</v>
      </c>
      <c r="E187" s="122" t="s">
        <v>429</v>
      </c>
      <c r="F187" s="122" t="s">
        <v>2032</v>
      </c>
      <c r="G187" s="122" t="s">
        <v>2033</v>
      </c>
      <c r="H187" s="122" t="s">
        <v>76</v>
      </c>
      <c r="I187" s="122" t="s">
        <v>73</v>
      </c>
      <c r="J187" s="122" t="s">
        <v>53</v>
      </c>
      <c r="K187" s="122" t="s">
        <v>53</v>
      </c>
      <c r="L187" s="122" t="s">
        <v>805</v>
      </c>
      <c r="M187" s="122" t="s">
        <v>311</v>
      </c>
      <c r="N187" s="122" t="s">
        <v>634</v>
      </c>
      <c r="O187" s="122" t="s">
        <v>62</v>
      </c>
      <c r="P187" s="122" t="s">
        <v>1216</v>
      </c>
      <c r="Q187" s="123">
        <v>112998</v>
      </c>
      <c r="R187" s="123">
        <v>1</v>
      </c>
      <c r="S187" s="123">
        <v>27550</v>
      </c>
      <c r="T187" s="122"/>
      <c r="U187" s="123">
        <v>31130.949000000001</v>
      </c>
      <c r="V187" s="125">
        <v>7.79E-3</v>
      </c>
      <c r="W187" s="125">
        <v>4.6299999999999996E-3</v>
      </c>
      <c r="X187" s="126">
        <v>1.14E-3</v>
      </c>
      <c r="Y187" s="161"/>
    </row>
    <row r="188" spans="1:25" x14ac:dyDescent="0.2">
      <c r="A188" s="121" t="s">
        <v>1223</v>
      </c>
      <c r="B188" s="122" t="s">
        <v>1223</v>
      </c>
      <c r="C188" s="122" t="s">
        <v>1462</v>
      </c>
      <c r="D188" s="122" t="s">
        <v>1463</v>
      </c>
      <c r="E188" s="122" t="s">
        <v>429</v>
      </c>
      <c r="F188" s="122" t="s">
        <v>2028</v>
      </c>
      <c r="G188" s="122" t="s">
        <v>2029</v>
      </c>
      <c r="H188" s="122" t="s">
        <v>76</v>
      </c>
      <c r="I188" s="122" t="s">
        <v>73</v>
      </c>
      <c r="J188" s="122" t="s">
        <v>53</v>
      </c>
      <c r="K188" s="122" t="s">
        <v>53</v>
      </c>
      <c r="L188" s="122" t="s">
        <v>805</v>
      </c>
      <c r="M188" s="122" t="s">
        <v>311</v>
      </c>
      <c r="N188" s="122" t="s">
        <v>156</v>
      </c>
      <c r="O188" s="122" t="s">
        <v>62</v>
      </c>
      <c r="P188" s="122" t="s">
        <v>1216</v>
      </c>
      <c r="Q188" s="123">
        <v>45011</v>
      </c>
      <c r="R188" s="123">
        <v>1</v>
      </c>
      <c r="S188" s="123">
        <v>67880</v>
      </c>
      <c r="T188" s="123">
        <v>503.56599999999997</v>
      </c>
      <c r="U188" s="123">
        <v>31057.032999999999</v>
      </c>
      <c r="V188" s="125">
        <v>3.2599999999999999E-3</v>
      </c>
      <c r="W188" s="125">
        <v>4.6899999999999997E-3</v>
      </c>
      <c r="X188" s="126">
        <v>1.16E-3</v>
      </c>
      <c r="Y188" s="161"/>
    </row>
    <row r="189" spans="1:25" x14ac:dyDescent="0.2">
      <c r="A189" s="121" t="s">
        <v>1223</v>
      </c>
      <c r="B189" s="122" t="s">
        <v>1223</v>
      </c>
      <c r="C189" s="122" t="s">
        <v>2020</v>
      </c>
      <c r="D189" s="122" t="s">
        <v>2021</v>
      </c>
      <c r="E189" s="122" t="s">
        <v>429</v>
      </c>
      <c r="F189" s="122" t="s">
        <v>2022</v>
      </c>
      <c r="G189" s="122" t="s">
        <v>2023</v>
      </c>
      <c r="H189" s="122" t="s">
        <v>76</v>
      </c>
      <c r="I189" s="122" t="s">
        <v>73</v>
      </c>
      <c r="J189" s="122" t="s">
        <v>53</v>
      </c>
      <c r="K189" s="122" t="s">
        <v>53</v>
      </c>
      <c r="L189" s="122" t="s">
        <v>805</v>
      </c>
      <c r="M189" s="122" t="s">
        <v>311</v>
      </c>
      <c r="N189" s="122" t="s">
        <v>261</v>
      </c>
      <c r="O189" s="122" t="s">
        <v>62</v>
      </c>
      <c r="P189" s="122" t="s">
        <v>1216</v>
      </c>
      <c r="Q189" s="123">
        <v>328044</v>
      </c>
      <c r="R189" s="123">
        <v>1</v>
      </c>
      <c r="S189" s="123">
        <v>9361</v>
      </c>
      <c r="T189" s="122"/>
      <c r="U189" s="123">
        <v>30708.199000000001</v>
      </c>
      <c r="V189" s="125">
        <v>2.7899999999999999E-3</v>
      </c>
      <c r="W189" s="125">
        <v>4.5599999999999998E-3</v>
      </c>
      <c r="X189" s="126">
        <v>1.1199999999999999E-3</v>
      </c>
      <c r="Y189" s="161"/>
    </row>
    <row r="190" spans="1:25" x14ac:dyDescent="0.2">
      <c r="A190" s="121" t="s">
        <v>1223</v>
      </c>
      <c r="B190" s="122" t="s">
        <v>1223</v>
      </c>
      <c r="C190" s="122" t="s">
        <v>2038</v>
      </c>
      <c r="D190" s="122" t="s">
        <v>2039</v>
      </c>
      <c r="E190" s="122" t="s">
        <v>429</v>
      </c>
      <c r="F190" s="122" t="s">
        <v>2040</v>
      </c>
      <c r="G190" s="122" t="s">
        <v>2041</v>
      </c>
      <c r="H190" s="122" t="s">
        <v>76</v>
      </c>
      <c r="I190" s="122" t="s">
        <v>73</v>
      </c>
      <c r="J190" s="122" t="s">
        <v>53</v>
      </c>
      <c r="K190" s="122" t="s">
        <v>53</v>
      </c>
      <c r="L190" s="122" t="s">
        <v>805</v>
      </c>
      <c r="M190" s="122" t="s">
        <v>311</v>
      </c>
      <c r="N190" s="122" t="s">
        <v>252</v>
      </c>
      <c r="O190" s="122" t="s">
        <v>62</v>
      </c>
      <c r="P190" s="122" t="s">
        <v>1216</v>
      </c>
      <c r="Q190" s="123">
        <v>64430</v>
      </c>
      <c r="R190" s="123">
        <v>1</v>
      </c>
      <c r="S190" s="123">
        <v>46080</v>
      </c>
      <c r="T190" s="122"/>
      <c r="U190" s="123">
        <v>29689.344000000001</v>
      </c>
      <c r="V190" s="125">
        <v>4.0499999999999998E-3</v>
      </c>
      <c r="W190" s="125">
        <v>4.4099999999999999E-3</v>
      </c>
      <c r="X190" s="126">
        <v>1.09E-3</v>
      </c>
      <c r="Y190" s="161"/>
    </row>
    <row r="191" spans="1:25" x14ac:dyDescent="0.2">
      <c r="A191" s="121" t="s">
        <v>1223</v>
      </c>
      <c r="B191" s="122" t="s">
        <v>1223</v>
      </c>
      <c r="C191" s="122" t="s">
        <v>2034</v>
      </c>
      <c r="D191" s="122" t="s">
        <v>2035</v>
      </c>
      <c r="E191" s="122" t="s">
        <v>429</v>
      </c>
      <c r="F191" s="122" t="s">
        <v>2036</v>
      </c>
      <c r="G191" s="122" t="s">
        <v>2037</v>
      </c>
      <c r="H191" s="122" t="s">
        <v>76</v>
      </c>
      <c r="I191" s="122" t="s">
        <v>73</v>
      </c>
      <c r="J191" s="122" t="s">
        <v>53</v>
      </c>
      <c r="K191" s="122" t="s">
        <v>53</v>
      </c>
      <c r="L191" s="122" t="s">
        <v>805</v>
      </c>
      <c r="M191" s="122" t="s">
        <v>311</v>
      </c>
      <c r="N191" s="122" t="s">
        <v>252</v>
      </c>
      <c r="O191" s="122" t="s">
        <v>62</v>
      </c>
      <c r="P191" s="122" t="s">
        <v>1216</v>
      </c>
      <c r="Q191" s="123">
        <v>247573</v>
      </c>
      <c r="R191" s="123">
        <v>1</v>
      </c>
      <c r="S191" s="123">
        <v>11650</v>
      </c>
      <c r="T191" s="123">
        <v>210.43700000000001</v>
      </c>
      <c r="U191" s="123">
        <v>29052.691999999999</v>
      </c>
      <c r="V191" s="125">
        <v>3.8500000000000001E-3</v>
      </c>
      <c r="W191" s="125">
        <v>4.3499999999999997E-3</v>
      </c>
      <c r="X191" s="126">
        <v>1.07E-3</v>
      </c>
      <c r="Y191" s="161"/>
    </row>
    <row r="192" spans="1:25" x14ac:dyDescent="0.2">
      <c r="A192" s="121" t="s">
        <v>1223</v>
      </c>
      <c r="B192" s="122" t="s">
        <v>1223</v>
      </c>
      <c r="C192" s="122" t="s">
        <v>1770</v>
      </c>
      <c r="D192" s="122" t="s">
        <v>1771</v>
      </c>
      <c r="E192" s="122" t="s">
        <v>429</v>
      </c>
      <c r="F192" s="122" t="s">
        <v>2052</v>
      </c>
      <c r="G192" s="122" t="s">
        <v>2053</v>
      </c>
      <c r="H192" s="122" t="s">
        <v>76</v>
      </c>
      <c r="I192" s="122" t="s">
        <v>73</v>
      </c>
      <c r="J192" s="122" t="s">
        <v>53</v>
      </c>
      <c r="K192" s="122" t="s">
        <v>53</v>
      </c>
      <c r="L192" s="122" t="s">
        <v>805</v>
      </c>
      <c r="M192" s="122" t="s">
        <v>311</v>
      </c>
      <c r="N192" s="122" t="s">
        <v>635</v>
      </c>
      <c r="O192" s="122" t="s">
        <v>62</v>
      </c>
      <c r="P192" s="122" t="s">
        <v>1216</v>
      </c>
      <c r="Q192" s="123">
        <v>2243130.79</v>
      </c>
      <c r="R192" s="123">
        <v>1</v>
      </c>
      <c r="S192" s="123">
        <v>1292</v>
      </c>
      <c r="T192" s="122"/>
      <c r="U192" s="123">
        <v>28981.25</v>
      </c>
      <c r="V192" s="125">
        <v>3.0999999999999999E-3</v>
      </c>
      <c r="W192" s="125">
        <v>4.3099999999999996E-3</v>
      </c>
      <c r="X192" s="126">
        <v>1.06E-3</v>
      </c>
      <c r="Y192" s="161"/>
    </row>
    <row r="193" spans="1:25" x14ac:dyDescent="0.2">
      <c r="A193" s="121" t="s">
        <v>1223</v>
      </c>
      <c r="B193" s="122" t="s">
        <v>1223</v>
      </c>
      <c r="C193" s="122" t="s">
        <v>1670</v>
      </c>
      <c r="D193" s="122" t="s">
        <v>1671</v>
      </c>
      <c r="E193" s="122" t="s">
        <v>429</v>
      </c>
      <c r="F193" s="122" t="s">
        <v>2044</v>
      </c>
      <c r="G193" s="122" t="s">
        <v>2045</v>
      </c>
      <c r="H193" s="122" t="s">
        <v>76</v>
      </c>
      <c r="I193" s="122" t="s">
        <v>73</v>
      </c>
      <c r="J193" s="122" t="s">
        <v>53</v>
      </c>
      <c r="K193" s="122" t="s">
        <v>53</v>
      </c>
      <c r="L193" s="122" t="s">
        <v>805</v>
      </c>
      <c r="M193" s="122" t="s">
        <v>311</v>
      </c>
      <c r="N193" s="122" t="s">
        <v>140</v>
      </c>
      <c r="O193" s="122" t="s">
        <v>62</v>
      </c>
      <c r="P193" s="122" t="s">
        <v>1216</v>
      </c>
      <c r="Q193" s="123">
        <v>403200</v>
      </c>
      <c r="R193" s="123">
        <v>1</v>
      </c>
      <c r="S193" s="123">
        <v>6966</v>
      </c>
      <c r="T193" s="122"/>
      <c r="U193" s="123">
        <v>28086.912</v>
      </c>
      <c r="V193" s="125">
        <v>3.62E-3</v>
      </c>
      <c r="W193" s="125">
        <v>4.1700000000000001E-3</v>
      </c>
      <c r="X193" s="126">
        <v>1.0300000000000001E-3</v>
      </c>
      <c r="Y193" s="161"/>
    </row>
    <row r="194" spans="1:25" x14ac:dyDescent="0.2">
      <c r="A194" s="121" t="s">
        <v>1223</v>
      </c>
      <c r="B194" s="122" t="s">
        <v>1223</v>
      </c>
      <c r="C194" s="122" t="s">
        <v>1477</v>
      </c>
      <c r="D194" s="122" t="s">
        <v>1478</v>
      </c>
      <c r="E194" s="122" t="s">
        <v>429</v>
      </c>
      <c r="F194" s="122" t="s">
        <v>2042</v>
      </c>
      <c r="G194" s="122" t="s">
        <v>2043</v>
      </c>
      <c r="H194" s="122" t="s">
        <v>76</v>
      </c>
      <c r="I194" s="122" t="s">
        <v>73</v>
      </c>
      <c r="J194" s="122" t="s">
        <v>53</v>
      </c>
      <c r="K194" s="122" t="s">
        <v>53</v>
      </c>
      <c r="L194" s="122" t="s">
        <v>805</v>
      </c>
      <c r="M194" s="122" t="s">
        <v>311</v>
      </c>
      <c r="N194" s="122" t="s">
        <v>634</v>
      </c>
      <c r="O194" s="122" t="s">
        <v>62</v>
      </c>
      <c r="P194" s="122" t="s">
        <v>1216</v>
      </c>
      <c r="Q194" s="123">
        <v>694821</v>
      </c>
      <c r="R194" s="123">
        <v>1</v>
      </c>
      <c r="S194" s="123">
        <v>3901</v>
      </c>
      <c r="T194" s="123">
        <v>468.98200000000003</v>
      </c>
      <c r="U194" s="123">
        <v>27573.949000000001</v>
      </c>
      <c r="V194" s="125">
        <v>2.5200000000000001E-3</v>
      </c>
      <c r="W194" s="125">
        <v>4.1700000000000001E-3</v>
      </c>
      <c r="X194" s="126">
        <v>1.0300000000000001E-3</v>
      </c>
      <c r="Y194" s="161"/>
    </row>
    <row r="195" spans="1:25" x14ac:dyDescent="0.2">
      <c r="A195" s="121" t="s">
        <v>1223</v>
      </c>
      <c r="B195" s="122" t="s">
        <v>1223</v>
      </c>
      <c r="C195" s="122" t="s">
        <v>2048</v>
      </c>
      <c r="D195" s="122" t="s">
        <v>2049</v>
      </c>
      <c r="E195" s="122" t="s">
        <v>429</v>
      </c>
      <c r="F195" s="122" t="s">
        <v>2050</v>
      </c>
      <c r="G195" s="122" t="s">
        <v>2051</v>
      </c>
      <c r="H195" s="122" t="s">
        <v>76</v>
      </c>
      <c r="I195" s="122" t="s">
        <v>73</v>
      </c>
      <c r="J195" s="122" t="s">
        <v>53</v>
      </c>
      <c r="K195" s="122" t="s">
        <v>53</v>
      </c>
      <c r="L195" s="122" t="s">
        <v>805</v>
      </c>
      <c r="M195" s="122" t="s">
        <v>311</v>
      </c>
      <c r="N195" s="122" t="s">
        <v>634</v>
      </c>
      <c r="O195" s="122" t="s">
        <v>62</v>
      </c>
      <c r="P195" s="122" t="s">
        <v>1216</v>
      </c>
      <c r="Q195" s="123">
        <v>2385500</v>
      </c>
      <c r="R195" s="123">
        <v>1</v>
      </c>
      <c r="S195" s="123">
        <v>1154</v>
      </c>
      <c r="T195" s="122"/>
      <c r="U195" s="123">
        <v>27528.67</v>
      </c>
      <c r="V195" s="125">
        <v>1.6889999999999999E-2</v>
      </c>
      <c r="W195" s="125">
        <v>4.0899999999999999E-3</v>
      </c>
      <c r="X195" s="126">
        <v>1.01E-3</v>
      </c>
      <c r="Y195" s="161"/>
    </row>
    <row r="196" spans="1:25" x14ac:dyDescent="0.2">
      <c r="A196" s="121" t="s">
        <v>1223</v>
      </c>
      <c r="B196" s="122" t="s">
        <v>1223</v>
      </c>
      <c r="C196" s="122" t="s">
        <v>1585</v>
      </c>
      <c r="D196" s="122" t="s">
        <v>1586</v>
      </c>
      <c r="E196" s="122" t="s">
        <v>429</v>
      </c>
      <c r="F196" s="122" t="s">
        <v>2046</v>
      </c>
      <c r="G196" s="122" t="s">
        <v>2047</v>
      </c>
      <c r="H196" s="122" t="s">
        <v>76</v>
      </c>
      <c r="I196" s="122" t="s">
        <v>73</v>
      </c>
      <c r="J196" s="122" t="s">
        <v>53</v>
      </c>
      <c r="K196" s="122" t="s">
        <v>53</v>
      </c>
      <c r="L196" s="122" t="s">
        <v>805</v>
      </c>
      <c r="M196" s="122" t="s">
        <v>311</v>
      </c>
      <c r="N196" s="122" t="s">
        <v>265</v>
      </c>
      <c r="O196" s="122" t="s">
        <v>62</v>
      </c>
      <c r="P196" s="122" t="s">
        <v>1216</v>
      </c>
      <c r="Q196" s="123">
        <v>24974</v>
      </c>
      <c r="R196" s="123">
        <v>1</v>
      </c>
      <c r="S196" s="123">
        <v>103430</v>
      </c>
      <c r="T196" s="122"/>
      <c r="U196" s="123">
        <v>25830.608</v>
      </c>
      <c r="V196" s="125">
        <v>3.2399999999999998E-3</v>
      </c>
      <c r="W196" s="125">
        <v>3.8400000000000001E-3</v>
      </c>
      <c r="X196" s="126">
        <v>9.5E-4</v>
      </c>
      <c r="Y196" s="161"/>
    </row>
    <row r="197" spans="1:25" x14ac:dyDescent="0.2">
      <c r="A197" s="121" t="s">
        <v>1223</v>
      </c>
      <c r="B197" s="122" t="s">
        <v>1223</v>
      </c>
      <c r="C197" s="122" t="s">
        <v>2065</v>
      </c>
      <c r="D197" s="122" t="s">
        <v>2066</v>
      </c>
      <c r="E197" s="122" t="s">
        <v>429</v>
      </c>
      <c r="F197" s="122" t="s">
        <v>2067</v>
      </c>
      <c r="G197" s="122" t="s">
        <v>2068</v>
      </c>
      <c r="H197" s="122" t="s">
        <v>76</v>
      </c>
      <c r="I197" s="122" t="s">
        <v>73</v>
      </c>
      <c r="J197" s="122" t="s">
        <v>53</v>
      </c>
      <c r="K197" s="122" t="s">
        <v>53</v>
      </c>
      <c r="L197" s="122" t="s">
        <v>805</v>
      </c>
      <c r="M197" s="122" t="s">
        <v>311</v>
      </c>
      <c r="N197" s="122" t="s">
        <v>140</v>
      </c>
      <c r="O197" s="122" t="s">
        <v>62</v>
      </c>
      <c r="P197" s="122" t="s">
        <v>1216</v>
      </c>
      <c r="Q197" s="123">
        <v>1102079</v>
      </c>
      <c r="R197" s="123">
        <v>1</v>
      </c>
      <c r="S197" s="123">
        <v>2195</v>
      </c>
      <c r="T197" s="122"/>
      <c r="U197" s="123">
        <v>24190.633999999998</v>
      </c>
      <c r="V197" s="125">
        <v>3.8400000000000001E-3</v>
      </c>
      <c r="W197" s="125">
        <v>3.5899999999999999E-3</v>
      </c>
      <c r="X197" s="126">
        <v>8.8999999999999995E-4</v>
      </c>
      <c r="Y197" s="161"/>
    </row>
    <row r="198" spans="1:25" x14ac:dyDescent="0.2">
      <c r="A198" s="121" t="s">
        <v>1223</v>
      </c>
      <c r="B198" s="122" t="s">
        <v>1223</v>
      </c>
      <c r="C198" s="122" t="s">
        <v>2054</v>
      </c>
      <c r="D198" s="122" t="s">
        <v>2055</v>
      </c>
      <c r="E198" s="122" t="s">
        <v>429</v>
      </c>
      <c r="F198" s="122" t="s">
        <v>2054</v>
      </c>
      <c r="G198" s="122" t="s">
        <v>2056</v>
      </c>
      <c r="H198" s="122" t="s">
        <v>76</v>
      </c>
      <c r="I198" s="122" t="s">
        <v>73</v>
      </c>
      <c r="J198" s="122" t="s">
        <v>53</v>
      </c>
      <c r="K198" s="122" t="s">
        <v>53</v>
      </c>
      <c r="L198" s="122" t="s">
        <v>805</v>
      </c>
      <c r="M198" s="122" t="s">
        <v>311</v>
      </c>
      <c r="N198" s="122" t="s">
        <v>258</v>
      </c>
      <c r="O198" s="122" t="s">
        <v>62</v>
      </c>
      <c r="P198" s="122" t="s">
        <v>1216</v>
      </c>
      <c r="Q198" s="123">
        <v>3145000</v>
      </c>
      <c r="R198" s="123">
        <v>1</v>
      </c>
      <c r="S198" s="123">
        <v>745.1</v>
      </c>
      <c r="T198" s="122"/>
      <c r="U198" s="123">
        <v>23433.395</v>
      </c>
      <c r="V198" s="125">
        <v>3.099E-2</v>
      </c>
      <c r="W198" s="125">
        <v>3.48E-3</v>
      </c>
      <c r="X198" s="126">
        <v>8.5999999999999998E-4</v>
      </c>
      <c r="Y198" s="161"/>
    </row>
    <row r="199" spans="1:25" x14ac:dyDescent="0.2">
      <c r="A199" s="121" t="s">
        <v>1223</v>
      </c>
      <c r="B199" s="122" t="s">
        <v>1223</v>
      </c>
      <c r="C199" s="122" t="s">
        <v>2057</v>
      </c>
      <c r="D199" s="122" t="s">
        <v>2058</v>
      </c>
      <c r="E199" s="122" t="s">
        <v>429</v>
      </c>
      <c r="F199" s="122" t="s">
        <v>2059</v>
      </c>
      <c r="G199" s="122" t="s">
        <v>2060</v>
      </c>
      <c r="H199" s="122" t="s">
        <v>76</v>
      </c>
      <c r="I199" s="122" t="s">
        <v>73</v>
      </c>
      <c r="J199" s="122" t="s">
        <v>53</v>
      </c>
      <c r="K199" s="122" t="s">
        <v>53</v>
      </c>
      <c r="L199" s="122" t="s">
        <v>805</v>
      </c>
      <c r="M199" s="122" t="s">
        <v>311</v>
      </c>
      <c r="N199" s="122" t="s">
        <v>634</v>
      </c>
      <c r="O199" s="122" t="s">
        <v>62</v>
      </c>
      <c r="P199" s="122" t="s">
        <v>1216</v>
      </c>
      <c r="Q199" s="123">
        <v>233143</v>
      </c>
      <c r="R199" s="123">
        <v>1</v>
      </c>
      <c r="S199" s="123">
        <v>9640</v>
      </c>
      <c r="T199" s="122"/>
      <c r="U199" s="123">
        <v>22474.985000000001</v>
      </c>
      <c r="V199" s="125">
        <v>9.3200000000000002E-3</v>
      </c>
      <c r="W199" s="125">
        <v>3.3400000000000001E-3</v>
      </c>
      <c r="X199" s="126">
        <v>8.1999999999999998E-4</v>
      </c>
      <c r="Y199" s="161"/>
    </row>
    <row r="200" spans="1:25" x14ac:dyDescent="0.2">
      <c r="A200" s="121" t="s">
        <v>1223</v>
      </c>
      <c r="B200" s="122" t="s">
        <v>1223</v>
      </c>
      <c r="C200" s="122" t="s">
        <v>2061</v>
      </c>
      <c r="D200" s="122" t="s">
        <v>2062</v>
      </c>
      <c r="E200" s="122" t="s">
        <v>429</v>
      </c>
      <c r="F200" s="122" t="s">
        <v>2063</v>
      </c>
      <c r="G200" s="122" t="s">
        <v>2064</v>
      </c>
      <c r="H200" s="122" t="s">
        <v>76</v>
      </c>
      <c r="I200" s="122" t="s">
        <v>73</v>
      </c>
      <c r="J200" s="122" t="s">
        <v>53</v>
      </c>
      <c r="K200" s="122" t="s">
        <v>53</v>
      </c>
      <c r="L200" s="122" t="s">
        <v>805</v>
      </c>
      <c r="M200" s="122" t="s">
        <v>311</v>
      </c>
      <c r="N200" s="122" t="s">
        <v>261</v>
      </c>
      <c r="O200" s="122" t="s">
        <v>62</v>
      </c>
      <c r="P200" s="122" t="s">
        <v>1216</v>
      </c>
      <c r="Q200" s="123">
        <v>439949</v>
      </c>
      <c r="R200" s="123">
        <v>1</v>
      </c>
      <c r="S200" s="123">
        <v>4954</v>
      </c>
      <c r="T200" s="122"/>
      <c r="U200" s="123">
        <v>21795.073</v>
      </c>
      <c r="V200" s="125">
        <v>4.0600000000000002E-3</v>
      </c>
      <c r="W200" s="125">
        <v>3.2399999999999998E-3</v>
      </c>
      <c r="X200" s="126">
        <v>8.0000000000000004E-4</v>
      </c>
      <c r="Y200" s="161"/>
    </row>
    <row r="201" spans="1:25" x14ac:dyDescent="0.2">
      <c r="A201" s="121" t="s">
        <v>1223</v>
      </c>
      <c r="B201" s="122" t="s">
        <v>1223</v>
      </c>
      <c r="C201" s="122" t="s">
        <v>2069</v>
      </c>
      <c r="D201" s="122" t="s">
        <v>2070</v>
      </c>
      <c r="E201" s="122" t="s">
        <v>429</v>
      </c>
      <c r="F201" s="122" t="s">
        <v>2071</v>
      </c>
      <c r="G201" s="122" t="s">
        <v>2072</v>
      </c>
      <c r="H201" s="122" t="s">
        <v>76</v>
      </c>
      <c r="I201" s="122" t="s">
        <v>73</v>
      </c>
      <c r="J201" s="122" t="s">
        <v>53</v>
      </c>
      <c r="K201" s="122" t="s">
        <v>53</v>
      </c>
      <c r="L201" s="122" t="s">
        <v>805</v>
      </c>
      <c r="M201" s="122" t="s">
        <v>311</v>
      </c>
      <c r="N201" s="122" t="s">
        <v>634</v>
      </c>
      <c r="O201" s="122" t="s">
        <v>62</v>
      </c>
      <c r="P201" s="122" t="s">
        <v>1216</v>
      </c>
      <c r="Q201" s="123">
        <v>2420185</v>
      </c>
      <c r="R201" s="123">
        <v>1</v>
      </c>
      <c r="S201" s="123">
        <v>862.4</v>
      </c>
      <c r="T201" s="122"/>
      <c r="U201" s="123">
        <v>20871.674999999999</v>
      </c>
      <c r="V201" s="125">
        <v>2.2249999999999999E-2</v>
      </c>
      <c r="W201" s="125">
        <v>3.0999999999999999E-3</v>
      </c>
      <c r="X201" s="126">
        <v>7.6000000000000004E-4</v>
      </c>
      <c r="Y201" s="161"/>
    </row>
    <row r="202" spans="1:25" x14ac:dyDescent="0.2">
      <c r="A202" s="121" t="s">
        <v>1223</v>
      </c>
      <c r="B202" s="122" t="s">
        <v>1223</v>
      </c>
      <c r="C202" s="122" t="s">
        <v>2079</v>
      </c>
      <c r="D202" s="122" t="s">
        <v>2080</v>
      </c>
      <c r="E202" s="122" t="s">
        <v>429</v>
      </c>
      <c r="F202" s="122" t="s">
        <v>2081</v>
      </c>
      <c r="G202" s="122" t="s">
        <v>2082</v>
      </c>
      <c r="H202" s="122" t="s">
        <v>76</v>
      </c>
      <c r="I202" s="122" t="s">
        <v>73</v>
      </c>
      <c r="J202" s="122" t="s">
        <v>53</v>
      </c>
      <c r="K202" s="122" t="s">
        <v>53</v>
      </c>
      <c r="L202" s="122" t="s">
        <v>805</v>
      </c>
      <c r="M202" s="122" t="s">
        <v>311</v>
      </c>
      <c r="N202" s="122" t="s">
        <v>692</v>
      </c>
      <c r="O202" s="122" t="s">
        <v>62</v>
      </c>
      <c r="P202" s="122" t="s">
        <v>1216</v>
      </c>
      <c r="Q202" s="123">
        <v>16901061</v>
      </c>
      <c r="R202" s="123">
        <v>1</v>
      </c>
      <c r="S202" s="123">
        <v>113.5</v>
      </c>
      <c r="T202" s="123">
        <v>199.61199999999999</v>
      </c>
      <c r="U202" s="123">
        <v>19382.315999999999</v>
      </c>
      <c r="V202" s="125">
        <v>1.3310000000000001E-2</v>
      </c>
      <c r="W202" s="125">
        <v>2.9099999999999998E-3</v>
      </c>
      <c r="X202" s="126">
        <v>7.2000000000000005E-4</v>
      </c>
      <c r="Y202" s="161"/>
    </row>
    <row r="203" spans="1:25" x14ac:dyDescent="0.2">
      <c r="A203" s="121" t="s">
        <v>1223</v>
      </c>
      <c r="B203" s="122" t="s">
        <v>1223</v>
      </c>
      <c r="C203" s="122" t="s">
        <v>1442</v>
      </c>
      <c r="D203" s="122" t="s">
        <v>1443</v>
      </c>
      <c r="E203" s="122" t="s">
        <v>429</v>
      </c>
      <c r="F203" s="122" t="s">
        <v>2073</v>
      </c>
      <c r="G203" s="122" t="s">
        <v>2074</v>
      </c>
      <c r="H203" s="122" t="s">
        <v>76</v>
      </c>
      <c r="I203" s="122" t="s">
        <v>73</v>
      </c>
      <c r="J203" s="122" t="s">
        <v>53</v>
      </c>
      <c r="K203" s="122" t="s">
        <v>53</v>
      </c>
      <c r="L203" s="122" t="s">
        <v>805</v>
      </c>
      <c r="M203" s="122" t="s">
        <v>311</v>
      </c>
      <c r="N203" s="122" t="s">
        <v>635</v>
      </c>
      <c r="O203" s="122" t="s">
        <v>62</v>
      </c>
      <c r="P203" s="122" t="s">
        <v>1216</v>
      </c>
      <c r="Q203" s="123">
        <v>298269.24</v>
      </c>
      <c r="R203" s="123">
        <v>1</v>
      </c>
      <c r="S203" s="123">
        <v>6144</v>
      </c>
      <c r="T203" s="122"/>
      <c r="U203" s="123">
        <v>18325.662</v>
      </c>
      <c r="V203" s="125">
        <v>2.2699999999999999E-3</v>
      </c>
      <c r="W203" s="125">
        <v>2.7200000000000002E-3</v>
      </c>
      <c r="X203" s="126">
        <v>6.7000000000000002E-4</v>
      </c>
      <c r="Y203" s="161"/>
    </row>
    <row r="204" spans="1:25" x14ac:dyDescent="0.2">
      <c r="A204" s="121" t="s">
        <v>1223</v>
      </c>
      <c r="B204" s="122" t="s">
        <v>1223</v>
      </c>
      <c r="C204" s="122" t="s">
        <v>2075</v>
      </c>
      <c r="D204" s="122" t="s">
        <v>2076</v>
      </c>
      <c r="E204" s="122" t="s">
        <v>429</v>
      </c>
      <c r="F204" s="122" t="s">
        <v>2077</v>
      </c>
      <c r="G204" s="122" t="s">
        <v>2078</v>
      </c>
      <c r="H204" s="122" t="s">
        <v>76</v>
      </c>
      <c r="I204" s="122" t="s">
        <v>73</v>
      </c>
      <c r="J204" s="122" t="s">
        <v>53</v>
      </c>
      <c r="K204" s="122" t="s">
        <v>53</v>
      </c>
      <c r="L204" s="122" t="s">
        <v>805</v>
      </c>
      <c r="M204" s="122" t="s">
        <v>311</v>
      </c>
      <c r="N204" s="122" t="s">
        <v>252</v>
      </c>
      <c r="O204" s="122" t="s">
        <v>62</v>
      </c>
      <c r="P204" s="122" t="s">
        <v>1216</v>
      </c>
      <c r="Q204" s="123">
        <v>71233</v>
      </c>
      <c r="R204" s="123">
        <v>1</v>
      </c>
      <c r="S204" s="123">
        <v>25560</v>
      </c>
      <c r="T204" s="122"/>
      <c r="U204" s="123">
        <v>18207.154999999999</v>
      </c>
      <c r="V204" s="125">
        <v>3.0999999999999999E-3</v>
      </c>
      <c r="W204" s="125">
        <v>2.7100000000000002E-3</v>
      </c>
      <c r="X204" s="126">
        <v>6.7000000000000002E-4</v>
      </c>
      <c r="Y204" s="161"/>
    </row>
    <row r="205" spans="1:25" x14ac:dyDescent="0.2">
      <c r="A205" s="121" t="s">
        <v>1223</v>
      </c>
      <c r="B205" s="122" t="s">
        <v>1223</v>
      </c>
      <c r="C205" s="122" t="s">
        <v>1829</v>
      </c>
      <c r="D205" s="122" t="s">
        <v>1830</v>
      </c>
      <c r="E205" s="122" t="s">
        <v>429</v>
      </c>
      <c r="F205" s="122" t="s">
        <v>2085</v>
      </c>
      <c r="G205" s="122" t="s">
        <v>2086</v>
      </c>
      <c r="H205" s="122" t="s">
        <v>76</v>
      </c>
      <c r="I205" s="122" t="s">
        <v>73</v>
      </c>
      <c r="J205" s="122" t="s">
        <v>53</v>
      </c>
      <c r="K205" s="122" t="s">
        <v>53</v>
      </c>
      <c r="L205" s="122" t="s">
        <v>805</v>
      </c>
      <c r="M205" s="122" t="s">
        <v>311</v>
      </c>
      <c r="N205" s="122" t="s">
        <v>267</v>
      </c>
      <c r="O205" s="122" t="s">
        <v>62</v>
      </c>
      <c r="P205" s="122" t="s">
        <v>1216</v>
      </c>
      <c r="Q205" s="123">
        <v>7059501.9000000004</v>
      </c>
      <c r="R205" s="123">
        <v>1</v>
      </c>
      <c r="S205" s="123">
        <v>246.2</v>
      </c>
      <c r="T205" s="122"/>
      <c r="U205" s="123">
        <v>17380.493999999999</v>
      </c>
      <c r="V205" s="125">
        <v>2.7200000000000002E-3</v>
      </c>
      <c r="W205" s="125">
        <v>2.5799999999999998E-3</v>
      </c>
      <c r="X205" s="126">
        <v>6.4000000000000005E-4</v>
      </c>
      <c r="Y205" s="161"/>
    </row>
    <row r="206" spans="1:25" x14ac:dyDescent="0.2">
      <c r="A206" s="121" t="s">
        <v>1223</v>
      </c>
      <c r="B206" s="122" t="s">
        <v>1223</v>
      </c>
      <c r="C206" s="122" t="s">
        <v>2095</v>
      </c>
      <c r="D206" s="122" t="s">
        <v>2096</v>
      </c>
      <c r="E206" s="122" t="s">
        <v>429</v>
      </c>
      <c r="F206" s="122" t="s">
        <v>2095</v>
      </c>
      <c r="G206" s="122" t="s">
        <v>2097</v>
      </c>
      <c r="H206" s="122" t="s">
        <v>76</v>
      </c>
      <c r="I206" s="122" t="s">
        <v>73</v>
      </c>
      <c r="J206" s="122" t="s">
        <v>53</v>
      </c>
      <c r="K206" s="122" t="s">
        <v>53</v>
      </c>
      <c r="L206" s="122" t="s">
        <v>805</v>
      </c>
      <c r="M206" s="122" t="s">
        <v>311</v>
      </c>
      <c r="N206" s="122" t="s">
        <v>255</v>
      </c>
      <c r="O206" s="122" t="s">
        <v>62</v>
      </c>
      <c r="P206" s="122" t="s">
        <v>1216</v>
      </c>
      <c r="Q206" s="123">
        <v>738343.11</v>
      </c>
      <c r="R206" s="123">
        <v>1</v>
      </c>
      <c r="S206" s="123">
        <v>2350</v>
      </c>
      <c r="T206" s="122"/>
      <c r="U206" s="123">
        <v>17351.062999999998</v>
      </c>
      <c r="V206" s="125">
        <v>5.0899999999999999E-3</v>
      </c>
      <c r="W206" s="125">
        <v>2.5799999999999998E-3</v>
      </c>
      <c r="X206" s="126">
        <v>6.4000000000000005E-4</v>
      </c>
      <c r="Y206" s="161"/>
    </row>
    <row r="207" spans="1:25" x14ac:dyDescent="0.2">
      <c r="A207" s="121" t="s">
        <v>1223</v>
      </c>
      <c r="B207" s="122" t="s">
        <v>1223</v>
      </c>
      <c r="C207" s="122" t="s">
        <v>2091</v>
      </c>
      <c r="D207" s="122" t="s">
        <v>2092</v>
      </c>
      <c r="E207" s="122" t="s">
        <v>429</v>
      </c>
      <c r="F207" s="122" t="s">
        <v>2093</v>
      </c>
      <c r="G207" s="122" t="s">
        <v>2094</v>
      </c>
      <c r="H207" s="122" t="s">
        <v>76</v>
      </c>
      <c r="I207" s="122" t="s">
        <v>73</v>
      </c>
      <c r="J207" s="122" t="s">
        <v>53</v>
      </c>
      <c r="K207" s="122" t="s">
        <v>53</v>
      </c>
      <c r="L207" s="122" t="s">
        <v>805</v>
      </c>
      <c r="M207" s="122" t="s">
        <v>311</v>
      </c>
      <c r="N207" s="122" t="s">
        <v>636</v>
      </c>
      <c r="O207" s="122" t="s">
        <v>62</v>
      </c>
      <c r="P207" s="122" t="s">
        <v>1216</v>
      </c>
      <c r="Q207" s="123">
        <v>2363466</v>
      </c>
      <c r="R207" s="123">
        <v>1</v>
      </c>
      <c r="S207" s="123">
        <v>726.7</v>
      </c>
      <c r="T207" s="122"/>
      <c r="U207" s="123">
        <v>17175.307000000001</v>
      </c>
      <c r="V207" s="125">
        <v>3.4729999999999997E-2</v>
      </c>
      <c r="W207" s="125">
        <v>2.5500000000000002E-3</v>
      </c>
      <c r="X207" s="126">
        <v>6.3000000000000003E-4</v>
      </c>
      <c r="Y207" s="161"/>
    </row>
    <row r="208" spans="1:25" x14ac:dyDescent="0.2">
      <c r="A208" s="121" t="s">
        <v>1223</v>
      </c>
      <c r="B208" s="122" t="s">
        <v>1223</v>
      </c>
      <c r="C208" s="122" t="s">
        <v>2102</v>
      </c>
      <c r="D208" s="122" t="s">
        <v>2103</v>
      </c>
      <c r="E208" s="122" t="s">
        <v>429</v>
      </c>
      <c r="F208" s="122" t="s">
        <v>2104</v>
      </c>
      <c r="G208" s="122" t="s">
        <v>2105</v>
      </c>
      <c r="H208" s="122" t="s">
        <v>76</v>
      </c>
      <c r="I208" s="122" t="s">
        <v>73</v>
      </c>
      <c r="J208" s="122" t="s">
        <v>53</v>
      </c>
      <c r="K208" s="122" t="s">
        <v>53</v>
      </c>
      <c r="L208" s="122" t="s">
        <v>805</v>
      </c>
      <c r="M208" s="122" t="s">
        <v>311</v>
      </c>
      <c r="N208" s="122" t="s">
        <v>140</v>
      </c>
      <c r="O208" s="122" t="s">
        <v>62</v>
      </c>
      <c r="P208" s="122" t="s">
        <v>1216</v>
      </c>
      <c r="Q208" s="123">
        <v>842660</v>
      </c>
      <c r="R208" s="123">
        <v>1</v>
      </c>
      <c r="S208" s="123">
        <v>2021</v>
      </c>
      <c r="T208" s="122"/>
      <c r="U208" s="123">
        <v>17030.159</v>
      </c>
      <c r="V208" s="125">
        <v>3.9899999999999996E-3</v>
      </c>
      <c r="W208" s="125">
        <v>2.5300000000000001E-3</v>
      </c>
      <c r="X208" s="126">
        <v>6.2E-4</v>
      </c>
      <c r="Y208" s="161"/>
    </row>
    <row r="209" spans="1:25" x14ac:dyDescent="0.2">
      <c r="A209" s="121" t="s">
        <v>1223</v>
      </c>
      <c r="B209" s="122" t="s">
        <v>1223</v>
      </c>
      <c r="C209" s="122" t="s">
        <v>2087</v>
      </c>
      <c r="D209" s="122" t="s">
        <v>2088</v>
      </c>
      <c r="E209" s="122" t="s">
        <v>429</v>
      </c>
      <c r="F209" s="122" t="s">
        <v>2089</v>
      </c>
      <c r="G209" s="122" t="s">
        <v>2090</v>
      </c>
      <c r="H209" s="122" t="s">
        <v>76</v>
      </c>
      <c r="I209" s="122" t="s">
        <v>73</v>
      </c>
      <c r="J209" s="122" t="s">
        <v>53</v>
      </c>
      <c r="K209" s="122" t="s">
        <v>53</v>
      </c>
      <c r="L209" s="122" t="s">
        <v>805</v>
      </c>
      <c r="M209" s="122" t="s">
        <v>311</v>
      </c>
      <c r="N209" s="122" t="s">
        <v>262</v>
      </c>
      <c r="O209" s="122" t="s">
        <v>62</v>
      </c>
      <c r="P209" s="122" t="s">
        <v>1216</v>
      </c>
      <c r="Q209" s="123">
        <v>97358</v>
      </c>
      <c r="R209" s="123">
        <v>1</v>
      </c>
      <c r="S209" s="123">
        <v>17410</v>
      </c>
      <c r="T209" s="122"/>
      <c r="U209" s="123">
        <v>16950.027999999998</v>
      </c>
      <c r="V209" s="125">
        <v>3.62E-3</v>
      </c>
      <c r="W209" s="125">
        <v>2.5200000000000001E-3</v>
      </c>
      <c r="X209" s="126">
        <v>6.2E-4</v>
      </c>
      <c r="Y209" s="161"/>
    </row>
    <row r="210" spans="1:25" x14ac:dyDescent="0.2">
      <c r="A210" s="121" t="s">
        <v>1223</v>
      </c>
      <c r="B210" s="122" t="s">
        <v>1223</v>
      </c>
      <c r="C210" s="122" t="s">
        <v>2106</v>
      </c>
      <c r="D210" s="122" t="s">
        <v>2107</v>
      </c>
      <c r="E210" s="122" t="s">
        <v>429</v>
      </c>
      <c r="F210" s="122" t="s">
        <v>2108</v>
      </c>
      <c r="G210" s="122" t="s">
        <v>2109</v>
      </c>
      <c r="H210" s="122" t="s">
        <v>76</v>
      </c>
      <c r="I210" s="122" t="s">
        <v>73</v>
      </c>
      <c r="J210" s="122" t="s">
        <v>53</v>
      </c>
      <c r="K210" s="122" t="s">
        <v>53</v>
      </c>
      <c r="L210" s="122" t="s">
        <v>805</v>
      </c>
      <c r="M210" s="122" t="s">
        <v>311</v>
      </c>
      <c r="N210" s="122" t="s">
        <v>269</v>
      </c>
      <c r="O210" s="122" t="s">
        <v>62</v>
      </c>
      <c r="P210" s="122" t="s">
        <v>1216</v>
      </c>
      <c r="Q210" s="123">
        <v>247880</v>
      </c>
      <c r="R210" s="123">
        <v>1</v>
      </c>
      <c r="S210" s="123">
        <v>6741</v>
      </c>
      <c r="T210" s="122"/>
      <c r="U210" s="123">
        <v>16709.591</v>
      </c>
      <c r="V210" s="125">
        <v>9.1000000000000004E-3</v>
      </c>
      <c r="W210" s="125">
        <v>2.48E-3</v>
      </c>
      <c r="X210" s="126">
        <v>6.0999999999999997E-4</v>
      </c>
      <c r="Y210" s="161"/>
    </row>
    <row r="211" spans="1:25" x14ac:dyDescent="0.2">
      <c r="A211" s="121" t="s">
        <v>1223</v>
      </c>
      <c r="B211" s="122" t="s">
        <v>1223</v>
      </c>
      <c r="C211" s="122" t="s">
        <v>2098</v>
      </c>
      <c r="D211" s="122" t="s">
        <v>2099</v>
      </c>
      <c r="E211" s="122" t="s">
        <v>429</v>
      </c>
      <c r="F211" s="122" t="s">
        <v>2100</v>
      </c>
      <c r="G211" s="122" t="s">
        <v>2101</v>
      </c>
      <c r="H211" s="122" t="s">
        <v>76</v>
      </c>
      <c r="I211" s="122" t="s">
        <v>73</v>
      </c>
      <c r="J211" s="122" t="s">
        <v>53</v>
      </c>
      <c r="K211" s="122" t="s">
        <v>53</v>
      </c>
      <c r="L211" s="122" t="s">
        <v>805</v>
      </c>
      <c r="M211" s="122" t="s">
        <v>311</v>
      </c>
      <c r="N211" s="122" t="s">
        <v>692</v>
      </c>
      <c r="O211" s="122" t="s">
        <v>62</v>
      </c>
      <c r="P211" s="122" t="s">
        <v>1216</v>
      </c>
      <c r="Q211" s="123">
        <v>20934000</v>
      </c>
      <c r="R211" s="123">
        <v>1</v>
      </c>
      <c r="S211" s="123">
        <v>75.2</v>
      </c>
      <c r="T211" s="122"/>
      <c r="U211" s="123">
        <v>15742.368</v>
      </c>
      <c r="V211" s="125">
        <v>6.8099999999999994E-2</v>
      </c>
      <c r="W211" s="125">
        <v>2.3400000000000001E-3</v>
      </c>
      <c r="X211" s="126">
        <v>5.8E-4</v>
      </c>
      <c r="Y211" s="161"/>
    </row>
    <row r="212" spans="1:25" x14ac:dyDescent="0.2">
      <c r="A212" s="121" t="s">
        <v>1223</v>
      </c>
      <c r="B212" s="122" t="s">
        <v>1223</v>
      </c>
      <c r="C212" s="122" t="s">
        <v>2110</v>
      </c>
      <c r="D212" s="122" t="s">
        <v>2111</v>
      </c>
      <c r="E212" s="122" t="s">
        <v>429</v>
      </c>
      <c r="F212" s="122" t="s">
        <v>2112</v>
      </c>
      <c r="G212" s="122" t="s">
        <v>2113</v>
      </c>
      <c r="H212" s="122" t="s">
        <v>76</v>
      </c>
      <c r="I212" s="122" t="s">
        <v>73</v>
      </c>
      <c r="J212" s="122" t="s">
        <v>53</v>
      </c>
      <c r="K212" s="122" t="s">
        <v>53</v>
      </c>
      <c r="L212" s="122" t="s">
        <v>805</v>
      </c>
      <c r="M212" s="122" t="s">
        <v>311</v>
      </c>
      <c r="N212" s="122" t="s">
        <v>269</v>
      </c>
      <c r="O212" s="122" t="s">
        <v>62</v>
      </c>
      <c r="P212" s="122" t="s">
        <v>1216</v>
      </c>
      <c r="Q212" s="123">
        <v>74301</v>
      </c>
      <c r="R212" s="123">
        <v>1</v>
      </c>
      <c r="S212" s="123">
        <v>20440</v>
      </c>
      <c r="T212" s="122"/>
      <c r="U212" s="123">
        <v>15187.124</v>
      </c>
      <c r="V212" s="125">
        <v>5.0299999999999997E-3</v>
      </c>
      <c r="W212" s="125">
        <v>2.2599999999999999E-3</v>
      </c>
      <c r="X212" s="126">
        <v>5.5999999999999995E-4</v>
      </c>
      <c r="Y212" s="161"/>
    </row>
    <row r="213" spans="1:25" x14ac:dyDescent="0.2">
      <c r="A213" s="121" t="s">
        <v>1223</v>
      </c>
      <c r="B213" s="122" t="s">
        <v>1223</v>
      </c>
      <c r="C213" s="122" t="s">
        <v>2120</v>
      </c>
      <c r="D213" s="122" t="s">
        <v>2121</v>
      </c>
      <c r="E213" s="122" t="s">
        <v>429</v>
      </c>
      <c r="F213" s="122" t="s">
        <v>2122</v>
      </c>
      <c r="G213" s="122" t="s">
        <v>2123</v>
      </c>
      <c r="H213" s="122" t="s">
        <v>76</v>
      </c>
      <c r="I213" s="122" t="s">
        <v>73</v>
      </c>
      <c r="J213" s="122" t="s">
        <v>53</v>
      </c>
      <c r="K213" s="122" t="s">
        <v>53</v>
      </c>
      <c r="L213" s="122" t="s">
        <v>805</v>
      </c>
      <c r="M213" s="122" t="s">
        <v>311</v>
      </c>
      <c r="N213" s="122" t="s">
        <v>256</v>
      </c>
      <c r="O213" s="122" t="s">
        <v>62</v>
      </c>
      <c r="P213" s="122" t="s">
        <v>1216</v>
      </c>
      <c r="Q213" s="123">
        <v>58157</v>
      </c>
      <c r="R213" s="123">
        <v>1</v>
      </c>
      <c r="S213" s="123">
        <v>25140</v>
      </c>
      <c r="T213" s="122"/>
      <c r="U213" s="123">
        <v>14620.67</v>
      </c>
      <c r="V213" s="125">
        <v>1.64E-3</v>
      </c>
      <c r="W213" s="125">
        <v>2.1700000000000001E-3</v>
      </c>
      <c r="X213" s="126">
        <v>5.4000000000000001E-4</v>
      </c>
      <c r="Y213" s="161"/>
    </row>
    <row r="214" spans="1:25" x14ac:dyDescent="0.2">
      <c r="A214" s="121" t="s">
        <v>1223</v>
      </c>
      <c r="B214" s="122" t="s">
        <v>1223</v>
      </c>
      <c r="C214" s="122" t="s">
        <v>1812</v>
      </c>
      <c r="D214" s="122" t="s">
        <v>1813</v>
      </c>
      <c r="E214" s="122" t="s">
        <v>429</v>
      </c>
      <c r="F214" s="122" t="s">
        <v>2118</v>
      </c>
      <c r="G214" s="122" t="s">
        <v>2119</v>
      </c>
      <c r="H214" s="122" t="s">
        <v>76</v>
      </c>
      <c r="I214" s="122" t="s">
        <v>73</v>
      </c>
      <c r="J214" s="122" t="s">
        <v>53</v>
      </c>
      <c r="K214" s="122" t="s">
        <v>53</v>
      </c>
      <c r="L214" s="122" t="s">
        <v>805</v>
      </c>
      <c r="M214" s="122" t="s">
        <v>311</v>
      </c>
      <c r="N214" s="122" t="s">
        <v>635</v>
      </c>
      <c r="O214" s="122" t="s">
        <v>62</v>
      </c>
      <c r="P214" s="122" t="s">
        <v>1216</v>
      </c>
      <c r="Q214" s="123">
        <v>591799</v>
      </c>
      <c r="R214" s="123">
        <v>1</v>
      </c>
      <c r="S214" s="123">
        <v>2450</v>
      </c>
      <c r="T214" s="122"/>
      <c r="U214" s="123">
        <v>14499.075999999999</v>
      </c>
      <c r="V214" s="125">
        <v>2.9499999999999999E-3</v>
      </c>
      <c r="W214" s="125">
        <v>2.15E-3</v>
      </c>
      <c r="X214" s="126">
        <v>5.2999999999999998E-4</v>
      </c>
      <c r="Y214" s="161"/>
    </row>
    <row r="215" spans="1:25" x14ac:dyDescent="0.2">
      <c r="A215" s="121" t="s">
        <v>1223</v>
      </c>
      <c r="B215" s="122" t="s">
        <v>1223</v>
      </c>
      <c r="C215" s="122" t="s">
        <v>2124</v>
      </c>
      <c r="D215" s="122" t="s">
        <v>2125</v>
      </c>
      <c r="E215" s="122" t="s">
        <v>429</v>
      </c>
      <c r="F215" s="122" t="s">
        <v>2126</v>
      </c>
      <c r="G215" s="122" t="s">
        <v>2127</v>
      </c>
      <c r="H215" s="122" t="s">
        <v>76</v>
      </c>
      <c r="I215" s="122" t="s">
        <v>73</v>
      </c>
      <c r="J215" s="122" t="s">
        <v>53</v>
      </c>
      <c r="K215" s="122" t="s">
        <v>53</v>
      </c>
      <c r="L215" s="122" t="s">
        <v>805</v>
      </c>
      <c r="M215" s="122" t="s">
        <v>311</v>
      </c>
      <c r="N215" s="122" t="s">
        <v>638</v>
      </c>
      <c r="O215" s="122" t="s">
        <v>62</v>
      </c>
      <c r="P215" s="122" t="s">
        <v>1216</v>
      </c>
      <c r="Q215" s="123">
        <v>369975</v>
      </c>
      <c r="R215" s="123">
        <v>1</v>
      </c>
      <c r="S215" s="123">
        <v>3811</v>
      </c>
      <c r="T215" s="122"/>
      <c r="U215" s="123">
        <v>14099.746999999999</v>
      </c>
      <c r="V215" s="125">
        <v>1.448E-2</v>
      </c>
      <c r="W215" s="125">
        <v>2.0999999999999999E-3</v>
      </c>
      <c r="X215" s="126">
        <v>5.1999999999999995E-4</v>
      </c>
      <c r="Y215" s="161"/>
    </row>
    <row r="216" spans="1:25" x14ac:dyDescent="0.2">
      <c r="A216" s="121" t="s">
        <v>1223</v>
      </c>
      <c r="B216" s="122" t="s">
        <v>1223</v>
      </c>
      <c r="C216" s="122" t="s">
        <v>2114</v>
      </c>
      <c r="D216" s="122" t="s">
        <v>2115</v>
      </c>
      <c r="E216" s="122" t="s">
        <v>429</v>
      </c>
      <c r="F216" s="122" t="s">
        <v>2116</v>
      </c>
      <c r="G216" s="122" t="s">
        <v>2117</v>
      </c>
      <c r="H216" s="122" t="s">
        <v>76</v>
      </c>
      <c r="I216" s="122" t="s">
        <v>73</v>
      </c>
      <c r="J216" s="122" t="s">
        <v>53</v>
      </c>
      <c r="K216" s="122" t="s">
        <v>53</v>
      </c>
      <c r="L216" s="122" t="s">
        <v>805</v>
      </c>
      <c r="M216" s="122" t="s">
        <v>311</v>
      </c>
      <c r="N216" s="122" t="s">
        <v>265</v>
      </c>
      <c r="O216" s="122" t="s">
        <v>62</v>
      </c>
      <c r="P216" s="122" t="s">
        <v>1216</v>
      </c>
      <c r="Q216" s="123">
        <v>1282033</v>
      </c>
      <c r="R216" s="123">
        <v>1</v>
      </c>
      <c r="S216" s="123">
        <v>1060</v>
      </c>
      <c r="T216" s="122"/>
      <c r="U216" s="123">
        <v>13589.55</v>
      </c>
      <c r="V216" s="125">
        <v>1.2E-2</v>
      </c>
      <c r="W216" s="125">
        <v>2.0200000000000001E-3</v>
      </c>
      <c r="X216" s="126">
        <v>5.0000000000000001E-4</v>
      </c>
      <c r="Y216" s="161"/>
    </row>
    <row r="217" spans="1:25" x14ac:dyDescent="0.2">
      <c r="A217" s="121" t="s">
        <v>1223</v>
      </c>
      <c r="B217" s="122" t="s">
        <v>1223</v>
      </c>
      <c r="C217" s="122" t="s">
        <v>1650</v>
      </c>
      <c r="D217" s="122" t="s">
        <v>1651</v>
      </c>
      <c r="E217" s="122" t="s">
        <v>429</v>
      </c>
      <c r="F217" s="122" t="s">
        <v>2083</v>
      </c>
      <c r="G217" s="122" t="s">
        <v>2084</v>
      </c>
      <c r="H217" s="122" t="s">
        <v>76</v>
      </c>
      <c r="I217" s="122" t="s">
        <v>73</v>
      </c>
      <c r="J217" s="122" t="s">
        <v>53</v>
      </c>
      <c r="K217" s="122" t="s">
        <v>53</v>
      </c>
      <c r="L217" s="122" t="s">
        <v>805</v>
      </c>
      <c r="M217" s="122" t="s">
        <v>311</v>
      </c>
      <c r="N217" s="122" t="s">
        <v>156</v>
      </c>
      <c r="O217" s="122" t="s">
        <v>62</v>
      </c>
      <c r="P217" s="122" t="s">
        <v>1216</v>
      </c>
      <c r="Q217" s="123">
        <v>14465335</v>
      </c>
      <c r="R217" s="123">
        <v>1</v>
      </c>
      <c r="S217" s="123">
        <v>89.4</v>
      </c>
      <c r="T217" s="122"/>
      <c r="U217" s="123">
        <v>12932.009</v>
      </c>
      <c r="V217" s="125">
        <v>4.4900000000000001E-3</v>
      </c>
      <c r="W217" s="125">
        <v>1.92E-3</v>
      </c>
      <c r="X217" s="126">
        <v>4.6999999999999999E-4</v>
      </c>
      <c r="Y217" s="161"/>
    </row>
    <row r="218" spans="1:25" x14ac:dyDescent="0.2">
      <c r="A218" s="121" t="s">
        <v>1223</v>
      </c>
      <c r="B218" s="122" t="s">
        <v>1223</v>
      </c>
      <c r="C218" s="122" t="s">
        <v>2132</v>
      </c>
      <c r="D218" s="122" t="s">
        <v>2133</v>
      </c>
      <c r="E218" s="122" t="s">
        <v>429</v>
      </c>
      <c r="F218" s="122" t="s">
        <v>2134</v>
      </c>
      <c r="G218" s="122" t="s">
        <v>2135</v>
      </c>
      <c r="H218" s="122" t="s">
        <v>76</v>
      </c>
      <c r="I218" s="122" t="s">
        <v>73</v>
      </c>
      <c r="J218" s="122" t="s">
        <v>53</v>
      </c>
      <c r="K218" s="122" t="s">
        <v>53</v>
      </c>
      <c r="L218" s="122" t="s">
        <v>805</v>
      </c>
      <c r="M218" s="122" t="s">
        <v>311</v>
      </c>
      <c r="N218" s="122" t="s">
        <v>631</v>
      </c>
      <c r="O218" s="122" t="s">
        <v>62</v>
      </c>
      <c r="P218" s="122" t="s">
        <v>1216</v>
      </c>
      <c r="Q218" s="123">
        <v>883753.12</v>
      </c>
      <c r="R218" s="123">
        <v>1</v>
      </c>
      <c r="S218" s="123">
        <v>1428</v>
      </c>
      <c r="T218" s="122"/>
      <c r="U218" s="123">
        <v>12619.995000000001</v>
      </c>
      <c r="V218" s="125">
        <v>1.6000000000000001E-3</v>
      </c>
      <c r="W218" s="125">
        <v>1.8799999999999999E-3</v>
      </c>
      <c r="X218" s="126">
        <v>4.6000000000000001E-4</v>
      </c>
      <c r="Y218" s="161"/>
    </row>
    <row r="219" spans="1:25" x14ac:dyDescent="0.2">
      <c r="A219" s="121" t="s">
        <v>1223</v>
      </c>
      <c r="B219" s="122" t="s">
        <v>1223</v>
      </c>
      <c r="C219" s="122" t="s">
        <v>2136</v>
      </c>
      <c r="D219" s="122" t="s">
        <v>2137</v>
      </c>
      <c r="E219" s="122" t="s">
        <v>429</v>
      </c>
      <c r="F219" s="122" t="s">
        <v>2138</v>
      </c>
      <c r="G219" s="122" t="s">
        <v>2139</v>
      </c>
      <c r="H219" s="122" t="s">
        <v>76</v>
      </c>
      <c r="I219" s="122" t="s">
        <v>73</v>
      </c>
      <c r="J219" s="122" t="s">
        <v>53</v>
      </c>
      <c r="K219" s="122" t="s">
        <v>53</v>
      </c>
      <c r="L219" s="122" t="s">
        <v>805</v>
      </c>
      <c r="M219" s="122" t="s">
        <v>311</v>
      </c>
      <c r="N219" s="122" t="s">
        <v>264</v>
      </c>
      <c r="O219" s="122" t="s">
        <v>62</v>
      </c>
      <c r="P219" s="122" t="s">
        <v>1216</v>
      </c>
      <c r="Q219" s="123">
        <v>1150000</v>
      </c>
      <c r="R219" s="123">
        <v>1</v>
      </c>
      <c r="S219" s="123">
        <v>1074</v>
      </c>
      <c r="T219" s="122"/>
      <c r="U219" s="123">
        <v>12351</v>
      </c>
      <c r="V219" s="125">
        <v>1.5910000000000001E-2</v>
      </c>
      <c r="W219" s="125">
        <v>1.8400000000000001E-3</v>
      </c>
      <c r="X219" s="126">
        <v>4.4999999999999999E-4</v>
      </c>
      <c r="Y219" s="161"/>
    </row>
    <row r="220" spans="1:25" x14ac:dyDescent="0.2">
      <c r="A220" s="121" t="s">
        <v>1223</v>
      </c>
      <c r="B220" s="122" t="s">
        <v>1223</v>
      </c>
      <c r="C220" s="122" t="s">
        <v>2128</v>
      </c>
      <c r="D220" s="122" t="s">
        <v>2129</v>
      </c>
      <c r="E220" s="122" t="s">
        <v>429</v>
      </c>
      <c r="F220" s="122" t="s">
        <v>2130</v>
      </c>
      <c r="G220" s="122" t="s">
        <v>2131</v>
      </c>
      <c r="H220" s="122" t="s">
        <v>76</v>
      </c>
      <c r="I220" s="122" t="s">
        <v>73</v>
      </c>
      <c r="J220" s="122" t="s">
        <v>53</v>
      </c>
      <c r="K220" s="122" t="s">
        <v>53</v>
      </c>
      <c r="L220" s="122" t="s">
        <v>805</v>
      </c>
      <c r="M220" s="122" t="s">
        <v>311</v>
      </c>
      <c r="N220" s="122" t="s">
        <v>252</v>
      </c>
      <c r="O220" s="122" t="s">
        <v>62</v>
      </c>
      <c r="P220" s="122" t="s">
        <v>1216</v>
      </c>
      <c r="Q220" s="123">
        <v>151535</v>
      </c>
      <c r="R220" s="123">
        <v>1</v>
      </c>
      <c r="S220" s="123">
        <v>8089</v>
      </c>
      <c r="T220" s="122"/>
      <c r="U220" s="123">
        <v>12257.665999999999</v>
      </c>
      <c r="V220" s="125">
        <v>2.1099999999999999E-3</v>
      </c>
      <c r="W220" s="125">
        <v>1.82E-3</v>
      </c>
      <c r="X220" s="126">
        <v>4.4999999999999999E-4</v>
      </c>
      <c r="Y220" s="161"/>
    </row>
    <row r="221" spans="1:25" x14ac:dyDescent="0.2">
      <c r="A221" s="121" t="s">
        <v>1223</v>
      </c>
      <c r="B221" s="122" t="s">
        <v>1223</v>
      </c>
      <c r="C221" s="122" t="s">
        <v>2140</v>
      </c>
      <c r="D221" s="122" t="s">
        <v>2141</v>
      </c>
      <c r="E221" s="122" t="s">
        <v>429</v>
      </c>
      <c r="F221" s="122" t="s">
        <v>2142</v>
      </c>
      <c r="G221" s="122" t="s">
        <v>2143</v>
      </c>
      <c r="H221" s="122" t="s">
        <v>76</v>
      </c>
      <c r="I221" s="122" t="s">
        <v>73</v>
      </c>
      <c r="J221" s="122" t="s">
        <v>53</v>
      </c>
      <c r="K221" s="122" t="s">
        <v>53</v>
      </c>
      <c r="L221" s="122" t="s">
        <v>805</v>
      </c>
      <c r="M221" s="122" t="s">
        <v>311</v>
      </c>
      <c r="N221" s="122" t="s">
        <v>636</v>
      </c>
      <c r="O221" s="122" t="s">
        <v>62</v>
      </c>
      <c r="P221" s="122" t="s">
        <v>1216</v>
      </c>
      <c r="Q221" s="123">
        <v>188542</v>
      </c>
      <c r="R221" s="123">
        <v>1</v>
      </c>
      <c r="S221" s="123">
        <v>6396</v>
      </c>
      <c r="T221" s="122"/>
      <c r="U221" s="123">
        <v>12059.146000000001</v>
      </c>
      <c r="V221" s="125">
        <v>2.5500000000000002E-3</v>
      </c>
      <c r="W221" s="125">
        <v>1.7899999999999999E-3</v>
      </c>
      <c r="X221" s="126">
        <v>4.4000000000000002E-4</v>
      </c>
      <c r="Y221" s="161"/>
    </row>
    <row r="222" spans="1:25" x14ac:dyDescent="0.2">
      <c r="A222" s="121" t="s">
        <v>1223</v>
      </c>
      <c r="B222" s="122" t="s">
        <v>1223</v>
      </c>
      <c r="C222" s="122" t="s">
        <v>2144</v>
      </c>
      <c r="D222" s="122" t="s">
        <v>2145</v>
      </c>
      <c r="E222" s="122" t="s">
        <v>429</v>
      </c>
      <c r="F222" s="122" t="s">
        <v>2146</v>
      </c>
      <c r="G222" s="122" t="s">
        <v>2147</v>
      </c>
      <c r="H222" s="122" t="s">
        <v>76</v>
      </c>
      <c r="I222" s="122" t="s">
        <v>73</v>
      </c>
      <c r="J222" s="122" t="s">
        <v>53</v>
      </c>
      <c r="K222" s="122" t="s">
        <v>53</v>
      </c>
      <c r="L222" s="122" t="s">
        <v>805</v>
      </c>
      <c r="M222" s="122" t="s">
        <v>311</v>
      </c>
      <c r="N222" s="122" t="s">
        <v>140</v>
      </c>
      <c r="O222" s="122" t="s">
        <v>62</v>
      </c>
      <c r="P222" s="122" t="s">
        <v>1216</v>
      </c>
      <c r="Q222" s="123">
        <v>1735572</v>
      </c>
      <c r="R222" s="123">
        <v>1</v>
      </c>
      <c r="S222" s="123">
        <v>690</v>
      </c>
      <c r="T222" s="122"/>
      <c r="U222" s="123">
        <v>11975.447</v>
      </c>
      <c r="V222" s="125">
        <v>1.9890000000000001E-2</v>
      </c>
      <c r="W222" s="125">
        <v>1.7799999999999999E-3</v>
      </c>
      <c r="X222" s="126">
        <v>4.4000000000000002E-4</v>
      </c>
      <c r="Y222" s="161"/>
    </row>
    <row r="223" spans="1:25" x14ac:dyDescent="0.2">
      <c r="A223" s="121" t="s">
        <v>1223</v>
      </c>
      <c r="B223" s="122" t="s">
        <v>1223</v>
      </c>
      <c r="C223" s="122" t="s">
        <v>2150</v>
      </c>
      <c r="D223" s="122" t="s">
        <v>2151</v>
      </c>
      <c r="E223" s="122" t="s">
        <v>429</v>
      </c>
      <c r="F223" s="122" t="s">
        <v>2152</v>
      </c>
      <c r="G223" s="122" t="s">
        <v>2153</v>
      </c>
      <c r="H223" s="122" t="s">
        <v>76</v>
      </c>
      <c r="I223" s="122" t="s">
        <v>73</v>
      </c>
      <c r="J223" s="122" t="s">
        <v>53</v>
      </c>
      <c r="K223" s="122" t="s">
        <v>53</v>
      </c>
      <c r="L223" s="122" t="s">
        <v>805</v>
      </c>
      <c r="M223" s="122" t="s">
        <v>311</v>
      </c>
      <c r="N223" s="122" t="s">
        <v>638</v>
      </c>
      <c r="O223" s="122" t="s">
        <v>62</v>
      </c>
      <c r="P223" s="122" t="s">
        <v>1216</v>
      </c>
      <c r="Q223" s="123">
        <v>530000</v>
      </c>
      <c r="R223" s="123">
        <v>1</v>
      </c>
      <c r="S223" s="123">
        <v>1792</v>
      </c>
      <c r="T223" s="122"/>
      <c r="U223" s="123">
        <v>9497.6</v>
      </c>
      <c r="V223" s="125">
        <v>7.1500000000000001E-3</v>
      </c>
      <c r="W223" s="125">
        <v>1.41E-3</v>
      </c>
      <c r="X223" s="126">
        <v>3.5E-4</v>
      </c>
      <c r="Y223" s="161"/>
    </row>
    <row r="224" spans="1:25" x14ac:dyDescent="0.2">
      <c r="A224" s="121" t="s">
        <v>1223</v>
      </c>
      <c r="B224" s="122" t="s">
        <v>1223</v>
      </c>
      <c r="C224" s="122" t="s">
        <v>1562</v>
      </c>
      <c r="D224" s="122" t="s">
        <v>1563</v>
      </c>
      <c r="E224" s="122" t="s">
        <v>429</v>
      </c>
      <c r="F224" s="122" t="s">
        <v>2148</v>
      </c>
      <c r="G224" s="122" t="s">
        <v>2149</v>
      </c>
      <c r="H224" s="122" t="s">
        <v>76</v>
      </c>
      <c r="I224" s="122" t="s">
        <v>73</v>
      </c>
      <c r="J224" s="122" t="s">
        <v>53</v>
      </c>
      <c r="K224" s="122" t="s">
        <v>53</v>
      </c>
      <c r="L224" s="122" t="s">
        <v>805</v>
      </c>
      <c r="M224" s="122" t="s">
        <v>311</v>
      </c>
      <c r="N224" s="122" t="s">
        <v>140</v>
      </c>
      <c r="O224" s="122" t="s">
        <v>62</v>
      </c>
      <c r="P224" s="122" t="s">
        <v>1216</v>
      </c>
      <c r="Q224" s="123">
        <v>202300</v>
      </c>
      <c r="R224" s="123">
        <v>1</v>
      </c>
      <c r="S224" s="123">
        <v>4656</v>
      </c>
      <c r="T224" s="122"/>
      <c r="U224" s="123">
        <v>9419.0879999999997</v>
      </c>
      <c r="V224" s="125">
        <v>3.2100000000000002E-3</v>
      </c>
      <c r="W224" s="125">
        <v>1.4E-3</v>
      </c>
      <c r="X224" s="126">
        <v>3.5E-4</v>
      </c>
      <c r="Y224" s="161"/>
    </row>
    <row r="225" spans="1:25" x14ac:dyDescent="0.2">
      <c r="A225" s="121" t="s">
        <v>1223</v>
      </c>
      <c r="B225" s="122" t="s">
        <v>1223</v>
      </c>
      <c r="C225" s="122" t="s">
        <v>2154</v>
      </c>
      <c r="D225" s="122" t="s">
        <v>2155</v>
      </c>
      <c r="E225" s="122" t="s">
        <v>429</v>
      </c>
      <c r="F225" s="122" t="s">
        <v>2156</v>
      </c>
      <c r="G225" s="122" t="s">
        <v>2157</v>
      </c>
      <c r="H225" s="122" t="s">
        <v>76</v>
      </c>
      <c r="I225" s="122" t="s">
        <v>73</v>
      </c>
      <c r="J225" s="122" t="s">
        <v>53</v>
      </c>
      <c r="K225" s="122" t="s">
        <v>53</v>
      </c>
      <c r="L225" s="122" t="s">
        <v>805</v>
      </c>
      <c r="M225" s="122" t="s">
        <v>311</v>
      </c>
      <c r="N225" s="122" t="s">
        <v>635</v>
      </c>
      <c r="O225" s="122" t="s">
        <v>62</v>
      </c>
      <c r="P225" s="122" t="s">
        <v>1216</v>
      </c>
      <c r="Q225" s="123">
        <v>4213665</v>
      </c>
      <c r="R225" s="123">
        <v>1</v>
      </c>
      <c r="S225" s="123">
        <v>220.8</v>
      </c>
      <c r="T225" s="122"/>
      <c r="U225" s="123">
        <v>9303.7720000000008</v>
      </c>
      <c r="V225" s="125">
        <v>5.4799999999999996E-3</v>
      </c>
      <c r="W225" s="125">
        <v>1.3799999999999999E-3</v>
      </c>
      <c r="X225" s="126">
        <v>3.4000000000000002E-4</v>
      </c>
      <c r="Y225" s="161"/>
    </row>
    <row r="226" spans="1:25" x14ac:dyDescent="0.2">
      <c r="A226" s="121" t="s">
        <v>1223</v>
      </c>
      <c r="B226" s="122" t="s">
        <v>1223</v>
      </c>
      <c r="C226" s="122" t="s">
        <v>2158</v>
      </c>
      <c r="D226" s="122" t="s">
        <v>2159</v>
      </c>
      <c r="E226" s="122" t="s">
        <v>429</v>
      </c>
      <c r="F226" s="122" t="s">
        <v>2160</v>
      </c>
      <c r="G226" s="122" t="s">
        <v>2161</v>
      </c>
      <c r="H226" s="122" t="s">
        <v>76</v>
      </c>
      <c r="I226" s="122" t="s">
        <v>73</v>
      </c>
      <c r="J226" s="122" t="s">
        <v>53</v>
      </c>
      <c r="K226" s="122" t="s">
        <v>53</v>
      </c>
      <c r="L226" s="122" t="s">
        <v>805</v>
      </c>
      <c r="M226" s="122" t="s">
        <v>311</v>
      </c>
      <c r="N226" s="122" t="s">
        <v>635</v>
      </c>
      <c r="O226" s="122" t="s">
        <v>62</v>
      </c>
      <c r="P226" s="122" t="s">
        <v>1216</v>
      </c>
      <c r="Q226" s="123">
        <v>1607908.12</v>
      </c>
      <c r="R226" s="123">
        <v>1</v>
      </c>
      <c r="S226" s="123">
        <v>560.9</v>
      </c>
      <c r="T226" s="122"/>
      <c r="U226" s="123">
        <v>9018.7569999999996</v>
      </c>
      <c r="V226" s="125">
        <v>1.491E-2</v>
      </c>
      <c r="W226" s="125">
        <v>1.34E-3</v>
      </c>
      <c r="X226" s="126">
        <v>3.3E-4</v>
      </c>
      <c r="Y226" s="161"/>
    </row>
    <row r="227" spans="1:25" x14ac:dyDescent="0.2">
      <c r="A227" s="121" t="s">
        <v>1223</v>
      </c>
      <c r="B227" s="122" t="s">
        <v>1223</v>
      </c>
      <c r="C227" s="122" t="s">
        <v>2162</v>
      </c>
      <c r="D227" s="122" t="s">
        <v>2163</v>
      </c>
      <c r="E227" s="122" t="s">
        <v>429</v>
      </c>
      <c r="F227" s="122" t="s">
        <v>2164</v>
      </c>
      <c r="G227" s="122" t="s">
        <v>2165</v>
      </c>
      <c r="H227" s="122" t="s">
        <v>76</v>
      </c>
      <c r="I227" s="122" t="s">
        <v>73</v>
      </c>
      <c r="J227" s="122" t="s">
        <v>53</v>
      </c>
      <c r="K227" s="122" t="s">
        <v>53</v>
      </c>
      <c r="L227" s="122" t="s">
        <v>805</v>
      </c>
      <c r="M227" s="122" t="s">
        <v>311</v>
      </c>
      <c r="N227" s="122" t="s">
        <v>75</v>
      </c>
      <c r="O227" s="122" t="s">
        <v>62</v>
      </c>
      <c r="P227" s="122" t="s">
        <v>1216</v>
      </c>
      <c r="Q227" s="123">
        <v>34109</v>
      </c>
      <c r="R227" s="123">
        <v>1</v>
      </c>
      <c r="S227" s="123">
        <v>16620</v>
      </c>
      <c r="T227" s="122"/>
      <c r="U227" s="123">
        <v>5668.9160000000002</v>
      </c>
      <c r="V227" s="125">
        <v>3.9699999999999996E-3</v>
      </c>
      <c r="W227" s="125">
        <v>8.4000000000000003E-4</v>
      </c>
      <c r="X227" s="126">
        <v>2.1000000000000001E-4</v>
      </c>
      <c r="Y227" s="161"/>
    </row>
    <row r="228" spans="1:25" x14ac:dyDescent="0.2">
      <c r="A228" s="121" t="s">
        <v>1223</v>
      </c>
      <c r="B228" s="122" t="s">
        <v>1223</v>
      </c>
      <c r="C228" s="122" t="s">
        <v>2166</v>
      </c>
      <c r="D228" s="122" t="s">
        <v>2167</v>
      </c>
      <c r="E228" s="122" t="s">
        <v>429</v>
      </c>
      <c r="F228" s="122" t="s">
        <v>2168</v>
      </c>
      <c r="G228" s="122" t="s">
        <v>2169</v>
      </c>
      <c r="H228" s="122" t="s">
        <v>76</v>
      </c>
      <c r="I228" s="122" t="s">
        <v>73</v>
      </c>
      <c r="J228" s="122" t="s">
        <v>53</v>
      </c>
      <c r="K228" s="122" t="s">
        <v>53</v>
      </c>
      <c r="L228" s="122" t="s">
        <v>805</v>
      </c>
      <c r="M228" s="122" t="s">
        <v>311</v>
      </c>
      <c r="N228" s="122" t="s">
        <v>258</v>
      </c>
      <c r="O228" s="122" t="s">
        <v>62</v>
      </c>
      <c r="P228" s="122" t="s">
        <v>1216</v>
      </c>
      <c r="Q228" s="123">
        <v>1200674.03</v>
      </c>
      <c r="R228" s="123">
        <v>1</v>
      </c>
      <c r="S228" s="123">
        <v>443.7</v>
      </c>
      <c r="T228" s="122"/>
      <c r="U228" s="123">
        <v>5327.3909999999996</v>
      </c>
      <c r="V228" s="125">
        <v>2.1770000000000001E-2</v>
      </c>
      <c r="W228" s="125">
        <v>7.9000000000000001E-4</v>
      </c>
      <c r="X228" s="126">
        <v>2.0000000000000001E-4</v>
      </c>
      <c r="Y228" s="161"/>
    </row>
    <row r="229" spans="1:25" x14ac:dyDescent="0.2">
      <c r="A229" s="121" t="s">
        <v>1223</v>
      </c>
      <c r="B229" s="122" t="s">
        <v>1223</v>
      </c>
      <c r="C229" s="122" t="s">
        <v>2170</v>
      </c>
      <c r="D229" s="122" t="s">
        <v>2171</v>
      </c>
      <c r="E229" s="122" t="s">
        <v>429</v>
      </c>
      <c r="F229" s="122" t="s">
        <v>2172</v>
      </c>
      <c r="G229" s="122" t="s">
        <v>2173</v>
      </c>
      <c r="H229" s="122" t="s">
        <v>76</v>
      </c>
      <c r="I229" s="122" t="s">
        <v>73</v>
      </c>
      <c r="J229" s="122" t="s">
        <v>53</v>
      </c>
      <c r="K229" s="122" t="s">
        <v>53</v>
      </c>
      <c r="L229" s="122" t="s">
        <v>805</v>
      </c>
      <c r="M229" s="122" t="s">
        <v>311</v>
      </c>
      <c r="N229" s="122" t="s">
        <v>629</v>
      </c>
      <c r="O229" s="122" t="s">
        <v>62</v>
      </c>
      <c r="P229" s="122" t="s">
        <v>1216</v>
      </c>
      <c r="Q229" s="123">
        <v>1010124.59</v>
      </c>
      <c r="R229" s="123">
        <v>1</v>
      </c>
      <c r="S229" s="123">
        <v>464</v>
      </c>
      <c r="T229" s="122"/>
      <c r="U229" s="123">
        <v>4686.9780000000001</v>
      </c>
      <c r="V229" s="125">
        <v>9.1999999999999998E-3</v>
      </c>
      <c r="W229" s="125">
        <v>6.9999999999999999E-4</v>
      </c>
      <c r="X229" s="126">
        <v>1.7000000000000001E-4</v>
      </c>
      <c r="Y229" s="161"/>
    </row>
    <row r="230" spans="1:25" x14ac:dyDescent="0.2">
      <c r="A230" s="121" t="s">
        <v>1223</v>
      </c>
      <c r="B230" s="122" t="s">
        <v>1223</v>
      </c>
      <c r="C230" s="122" t="s">
        <v>2174</v>
      </c>
      <c r="D230" s="122" t="s">
        <v>2175</v>
      </c>
      <c r="E230" s="122" t="s">
        <v>429</v>
      </c>
      <c r="F230" s="122" t="s">
        <v>2176</v>
      </c>
      <c r="G230" s="122" t="s">
        <v>2177</v>
      </c>
      <c r="H230" s="122" t="s">
        <v>76</v>
      </c>
      <c r="I230" s="122" t="s">
        <v>73</v>
      </c>
      <c r="J230" s="122" t="s">
        <v>53</v>
      </c>
      <c r="K230" s="122" t="s">
        <v>53</v>
      </c>
      <c r="L230" s="122" t="s">
        <v>805</v>
      </c>
      <c r="M230" s="122" t="s">
        <v>311</v>
      </c>
      <c r="N230" s="122" t="s">
        <v>140</v>
      </c>
      <c r="O230" s="122" t="s">
        <v>62</v>
      </c>
      <c r="P230" s="122" t="s">
        <v>1216</v>
      </c>
      <c r="Q230" s="123">
        <v>912920</v>
      </c>
      <c r="R230" s="123">
        <v>1</v>
      </c>
      <c r="S230" s="123">
        <v>409</v>
      </c>
      <c r="T230" s="122"/>
      <c r="U230" s="123">
        <v>3733.8429999999998</v>
      </c>
      <c r="V230" s="125">
        <v>1.154E-2</v>
      </c>
      <c r="W230" s="125">
        <v>5.5000000000000003E-4</v>
      </c>
      <c r="X230" s="126">
        <v>1.3999999999999999E-4</v>
      </c>
      <c r="Y230" s="161"/>
    </row>
    <row r="231" spans="1:25" x14ac:dyDescent="0.2">
      <c r="A231" s="121" t="s">
        <v>1223</v>
      </c>
      <c r="B231" s="122" t="s">
        <v>1223</v>
      </c>
      <c r="C231" s="122" t="s">
        <v>2178</v>
      </c>
      <c r="D231" s="122" t="s">
        <v>2179</v>
      </c>
      <c r="E231" s="122" t="s">
        <v>429</v>
      </c>
      <c r="F231" s="122" t="s">
        <v>2180</v>
      </c>
      <c r="G231" s="122" t="s">
        <v>2181</v>
      </c>
      <c r="H231" s="122" t="s">
        <v>76</v>
      </c>
      <c r="I231" s="122" t="s">
        <v>73</v>
      </c>
      <c r="J231" s="122" t="s">
        <v>53</v>
      </c>
      <c r="K231" s="122" t="s">
        <v>53</v>
      </c>
      <c r="L231" s="122" t="s">
        <v>805</v>
      </c>
      <c r="M231" s="122" t="s">
        <v>311</v>
      </c>
      <c r="N231" s="122" t="s">
        <v>637</v>
      </c>
      <c r="O231" s="122" t="s">
        <v>62</v>
      </c>
      <c r="P231" s="122" t="s">
        <v>1216</v>
      </c>
      <c r="Q231" s="123">
        <v>670143</v>
      </c>
      <c r="R231" s="123">
        <v>1</v>
      </c>
      <c r="S231" s="123">
        <v>98.7</v>
      </c>
      <c r="T231" s="122"/>
      <c r="U231" s="123">
        <v>661.43100000000004</v>
      </c>
      <c r="V231" s="125">
        <v>1.6400000000000001E-2</v>
      </c>
      <c r="W231" s="125">
        <v>1E-4</v>
      </c>
      <c r="X231" s="126">
        <v>2.0000000000000002E-5</v>
      </c>
      <c r="Y231" s="161"/>
    </row>
    <row r="232" spans="1:25" x14ac:dyDescent="0.2">
      <c r="A232" s="121" t="s">
        <v>1223</v>
      </c>
      <c r="B232" s="122" t="s">
        <v>1223</v>
      </c>
      <c r="C232" s="122" t="s">
        <v>2182</v>
      </c>
      <c r="D232" s="122" t="s">
        <v>2183</v>
      </c>
      <c r="E232" s="122" t="s">
        <v>429</v>
      </c>
      <c r="F232" s="122" t="s">
        <v>2184</v>
      </c>
      <c r="G232" s="122" t="s">
        <v>2185</v>
      </c>
      <c r="H232" s="122" t="s">
        <v>76</v>
      </c>
      <c r="I232" s="122" t="s">
        <v>73</v>
      </c>
      <c r="J232" s="122" t="s">
        <v>53</v>
      </c>
      <c r="K232" s="122" t="s">
        <v>53</v>
      </c>
      <c r="L232" s="122" t="s">
        <v>805</v>
      </c>
      <c r="M232" s="122" t="s">
        <v>311</v>
      </c>
      <c r="N232" s="122" t="s">
        <v>629</v>
      </c>
      <c r="O232" s="122" t="s">
        <v>62</v>
      </c>
      <c r="P232" s="122" t="s">
        <v>1216</v>
      </c>
      <c r="Q232" s="123">
        <v>5104769</v>
      </c>
      <c r="R232" s="123">
        <v>1</v>
      </c>
      <c r="S232" s="123">
        <v>7.4</v>
      </c>
      <c r="T232" s="122"/>
      <c r="U232" s="123">
        <v>377.75299999999999</v>
      </c>
      <c r="V232" s="125">
        <v>4.5539999999999997E-2</v>
      </c>
      <c r="W232" s="125">
        <v>6.0000000000000002E-5</v>
      </c>
      <c r="X232" s="126">
        <v>1.0000000000000001E-5</v>
      </c>
      <c r="Y232" s="161"/>
    </row>
    <row r="233" spans="1:25" x14ac:dyDescent="0.2">
      <c r="A233" s="121" t="s">
        <v>1223</v>
      </c>
      <c r="B233" s="122" t="s">
        <v>1223</v>
      </c>
      <c r="C233" s="122" t="s">
        <v>2186</v>
      </c>
      <c r="D233" s="122" t="s">
        <v>2187</v>
      </c>
      <c r="E233" s="122" t="s">
        <v>429</v>
      </c>
      <c r="F233" s="122" t="s">
        <v>2188</v>
      </c>
      <c r="G233" s="122" t="s">
        <v>2189</v>
      </c>
      <c r="H233" s="122" t="s">
        <v>76</v>
      </c>
      <c r="I233" s="122" t="s">
        <v>73</v>
      </c>
      <c r="J233" s="122" t="s">
        <v>53</v>
      </c>
      <c r="K233" s="122" t="s">
        <v>53</v>
      </c>
      <c r="L233" s="122" t="s">
        <v>805</v>
      </c>
      <c r="M233" s="122" t="s">
        <v>311</v>
      </c>
      <c r="N233" s="122" t="s">
        <v>1152</v>
      </c>
      <c r="O233" s="122" t="s">
        <v>62</v>
      </c>
      <c r="P233" s="122" t="s">
        <v>1216</v>
      </c>
      <c r="Q233" s="123">
        <v>677374</v>
      </c>
      <c r="R233" s="123">
        <v>1</v>
      </c>
      <c r="S233" s="123">
        <v>27.6</v>
      </c>
      <c r="T233" s="122"/>
      <c r="U233" s="123">
        <v>186.95500000000001</v>
      </c>
      <c r="V233" s="125">
        <v>2.5319999999999999E-2</v>
      </c>
      <c r="W233" s="125">
        <v>3.0000000000000001E-5</v>
      </c>
      <c r="X233" s="126">
        <v>1.0000000000000001E-5</v>
      </c>
      <c r="Y233" s="161"/>
    </row>
    <row r="234" spans="1:25" x14ac:dyDescent="0.2">
      <c r="A234" s="121" t="s">
        <v>1223</v>
      </c>
      <c r="B234" s="122" t="s">
        <v>1223</v>
      </c>
      <c r="C234" s="122" t="s">
        <v>2198</v>
      </c>
      <c r="D234" s="122" t="s">
        <v>2199</v>
      </c>
      <c r="E234" s="122" t="s">
        <v>430</v>
      </c>
      <c r="F234" s="122" t="s">
        <v>2200</v>
      </c>
      <c r="G234" s="122" t="s">
        <v>2201</v>
      </c>
      <c r="H234" s="122" t="s">
        <v>76</v>
      </c>
      <c r="I234" s="122" t="s">
        <v>73</v>
      </c>
      <c r="J234" s="122" t="s">
        <v>61</v>
      </c>
      <c r="K234" s="122" t="s">
        <v>314</v>
      </c>
      <c r="L234" s="122" t="s">
        <v>805</v>
      </c>
      <c r="M234" s="122" t="s">
        <v>476</v>
      </c>
      <c r="N234" s="122" t="s">
        <v>901</v>
      </c>
      <c r="O234" s="122" t="s">
        <v>62</v>
      </c>
      <c r="P234" s="122" t="s">
        <v>1217</v>
      </c>
      <c r="Q234" s="123">
        <v>123542</v>
      </c>
      <c r="R234" s="123">
        <v>3.306</v>
      </c>
      <c r="S234" s="123">
        <v>27929</v>
      </c>
      <c r="T234" s="123">
        <v>104.447</v>
      </c>
      <c r="U234" s="123">
        <v>114415.675</v>
      </c>
      <c r="V234" s="125">
        <v>2.0000000000000002E-5</v>
      </c>
      <c r="W234" s="125">
        <v>1.702E-2</v>
      </c>
      <c r="X234" s="126">
        <v>4.1999999999999997E-3</v>
      </c>
      <c r="Y234" s="161"/>
    </row>
    <row r="235" spans="1:25" x14ac:dyDescent="0.2">
      <c r="A235" s="121" t="s">
        <v>1223</v>
      </c>
      <c r="B235" s="122" t="s">
        <v>1223</v>
      </c>
      <c r="C235" s="122" t="s">
        <v>2202</v>
      </c>
      <c r="D235" s="122" t="s">
        <v>2203</v>
      </c>
      <c r="E235" s="122" t="s">
        <v>430</v>
      </c>
      <c r="F235" s="122" t="s">
        <v>2202</v>
      </c>
      <c r="G235" s="122" t="s">
        <v>2204</v>
      </c>
      <c r="H235" s="122" t="s">
        <v>76</v>
      </c>
      <c r="I235" s="122" t="s">
        <v>73</v>
      </c>
      <c r="J235" s="122" t="s">
        <v>61</v>
      </c>
      <c r="K235" s="122" t="s">
        <v>314</v>
      </c>
      <c r="L235" s="122" t="s">
        <v>805</v>
      </c>
      <c r="M235" s="122" t="s">
        <v>479</v>
      </c>
      <c r="N235" s="122" t="s">
        <v>901</v>
      </c>
      <c r="O235" s="122" t="s">
        <v>62</v>
      </c>
      <c r="P235" s="122" t="s">
        <v>1217</v>
      </c>
      <c r="Q235" s="123">
        <v>62758</v>
      </c>
      <c r="R235" s="123">
        <v>3.306</v>
      </c>
      <c r="S235" s="123">
        <v>51795</v>
      </c>
      <c r="T235" s="122"/>
      <c r="U235" s="123">
        <v>107463.20299999999</v>
      </c>
      <c r="V235" s="125">
        <v>1.0000000000000001E-5</v>
      </c>
      <c r="W235" s="125">
        <v>1.5970000000000002E-2</v>
      </c>
      <c r="X235" s="126">
        <v>3.9399999999999999E-3</v>
      </c>
      <c r="Y235" s="161"/>
    </row>
    <row r="236" spans="1:25" x14ac:dyDescent="0.2">
      <c r="A236" s="121" t="s">
        <v>1223</v>
      </c>
      <c r="B236" s="122" t="s">
        <v>1223</v>
      </c>
      <c r="C236" s="122" t="s">
        <v>1925</v>
      </c>
      <c r="D236" s="122" t="s">
        <v>1926</v>
      </c>
      <c r="E236" s="122" t="s">
        <v>429</v>
      </c>
      <c r="F236" s="122" t="s">
        <v>2205</v>
      </c>
      <c r="G236" s="122" t="s">
        <v>2206</v>
      </c>
      <c r="H236" s="122" t="s">
        <v>76</v>
      </c>
      <c r="I236" s="122" t="s">
        <v>73</v>
      </c>
      <c r="J236" s="122" t="s">
        <v>61</v>
      </c>
      <c r="K236" s="122" t="s">
        <v>53</v>
      </c>
      <c r="L236" s="122" t="s">
        <v>805</v>
      </c>
      <c r="M236" s="122" t="s">
        <v>476</v>
      </c>
      <c r="N236" s="122" t="s">
        <v>85</v>
      </c>
      <c r="O236" s="122" t="s">
        <v>62</v>
      </c>
      <c r="P236" s="122" t="s">
        <v>1217</v>
      </c>
      <c r="Q236" s="123">
        <v>1572990</v>
      </c>
      <c r="R236" s="123">
        <v>3.306</v>
      </c>
      <c r="S236" s="123">
        <v>2020</v>
      </c>
      <c r="T236" s="122"/>
      <c r="U236" s="123">
        <v>105046.16</v>
      </c>
      <c r="V236" s="125">
        <v>1.39E-3</v>
      </c>
      <c r="W236" s="125">
        <v>1.5610000000000001E-2</v>
      </c>
      <c r="X236" s="126">
        <v>3.8500000000000001E-3</v>
      </c>
      <c r="Y236" s="161"/>
    </row>
    <row r="237" spans="1:25" x14ac:dyDescent="0.2">
      <c r="A237" s="121" t="s">
        <v>1223</v>
      </c>
      <c r="B237" s="122" t="s">
        <v>1223</v>
      </c>
      <c r="C237" s="122" t="s">
        <v>2211</v>
      </c>
      <c r="D237" s="122" t="s">
        <v>2212</v>
      </c>
      <c r="E237" s="122" t="s">
        <v>430</v>
      </c>
      <c r="F237" s="122" t="s">
        <v>2211</v>
      </c>
      <c r="G237" s="122" t="s">
        <v>2213</v>
      </c>
      <c r="H237" s="122" t="s">
        <v>76</v>
      </c>
      <c r="I237" s="122" t="s">
        <v>73</v>
      </c>
      <c r="J237" s="122" t="s">
        <v>61</v>
      </c>
      <c r="K237" s="122" t="s">
        <v>314</v>
      </c>
      <c r="L237" s="122" t="s">
        <v>805</v>
      </c>
      <c r="M237" s="122" t="s">
        <v>479</v>
      </c>
      <c r="N237" s="122" t="s">
        <v>899</v>
      </c>
      <c r="O237" s="122" t="s">
        <v>62</v>
      </c>
      <c r="P237" s="122" t="s">
        <v>1217</v>
      </c>
      <c r="Q237" s="123">
        <v>42724</v>
      </c>
      <c r="R237" s="123">
        <v>3.306</v>
      </c>
      <c r="S237" s="123">
        <v>73438</v>
      </c>
      <c r="T237" s="122"/>
      <c r="U237" s="123">
        <v>103727.90300000001</v>
      </c>
      <c r="V237" s="125">
        <v>2.0000000000000002E-5</v>
      </c>
      <c r="W237" s="125">
        <v>1.541E-2</v>
      </c>
      <c r="X237" s="126">
        <v>3.8E-3</v>
      </c>
      <c r="Y237" s="161"/>
    </row>
    <row r="238" spans="1:25" x14ac:dyDescent="0.2">
      <c r="A238" s="121" t="s">
        <v>1223</v>
      </c>
      <c r="B238" s="122" t="s">
        <v>1223</v>
      </c>
      <c r="C238" s="122" t="s">
        <v>2207</v>
      </c>
      <c r="D238" s="122" t="s">
        <v>2208</v>
      </c>
      <c r="E238" s="122" t="s">
        <v>429</v>
      </c>
      <c r="F238" s="122" t="s">
        <v>2209</v>
      </c>
      <c r="G238" s="122" t="s">
        <v>2210</v>
      </c>
      <c r="H238" s="122" t="s">
        <v>76</v>
      </c>
      <c r="I238" s="122" t="s">
        <v>73</v>
      </c>
      <c r="J238" s="122" t="s">
        <v>61</v>
      </c>
      <c r="K238" s="122" t="s">
        <v>53</v>
      </c>
      <c r="L238" s="122" t="s">
        <v>805</v>
      </c>
      <c r="M238" s="122" t="s">
        <v>479</v>
      </c>
      <c r="N238" s="122" t="s">
        <v>254</v>
      </c>
      <c r="O238" s="122" t="s">
        <v>62</v>
      </c>
      <c r="P238" s="122" t="s">
        <v>1217</v>
      </c>
      <c r="Q238" s="123">
        <v>98038</v>
      </c>
      <c r="R238" s="123">
        <v>3.306</v>
      </c>
      <c r="S238" s="123">
        <v>104950</v>
      </c>
      <c r="T238" s="122"/>
      <c r="U238" s="123">
        <v>103366.28599999999</v>
      </c>
      <c r="V238" s="125">
        <v>3.3300000000000001E-3</v>
      </c>
      <c r="W238" s="125">
        <v>1.536E-2</v>
      </c>
      <c r="X238" s="126">
        <v>3.79E-3</v>
      </c>
      <c r="Y238" s="161"/>
    </row>
    <row r="239" spans="1:25" x14ac:dyDescent="0.2">
      <c r="A239" s="121" t="s">
        <v>1223</v>
      </c>
      <c r="B239" s="122" t="s">
        <v>1223</v>
      </c>
      <c r="C239" s="122" t="s">
        <v>2214</v>
      </c>
      <c r="D239" s="122" t="s">
        <v>2215</v>
      </c>
      <c r="E239" s="122" t="s">
        <v>430</v>
      </c>
      <c r="F239" s="122" t="s">
        <v>2214</v>
      </c>
      <c r="G239" s="122" t="s">
        <v>2216</v>
      </c>
      <c r="H239" s="122" t="s">
        <v>76</v>
      </c>
      <c r="I239" s="122" t="s">
        <v>73</v>
      </c>
      <c r="J239" s="122" t="s">
        <v>61</v>
      </c>
      <c r="K239" s="122" t="s">
        <v>314</v>
      </c>
      <c r="L239" s="122" t="s">
        <v>805</v>
      </c>
      <c r="M239" s="122" t="s">
        <v>479</v>
      </c>
      <c r="N239" s="122" t="s">
        <v>885</v>
      </c>
      <c r="O239" s="122" t="s">
        <v>62</v>
      </c>
      <c r="P239" s="122" t="s">
        <v>1217</v>
      </c>
      <c r="Q239" s="123">
        <v>141911</v>
      </c>
      <c r="R239" s="123">
        <v>3.306</v>
      </c>
      <c r="S239" s="123">
        <v>21957</v>
      </c>
      <c r="T239" s="122"/>
      <c r="U239" s="123">
        <v>103012.97100000001</v>
      </c>
      <c r="V239" s="125">
        <v>1.0000000000000001E-5</v>
      </c>
      <c r="W239" s="125">
        <v>1.5310000000000001E-2</v>
      </c>
      <c r="X239" s="126">
        <v>3.7699999999999999E-3</v>
      </c>
      <c r="Y239" s="161"/>
    </row>
    <row r="240" spans="1:25" x14ac:dyDescent="0.2">
      <c r="A240" s="121" t="s">
        <v>1223</v>
      </c>
      <c r="B240" s="122" t="s">
        <v>1223</v>
      </c>
      <c r="C240" s="122" t="s">
        <v>2228</v>
      </c>
      <c r="D240" s="122" t="s">
        <v>2229</v>
      </c>
      <c r="E240" s="122" t="s">
        <v>430</v>
      </c>
      <c r="F240" s="122" t="s">
        <v>2230</v>
      </c>
      <c r="G240" s="122" t="s">
        <v>2231</v>
      </c>
      <c r="H240" s="122" t="s">
        <v>76</v>
      </c>
      <c r="I240" s="122" t="s">
        <v>73</v>
      </c>
      <c r="J240" s="122" t="s">
        <v>61</v>
      </c>
      <c r="K240" s="122" t="s">
        <v>314</v>
      </c>
      <c r="L240" s="122" t="s">
        <v>805</v>
      </c>
      <c r="M240" s="122" t="s">
        <v>479</v>
      </c>
      <c r="N240" s="122" t="s">
        <v>901</v>
      </c>
      <c r="O240" s="122" t="s">
        <v>62</v>
      </c>
      <c r="P240" s="122" t="s">
        <v>1217</v>
      </c>
      <c r="Q240" s="123">
        <v>120519</v>
      </c>
      <c r="R240" s="123">
        <v>3.306</v>
      </c>
      <c r="S240" s="123">
        <v>24355</v>
      </c>
      <c r="T240" s="122"/>
      <c r="U240" s="123">
        <v>97039.042000000001</v>
      </c>
      <c r="V240" s="125">
        <v>2.0000000000000002E-5</v>
      </c>
      <c r="W240" s="125">
        <v>1.4420000000000001E-2</v>
      </c>
      <c r="X240" s="126">
        <v>3.5500000000000002E-3</v>
      </c>
      <c r="Y240" s="161"/>
    </row>
    <row r="241" spans="1:25" x14ac:dyDescent="0.2">
      <c r="A241" s="121" t="s">
        <v>1223</v>
      </c>
      <c r="B241" s="122" t="s">
        <v>1223</v>
      </c>
      <c r="C241" s="122" t="s">
        <v>2217</v>
      </c>
      <c r="D241" s="122" t="s">
        <v>2218</v>
      </c>
      <c r="E241" s="122" t="s">
        <v>429</v>
      </c>
      <c r="F241" s="122" t="s">
        <v>2219</v>
      </c>
      <c r="G241" s="122" t="s">
        <v>2220</v>
      </c>
      <c r="H241" s="122" t="s">
        <v>76</v>
      </c>
      <c r="I241" s="122" t="s">
        <v>73</v>
      </c>
      <c r="J241" s="122" t="s">
        <v>61</v>
      </c>
      <c r="K241" s="122" t="s">
        <v>314</v>
      </c>
      <c r="L241" s="122" t="s">
        <v>805</v>
      </c>
      <c r="M241" s="122" t="s">
        <v>479</v>
      </c>
      <c r="N241" s="122" t="s">
        <v>254</v>
      </c>
      <c r="O241" s="122" t="s">
        <v>62</v>
      </c>
      <c r="P241" s="122" t="s">
        <v>1217</v>
      </c>
      <c r="Q241" s="123">
        <v>397552.54</v>
      </c>
      <c r="R241" s="123">
        <v>3.306</v>
      </c>
      <c r="S241" s="123">
        <v>23540</v>
      </c>
      <c r="T241" s="122"/>
      <c r="U241" s="123">
        <v>93925.462</v>
      </c>
      <c r="V241" s="125">
        <v>3.5500000000000002E-3</v>
      </c>
      <c r="W241" s="125">
        <v>1.396E-2</v>
      </c>
      <c r="X241" s="126">
        <v>3.4399999999999999E-3</v>
      </c>
      <c r="Y241" s="161"/>
    </row>
    <row r="242" spans="1:25" x14ac:dyDescent="0.2">
      <c r="A242" s="121" t="s">
        <v>1223</v>
      </c>
      <c r="B242" s="122" t="s">
        <v>1223</v>
      </c>
      <c r="C242" s="122" t="s">
        <v>2224</v>
      </c>
      <c r="D242" s="122" t="s">
        <v>2225</v>
      </c>
      <c r="E242" s="122" t="s">
        <v>430</v>
      </c>
      <c r="F242" s="122" t="s">
        <v>2226</v>
      </c>
      <c r="G242" s="122" t="s">
        <v>2227</v>
      </c>
      <c r="H242" s="122" t="s">
        <v>76</v>
      </c>
      <c r="I242" s="122" t="s">
        <v>73</v>
      </c>
      <c r="J242" s="122" t="s">
        <v>61</v>
      </c>
      <c r="K242" s="122" t="s">
        <v>314</v>
      </c>
      <c r="L242" s="122" t="s">
        <v>805</v>
      </c>
      <c r="M242" s="122" t="s">
        <v>476</v>
      </c>
      <c r="N242" s="122" t="s">
        <v>896</v>
      </c>
      <c r="O242" s="122" t="s">
        <v>62</v>
      </c>
      <c r="P242" s="122" t="s">
        <v>1217</v>
      </c>
      <c r="Q242" s="123">
        <v>77798</v>
      </c>
      <c r="R242" s="123">
        <v>3.306</v>
      </c>
      <c r="S242" s="123">
        <v>34138</v>
      </c>
      <c r="T242" s="122"/>
      <c r="U242" s="123">
        <v>87803</v>
      </c>
      <c r="V242" s="125">
        <v>4.0000000000000003E-5</v>
      </c>
      <c r="W242" s="125">
        <v>1.3050000000000001E-2</v>
      </c>
      <c r="X242" s="126">
        <v>3.2200000000000002E-3</v>
      </c>
      <c r="Y242" s="161"/>
    </row>
    <row r="243" spans="1:25" x14ac:dyDescent="0.2">
      <c r="A243" s="121" t="s">
        <v>1223</v>
      </c>
      <c r="B243" s="122" t="s">
        <v>1223</v>
      </c>
      <c r="C243" s="122" t="s">
        <v>2221</v>
      </c>
      <c r="D243" s="122" t="s">
        <v>2222</v>
      </c>
      <c r="E243" s="122" t="s">
        <v>430</v>
      </c>
      <c r="F243" s="122" t="s">
        <v>2221</v>
      </c>
      <c r="G243" s="122" t="s">
        <v>2223</v>
      </c>
      <c r="H243" s="122" t="s">
        <v>76</v>
      </c>
      <c r="I243" s="122" t="s">
        <v>73</v>
      </c>
      <c r="J243" s="122" t="s">
        <v>61</v>
      </c>
      <c r="K243" s="122" t="s">
        <v>314</v>
      </c>
      <c r="L243" s="122" t="s">
        <v>805</v>
      </c>
      <c r="M243" s="122" t="s">
        <v>479</v>
      </c>
      <c r="N243" s="122" t="s">
        <v>901</v>
      </c>
      <c r="O243" s="122" t="s">
        <v>62</v>
      </c>
      <c r="P243" s="122" t="s">
        <v>1217</v>
      </c>
      <c r="Q243" s="123">
        <v>137204</v>
      </c>
      <c r="R243" s="123">
        <v>3.306</v>
      </c>
      <c r="S243" s="123">
        <v>18658</v>
      </c>
      <c r="T243" s="123">
        <v>1.3720000000000001</v>
      </c>
      <c r="U243" s="123">
        <v>84636.557000000001</v>
      </c>
      <c r="V243" s="125">
        <v>1.0000000000000001E-5</v>
      </c>
      <c r="W243" s="125">
        <v>1.2579999999999999E-2</v>
      </c>
      <c r="X243" s="126">
        <v>3.0999999999999999E-3</v>
      </c>
      <c r="Y243" s="161"/>
    </row>
    <row r="244" spans="1:25" x14ac:dyDescent="0.2">
      <c r="A244" s="121" t="s">
        <v>1223</v>
      </c>
      <c r="B244" s="122" t="s">
        <v>1223</v>
      </c>
      <c r="C244" s="122" t="s">
        <v>2242</v>
      </c>
      <c r="D244" s="122" t="s">
        <v>2243</v>
      </c>
      <c r="E244" s="122" t="s">
        <v>102</v>
      </c>
      <c r="F244" s="122" t="s">
        <v>2242</v>
      </c>
      <c r="G244" s="122" t="s">
        <v>2244</v>
      </c>
      <c r="H244" s="122" t="s">
        <v>76</v>
      </c>
      <c r="I244" s="122" t="s">
        <v>73</v>
      </c>
      <c r="J244" s="122" t="s">
        <v>61</v>
      </c>
      <c r="K244" s="122" t="s">
        <v>314</v>
      </c>
      <c r="L244" s="122" t="s">
        <v>805</v>
      </c>
      <c r="M244" s="122" t="s">
        <v>479</v>
      </c>
      <c r="N244" s="122" t="s">
        <v>901</v>
      </c>
      <c r="O244" s="122" t="s">
        <v>62</v>
      </c>
      <c r="P244" s="122" t="s">
        <v>1217</v>
      </c>
      <c r="Q244" s="123">
        <v>228275</v>
      </c>
      <c r="R244" s="123">
        <v>3.306</v>
      </c>
      <c r="S244" s="123">
        <v>8407</v>
      </c>
      <c r="T244" s="122"/>
      <c r="U244" s="123">
        <v>63445.707999999999</v>
      </c>
      <c r="V244" s="125">
        <v>2.5999999999999998E-4</v>
      </c>
      <c r="W244" s="125">
        <v>9.4299999999999991E-3</v>
      </c>
      <c r="X244" s="126">
        <v>2.32E-3</v>
      </c>
      <c r="Y244" s="161"/>
    </row>
    <row r="245" spans="1:25" x14ac:dyDescent="0.2">
      <c r="A245" s="121" t="s">
        <v>1223</v>
      </c>
      <c r="B245" s="122" t="s">
        <v>1223</v>
      </c>
      <c r="C245" s="122" t="s">
        <v>2235</v>
      </c>
      <c r="D245" s="122" t="s">
        <v>2236</v>
      </c>
      <c r="E245" s="122" t="s">
        <v>429</v>
      </c>
      <c r="F245" s="122" t="s">
        <v>2237</v>
      </c>
      <c r="G245" s="122" t="s">
        <v>2238</v>
      </c>
      <c r="H245" s="122" t="s">
        <v>76</v>
      </c>
      <c r="I245" s="122" t="s">
        <v>73</v>
      </c>
      <c r="J245" s="122" t="s">
        <v>61</v>
      </c>
      <c r="K245" s="122" t="s">
        <v>314</v>
      </c>
      <c r="L245" s="122" t="s">
        <v>805</v>
      </c>
      <c r="M245" s="122" t="s">
        <v>479</v>
      </c>
      <c r="N245" s="122" t="s">
        <v>899</v>
      </c>
      <c r="O245" s="122" t="s">
        <v>62</v>
      </c>
      <c r="P245" s="122" t="s">
        <v>1217</v>
      </c>
      <c r="Q245" s="123">
        <v>1035490</v>
      </c>
      <c r="R245" s="123">
        <v>3.306</v>
      </c>
      <c r="S245" s="123">
        <v>1853</v>
      </c>
      <c r="T245" s="122"/>
      <c r="U245" s="123">
        <v>63434.303999999996</v>
      </c>
      <c r="V245" s="125">
        <v>5.0400000000000002E-3</v>
      </c>
      <c r="W245" s="125">
        <v>9.4299999999999991E-3</v>
      </c>
      <c r="X245" s="126">
        <v>2.32E-3</v>
      </c>
      <c r="Y245" s="161"/>
    </row>
    <row r="246" spans="1:25" x14ac:dyDescent="0.2">
      <c r="A246" s="121" t="s">
        <v>1223</v>
      </c>
      <c r="B246" s="122" t="s">
        <v>1223</v>
      </c>
      <c r="C246" s="122" t="s">
        <v>2232</v>
      </c>
      <c r="D246" s="122" t="s">
        <v>2233</v>
      </c>
      <c r="E246" s="122" t="s">
        <v>430</v>
      </c>
      <c r="F246" s="122" t="s">
        <v>2232</v>
      </c>
      <c r="G246" s="122" t="s">
        <v>2234</v>
      </c>
      <c r="H246" s="122" t="s">
        <v>76</v>
      </c>
      <c r="I246" s="122" t="s">
        <v>73</v>
      </c>
      <c r="J246" s="122" t="s">
        <v>61</v>
      </c>
      <c r="K246" s="122" t="s">
        <v>314</v>
      </c>
      <c r="L246" s="122" t="s">
        <v>805</v>
      </c>
      <c r="M246" s="122" t="s">
        <v>479</v>
      </c>
      <c r="N246" s="122" t="s">
        <v>899</v>
      </c>
      <c r="O246" s="122" t="s">
        <v>62</v>
      </c>
      <c r="P246" s="122" t="s">
        <v>1217</v>
      </c>
      <c r="Q246" s="123">
        <v>94205</v>
      </c>
      <c r="R246" s="123">
        <v>3.306</v>
      </c>
      <c r="S246" s="123">
        <v>20362</v>
      </c>
      <c r="T246" s="122"/>
      <c r="U246" s="123">
        <v>63415.764999999999</v>
      </c>
      <c r="V246" s="125">
        <v>1.3999999999999999E-4</v>
      </c>
      <c r="W246" s="125">
        <v>9.4199999999999996E-3</v>
      </c>
      <c r="X246" s="126">
        <v>2.32E-3</v>
      </c>
      <c r="Y246" s="161"/>
    </row>
    <row r="247" spans="1:25" x14ac:dyDescent="0.2">
      <c r="A247" s="121" t="s">
        <v>1223</v>
      </c>
      <c r="B247" s="122" t="s">
        <v>1223</v>
      </c>
      <c r="C247" s="122" t="s">
        <v>2239</v>
      </c>
      <c r="D247" s="122" t="s">
        <v>2240</v>
      </c>
      <c r="E247" s="122" t="s">
        <v>430</v>
      </c>
      <c r="F247" s="122" t="s">
        <v>2239</v>
      </c>
      <c r="G247" s="122" t="s">
        <v>2241</v>
      </c>
      <c r="H247" s="122" t="s">
        <v>76</v>
      </c>
      <c r="I247" s="122" t="s">
        <v>73</v>
      </c>
      <c r="J247" s="122" t="s">
        <v>61</v>
      </c>
      <c r="K247" s="122" t="s">
        <v>314</v>
      </c>
      <c r="L247" s="122" t="s">
        <v>805</v>
      </c>
      <c r="M247" s="122" t="s">
        <v>479</v>
      </c>
      <c r="N247" s="122" t="s">
        <v>885</v>
      </c>
      <c r="O247" s="122" t="s">
        <v>62</v>
      </c>
      <c r="P247" s="122" t="s">
        <v>1217</v>
      </c>
      <c r="Q247" s="123">
        <v>20135</v>
      </c>
      <c r="R247" s="123">
        <v>3.306</v>
      </c>
      <c r="S247" s="123">
        <v>92563</v>
      </c>
      <c r="T247" s="122"/>
      <c r="U247" s="123">
        <v>61615.773999999998</v>
      </c>
      <c r="V247" s="125">
        <v>5.0000000000000002E-5</v>
      </c>
      <c r="W247" s="125">
        <v>9.1599999999999997E-3</v>
      </c>
      <c r="X247" s="126">
        <v>2.2599999999999999E-3</v>
      </c>
      <c r="Y247" s="161"/>
    </row>
    <row r="248" spans="1:25" x14ac:dyDescent="0.2">
      <c r="A248" s="121" t="s">
        <v>1223</v>
      </c>
      <c r="B248" s="122" t="s">
        <v>1223</v>
      </c>
      <c r="C248" s="122" t="s">
        <v>2245</v>
      </c>
      <c r="D248" s="122" t="s">
        <v>2246</v>
      </c>
      <c r="E248" s="122" t="s">
        <v>430</v>
      </c>
      <c r="F248" s="122" t="s">
        <v>2245</v>
      </c>
      <c r="G248" s="122" t="s">
        <v>2247</v>
      </c>
      <c r="H248" s="122" t="s">
        <v>76</v>
      </c>
      <c r="I248" s="122" t="s">
        <v>73</v>
      </c>
      <c r="J248" s="122" t="s">
        <v>61</v>
      </c>
      <c r="K248" s="122" t="s">
        <v>203</v>
      </c>
      <c r="L248" s="122" t="s">
        <v>805</v>
      </c>
      <c r="M248" s="122" t="s">
        <v>486</v>
      </c>
      <c r="N248" s="122" t="s">
        <v>882</v>
      </c>
      <c r="O248" s="122" t="s">
        <v>62</v>
      </c>
      <c r="P248" s="122" t="s">
        <v>1218</v>
      </c>
      <c r="Q248" s="123">
        <v>7485</v>
      </c>
      <c r="R248" s="123">
        <v>3.8809999999999998</v>
      </c>
      <c r="S248" s="123">
        <v>208300</v>
      </c>
      <c r="T248" s="122"/>
      <c r="U248" s="123">
        <v>60504.983</v>
      </c>
      <c r="V248" s="125">
        <v>6.9999999999999994E-5</v>
      </c>
      <c r="W248" s="125">
        <v>8.9899999999999997E-3</v>
      </c>
      <c r="X248" s="126">
        <v>2.2200000000000002E-3</v>
      </c>
      <c r="Y248" s="161"/>
    </row>
    <row r="249" spans="1:25" x14ac:dyDescent="0.2">
      <c r="A249" s="121" t="s">
        <v>1223</v>
      </c>
      <c r="B249" s="122" t="s">
        <v>1223</v>
      </c>
      <c r="C249" s="122" t="s">
        <v>2248</v>
      </c>
      <c r="D249" s="122" t="s">
        <v>2249</v>
      </c>
      <c r="E249" s="122" t="s">
        <v>102</v>
      </c>
      <c r="F249" s="122" t="s">
        <v>2248</v>
      </c>
      <c r="G249" s="122" t="s">
        <v>2250</v>
      </c>
      <c r="H249" s="122" t="s">
        <v>76</v>
      </c>
      <c r="I249" s="122" t="s">
        <v>73</v>
      </c>
      <c r="J249" s="122" t="s">
        <v>61</v>
      </c>
      <c r="K249" s="122" t="s">
        <v>314</v>
      </c>
      <c r="L249" s="122" t="s">
        <v>805</v>
      </c>
      <c r="M249" s="122" t="s">
        <v>476</v>
      </c>
      <c r="N249" s="122" t="s">
        <v>899</v>
      </c>
      <c r="O249" s="122" t="s">
        <v>62</v>
      </c>
      <c r="P249" s="122" t="s">
        <v>1217</v>
      </c>
      <c r="Q249" s="123">
        <v>61270</v>
      </c>
      <c r="R249" s="123">
        <v>3.306</v>
      </c>
      <c r="S249" s="123">
        <v>28124</v>
      </c>
      <c r="T249" s="122"/>
      <c r="U249" s="123">
        <v>56967.586000000003</v>
      </c>
      <c r="V249" s="125">
        <v>2.0000000000000002E-5</v>
      </c>
      <c r="W249" s="125">
        <v>8.4700000000000001E-3</v>
      </c>
      <c r="X249" s="126">
        <v>2.0899999999999998E-3</v>
      </c>
      <c r="Y249" s="161"/>
    </row>
    <row r="250" spans="1:25" x14ac:dyDescent="0.2">
      <c r="A250" s="121" t="s">
        <v>1223</v>
      </c>
      <c r="B250" s="122" t="s">
        <v>1223</v>
      </c>
      <c r="C250" s="122" t="s">
        <v>2251</v>
      </c>
      <c r="D250" s="122" t="s">
        <v>2252</v>
      </c>
      <c r="E250" s="122" t="s">
        <v>429</v>
      </c>
      <c r="F250" s="122" t="s">
        <v>2253</v>
      </c>
      <c r="G250" s="122" t="s">
        <v>2254</v>
      </c>
      <c r="H250" s="122" t="s">
        <v>76</v>
      </c>
      <c r="I250" s="122" t="s">
        <v>73</v>
      </c>
      <c r="J250" s="122" t="s">
        <v>61</v>
      </c>
      <c r="K250" s="122" t="s">
        <v>53</v>
      </c>
      <c r="L250" s="122" t="s">
        <v>805</v>
      </c>
      <c r="M250" s="122" t="s">
        <v>479</v>
      </c>
      <c r="N250" s="122" t="s">
        <v>254</v>
      </c>
      <c r="O250" s="122" t="s">
        <v>62</v>
      </c>
      <c r="P250" s="122" t="s">
        <v>1217</v>
      </c>
      <c r="Q250" s="123">
        <v>83047</v>
      </c>
      <c r="R250" s="123">
        <v>3.306</v>
      </c>
      <c r="S250" s="123">
        <v>20691</v>
      </c>
      <c r="T250" s="122"/>
      <c r="U250" s="123">
        <v>56807.839999999997</v>
      </c>
      <c r="V250" s="125">
        <v>7.6000000000000004E-4</v>
      </c>
      <c r="W250" s="125">
        <v>8.4399999999999996E-3</v>
      </c>
      <c r="X250" s="126">
        <v>2.0799999999999998E-3</v>
      </c>
      <c r="Y250" s="161"/>
    </row>
    <row r="251" spans="1:25" x14ac:dyDescent="0.2">
      <c r="A251" s="121" t="s">
        <v>1223</v>
      </c>
      <c r="B251" s="122" t="s">
        <v>1223</v>
      </c>
      <c r="C251" s="122" t="s">
        <v>2255</v>
      </c>
      <c r="D251" s="122" t="s">
        <v>2256</v>
      </c>
      <c r="E251" s="122" t="s">
        <v>430</v>
      </c>
      <c r="F251" s="122" t="s">
        <v>2255</v>
      </c>
      <c r="G251" s="122" t="s">
        <v>2257</v>
      </c>
      <c r="H251" s="122" t="s">
        <v>76</v>
      </c>
      <c r="I251" s="122" t="s">
        <v>73</v>
      </c>
      <c r="J251" s="122" t="s">
        <v>61</v>
      </c>
      <c r="K251" s="122" t="s">
        <v>314</v>
      </c>
      <c r="L251" s="122" t="s">
        <v>805</v>
      </c>
      <c r="M251" s="122" t="s">
        <v>476</v>
      </c>
      <c r="N251" s="122" t="s">
        <v>897</v>
      </c>
      <c r="O251" s="122" t="s">
        <v>62</v>
      </c>
      <c r="P251" s="122" t="s">
        <v>1217</v>
      </c>
      <c r="Q251" s="123">
        <v>44376</v>
      </c>
      <c r="R251" s="123">
        <v>3.306</v>
      </c>
      <c r="S251" s="123">
        <v>37425</v>
      </c>
      <c r="T251" s="122"/>
      <c r="U251" s="123">
        <v>54905.116000000002</v>
      </c>
      <c r="V251" s="125">
        <v>1.1E-4</v>
      </c>
      <c r="W251" s="125">
        <v>8.1600000000000006E-3</v>
      </c>
      <c r="X251" s="126">
        <v>2.0100000000000001E-3</v>
      </c>
      <c r="Y251" s="161"/>
    </row>
    <row r="252" spans="1:25" x14ac:dyDescent="0.2">
      <c r="A252" s="121" t="s">
        <v>1223</v>
      </c>
      <c r="B252" s="122" t="s">
        <v>1223</v>
      </c>
      <c r="C252" s="122" t="s">
        <v>2265</v>
      </c>
      <c r="D252" s="122" t="s">
        <v>2266</v>
      </c>
      <c r="E252" s="122" t="s">
        <v>430</v>
      </c>
      <c r="F252" s="122" t="s">
        <v>2265</v>
      </c>
      <c r="G252" s="122" t="s">
        <v>2267</v>
      </c>
      <c r="H252" s="122" t="s">
        <v>76</v>
      </c>
      <c r="I252" s="122" t="s">
        <v>73</v>
      </c>
      <c r="J252" s="122" t="s">
        <v>61</v>
      </c>
      <c r="K252" s="122" t="s">
        <v>314</v>
      </c>
      <c r="L252" s="122" t="s">
        <v>805</v>
      </c>
      <c r="M252" s="122" t="s">
        <v>476</v>
      </c>
      <c r="N252" s="122" t="s">
        <v>893</v>
      </c>
      <c r="O252" s="122" t="s">
        <v>62</v>
      </c>
      <c r="P252" s="122" t="s">
        <v>1217</v>
      </c>
      <c r="Q252" s="123">
        <v>21019</v>
      </c>
      <c r="R252" s="123">
        <v>3.306</v>
      </c>
      <c r="S252" s="123">
        <v>76300</v>
      </c>
      <c r="T252" s="122"/>
      <c r="U252" s="123">
        <v>53019.964999999997</v>
      </c>
      <c r="V252" s="125">
        <v>2.0000000000000002E-5</v>
      </c>
      <c r="W252" s="125">
        <v>7.8799999999999999E-3</v>
      </c>
      <c r="X252" s="126">
        <v>1.9400000000000001E-3</v>
      </c>
      <c r="Y252" s="161"/>
    </row>
    <row r="253" spans="1:25" x14ac:dyDescent="0.2">
      <c r="A253" s="121" t="s">
        <v>1223</v>
      </c>
      <c r="B253" s="122" t="s">
        <v>1223</v>
      </c>
      <c r="C253" s="122" t="s">
        <v>2262</v>
      </c>
      <c r="D253" s="122" t="s">
        <v>2263</v>
      </c>
      <c r="E253" s="122" t="s">
        <v>430</v>
      </c>
      <c r="F253" s="122" t="s">
        <v>2262</v>
      </c>
      <c r="G253" s="122" t="s">
        <v>2264</v>
      </c>
      <c r="H253" s="122" t="s">
        <v>76</v>
      </c>
      <c r="I253" s="122" t="s">
        <v>73</v>
      </c>
      <c r="J253" s="122" t="s">
        <v>61</v>
      </c>
      <c r="K253" s="122" t="s">
        <v>314</v>
      </c>
      <c r="L253" s="122" t="s">
        <v>805</v>
      </c>
      <c r="M253" s="122" t="s">
        <v>476</v>
      </c>
      <c r="N253" s="122" t="s">
        <v>899</v>
      </c>
      <c r="O253" s="122" t="s">
        <v>62</v>
      </c>
      <c r="P253" s="122" t="s">
        <v>1217</v>
      </c>
      <c r="Q253" s="123">
        <v>67274</v>
      </c>
      <c r="R253" s="123">
        <v>3.306</v>
      </c>
      <c r="S253" s="123">
        <v>23700</v>
      </c>
      <c r="T253" s="123">
        <v>27.986000000000001</v>
      </c>
      <c r="U253" s="123">
        <v>52803.180999999997</v>
      </c>
      <c r="V253" s="125">
        <v>6.9999999999999994E-5</v>
      </c>
      <c r="W253" s="125">
        <v>7.8499999999999993E-3</v>
      </c>
      <c r="X253" s="126">
        <v>1.9400000000000001E-3</v>
      </c>
      <c r="Y253" s="161"/>
    </row>
    <row r="254" spans="1:25" x14ac:dyDescent="0.2">
      <c r="A254" s="121" t="s">
        <v>1223</v>
      </c>
      <c r="B254" s="122" t="s">
        <v>1223</v>
      </c>
      <c r="C254" s="122" t="s">
        <v>2258</v>
      </c>
      <c r="D254" s="122" t="s">
        <v>2259</v>
      </c>
      <c r="E254" s="122" t="s">
        <v>430</v>
      </c>
      <c r="F254" s="122" t="s">
        <v>2260</v>
      </c>
      <c r="G254" s="122" t="s">
        <v>2261</v>
      </c>
      <c r="H254" s="122" t="s">
        <v>76</v>
      </c>
      <c r="I254" s="122" t="s">
        <v>73</v>
      </c>
      <c r="J254" s="122" t="s">
        <v>61</v>
      </c>
      <c r="K254" s="122" t="s">
        <v>314</v>
      </c>
      <c r="L254" s="122" t="s">
        <v>805</v>
      </c>
      <c r="M254" s="122" t="s">
        <v>476</v>
      </c>
      <c r="N254" s="122" t="s">
        <v>896</v>
      </c>
      <c r="O254" s="122" t="s">
        <v>62</v>
      </c>
      <c r="P254" s="122" t="s">
        <v>1217</v>
      </c>
      <c r="Q254" s="123">
        <v>27896</v>
      </c>
      <c r="R254" s="123">
        <v>3.306</v>
      </c>
      <c r="S254" s="123">
        <v>56881</v>
      </c>
      <c r="T254" s="122"/>
      <c r="U254" s="123">
        <v>52458.034</v>
      </c>
      <c r="V254" s="125">
        <v>3.0000000000000001E-5</v>
      </c>
      <c r="W254" s="125">
        <v>7.7999999999999996E-3</v>
      </c>
      <c r="X254" s="126">
        <v>1.92E-3</v>
      </c>
      <c r="Y254" s="161"/>
    </row>
    <row r="255" spans="1:25" x14ac:dyDescent="0.2">
      <c r="A255" s="121" t="s">
        <v>1223</v>
      </c>
      <c r="B255" s="122" t="s">
        <v>1223</v>
      </c>
      <c r="C255" s="122" t="s">
        <v>2271</v>
      </c>
      <c r="D255" s="122" t="s">
        <v>2272</v>
      </c>
      <c r="E255" s="122" t="s">
        <v>430</v>
      </c>
      <c r="F255" s="122" t="s">
        <v>2271</v>
      </c>
      <c r="G255" s="122" t="s">
        <v>2273</v>
      </c>
      <c r="H255" s="122" t="s">
        <v>76</v>
      </c>
      <c r="I255" s="122" t="s">
        <v>73</v>
      </c>
      <c r="J255" s="122" t="s">
        <v>61</v>
      </c>
      <c r="K255" s="122" t="s">
        <v>92</v>
      </c>
      <c r="L255" s="122" t="s">
        <v>805</v>
      </c>
      <c r="M255" s="122" t="s">
        <v>476</v>
      </c>
      <c r="N255" s="122" t="s">
        <v>1134</v>
      </c>
      <c r="O255" s="122" t="s">
        <v>62</v>
      </c>
      <c r="P255" s="122" t="s">
        <v>1217</v>
      </c>
      <c r="Q255" s="123">
        <v>32119</v>
      </c>
      <c r="R255" s="123">
        <v>3.306</v>
      </c>
      <c r="S255" s="123">
        <v>48522</v>
      </c>
      <c r="T255" s="122"/>
      <c r="U255" s="123">
        <v>51523.286999999997</v>
      </c>
      <c r="V255" s="125">
        <v>1.8000000000000001E-4</v>
      </c>
      <c r="W255" s="125">
        <v>7.6600000000000001E-3</v>
      </c>
      <c r="X255" s="126">
        <v>1.89E-3</v>
      </c>
      <c r="Y255" s="161"/>
    </row>
    <row r="256" spans="1:25" x14ac:dyDescent="0.2">
      <c r="A256" s="121" t="s">
        <v>1223</v>
      </c>
      <c r="B256" s="122" t="s">
        <v>1223</v>
      </c>
      <c r="C256" s="122" t="s">
        <v>2268</v>
      </c>
      <c r="D256" s="122" t="s">
        <v>2269</v>
      </c>
      <c r="E256" s="122" t="s">
        <v>430</v>
      </c>
      <c r="F256" s="122" t="s">
        <v>2268</v>
      </c>
      <c r="G256" s="122" t="s">
        <v>2270</v>
      </c>
      <c r="H256" s="122" t="s">
        <v>76</v>
      </c>
      <c r="I256" s="122" t="s">
        <v>73</v>
      </c>
      <c r="J256" s="122" t="s">
        <v>61</v>
      </c>
      <c r="K256" s="122" t="s">
        <v>314</v>
      </c>
      <c r="L256" s="122" t="s">
        <v>805</v>
      </c>
      <c r="M256" s="122" t="s">
        <v>476</v>
      </c>
      <c r="N256" s="122" t="s">
        <v>873</v>
      </c>
      <c r="O256" s="122" t="s">
        <v>62</v>
      </c>
      <c r="P256" s="122" t="s">
        <v>1217</v>
      </c>
      <c r="Q256" s="123">
        <v>259937</v>
      </c>
      <c r="R256" s="123">
        <v>3.306</v>
      </c>
      <c r="S256" s="123">
        <v>5970</v>
      </c>
      <c r="T256" s="122"/>
      <c r="U256" s="123">
        <v>51303.298000000003</v>
      </c>
      <c r="V256" s="125">
        <v>2.9E-4</v>
      </c>
      <c r="W256" s="125">
        <v>7.62E-3</v>
      </c>
      <c r="X256" s="126">
        <v>1.8799999999999999E-3</v>
      </c>
      <c r="Y256" s="161"/>
    </row>
    <row r="257" spans="1:25" x14ac:dyDescent="0.2">
      <c r="A257" s="121" t="s">
        <v>1223</v>
      </c>
      <c r="B257" s="122" t="s">
        <v>1223</v>
      </c>
      <c r="C257" s="122" t="s">
        <v>2274</v>
      </c>
      <c r="D257" s="122" t="s">
        <v>2275</v>
      </c>
      <c r="E257" s="122" t="s">
        <v>430</v>
      </c>
      <c r="F257" s="122" t="s">
        <v>2274</v>
      </c>
      <c r="G257" s="122" t="s">
        <v>2276</v>
      </c>
      <c r="H257" s="122" t="s">
        <v>76</v>
      </c>
      <c r="I257" s="122" t="s">
        <v>73</v>
      </c>
      <c r="J257" s="122" t="s">
        <v>61</v>
      </c>
      <c r="K257" s="122" t="s">
        <v>314</v>
      </c>
      <c r="L257" s="122" t="s">
        <v>805</v>
      </c>
      <c r="M257" s="122" t="s">
        <v>476</v>
      </c>
      <c r="N257" s="122" t="s">
        <v>862</v>
      </c>
      <c r="O257" s="122" t="s">
        <v>62</v>
      </c>
      <c r="P257" s="122" t="s">
        <v>1217</v>
      </c>
      <c r="Q257" s="123">
        <v>197470</v>
      </c>
      <c r="R257" s="123">
        <v>3.306</v>
      </c>
      <c r="S257" s="123">
        <v>7549</v>
      </c>
      <c r="T257" s="122"/>
      <c r="U257" s="123">
        <v>49282.576000000001</v>
      </c>
      <c r="V257" s="125">
        <v>1E-4</v>
      </c>
      <c r="W257" s="125">
        <v>7.3200000000000001E-3</v>
      </c>
      <c r="X257" s="126">
        <v>1.81E-3</v>
      </c>
      <c r="Y257" s="161"/>
    </row>
    <row r="258" spans="1:25" x14ac:dyDescent="0.2">
      <c r="A258" s="121" t="s">
        <v>1223</v>
      </c>
      <c r="B258" s="122" t="s">
        <v>1223</v>
      </c>
      <c r="C258" s="122" t="s">
        <v>2279</v>
      </c>
      <c r="D258" s="122" t="s">
        <v>2280</v>
      </c>
      <c r="E258" s="122" t="s">
        <v>430</v>
      </c>
      <c r="F258" s="122" t="s">
        <v>2281</v>
      </c>
      <c r="G258" s="122" t="s">
        <v>2282</v>
      </c>
      <c r="H258" s="122" t="s">
        <v>76</v>
      </c>
      <c r="I258" s="122" t="s">
        <v>73</v>
      </c>
      <c r="J258" s="122" t="s">
        <v>61</v>
      </c>
      <c r="K258" s="122" t="s">
        <v>314</v>
      </c>
      <c r="L258" s="122" t="s">
        <v>805</v>
      </c>
      <c r="M258" s="122" t="s">
        <v>476</v>
      </c>
      <c r="N258" s="122" t="s">
        <v>896</v>
      </c>
      <c r="O258" s="122" t="s">
        <v>62</v>
      </c>
      <c r="P258" s="122" t="s">
        <v>1217</v>
      </c>
      <c r="Q258" s="123">
        <v>110597</v>
      </c>
      <c r="R258" s="123">
        <v>3.306</v>
      </c>
      <c r="S258" s="123">
        <v>12995</v>
      </c>
      <c r="T258" s="122"/>
      <c r="U258" s="123">
        <v>47514.097000000002</v>
      </c>
      <c r="V258" s="125">
        <v>1.2E-4</v>
      </c>
      <c r="W258" s="125">
        <v>7.0600000000000003E-3</v>
      </c>
      <c r="X258" s="126">
        <v>1.74E-3</v>
      </c>
      <c r="Y258" s="161"/>
    </row>
    <row r="259" spans="1:25" x14ac:dyDescent="0.2">
      <c r="A259" s="121" t="s">
        <v>1223</v>
      </c>
      <c r="B259" s="122" t="s">
        <v>1223</v>
      </c>
      <c r="C259" s="122" t="s">
        <v>2283</v>
      </c>
      <c r="D259" s="122" t="s">
        <v>2284</v>
      </c>
      <c r="E259" s="122" t="s">
        <v>430</v>
      </c>
      <c r="F259" s="122" t="s">
        <v>2285</v>
      </c>
      <c r="G259" s="122" t="s">
        <v>2286</v>
      </c>
      <c r="H259" s="122" t="s">
        <v>76</v>
      </c>
      <c r="I259" s="122" t="s">
        <v>73</v>
      </c>
      <c r="J259" s="122" t="s">
        <v>61</v>
      </c>
      <c r="K259" s="122" t="s">
        <v>314</v>
      </c>
      <c r="L259" s="122" t="s">
        <v>805</v>
      </c>
      <c r="M259" s="122" t="s">
        <v>476</v>
      </c>
      <c r="N259" s="122" t="s">
        <v>896</v>
      </c>
      <c r="O259" s="122" t="s">
        <v>62</v>
      </c>
      <c r="P259" s="122" t="s">
        <v>1217</v>
      </c>
      <c r="Q259" s="123">
        <v>83950</v>
      </c>
      <c r="R259" s="123">
        <v>3.306</v>
      </c>
      <c r="S259" s="123">
        <v>17085</v>
      </c>
      <c r="T259" s="122"/>
      <c r="U259" s="123">
        <v>47417.487000000001</v>
      </c>
      <c r="V259" s="125">
        <v>1.2E-4</v>
      </c>
      <c r="W259" s="125">
        <v>7.0499999999999998E-3</v>
      </c>
      <c r="X259" s="126">
        <v>1.74E-3</v>
      </c>
      <c r="Y259" s="161"/>
    </row>
    <row r="260" spans="1:25" x14ac:dyDescent="0.2">
      <c r="A260" s="121" t="s">
        <v>1223</v>
      </c>
      <c r="B260" s="122" t="s">
        <v>1223</v>
      </c>
      <c r="C260" s="122" t="s">
        <v>2290</v>
      </c>
      <c r="D260" s="122" t="s">
        <v>2291</v>
      </c>
      <c r="E260" s="122" t="s">
        <v>430</v>
      </c>
      <c r="F260" s="122" t="s">
        <v>2290</v>
      </c>
      <c r="G260" s="122" t="s">
        <v>2292</v>
      </c>
      <c r="H260" s="122" t="s">
        <v>76</v>
      </c>
      <c r="I260" s="122" t="s">
        <v>73</v>
      </c>
      <c r="J260" s="122" t="s">
        <v>61</v>
      </c>
      <c r="K260" s="122" t="s">
        <v>314</v>
      </c>
      <c r="L260" s="122" t="s">
        <v>805</v>
      </c>
      <c r="M260" s="122" t="s">
        <v>476</v>
      </c>
      <c r="N260" s="122" t="s">
        <v>882</v>
      </c>
      <c r="O260" s="122" t="s">
        <v>62</v>
      </c>
      <c r="P260" s="122" t="s">
        <v>1217</v>
      </c>
      <c r="Q260" s="123">
        <v>196720</v>
      </c>
      <c r="R260" s="123">
        <v>3.306</v>
      </c>
      <c r="S260" s="123">
        <v>6973</v>
      </c>
      <c r="T260" s="123">
        <v>78.688000000000002</v>
      </c>
      <c r="U260" s="123">
        <v>45609.489000000001</v>
      </c>
      <c r="V260" s="125">
        <v>1.7000000000000001E-4</v>
      </c>
      <c r="W260" s="125">
        <v>6.79E-3</v>
      </c>
      <c r="X260" s="126">
        <v>1.67E-3</v>
      </c>
      <c r="Y260" s="161"/>
    </row>
    <row r="261" spans="1:25" x14ac:dyDescent="0.2">
      <c r="A261" s="121" t="s">
        <v>1223</v>
      </c>
      <c r="B261" s="122" t="s">
        <v>1223</v>
      </c>
      <c r="C261" s="122" t="s">
        <v>2287</v>
      </c>
      <c r="D261" s="122" t="s">
        <v>2288</v>
      </c>
      <c r="E261" s="122" t="s">
        <v>430</v>
      </c>
      <c r="F261" s="122" t="s">
        <v>2287</v>
      </c>
      <c r="G261" s="122" t="s">
        <v>2289</v>
      </c>
      <c r="H261" s="122" t="s">
        <v>76</v>
      </c>
      <c r="I261" s="122" t="s">
        <v>73</v>
      </c>
      <c r="J261" s="122" t="s">
        <v>61</v>
      </c>
      <c r="K261" s="122" t="s">
        <v>314</v>
      </c>
      <c r="L261" s="122" t="s">
        <v>805</v>
      </c>
      <c r="M261" s="122" t="s">
        <v>476</v>
      </c>
      <c r="N261" s="122" t="s">
        <v>897</v>
      </c>
      <c r="O261" s="122" t="s">
        <v>62</v>
      </c>
      <c r="P261" s="122" t="s">
        <v>1217</v>
      </c>
      <c r="Q261" s="123">
        <v>135820</v>
      </c>
      <c r="R261" s="123">
        <v>3.306</v>
      </c>
      <c r="S261" s="123">
        <v>10137</v>
      </c>
      <c r="T261" s="122"/>
      <c r="U261" s="123">
        <v>45517.250999999997</v>
      </c>
      <c r="V261" s="125">
        <v>9.2000000000000003E-4</v>
      </c>
      <c r="W261" s="125">
        <v>6.7600000000000004E-3</v>
      </c>
      <c r="X261" s="126">
        <v>1.67E-3</v>
      </c>
      <c r="Y261" s="161"/>
    </row>
    <row r="262" spans="1:25" x14ac:dyDescent="0.2">
      <c r="A262" s="121" t="s">
        <v>1223</v>
      </c>
      <c r="B262" s="122" t="s">
        <v>1223</v>
      </c>
      <c r="C262" s="122" t="s">
        <v>2293</v>
      </c>
      <c r="D262" s="122" t="s">
        <v>2294</v>
      </c>
      <c r="E262" s="122" t="s">
        <v>430</v>
      </c>
      <c r="F262" s="122" t="s">
        <v>2295</v>
      </c>
      <c r="G262" s="122" t="s">
        <v>2296</v>
      </c>
      <c r="H262" s="122" t="s">
        <v>76</v>
      </c>
      <c r="I262" s="122" t="s">
        <v>73</v>
      </c>
      <c r="J262" s="122" t="s">
        <v>61</v>
      </c>
      <c r="K262" s="122" t="s">
        <v>314</v>
      </c>
      <c r="L262" s="122" t="s">
        <v>805</v>
      </c>
      <c r="M262" s="122" t="s">
        <v>476</v>
      </c>
      <c r="N262" s="122" t="s">
        <v>884</v>
      </c>
      <c r="O262" s="122" t="s">
        <v>62</v>
      </c>
      <c r="P262" s="122" t="s">
        <v>1217</v>
      </c>
      <c r="Q262" s="123">
        <v>122478</v>
      </c>
      <c r="R262" s="123">
        <v>3.306</v>
      </c>
      <c r="S262" s="123">
        <v>10306</v>
      </c>
      <c r="T262" s="122"/>
      <c r="U262" s="123">
        <v>41730.258000000002</v>
      </c>
      <c r="V262" s="125">
        <v>2.0000000000000002E-5</v>
      </c>
      <c r="W262" s="125">
        <v>6.1999999999999998E-3</v>
      </c>
      <c r="X262" s="126">
        <v>1.5299999999999999E-3</v>
      </c>
      <c r="Y262" s="161"/>
    </row>
    <row r="263" spans="1:25" x14ac:dyDescent="0.2">
      <c r="A263" s="121" t="s">
        <v>1223</v>
      </c>
      <c r="B263" s="122" t="s">
        <v>1223</v>
      </c>
      <c r="C263" s="122" t="s">
        <v>2297</v>
      </c>
      <c r="D263" s="122" t="s">
        <v>2298</v>
      </c>
      <c r="E263" s="122" t="s">
        <v>430</v>
      </c>
      <c r="F263" s="122" t="s">
        <v>2297</v>
      </c>
      <c r="G263" s="122" t="s">
        <v>2299</v>
      </c>
      <c r="H263" s="122" t="s">
        <v>76</v>
      </c>
      <c r="I263" s="122" t="s">
        <v>73</v>
      </c>
      <c r="J263" s="122" t="s">
        <v>61</v>
      </c>
      <c r="K263" s="122" t="s">
        <v>314</v>
      </c>
      <c r="L263" s="122" t="s">
        <v>805</v>
      </c>
      <c r="M263" s="122" t="s">
        <v>479</v>
      </c>
      <c r="N263" s="122" t="s">
        <v>899</v>
      </c>
      <c r="O263" s="122" t="s">
        <v>62</v>
      </c>
      <c r="P263" s="122" t="s">
        <v>1217</v>
      </c>
      <c r="Q263" s="123">
        <v>34631</v>
      </c>
      <c r="R263" s="123">
        <v>3.306</v>
      </c>
      <c r="S263" s="123">
        <v>35275</v>
      </c>
      <c r="T263" s="122"/>
      <c r="U263" s="123">
        <v>40386.377999999997</v>
      </c>
      <c r="V263" s="125">
        <v>8.0000000000000007E-5</v>
      </c>
      <c r="W263" s="125">
        <v>6.0000000000000001E-3</v>
      </c>
      <c r="X263" s="126">
        <v>1.48E-3</v>
      </c>
      <c r="Y263" s="161"/>
    </row>
    <row r="264" spans="1:25" x14ac:dyDescent="0.2">
      <c r="A264" s="121" t="s">
        <v>1223</v>
      </c>
      <c r="B264" s="122" t="s">
        <v>1223</v>
      </c>
      <c r="C264" s="122" t="s">
        <v>2228</v>
      </c>
      <c r="D264" s="122" t="s">
        <v>2229</v>
      </c>
      <c r="E264" s="122" t="s">
        <v>430</v>
      </c>
      <c r="F264" s="122" t="s">
        <v>2277</v>
      </c>
      <c r="G264" s="122" t="s">
        <v>2278</v>
      </c>
      <c r="H264" s="122" t="s">
        <v>76</v>
      </c>
      <c r="I264" s="122" t="s">
        <v>73</v>
      </c>
      <c r="J264" s="122" t="s">
        <v>61</v>
      </c>
      <c r="K264" s="122" t="s">
        <v>314</v>
      </c>
      <c r="L264" s="122" t="s">
        <v>805</v>
      </c>
      <c r="M264" s="122" t="s">
        <v>479</v>
      </c>
      <c r="N264" s="122" t="s">
        <v>901</v>
      </c>
      <c r="O264" s="122" t="s">
        <v>62</v>
      </c>
      <c r="P264" s="122" t="s">
        <v>1217</v>
      </c>
      <c r="Q264" s="123">
        <v>47243</v>
      </c>
      <c r="R264" s="123">
        <v>3.306</v>
      </c>
      <c r="S264" s="123">
        <v>24310</v>
      </c>
      <c r="T264" s="122"/>
      <c r="U264" s="123">
        <v>37968.661</v>
      </c>
      <c r="V264" s="125">
        <v>1.0000000000000001E-5</v>
      </c>
      <c r="W264" s="125">
        <v>5.64E-3</v>
      </c>
      <c r="X264" s="126">
        <v>1.39E-3</v>
      </c>
      <c r="Y264" s="161"/>
    </row>
    <row r="265" spans="1:25" x14ac:dyDescent="0.2">
      <c r="A265" s="121" t="s">
        <v>1223</v>
      </c>
      <c r="B265" s="122" t="s">
        <v>1223</v>
      </c>
      <c r="C265" s="122" t="s">
        <v>2303</v>
      </c>
      <c r="D265" s="122" t="s">
        <v>2304</v>
      </c>
      <c r="E265" s="122" t="s">
        <v>430</v>
      </c>
      <c r="F265" s="122" t="s">
        <v>2303</v>
      </c>
      <c r="G265" s="122" t="s">
        <v>2305</v>
      </c>
      <c r="H265" s="122" t="s">
        <v>76</v>
      </c>
      <c r="I265" s="122" t="s">
        <v>73</v>
      </c>
      <c r="J265" s="122" t="s">
        <v>61</v>
      </c>
      <c r="K265" s="122" t="s">
        <v>314</v>
      </c>
      <c r="L265" s="122" t="s">
        <v>805</v>
      </c>
      <c r="M265" s="122" t="s">
        <v>479</v>
      </c>
      <c r="N265" s="122" t="s">
        <v>901</v>
      </c>
      <c r="O265" s="122" t="s">
        <v>62</v>
      </c>
      <c r="P265" s="122" t="s">
        <v>1217</v>
      </c>
      <c r="Q265" s="123">
        <v>33396</v>
      </c>
      <c r="R265" s="123">
        <v>3.306</v>
      </c>
      <c r="S265" s="123">
        <v>32991</v>
      </c>
      <c r="T265" s="123">
        <v>19.704000000000001</v>
      </c>
      <c r="U265" s="123">
        <v>36489.572</v>
      </c>
      <c r="V265" s="125">
        <v>1.0000000000000001E-5</v>
      </c>
      <c r="W265" s="125">
        <v>5.4299999999999999E-3</v>
      </c>
      <c r="X265" s="126">
        <v>1.34E-3</v>
      </c>
      <c r="Y265" s="161"/>
    </row>
    <row r="266" spans="1:25" x14ac:dyDescent="0.2">
      <c r="A266" s="121" t="s">
        <v>1223</v>
      </c>
      <c r="B266" s="122" t="s">
        <v>1223</v>
      </c>
      <c r="C266" s="122" t="s">
        <v>2300</v>
      </c>
      <c r="D266" s="122" t="s">
        <v>2301</v>
      </c>
      <c r="E266" s="122" t="s">
        <v>430</v>
      </c>
      <c r="F266" s="122" t="s">
        <v>2300</v>
      </c>
      <c r="G266" s="122" t="s">
        <v>2302</v>
      </c>
      <c r="H266" s="122" t="s">
        <v>76</v>
      </c>
      <c r="I266" s="122" t="s">
        <v>73</v>
      </c>
      <c r="J266" s="122" t="s">
        <v>61</v>
      </c>
      <c r="K266" s="122" t="s">
        <v>314</v>
      </c>
      <c r="L266" s="122" t="s">
        <v>805</v>
      </c>
      <c r="M266" s="122" t="s">
        <v>479</v>
      </c>
      <c r="N266" s="122" t="s">
        <v>901</v>
      </c>
      <c r="O266" s="122" t="s">
        <v>62</v>
      </c>
      <c r="P266" s="122" t="s">
        <v>1217</v>
      </c>
      <c r="Q266" s="123">
        <v>41081</v>
      </c>
      <c r="R266" s="123">
        <v>3.306</v>
      </c>
      <c r="S266" s="123">
        <v>25463</v>
      </c>
      <c r="T266" s="122"/>
      <c r="U266" s="123">
        <v>34582.264000000003</v>
      </c>
      <c r="V266" s="125">
        <v>0</v>
      </c>
      <c r="W266" s="125">
        <v>5.1399999999999996E-3</v>
      </c>
      <c r="X266" s="126">
        <v>1.2700000000000001E-3</v>
      </c>
      <c r="Y266" s="161"/>
    </row>
    <row r="267" spans="1:25" x14ac:dyDescent="0.2">
      <c r="A267" s="121" t="s">
        <v>1223</v>
      </c>
      <c r="B267" s="122" t="s">
        <v>1223</v>
      </c>
      <c r="C267" s="122" t="s">
        <v>2309</v>
      </c>
      <c r="D267" s="122" t="s">
        <v>2310</v>
      </c>
      <c r="E267" s="122" t="s">
        <v>102</v>
      </c>
      <c r="F267" s="122" t="s">
        <v>2311</v>
      </c>
      <c r="G267" s="122" t="s">
        <v>2312</v>
      </c>
      <c r="H267" s="122" t="s">
        <v>76</v>
      </c>
      <c r="I267" s="122" t="s">
        <v>73</v>
      </c>
      <c r="J267" s="122" t="s">
        <v>61</v>
      </c>
      <c r="K267" s="122" t="s">
        <v>314</v>
      </c>
      <c r="L267" s="122" t="s">
        <v>805</v>
      </c>
      <c r="M267" s="122" t="s">
        <v>479</v>
      </c>
      <c r="N267" s="122" t="s">
        <v>899</v>
      </c>
      <c r="O267" s="122" t="s">
        <v>62</v>
      </c>
      <c r="P267" s="122" t="s">
        <v>1217</v>
      </c>
      <c r="Q267" s="123">
        <v>13338</v>
      </c>
      <c r="R267" s="123">
        <v>3.306</v>
      </c>
      <c r="S267" s="123">
        <v>71854</v>
      </c>
      <c r="T267" s="122"/>
      <c r="U267" s="123">
        <v>31684.329000000002</v>
      </c>
      <c r="V267" s="125">
        <v>4.0000000000000003E-5</v>
      </c>
      <c r="W267" s="125">
        <v>4.7099999999999998E-3</v>
      </c>
      <c r="X267" s="126">
        <v>1.16E-3</v>
      </c>
      <c r="Y267" s="161"/>
    </row>
    <row r="268" spans="1:25" x14ac:dyDescent="0.2">
      <c r="A268" s="121" t="s">
        <v>1223</v>
      </c>
      <c r="B268" s="122" t="s">
        <v>1223</v>
      </c>
      <c r="C268" s="122" t="s">
        <v>2306</v>
      </c>
      <c r="D268" s="122" t="s">
        <v>2307</v>
      </c>
      <c r="E268" s="122" t="s">
        <v>430</v>
      </c>
      <c r="F268" s="122" t="s">
        <v>2306</v>
      </c>
      <c r="G268" s="122" t="s">
        <v>2308</v>
      </c>
      <c r="H268" s="122" t="s">
        <v>76</v>
      </c>
      <c r="I268" s="122" t="s">
        <v>73</v>
      </c>
      <c r="J268" s="122" t="s">
        <v>61</v>
      </c>
      <c r="K268" s="122" t="s">
        <v>314</v>
      </c>
      <c r="L268" s="122" t="s">
        <v>805</v>
      </c>
      <c r="M268" s="122" t="s">
        <v>476</v>
      </c>
      <c r="N268" s="122" t="s">
        <v>901</v>
      </c>
      <c r="O268" s="122" t="s">
        <v>62</v>
      </c>
      <c r="P268" s="122" t="s">
        <v>1217</v>
      </c>
      <c r="Q268" s="123">
        <v>62500</v>
      </c>
      <c r="R268" s="123">
        <v>3.306</v>
      </c>
      <c r="S268" s="123">
        <v>15086</v>
      </c>
      <c r="T268" s="122"/>
      <c r="U268" s="123">
        <v>31171.448</v>
      </c>
      <c r="V268" s="125">
        <v>1.7000000000000001E-4</v>
      </c>
      <c r="W268" s="125">
        <v>4.6299999999999996E-3</v>
      </c>
      <c r="X268" s="126">
        <v>1.14E-3</v>
      </c>
      <c r="Y268" s="161"/>
    </row>
    <row r="269" spans="1:25" x14ac:dyDescent="0.2">
      <c r="A269" s="121" t="s">
        <v>1223</v>
      </c>
      <c r="B269" s="122" t="s">
        <v>1223</v>
      </c>
      <c r="C269" s="122" t="s">
        <v>2313</v>
      </c>
      <c r="D269" s="122" t="s">
        <v>2314</v>
      </c>
      <c r="E269" s="122" t="s">
        <v>429</v>
      </c>
      <c r="F269" s="122" t="s">
        <v>2315</v>
      </c>
      <c r="G269" s="122" t="s">
        <v>2316</v>
      </c>
      <c r="H269" s="122" t="s">
        <v>76</v>
      </c>
      <c r="I269" s="122" t="s">
        <v>73</v>
      </c>
      <c r="J269" s="122" t="s">
        <v>61</v>
      </c>
      <c r="K269" s="122" t="s">
        <v>53</v>
      </c>
      <c r="L269" s="122" t="s">
        <v>805</v>
      </c>
      <c r="M269" s="122" t="s">
        <v>479</v>
      </c>
      <c r="N269" s="122" t="s">
        <v>254</v>
      </c>
      <c r="O269" s="122" t="s">
        <v>62</v>
      </c>
      <c r="P269" s="122" t="s">
        <v>1217</v>
      </c>
      <c r="Q269" s="123">
        <v>84336</v>
      </c>
      <c r="R269" s="123">
        <v>3.306</v>
      </c>
      <c r="S269" s="123">
        <v>10505</v>
      </c>
      <c r="T269" s="122"/>
      <c r="U269" s="123">
        <v>29289.495999999999</v>
      </c>
      <c r="V269" s="125">
        <v>1.8600000000000001E-3</v>
      </c>
      <c r="W269" s="125">
        <v>4.3499999999999997E-3</v>
      </c>
      <c r="X269" s="126">
        <v>1.07E-3</v>
      </c>
      <c r="Y269" s="161"/>
    </row>
    <row r="270" spans="1:25" x14ac:dyDescent="0.2">
      <c r="A270" s="121" t="s">
        <v>1223</v>
      </c>
      <c r="B270" s="122" t="s">
        <v>1223</v>
      </c>
      <c r="C270" s="122" t="s">
        <v>2317</v>
      </c>
      <c r="D270" s="122" t="s">
        <v>2318</v>
      </c>
      <c r="E270" s="122" t="s">
        <v>430</v>
      </c>
      <c r="F270" s="122" t="s">
        <v>2319</v>
      </c>
      <c r="G270" s="122" t="s">
        <v>2320</v>
      </c>
      <c r="H270" s="122" t="s">
        <v>76</v>
      </c>
      <c r="I270" s="122" t="s">
        <v>73</v>
      </c>
      <c r="J270" s="122" t="s">
        <v>61</v>
      </c>
      <c r="K270" s="122" t="s">
        <v>153</v>
      </c>
      <c r="L270" s="122" t="s">
        <v>805</v>
      </c>
      <c r="M270" s="122" t="s">
        <v>488</v>
      </c>
      <c r="N270" s="122" t="s">
        <v>899</v>
      </c>
      <c r="O270" s="122" t="s">
        <v>62</v>
      </c>
      <c r="P270" s="122" t="s">
        <v>1218</v>
      </c>
      <c r="Q270" s="123">
        <v>32386</v>
      </c>
      <c r="R270" s="123">
        <v>3.8809999999999998</v>
      </c>
      <c r="S270" s="123">
        <v>22790</v>
      </c>
      <c r="T270" s="122"/>
      <c r="U270" s="123">
        <v>28642.552</v>
      </c>
      <c r="V270" s="125">
        <v>3.0000000000000001E-5</v>
      </c>
      <c r="W270" s="125">
        <v>4.2599999999999999E-3</v>
      </c>
      <c r="X270" s="126">
        <v>1.0499999999999999E-3</v>
      </c>
      <c r="Y270" s="161"/>
    </row>
    <row r="271" spans="1:25" x14ac:dyDescent="0.2">
      <c r="A271" s="121" t="s">
        <v>1223</v>
      </c>
      <c r="B271" s="122" t="s">
        <v>1223</v>
      </c>
      <c r="C271" s="122" t="s">
        <v>2321</v>
      </c>
      <c r="D271" s="122" t="s">
        <v>2322</v>
      </c>
      <c r="E271" s="122" t="s">
        <v>430</v>
      </c>
      <c r="F271" s="122" t="s">
        <v>2321</v>
      </c>
      <c r="G271" s="122" t="s">
        <v>2323</v>
      </c>
      <c r="H271" s="122" t="s">
        <v>76</v>
      </c>
      <c r="I271" s="122" t="s">
        <v>73</v>
      </c>
      <c r="J271" s="122" t="s">
        <v>61</v>
      </c>
      <c r="K271" s="122" t="s">
        <v>314</v>
      </c>
      <c r="L271" s="122" t="s">
        <v>805</v>
      </c>
      <c r="M271" s="122" t="s">
        <v>476</v>
      </c>
      <c r="N271" s="122" t="s">
        <v>873</v>
      </c>
      <c r="O271" s="122" t="s">
        <v>62</v>
      </c>
      <c r="P271" s="122" t="s">
        <v>1217</v>
      </c>
      <c r="Q271" s="123">
        <v>59074</v>
      </c>
      <c r="R271" s="123">
        <v>3.306</v>
      </c>
      <c r="S271" s="123">
        <v>14216</v>
      </c>
      <c r="T271" s="122"/>
      <c r="U271" s="123">
        <v>27763.654999999999</v>
      </c>
      <c r="V271" s="125">
        <v>1.1199999999999999E-3</v>
      </c>
      <c r="W271" s="125">
        <v>4.13E-3</v>
      </c>
      <c r="X271" s="126">
        <v>1.0200000000000001E-3</v>
      </c>
      <c r="Y271" s="161"/>
    </row>
    <row r="272" spans="1:25" x14ac:dyDescent="0.2">
      <c r="A272" s="121" t="s">
        <v>1223</v>
      </c>
      <c r="B272" s="122" t="s">
        <v>1223</v>
      </c>
      <c r="C272" s="122" t="s">
        <v>2324</v>
      </c>
      <c r="D272" s="122" t="s">
        <v>2325</v>
      </c>
      <c r="E272" s="122" t="s">
        <v>430</v>
      </c>
      <c r="F272" s="122" t="s">
        <v>2324</v>
      </c>
      <c r="G272" s="122" t="s">
        <v>2326</v>
      </c>
      <c r="H272" s="122" t="s">
        <v>76</v>
      </c>
      <c r="I272" s="122" t="s">
        <v>73</v>
      </c>
      <c r="J272" s="122" t="s">
        <v>61</v>
      </c>
      <c r="K272" s="122" t="s">
        <v>317</v>
      </c>
      <c r="L272" s="122" t="s">
        <v>805</v>
      </c>
      <c r="M272" s="122" t="s">
        <v>494</v>
      </c>
      <c r="N272" s="122" t="s">
        <v>896</v>
      </c>
      <c r="O272" s="122" t="s">
        <v>62</v>
      </c>
      <c r="P272" s="122" t="s">
        <v>1221</v>
      </c>
      <c r="Q272" s="123">
        <v>198420</v>
      </c>
      <c r="R272" s="123">
        <v>4.4409999999999998</v>
      </c>
      <c r="S272" s="123">
        <v>2865</v>
      </c>
      <c r="T272" s="122"/>
      <c r="U272" s="123">
        <v>25245.330999999998</v>
      </c>
      <c r="V272" s="125">
        <v>2.5999999999999999E-3</v>
      </c>
      <c r="W272" s="125">
        <v>3.7499999999999999E-3</v>
      </c>
      <c r="X272" s="126">
        <v>9.2000000000000003E-4</v>
      </c>
      <c r="Y272" s="161"/>
    </row>
    <row r="273" spans="1:25" x14ac:dyDescent="0.2">
      <c r="A273" s="121" t="s">
        <v>1223</v>
      </c>
      <c r="B273" s="122" t="s">
        <v>1223</v>
      </c>
      <c r="C273" s="122" t="s">
        <v>2327</v>
      </c>
      <c r="D273" s="122" t="s">
        <v>2328</v>
      </c>
      <c r="E273" s="122" t="s">
        <v>430</v>
      </c>
      <c r="F273" s="122" t="s">
        <v>2329</v>
      </c>
      <c r="G273" s="122" t="s">
        <v>2330</v>
      </c>
      <c r="H273" s="122" t="s">
        <v>76</v>
      </c>
      <c r="I273" s="122" t="s">
        <v>73</v>
      </c>
      <c r="J273" s="122" t="s">
        <v>61</v>
      </c>
      <c r="K273" s="122" t="s">
        <v>314</v>
      </c>
      <c r="L273" s="122" t="s">
        <v>805</v>
      </c>
      <c r="M273" s="122" t="s">
        <v>476</v>
      </c>
      <c r="N273" s="122" t="s">
        <v>896</v>
      </c>
      <c r="O273" s="122" t="s">
        <v>62</v>
      </c>
      <c r="P273" s="122" t="s">
        <v>1217</v>
      </c>
      <c r="Q273" s="123">
        <v>14162</v>
      </c>
      <c r="R273" s="123">
        <v>3.306</v>
      </c>
      <c r="S273" s="123">
        <v>50274</v>
      </c>
      <c r="T273" s="122"/>
      <c r="U273" s="123">
        <v>23538.072</v>
      </c>
      <c r="V273" s="125">
        <v>1.0000000000000001E-5</v>
      </c>
      <c r="W273" s="125">
        <v>3.5000000000000001E-3</v>
      </c>
      <c r="X273" s="126">
        <v>8.5999999999999998E-4</v>
      </c>
      <c r="Y273" s="161"/>
    </row>
    <row r="274" spans="1:25" x14ac:dyDescent="0.2">
      <c r="A274" s="121" t="s">
        <v>1223</v>
      </c>
      <c r="B274" s="122" t="s">
        <v>1223</v>
      </c>
      <c r="C274" s="122" t="s">
        <v>2331</v>
      </c>
      <c r="D274" s="122" t="s">
        <v>2332</v>
      </c>
      <c r="E274" s="122" t="s">
        <v>430</v>
      </c>
      <c r="F274" s="122" t="s">
        <v>2331</v>
      </c>
      <c r="G274" s="122" t="s">
        <v>2333</v>
      </c>
      <c r="H274" s="122" t="s">
        <v>76</v>
      </c>
      <c r="I274" s="122" t="s">
        <v>73</v>
      </c>
      <c r="J274" s="122" t="s">
        <v>61</v>
      </c>
      <c r="K274" s="122" t="s">
        <v>314</v>
      </c>
      <c r="L274" s="122" t="s">
        <v>805</v>
      </c>
      <c r="M274" s="122" t="s">
        <v>476</v>
      </c>
      <c r="N274" s="122" t="s">
        <v>896</v>
      </c>
      <c r="O274" s="122" t="s">
        <v>62</v>
      </c>
      <c r="P274" s="122" t="s">
        <v>1217</v>
      </c>
      <c r="Q274" s="123">
        <v>53335</v>
      </c>
      <c r="R274" s="123">
        <v>3.306</v>
      </c>
      <c r="S274" s="123">
        <v>13327</v>
      </c>
      <c r="T274" s="122"/>
      <c r="U274" s="123">
        <v>23498.901000000002</v>
      </c>
      <c r="V274" s="125">
        <v>9.0000000000000006E-5</v>
      </c>
      <c r="W274" s="125">
        <v>3.49E-3</v>
      </c>
      <c r="X274" s="126">
        <v>8.5999999999999998E-4</v>
      </c>
      <c r="Y274" s="161"/>
    </row>
    <row r="275" spans="1:25" x14ac:dyDescent="0.2">
      <c r="A275" s="121" t="s">
        <v>1223</v>
      </c>
      <c r="B275" s="122" t="s">
        <v>1223</v>
      </c>
      <c r="C275" s="122" t="s">
        <v>2334</v>
      </c>
      <c r="D275" s="122" t="s">
        <v>2335</v>
      </c>
      <c r="E275" s="122" t="s">
        <v>430</v>
      </c>
      <c r="F275" s="122" t="s">
        <v>2334</v>
      </c>
      <c r="G275" s="122" t="s">
        <v>2336</v>
      </c>
      <c r="H275" s="122" t="s">
        <v>76</v>
      </c>
      <c r="I275" s="122" t="s">
        <v>73</v>
      </c>
      <c r="J275" s="122" t="s">
        <v>61</v>
      </c>
      <c r="K275" s="122" t="s">
        <v>314</v>
      </c>
      <c r="L275" s="122" t="s">
        <v>805</v>
      </c>
      <c r="M275" s="122" t="s">
        <v>476</v>
      </c>
      <c r="N275" s="122" t="s">
        <v>915</v>
      </c>
      <c r="O275" s="122" t="s">
        <v>62</v>
      </c>
      <c r="P275" s="122" t="s">
        <v>1217</v>
      </c>
      <c r="Q275" s="123">
        <v>57181</v>
      </c>
      <c r="R275" s="123">
        <v>3.306</v>
      </c>
      <c r="S275" s="123">
        <v>11452</v>
      </c>
      <c r="T275" s="123">
        <v>57.753</v>
      </c>
      <c r="U275" s="123">
        <v>21839.835999999999</v>
      </c>
      <c r="V275" s="125">
        <v>6.0000000000000002E-5</v>
      </c>
      <c r="W275" s="125">
        <v>3.2499999999999999E-3</v>
      </c>
      <c r="X275" s="126">
        <v>8.0000000000000004E-4</v>
      </c>
      <c r="Y275" s="161"/>
    </row>
    <row r="276" spans="1:25" x14ac:dyDescent="0.2">
      <c r="A276" s="121" t="s">
        <v>1223</v>
      </c>
      <c r="B276" s="122" t="s">
        <v>1223</v>
      </c>
      <c r="C276" s="122" t="s">
        <v>2337</v>
      </c>
      <c r="D276" s="122" t="s">
        <v>2338</v>
      </c>
      <c r="E276" s="122" t="s">
        <v>430</v>
      </c>
      <c r="F276" s="122" t="s">
        <v>2339</v>
      </c>
      <c r="G276" s="122" t="s">
        <v>2340</v>
      </c>
      <c r="H276" s="122" t="s">
        <v>76</v>
      </c>
      <c r="I276" s="122" t="s">
        <v>73</v>
      </c>
      <c r="J276" s="122" t="s">
        <v>61</v>
      </c>
      <c r="K276" s="122" t="s">
        <v>203</v>
      </c>
      <c r="L276" s="122" t="s">
        <v>805</v>
      </c>
      <c r="M276" s="122" t="s">
        <v>486</v>
      </c>
      <c r="N276" s="122" t="s">
        <v>884</v>
      </c>
      <c r="O276" s="122" t="s">
        <v>62</v>
      </c>
      <c r="P276" s="122" t="s">
        <v>1218</v>
      </c>
      <c r="Q276" s="123">
        <v>15100</v>
      </c>
      <c r="R276" s="123">
        <v>3.8809999999999998</v>
      </c>
      <c r="S276" s="123">
        <v>36850</v>
      </c>
      <c r="T276" s="122"/>
      <c r="U276" s="123">
        <v>21593.573</v>
      </c>
      <c r="V276" s="125">
        <v>3.0000000000000001E-5</v>
      </c>
      <c r="W276" s="125">
        <v>3.2100000000000002E-3</v>
      </c>
      <c r="X276" s="126">
        <v>7.9000000000000001E-4</v>
      </c>
      <c r="Y276" s="161"/>
    </row>
    <row r="277" spans="1:25" x14ac:dyDescent="0.2">
      <c r="A277" s="121" t="s">
        <v>1223</v>
      </c>
      <c r="B277" s="122" t="s">
        <v>1223</v>
      </c>
      <c r="C277" s="122" t="s">
        <v>1951</v>
      </c>
      <c r="D277" s="122" t="s">
        <v>1952</v>
      </c>
      <c r="E277" s="122" t="s">
        <v>429</v>
      </c>
      <c r="F277" s="122" t="s">
        <v>2341</v>
      </c>
      <c r="G277" s="122" t="s">
        <v>2342</v>
      </c>
      <c r="H277" s="122" t="s">
        <v>76</v>
      </c>
      <c r="I277" s="122" t="s">
        <v>73</v>
      </c>
      <c r="J277" s="122" t="s">
        <v>61</v>
      </c>
      <c r="K277" s="122" t="s">
        <v>53</v>
      </c>
      <c r="L277" s="122" t="s">
        <v>805</v>
      </c>
      <c r="M277" s="122" t="s">
        <v>479</v>
      </c>
      <c r="N277" s="122" t="s">
        <v>253</v>
      </c>
      <c r="O277" s="122" t="s">
        <v>62</v>
      </c>
      <c r="P277" s="122" t="s">
        <v>1217</v>
      </c>
      <c r="Q277" s="123">
        <v>36698</v>
      </c>
      <c r="R277" s="123">
        <v>3.306</v>
      </c>
      <c r="S277" s="123">
        <v>14478</v>
      </c>
      <c r="T277" s="122"/>
      <c r="U277" s="123">
        <v>17565.228999999999</v>
      </c>
      <c r="V277" s="125">
        <v>5.8E-4</v>
      </c>
      <c r="W277" s="125">
        <v>2.6099999999999999E-3</v>
      </c>
      <c r="X277" s="126">
        <v>6.4000000000000005E-4</v>
      </c>
      <c r="Y277" s="161"/>
    </row>
    <row r="278" spans="1:25" x14ac:dyDescent="0.2">
      <c r="A278" s="121" t="s">
        <v>1223</v>
      </c>
      <c r="B278" s="122" t="s">
        <v>1223</v>
      </c>
      <c r="C278" s="122" t="s">
        <v>2343</v>
      </c>
      <c r="D278" s="122" t="s">
        <v>2344</v>
      </c>
      <c r="E278" s="122" t="s">
        <v>430</v>
      </c>
      <c r="F278" s="122" t="s">
        <v>2345</v>
      </c>
      <c r="G278" s="122" t="s">
        <v>2346</v>
      </c>
      <c r="H278" s="122" t="s">
        <v>76</v>
      </c>
      <c r="I278" s="122" t="s">
        <v>73</v>
      </c>
      <c r="J278" s="122" t="s">
        <v>61</v>
      </c>
      <c r="K278" s="122" t="s">
        <v>314</v>
      </c>
      <c r="L278" s="122" t="s">
        <v>805</v>
      </c>
      <c r="M278" s="122" t="s">
        <v>479</v>
      </c>
      <c r="N278" s="122" t="s">
        <v>202</v>
      </c>
      <c r="O278" s="122" t="s">
        <v>62</v>
      </c>
      <c r="P278" s="122" t="s">
        <v>1217</v>
      </c>
      <c r="Q278" s="123">
        <v>105124</v>
      </c>
      <c r="R278" s="123">
        <v>3.306</v>
      </c>
      <c r="S278" s="123">
        <v>3700</v>
      </c>
      <c r="T278" s="122"/>
      <c r="U278" s="123">
        <v>12858.977999999999</v>
      </c>
      <c r="V278" s="125">
        <v>1.81E-3</v>
      </c>
      <c r="W278" s="125">
        <v>1.91E-3</v>
      </c>
      <c r="X278" s="126">
        <v>4.6999999999999999E-4</v>
      </c>
      <c r="Y278" s="161"/>
    </row>
    <row r="279" spans="1:25" x14ac:dyDescent="0.2">
      <c r="A279" s="121" t="s">
        <v>1223</v>
      </c>
      <c r="B279" s="122" t="s">
        <v>1223</v>
      </c>
      <c r="C279" s="122" t="s">
        <v>2347</v>
      </c>
      <c r="D279" s="122" t="s">
        <v>2348</v>
      </c>
      <c r="E279" s="122" t="s">
        <v>430</v>
      </c>
      <c r="F279" s="122" t="s">
        <v>2347</v>
      </c>
      <c r="G279" s="122" t="s">
        <v>2349</v>
      </c>
      <c r="H279" s="122" t="s">
        <v>76</v>
      </c>
      <c r="I279" s="122" t="s">
        <v>73</v>
      </c>
      <c r="J279" s="122" t="s">
        <v>61</v>
      </c>
      <c r="K279" s="122" t="s">
        <v>164</v>
      </c>
      <c r="L279" s="122" t="s">
        <v>805</v>
      </c>
      <c r="M279" s="122" t="s">
        <v>102</v>
      </c>
      <c r="N279" s="122" t="s">
        <v>885</v>
      </c>
      <c r="O279" s="122" t="s">
        <v>62</v>
      </c>
      <c r="P279" s="122" t="s">
        <v>1218</v>
      </c>
      <c r="Q279" s="123">
        <v>110235</v>
      </c>
      <c r="R279" s="123">
        <v>3.8809999999999998</v>
      </c>
      <c r="S279" s="123">
        <v>2922</v>
      </c>
      <c r="T279" s="122"/>
      <c r="U279" s="123">
        <v>12499.994000000001</v>
      </c>
      <c r="V279" s="125">
        <v>8.0999999999999996E-4</v>
      </c>
      <c r="W279" s="125">
        <v>1.8600000000000001E-3</v>
      </c>
      <c r="X279" s="126">
        <v>4.6000000000000001E-4</v>
      </c>
      <c r="Y279" s="161"/>
    </row>
    <row r="280" spans="1:25" x14ac:dyDescent="0.2">
      <c r="A280" s="121" t="s">
        <v>1223</v>
      </c>
      <c r="B280" s="122" t="s">
        <v>1223</v>
      </c>
      <c r="C280" s="122" t="s">
        <v>2350</v>
      </c>
      <c r="D280" s="122" t="s">
        <v>2351</v>
      </c>
      <c r="E280" s="122" t="s">
        <v>430</v>
      </c>
      <c r="F280" s="122" t="s">
        <v>2352</v>
      </c>
      <c r="G280" s="122" t="s">
        <v>2353</v>
      </c>
      <c r="H280" s="122" t="s">
        <v>76</v>
      </c>
      <c r="I280" s="122" t="s">
        <v>73</v>
      </c>
      <c r="J280" s="122" t="s">
        <v>61</v>
      </c>
      <c r="K280" s="122" t="s">
        <v>314</v>
      </c>
      <c r="L280" s="122" t="s">
        <v>805</v>
      </c>
      <c r="M280" s="122" t="s">
        <v>476</v>
      </c>
      <c r="N280" s="122" t="s">
        <v>865</v>
      </c>
      <c r="O280" s="122" t="s">
        <v>62</v>
      </c>
      <c r="P280" s="122" t="s">
        <v>1217</v>
      </c>
      <c r="Q280" s="123">
        <v>598270</v>
      </c>
      <c r="R280" s="123">
        <v>3.306</v>
      </c>
      <c r="S280" s="123">
        <v>450</v>
      </c>
      <c r="T280" s="122"/>
      <c r="U280" s="123">
        <v>8900.4629999999997</v>
      </c>
      <c r="V280" s="125">
        <v>5.7529999999999998E-2</v>
      </c>
      <c r="W280" s="125">
        <v>1.32E-3</v>
      </c>
      <c r="X280" s="126">
        <v>3.3E-4</v>
      </c>
      <c r="Y280" s="161"/>
    </row>
    <row r="281" spans="1:25" x14ac:dyDescent="0.2">
      <c r="A281" s="121" t="s">
        <v>1223</v>
      </c>
      <c r="B281" s="122" t="s">
        <v>1223</v>
      </c>
      <c r="C281" s="122" t="s">
        <v>2354</v>
      </c>
      <c r="D281" s="122" t="s">
        <v>2355</v>
      </c>
      <c r="E281" s="122" t="s">
        <v>429</v>
      </c>
      <c r="F281" s="122" t="s">
        <v>2356</v>
      </c>
      <c r="G281" s="122" t="s">
        <v>2357</v>
      </c>
      <c r="H281" s="122" t="s">
        <v>76</v>
      </c>
      <c r="I281" s="122" t="s">
        <v>73</v>
      </c>
      <c r="J281" s="122" t="s">
        <v>61</v>
      </c>
      <c r="K281" s="122" t="s">
        <v>53</v>
      </c>
      <c r="L281" s="122" t="s">
        <v>805</v>
      </c>
      <c r="M281" s="122" t="s">
        <v>479</v>
      </c>
      <c r="N281" s="122" t="s">
        <v>253</v>
      </c>
      <c r="O281" s="122" t="s">
        <v>62</v>
      </c>
      <c r="P281" s="122" t="s">
        <v>1217</v>
      </c>
      <c r="Q281" s="123">
        <v>178720</v>
      </c>
      <c r="R281" s="123">
        <v>3.306</v>
      </c>
      <c r="S281" s="123">
        <v>960</v>
      </c>
      <c r="T281" s="122"/>
      <c r="U281" s="123">
        <v>5672.1440000000002</v>
      </c>
      <c r="V281" s="125">
        <v>3.8E-3</v>
      </c>
      <c r="W281" s="125">
        <v>8.4000000000000003E-4</v>
      </c>
      <c r="X281" s="126">
        <v>2.1000000000000001E-4</v>
      </c>
      <c r="Y281" s="161"/>
    </row>
    <row r="282" spans="1:25" x14ac:dyDescent="0.2">
      <c r="A282" s="121" t="s">
        <v>1223</v>
      </c>
      <c r="B282" s="122" t="s">
        <v>1223</v>
      </c>
      <c r="C282" s="122" t="s">
        <v>2358</v>
      </c>
      <c r="D282" s="122" t="s">
        <v>2359</v>
      </c>
      <c r="E282" s="122" t="s">
        <v>430</v>
      </c>
      <c r="F282" s="122" t="s">
        <v>2360</v>
      </c>
      <c r="G282" s="122" t="s">
        <v>2361</v>
      </c>
      <c r="H282" s="122" t="s">
        <v>76</v>
      </c>
      <c r="I282" s="122" t="s">
        <v>73</v>
      </c>
      <c r="J282" s="122" t="s">
        <v>61</v>
      </c>
      <c r="K282" s="122" t="s">
        <v>314</v>
      </c>
      <c r="L282" s="122" t="s">
        <v>805</v>
      </c>
      <c r="M282" s="122" t="s">
        <v>476</v>
      </c>
      <c r="N282" s="122" t="s">
        <v>899</v>
      </c>
      <c r="O282" s="122" t="s">
        <v>62</v>
      </c>
      <c r="P282" s="122" t="s">
        <v>1217</v>
      </c>
      <c r="Q282" s="123">
        <v>12398</v>
      </c>
      <c r="R282" s="123">
        <v>3.306</v>
      </c>
      <c r="S282" s="123">
        <v>1761</v>
      </c>
      <c r="T282" s="122"/>
      <c r="U282" s="123">
        <v>721.79499999999996</v>
      </c>
      <c r="V282" s="125">
        <v>4.2009999999999999E-2</v>
      </c>
      <c r="W282" s="125">
        <v>1.1E-4</v>
      </c>
      <c r="X282" s="126">
        <v>3.0000000000000001E-5</v>
      </c>
      <c r="Y282" s="161"/>
    </row>
    <row r="283" spans="1:25" x14ac:dyDescent="0.2">
      <c r="A283" s="121" t="s">
        <v>1223</v>
      </c>
      <c r="B283" s="122" t="s">
        <v>1223</v>
      </c>
      <c r="C283" s="122" t="s">
        <v>2365</v>
      </c>
      <c r="D283" s="122" t="s">
        <v>2366</v>
      </c>
      <c r="E283" s="122" t="s">
        <v>429</v>
      </c>
      <c r="F283" s="122" t="s">
        <v>2365</v>
      </c>
      <c r="G283" s="122" t="s">
        <v>2367</v>
      </c>
      <c r="H283" s="122" t="s">
        <v>76</v>
      </c>
      <c r="I283" s="122" t="s">
        <v>73</v>
      </c>
      <c r="J283" s="122" t="s">
        <v>61</v>
      </c>
      <c r="K283" s="122" t="s">
        <v>53</v>
      </c>
      <c r="L283" s="122" t="s">
        <v>805</v>
      </c>
      <c r="M283" s="122" t="s">
        <v>476</v>
      </c>
      <c r="N283" s="122" t="s">
        <v>893</v>
      </c>
      <c r="O283" s="122" t="s">
        <v>62</v>
      </c>
      <c r="P283" s="122" t="s">
        <v>1217</v>
      </c>
      <c r="Q283" s="123">
        <v>2119816</v>
      </c>
      <c r="R283" s="123">
        <v>3.306</v>
      </c>
      <c r="S283" s="123">
        <v>1.7</v>
      </c>
      <c r="T283" s="122"/>
      <c r="U283" s="123">
        <v>119.13800000000001</v>
      </c>
      <c r="V283" s="125">
        <v>1.376E-2</v>
      </c>
      <c r="W283" s="125">
        <v>2.0000000000000002E-5</v>
      </c>
      <c r="X283" s="126">
        <v>0</v>
      </c>
      <c r="Y283" s="161"/>
    </row>
    <row r="284" spans="1:25" x14ac:dyDescent="0.2">
      <c r="A284" s="121" t="s">
        <v>1223</v>
      </c>
      <c r="B284" s="122" t="s">
        <v>1223</v>
      </c>
      <c r="C284" s="122" t="s">
        <v>2368</v>
      </c>
      <c r="D284" s="122" t="s">
        <v>2369</v>
      </c>
      <c r="E284" s="122" t="s">
        <v>430</v>
      </c>
      <c r="F284" s="122" t="s">
        <v>2368</v>
      </c>
      <c r="G284" s="122" t="s">
        <v>2370</v>
      </c>
      <c r="H284" s="122" t="s">
        <v>76</v>
      </c>
      <c r="I284" s="122" t="s">
        <v>73</v>
      </c>
      <c r="J284" s="122" t="s">
        <v>61</v>
      </c>
      <c r="K284" s="122" t="s">
        <v>314</v>
      </c>
      <c r="L284" s="122" t="s">
        <v>805</v>
      </c>
      <c r="M284" s="122" t="s">
        <v>479</v>
      </c>
      <c r="N284" s="122" t="s">
        <v>899</v>
      </c>
      <c r="O284" s="122" t="s">
        <v>62</v>
      </c>
      <c r="P284" s="122" t="s">
        <v>1217</v>
      </c>
      <c r="Q284" s="123">
        <v>1176</v>
      </c>
      <c r="R284" s="123">
        <v>3.306</v>
      </c>
      <c r="S284" s="123">
        <v>2711</v>
      </c>
      <c r="T284" s="122"/>
      <c r="U284" s="123">
        <v>105.4</v>
      </c>
      <c r="V284" s="125">
        <v>1.0000000000000001E-5</v>
      </c>
      <c r="W284" s="125">
        <v>2.0000000000000002E-5</v>
      </c>
      <c r="X284" s="126">
        <v>0</v>
      </c>
      <c r="Y284" s="161"/>
    </row>
    <row r="285" spans="1:25" x14ac:dyDescent="0.2">
      <c r="A285" s="121" t="s">
        <v>1223</v>
      </c>
      <c r="B285" s="122" t="s">
        <v>1223</v>
      </c>
      <c r="C285" s="122" t="s">
        <v>2371</v>
      </c>
      <c r="D285" s="122" t="s">
        <v>2372</v>
      </c>
      <c r="E285" s="122" t="s">
        <v>430</v>
      </c>
      <c r="F285" s="122" t="s">
        <v>2371</v>
      </c>
      <c r="G285" s="122" t="s">
        <v>2373</v>
      </c>
      <c r="H285" s="122" t="s">
        <v>76</v>
      </c>
      <c r="I285" s="122" t="s">
        <v>73</v>
      </c>
      <c r="J285" s="122" t="s">
        <v>61</v>
      </c>
      <c r="K285" s="122" t="s">
        <v>314</v>
      </c>
      <c r="L285" s="122" t="s">
        <v>805</v>
      </c>
      <c r="M285" s="122" t="s">
        <v>479</v>
      </c>
      <c r="N285" s="122" t="s">
        <v>899</v>
      </c>
      <c r="O285" s="122" t="s">
        <v>62</v>
      </c>
      <c r="P285" s="122" t="s">
        <v>1217</v>
      </c>
      <c r="Q285" s="123">
        <v>97</v>
      </c>
      <c r="R285" s="123">
        <v>3.306</v>
      </c>
      <c r="S285" s="123">
        <v>701</v>
      </c>
      <c r="T285" s="122"/>
      <c r="U285" s="123">
        <v>2.2480000000000002</v>
      </c>
      <c r="V285" s="125">
        <v>0</v>
      </c>
      <c r="W285" s="125">
        <v>0</v>
      </c>
      <c r="X285" s="126">
        <v>0</v>
      </c>
      <c r="Y285" s="161"/>
    </row>
    <row r="286" spans="1:25" x14ac:dyDescent="0.2">
      <c r="A286" s="121" t="s">
        <v>1211</v>
      </c>
      <c r="B286" s="122" t="s">
        <v>1212</v>
      </c>
      <c r="C286" s="133"/>
      <c r="D286" s="133"/>
      <c r="E286" s="133"/>
      <c r="F286" s="133"/>
      <c r="G286" s="133"/>
      <c r="H286" s="133"/>
      <c r="I286" s="133"/>
      <c r="J286" s="133"/>
      <c r="K286" s="133"/>
      <c r="L286" s="122"/>
      <c r="M286" s="122"/>
      <c r="N286" s="133"/>
      <c r="O286" s="133"/>
      <c r="P286" s="133"/>
      <c r="Q286" s="133"/>
      <c r="R286" s="133"/>
      <c r="S286" s="133"/>
      <c r="T286" s="122"/>
      <c r="U286" s="133"/>
      <c r="V286" s="133"/>
      <c r="W286" s="133"/>
      <c r="X286" s="136"/>
      <c r="Y286" s="161"/>
    </row>
    <row r="287" spans="1:25" x14ac:dyDescent="0.2">
      <c r="A287" s="121" t="s">
        <v>1211</v>
      </c>
      <c r="B287" s="122" t="s">
        <v>1220</v>
      </c>
      <c r="C287" s="133"/>
      <c r="D287" s="133"/>
      <c r="E287" s="133"/>
      <c r="F287" s="133"/>
      <c r="G287" s="133"/>
      <c r="H287" s="133"/>
      <c r="I287" s="133"/>
      <c r="J287" s="133"/>
      <c r="K287" s="133"/>
      <c r="L287" s="122"/>
      <c r="M287" s="122"/>
      <c r="N287" s="133"/>
      <c r="O287" s="133"/>
      <c r="P287" s="133"/>
      <c r="Q287" s="133"/>
      <c r="R287" s="133"/>
      <c r="S287" s="133"/>
      <c r="T287" s="122"/>
      <c r="U287" s="133"/>
      <c r="V287" s="133"/>
      <c r="W287" s="133"/>
      <c r="X287" s="136"/>
      <c r="Y287" s="161"/>
    </row>
    <row r="288" spans="1:25" x14ac:dyDescent="0.2">
      <c r="A288" s="121" t="s">
        <v>1223</v>
      </c>
      <c r="B288" s="122" t="s">
        <v>1224</v>
      </c>
      <c r="C288" s="133"/>
      <c r="D288" s="133"/>
      <c r="E288" s="133"/>
      <c r="F288" s="133"/>
      <c r="G288" s="133"/>
      <c r="H288" s="133"/>
      <c r="I288" s="133"/>
      <c r="J288" s="133"/>
      <c r="K288" s="133"/>
      <c r="L288" s="122"/>
      <c r="M288" s="122"/>
      <c r="N288" s="133"/>
      <c r="O288" s="133"/>
      <c r="P288" s="133"/>
      <c r="Q288" s="133"/>
      <c r="R288" s="133"/>
      <c r="S288" s="133"/>
      <c r="T288" s="122"/>
      <c r="U288" s="133"/>
      <c r="V288" s="133"/>
      <c r="W288" s="133"/>
      <c r="X288" s="136"/>
      <c r="Y288" s="161"/>
    </row>
    <row r="289" spans="1:25" x14ac:dyDescent="0.2">
      <c r="A289" s="127" t="s">
        <v>1223</v>
      </c>
      <c r="B289" s="128" t="s">
        <v>1225</v>
      </c>
      <c r="C289" s="134"/>
      <c r="D289" s="134"/>
      <c r="E289" s="134"/>
      <c r="F289" s="134"/>
      <c r="G289" s="134"/>
      <c r="H289" s="134"/>
      <c r="I289" s="134"/>
      <c r="J289" s="134"/>
      <c r="K289" s="134"/>
      <c r="L289" s="128"/>
      <c r="M289" s="128"/>
      <c r="N289" s="134"/>
      <c r="O289" s="134"/>
      <c r="P289" s="134"/>
      <c r="Q289" s="134"/>
      <c r="R289" s="134"/>
      <c r="S289" s="134"/>
      <c r="T289" s="128"/>
      <c r="U289" s="134"/>
      <c r="V289" s="134"/>
      <c r="W289" s="134"/>
      <c r="X289" s="139"/>
      <c r="Y289" s="161"/>
    </row>
    <row r="290" spans="1:25" x14ac:dyDescent="0.2">
      <c r="A290" s="161" t="s">
        <v>3483</v>
      </c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</row>
    <row r="291" spans="1:25" x14ac:dyDescent="0.2">
      <c r="A291" s="3" t="s">
        <v>3482</v>
      </c>
    </row>
    <row r="292" spans="1:25" x14ac:dyDescent="0.2">
      <c r="A292" s="156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  <pageSetup orientation="portrait"/>
    </customSheetView>
  </customSheetViews>
  <mergeCells count="2">
    <mergeCell ref="A290:X290"/>
    <mergeCell ref="Y2:Y289"/>
  </mergeCells>
  <dataValidations count="8">
    <dataValidation type="list" allowBlank="1" showInputMessage="1" showErrorMessage="1" sqref="J3:J20" xr:uid="{00000000-0002-0000-0700-000000000000}">
      <formula1>israel_abroad</formula1>
    </dataValidation>
    <dataValidation type="list" allowBlank="1" showInputMessage="1" showErrorMessage="1" sqref="O3:O20" xr:uid="{00000000-0002-0000-0700-000001000000}">
      <formula1>Holding_interest</formula1>
    </dataValidation>
    <dataValidation type="list" allowBlank="1" showInputMessage="1" showErrorMessage="1" sqref="K3:K21" xr:uid="{00000000-0002-0000-0700-000002000000}">
      <formula1>Country_list</formula1>
    </dataValidation>
    <dataValidation type="list" allowBlank="1" showInputMessage="1" showErrorMessage="1" sqref="E3:E21" xr:uid="{00000000-0002-0000-0700-000003000000}">
      <formula1>Issuer_Number_Type_2</formula1>
    </dataValidation>
    <dataValidation type="list" allowBlank="1" showInputMessage="1" showErrorMessage="1" sqref="H3:H21" xr:uid="{00000000-0002-0000-0700-000004000000}">
      <formula1>Security_ID_Number_Type</formula1>
    </dataValidation>
    <dataValidation type="list" allowBlank="1" showInputMessage="1" showErrorMessage="1" sqref="N3:N22" xr:uid="{00000000-0002-0000-0700-000005000000}">
      <formula1>Industry_Sector</formula1>
    </dataValidation>
    <dataValidation type="list" allowBlank="1" showInputMessage="1" showErrorMessage="1" sqref="L3:L21" xr:uid="{00000000-0002-0000-0700-000006000000}">
      <formula1>Tradeable_Status</formula1>
    </dataValidation>
    <dataValidation type="list" allowBlank="1" showInputMessage="1" showErrorMessage="1" sqref="M3:M21" xr:uid="{00000000-0002-0000-0700-000007000000}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בחירה'!$C$884:$C$889</xm:f>
          </x14:formula1>
          <xm:sqref>I3:I20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X212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3" width="11.625" customWidth="1"/>
    <col min="14" max="14" width="15.125" customWidth="1"/>
    <col min="15" max="15" width="11.75" customWidth="1"/>
    <col min="16" max="16" width="14.875" style="3" customWidth="1"/>
    <col min="17" max="17" width="11.625" customWidth="1"/>
    <col min="18" max="18" width="12.875" customWidth="1"/>
    <col min="19" max="19" width="22.25" customWidth="1"/>
    <col min="20" max="20" width="17.875" customWidth="1"/>
    <col min="21" max="21" width="19" customWidth="1"/>
    <col min="22" max="22" width="21.75" customWidth="1"/>
    <col min="23" max="23" width="20.125" customWidth="1"/>
    <col min="24" max="24" width="11.625" hidden="1" customWidth="1"/>
    <col min="25" max="16384" width="9" hidden="1"/>
  </cols>
  <sheetData>
    <row r="1" spans="1:24" x14ac:dyDescent="0.2">
      <c r="A1" t="s">
        <v>3492</v>
      </c>
    </row>
    <row r="2" spans="1:24" x14ac:dyDescent="0.2">
      <c r="A2" s="118" t="s">
        <v>651</v>
      </c>
      <c r="B2" s="119" t="s">
        <v>0</v>
      </c>
      <c r="C2" s="119" t="s">
        <v>724</v>
      </c>
      <c r="D2" s="119" t="s">
        <v>2</v>
      </c>
      <c r="E2" s="119" t="s">
        <v>740</v>
      </c>
      <c r="F2" s="119" t="s">
        <v>1145</v>
      </c>
      <c r="G2" s="119" t="s">
        <v>29</v>
      </c>
      <c r="H2" s="119" t="s">
        <v>28</v>
      </c>
      <c r="I2" s="119" t="s">
        <v>1</v>
      </c>
      <c r="J2" s="119" t="s">
        <v>604</v>
      </c>
      <c r="K2" s="119" t="s">
        <v>605</v>
      </c>
      <c r="L2" s="119" t="s">
        <v>5</v>
      </c>
      <c r="M2" s="119" t="s">
        <v>300</v>
      </c>
      <c r="N2" s="119" t="s">
        <v>606</v>
      </c>
      <c r="O2" s="119" t="s">
        <v>396</v>
      </c>
      <c r="P2" s="119" t="s">
        <v>773</v>
      </c>
      <c r="Q2" s="119" t="s">
        <v>11</v>
      </c>
      <c r="R2" s="119" t="s">
        <v>15</v>
      </c>
      <c r="S2" s="119" t="s">
        <v>938</v>
      </c>
      <c r="T2" s="119" t="s">
        <v>1153</v>
      </c>
      <c r="U2" s="119" t="s">
        <v>18</v>
      </c>
      <c r="V2" s="119" t="s">
        <v>19</v>
      </c>
      <c r="W2" s="120" t="s">
        <v>30</v>
      </c>
      <c r="X2" s="159" t="s">
        <v>3484</v>
      </c>
    </row>
    <row r="3" spans="1:24" x14ac:dyDescent="0.2">
      <c r="A3" s="121" t="s">
        <v>1211</v>
      </c>
      <c r="B3" s="122" t="s">
        <v>1212</v>
      </c>
      <c r="C3" s="122" t="s">
        <v>2374</v>
      </c>
      <c r="D3" s="122" t="s">
        <v>2375</v>
      </c>
      <c r="E3" s="122" t="s">
        <v>429</v>
      </c>
      <c r="F3" s="122" t="s">
        <v>2376</v>
      </c>
      <c r="G3" s="122" t="s">
        <v>2377</v>
      </c>
      <c r="H3" s="122" t="s">
        <v>76</v>
      </c>
      <c r="I3" s="122" t="s">
        <v>234</v>
      </c>
      <c r="J3" s="122" t="s">
        <v>53</v>
      </c>
      <c r="K3" s="122" t="s">
        <v>53</v>
      </c>
      <c r="L3" s="122" t="s">
        <v>311</v>
      </c>
      <c r="M3" s="122" t="s">
        <v>1053</v>
      </c>
      <c r="N3" s="122" t="s">
        <v>62</v>
      </c>
      <c r="O3" s="122" t="s">
        <v>1216</v>
      </c>
      <c r="P3" s="123">
        <v>69325</v>
      </c>
      <c r="Q3" s="123">
        <v>1</v>
      </c>
      <c r="R3" s="123">
        <v>3183</v>
      </c>
      <c r="S3" s="135"/>
      <c r="T3" s="123">
        <v>2206.6149999999998</v>
      </c>
      <c r="U3" s="125">
        <v>3.65E-3</v>
      </c>
      <c r="V3" s="125">
        <v>0.10134</v>
      </c>
      <c r="W3" s="126">
        <v>6.2839999999999993E-2</v>
      </c>
      <c r="X3" s="159"/>
    </row>
    <row r="4" spans="1:24" x14ac:dyDescent="0.2">
      <c r="A4" s="121" t="s">
        <v>1211</v>
      </c>
      <c r="B4" s="122" t="s">
        <v>1212</v>
      </c>
      <c r="C4" s="122" t="s">
        <v>2378</v>
      </c>
      <c r="D4" s="122" t="s">
        <v>2379</v>
      </c>
      <c r="E4" s="122" t="s">
        <v>429</v>
      </c>
      <c r="F4" s="122" t="s">
        <v>2380</v>
      </c>
      <c r="G4" s="122" t="s">
        <v>2381</v>
      </c>
      <c r="H4" s="122" t="s">
        <v>76</v>
      </c>
      <c r="I4" s="122" t="s">
        <v>234</v>
      </c>
      <c r="J4" s="122" t="s">
        <v>53</v>
      </c>
      <c r="K4" s="122" t="s">
        <v>53</v>
      </c>
      <c r="L4" s="122" t="s">
        <v>311</v>
      </c>
      <c r="M4" s="122" t="s">
        <v>1053</v>
      </c>
      <c r="N4" s="122" t="s">
        <v>62</v>
      </c>
      <c r="O4" s="122" t="s">
        <v>1216</v>
      </c>
      <c r="P4" s="123">
        <v>5295</v>
      </c>
      <c r="Q4" s="123">
        <v>1</v>
      </c>
      <c r="R4" s="123">
        <v>31690</v>
      </c>
      <c r="S4" s="135"/>
      <c r="T4" s="123">
        <v>1677.9860000000001</v>
      </c>
      <c r="U4" s="125">
        <v>2.5200000000000001E-3</v>
      </c>
      <c r="V4" s="125">
        <v>7.7060000000000003E-2</v>
      </c>
      <c r="W4" s="126">
        <v>4.7789999999999999E-2</v>
      </c>
      <c r="X4" s="159"/>
    </row>
    <row r="5" spans="1:24" x14ac:dyDescent="0.2">
      <c r="A5" s="121" t="s">
        <v>1211</v>
      </c>
      <c r="B5" s="122" t="s">
        <v>1212</v>
      </c>
      <c r="C5" s="122" t="s">
        <v>2382</v>
      </c>
      <c r="D5" s="122" t="s">
        <v>2383</v>
      </c>
      <c r="E5" s="122" t="s">
        <v>429</v>
      </c>
      <c r="F5" s="122" t="s">
        <v>2384</v>
      </c>
      <c r="G5" s="122" t="s">
        <v>2385</v>
      </c>
      <c r="H5" s="122" t="s">
        <v>76</v>
      </c>
      <c r="I5" s="122" t="s">
        <v>236</v>
      </c>
      <c r="J5" s="122" t="s">
        <v>53</v>
      </c>
      <c r="K5" s="122" t="s">
        <v>53</v>
      </c>
      <c r="L5" s="122" t="s">
        <v>311</v>
      </c>
      <c r="M5" s="122" t="s">
        <v>965</v>
      </c>
      <c r="N5" s="122" t="s">
        <v>62</v>
      </c>
      <c r="O5" s="122" t="s">
        <v>1216</v>
      </c>
      <c r="P5" s="123">
        <v>273540</v>
      </c>
      <c r="Q5" s="123">
        <v>1</v>
      </c>
      <c r="R5" s="123">
        <v>497.98</v>
      </c>
      <c r="S5" s="135"/>
      <c r="T5" s="123">
        <v>1362.174</v>
      </c>
      <c r="U5" s="125">
        <v>6.8399999999999997E-3</v>
      </c>
      <c r="V5" s="125">
        <v>6.2560000000000004E-2</v>
      </c>
      <c r="W5" s="126">
        <v>3.8789999999999998E-2</v>
      </c>
      <c r="X5" s="159"/>
    </row>
    <row r="6" spans="1:24" x14ac:dyDescent="0.2">
      <c r="A6" s="121" t="s">
        <v>1211</v>
      </c>
      <c r="B6" s="122" t="s">
        <v>1212</v>
      </c>
      <c r="C6" s="122" t="s">
        <v>2374</v>
      </c>
      <c r="D6" s="122" t="s">
        <v>2375</v>
      </c>
      <c r="E6" s="122" t="s">
        <v>429</v>
      </c>
      <c r="F6" s="122" t="s">
        <v>2386</v>
      </c>
      <c r="G6" s="122" t="s">
        <v>2387</v>
      </c>
      <c r="H6" s="122" t="s">
        <v>76</v>
      </c>
      <c r="I6" s="122" t="s">
        <v>236</v>
      </c>
      <c r="J6" s="122" t="s">
        <v>53</v>
      </c>
      <c r="K6" s="122" t="s">
        <v>53</v>
      </c>
      <c r="L6" s="122" t="s">
        <v>311</v>
      </c>
      <c r="M6" s="122" t="s">
        <v>965</v>
      </c>
      <c r="N6" s="122" t="s">
        <v>62</v>
      </c>
      <c r="O6" s="122" t="s">
        <v>1216</v>
      </c>
      <c r="P6" s="123">
        <v>320404</v>
      </c>
      <c r="Q6" s="123">
        <v>1</v>
      </c>
      <c r="R6" s="123">
        <v>402.04</v>
      </c>
      <c r="S6" s="135"/>
      <c r="T6" s="123">
        <v>1288.152</v>
      </c>
      <c r="U6" s="125">
        <v>2.5100000000000001E-3</v>
      </c>
      <c r="V6" s="125">
        <v>5.9159999999999997E-2</v>
      </c>
      <c r="W6" s="126">
        <v>3.669E-2</v>
      </c>
      <c r="X6" s="159"/>
    </row>
    <row r="7" spans="1:24" x14ac:dyDescent="0.2">
      <c r="A7" s="121" t="s">
        <v>1211</v>
      </c>
      <c r="B7" s="122" t="s">
        <v>1212</v>
      </c>
      <c r="C7" s="122" t="s">
        <v>2382</v>
      </c>
      <c r="D7" s="122" t="s">
        <v>2383</v>
      </c>
      <c r="E7" s="122" t="s">
        <v>429</v>
      </c>
      <c r="F7" s="122" t="s">
        <v>2388</v>
      </c>
      <c r="G7" s="122" t="s">
        <v>2389</v>
      </c>
      <c r="H7" s="122" t="s">
        <v>76</v>
      </c>
      <c r="I7" s="122" t="s">
        <v>236</v>
      </c>
      <c r="J7" s="122" t="s">
        <v>53</v>
      </c>
      <c r="K7" s="122" t="s">
        <v>53</v>
      </c>
      <c r="L7" s="122" t="s">
        <v>311</v>
      </c>
      <c r="M7" s="122" t="s">
        <v>985</v>
      </c>
      <c r="N7" s="122" t="s">
        <v>62</v>
      </c>
      <c r="O7" s="122" t="s">
        <v>1216</v>
      </c>
      <c r="P7" s="123">
        <v>206274</v>
      </c>
      <c r="Q7" s="123">
        <v>1</v>
      </c>
      <c r="R7" s="123">
        <v>487.66</v>
      </c>
      <c r="S7" s="135"/>
      <c r="T7" s="123">
        <v>1005.9160000000001</v>
      </c>
      <c r="U7" s="125">
        <v>5.8300000000000001E-3</v>
      </c>
      <c r="V7" s="125">
        <v>4.6199999999999998E-2</v>
      </c>
      <c r="W7" s="126">
        <v>2.8649999999999998E-2</v>
      </c>
      <c r="X7" s="159"/>
    </row>
    <row r="8" spans="1:24" x14ac:dyDescent="0.2">
      <c r="A8" s="121" t="s">
        <v>1211</v>
      </c>
      <c r="B8" s="122" t="s">
        <v>1212</v>
      </c>
      <c r="C8" s="122" t="s">
        <v>2390</v>
      </c>
      <c r="D8" s="122" t="s">
        <v>2391</v>
      </c>
      <c r="E8" s="122" t="s">
        <v>429</v>
      </c>
      <c r="F8" s="122" t="s">
        <v>2392</v>
      </c>
      <c r="G8" s="122" t="s">
        <v>2393</v>
      </c>
      <c r="H8" s="122" t="s">
        <v>76</v>
      </c>
      <c r="I8" s="122" t="s">
        <v>234</v>
      </c>
      <c r="J8" s="122" t="s">
        <v>53</v>
      </c>
      <c r="K8" s="122" t="s">
        <v>53</v>
      </c>
      <c r="L8" s="122" t="s">
        <v>311</v>
      </c>
      <c r="M8" s="122" t="s">
        <v>1053</v>
      </c>
      <c r="N8" s="122" t="s">
        <v>62</v>
      </c>
      <c r="O8" s="122" t="s">
        <v>1216</v>
      </c>
      <c r="P8" s="123">
        <v>29949</v>
      </c>
      <c r="Q8" s="123">
        <v>1</v>
      </c>
      <c r="R8" s="123">
        <v>3172</v>
      </c>
      <c r="S8" s="135"/>
      <c r="T8" s="123">
        <v>949.98199999999997</v>
      </c>
      <c r="U8" s="125">
        <v>1.47E-3</v>
      </c>
      <c r="V8" s="125">
        <v>4.3630000000000002E-2</v>
      </c>
      <c r="W8" s="126">
        <v>2.7050000000000001E-2</v>
      </c>
      <c r="X8" s="159"/>
    </row>
    <row r="9" spans="1:24" x14ac:dyDescent="0.2">
      <c r="A9" s="121" t="s">
        <v>1211</v>
      </c>
      <c r="B9" s="122" t="s">
        <v>1212</v>
      </c>
      <c r="C9" s="122" t="s">
        <v>2378</v>
      </c>
      <c r="D9" s="122" t="s">
        <v>2379</v>
      </c>
      <c r="E9" s="122" t="s">
        <v>429</v>
      </c>
      <c r="F9" s="122" t="s">
        <v>2394</v>
      </c>
      <c r="G9" s="122" t="s">
        <v>2395</v>
      </c>
      <c r="H9" s="122" t="s">
        <v>76</v>
      </c>
      <c r="I9" s="122" t="s">
        <v>236</v>
      </c>
      <c r="J9" s="122" t="s">
        <v>53</v>
      </c>
      <c r="K9" s="122" t="s">
        <v>53</v>
      </c>
      <c r="L9" s="122" t="s">
        <v>311</v>
      </c>
      <c r="M9" s="122" t="s">
        <v>985</v>
      </c>
      <c r="N9" s="122" t="s">
        <v>62</v>
      </c>
      <c r="O9" s="122" t="s">
        <v>1216</v>
      </c>
      <c r="P9" s="123">
        <v>18353.22</v>
      </c>
      <c r="Q9" s="123">
        <v>1</v>
      </c>
      <c r="R9" s="123">
        <v>4185.8599999999997</v>
      </c>
      <c r="S9" s="135"/>
      <c r="T9" s="123">
        <v>768.24</v>
      </c>
      <c r="U9" s="125">
        <v>2.0899999999999998E-3</v>
      </c>
      <c r="V9" s="125">
        <v>3.5279999999999999E-2</v>
      </c>
      <c r="W9" s="126">
        <v>2.188E-2</v>
      </c>
      <c r="X9" s="159"/>
    </row>
    <row r="10" spans="1:24" x14ac:dyDescent="0.2">
      <c r="A10" s="121" t="s">
        <v>1211</v>
      </c>
      <c r="B10" s="122" t="s">
        <v>1212</v>
      </c>
      <c r="C10" s="122" t="s">
        <v>2382</v>
      </c>
      <c r="D10" s="122" t="s">
        <v>2383</v>
      </c>
      <c r="E10" s="122" t="s">
        <v>429</v>
      </c>
      <c r="F10" s="122" t="s">
        <v>2396</v>
      </c>
      <c r="G10" s="122" t="s">
        <v>2397</v>
      </c>
      <c r="H10" s="122" t="s">
        <v>76</v>
      </c>
      <c r="I10" s="122" t="s">
        <v>234</v>
      </c>
      <c r="J10" s="122" t="s">
        <v>53</v>
      </c>
      <c r="K10" s="122" t="s">
        <v>53</v>
      </c>
      <c r="L10" s="122" t="s">
        <v>311</v>
      </c>
      <c r="M10" s="122" t="s">
        <v>1053</v>
      </c>
      <c r="N10" s="122" t="s">
        <v>62</v>
      </c>
      <c r="O10" s="122" t="s">
        <v>1216</v>
      </c>
      <c r="P10" s="123">
        <v>11046</v>
      </c>
      <c r="Q10" s="123">
        <v>1</v>
      </c>
      <c r="R10" s="123">
        <v>4984</v>
      </c>
      <c r="S10" s="135"/>
      <c r="T10" s="123">
        <v>550.53300000000002</v>
      </c>
      <c r="U10" s="125">
        <v>1.23E-3</v>
      </c>
      <c r="V10" s="125">
        <v>2.528E-2</v>
      </c>
      <c r="W10" s="126">
        <v>1.5679999999999999E-2</v>
      </c>
      <c r="X10" s="159"/>
    </row>
    <row r="11" spans="1:24" x14ac:dyDescent="0.2">
      <c r="A11" s="121" t="s">
        <v>1211</v>
      </c>
      <c r="B11" s="122" t="s">
        <v>1212</v>
      </c>
      <c r="C11" s="122" t="s">
        <v>2378</v>
      </c>
      <c r="D11" s="122" t="s">
        <v>2379</v>
      </c>
      <c r="E11" s="122" t="s">
        <v>429</v>
      </c>
      <c r="F11" s="122" t="s">
        <v>2398</v>
      </c>
      <c r="G11" s="122" t="s">
        <v>2399</v>
      </c>
      <c r="H11" s="122" t="s">
        <v>76</v>
      </c>
      <c r="I11" s="122" t="s">
        <v>236</v>
      </c>
      <c r="J11" s="122" t="s">
        <v>53</v>
      </c>
      <c r="K11" s="122" t="s">
        <v>53</v>
      </c>
      <c r="L11" s="122" t="s">
        <v>311</v>
      </c>
      <c r="M11" s="122" t="s">
        <v>965</v>
      </c>
      <c r="N11" s="122" t="s">
        <v>62</v>
      </c>
      <c r="O11" s="122" t="s">
        <v>1216</v>
      </c>
      <c r="P11" s="123">
        <v>272868</v>
      </c>
      <c r="Q11" s="123">
        <v>1</v>
      </c>
      <c r="R11" s="123">
        <v>119.39</v>
      </c>
      <c r="S11" s="135"/>
      <c r="T11" s="123">
        <v>325.77699999999999</v>
      </c>
      <c r="U11" s="125">
        <v>6.8000000000000005E-4</v>
      </c>
      <c r="V11" s="125">
        <v>1.4959999999999999E-2</v>
      </c>
      <c r="W11" s="126">
        <v>9.2800000000000001E-3</v>
      </c>
      <c r="X11" s="159"/>
    </row>
    <row r="12" spans="1:24" x14ac:dyDescent="0.2">
      <c r="A12" s="121" t="s">
        <v>1211</v>
      </c>
      <c r="B12" s="122" t="s">
        <v>1212</v>
      </c>
      <c r="C12" s="122" t="s">
        <v>2374</v>
      </c>
      <c r="D12" s="122" t="s">
        <v>2375</v>
      </c>
      <c r="E12" s="122" t="s">
        <v>429</v>
      </c>
      <c r="F12" s="122" t="s">
        <v>2400</v>
      </c>
      <c r="G12" s="122" t="s">
        <v>2401</v>
      </c>
      <c r="H12" s="122" t="s">
        <v>76</v>
      </c>
      <c r="I12" s="122" t="s">
        <v>236</v>
      </c>
      <c r="J12" s="122" t="s">
        <v>53</v>
      </c>
      <c r="K12" s="122" t="s">
        <v>53</v>
      </c>
      <c r="L12" s="122" t="s">
        <v>311</v>
      </c>
      <c r="M12" s="122" t="s">
        <v>985</v>
      </c>
      <c r="N12" s="122" t="s">
        <v>62</v>
      </c>
      <c r="O12" s="122" t="s">
        <v>1216</v>
      </c>
      <c r="P12" s="123">
        <v>42131</v>
      </c>
      <c r="Q12" s="123">
        <v>1</v>
      </c>
      <c r="R12" s="123">
        <v>418.76</v>
      </c>
      <c r="S12" s="135"/>
      <c r="T12" s="123">
        <v>176.428</v>
      </c>
      <c r="U12" s="125">
        <v>5.5999999999999995E-4</v>
      </c>
      <c r="V12" s="125">
        <v>8.0999999999999996E-3</v>
      </c>
      <c r="W12" s="126">
        <v>5.0200000000000002E-3</v>
      </c>
      <c r="X12" s="159"/>
    </row>
    <row r="13" spans="1:24" x14ac:dyDescent="0.2">
      <c r="A13" s="121" t="s">
        <v>1211</v>
      </c>
      <c r="B13" s="122" t="s">
        <v>1212</v>
      </c>
      <c r="C13" s="122" t="s">
        <v>2402</v>
      </c>
      <c r="D13" s="122" t="s">
        <v>2403</v>
      </c>
      <c r="E13" s="122" t="s">
        <v>430</v>
      </c>
      <c r="F13" s="122" t="s">
        <v>2404</v>
      </c>
      <c r="G13" s="122" t="s">
        <v>2405</v>
      </c>
      <c r="H13" s="122" t="s">
        <v>76</v>
      </c>
      <c r="I13" s="122" t="s">
        <v>235</v>
      </c>
      <c r="J13" s="122" t="s">
        <v>61</v>
      </c>
      <c r="K13" s="122" t="s">
        <v>314</v>
      </c>
      <c r="L13" s="122" t="s">
        <v>476</v>
      </c>
      <c r="M13" s="122" t="s">
        <v>1074</v>
      </c>
      <c r="N13" s="122" t="s">
        <v>62</v>
      </c>
      <c r="O13" s="122" t="s">
        <v>1217</v>
      </c>
      <c r="P13" s="123">
        <v>1015</v>
      </c>
      <c r="Q13" s="123">
        <v>3.306</v>
      </c>
      <c r="R13" s="123">
        <v>66618</v>
      </c>
      <c r="S13" s="123">
        <v>1.859</v>
      </c>
      <c r="T13" s="123">
        <v>2241.5709999999999</v>
      </c>
      <c r="U13" s="125">
        <v>0</v>
      </c>
      <c r="V13" s="125">
        <v>0.10303</v>
      </c>
      <c r="W13" s="126">
        <v>6.3890000000000002E-2</v>
      </c>
      <c r="X13" s="159"/>
    </row>
    <row r="14" spans="1:24" x14ac:dyDescent="0.2">
      <c r="A14" s="121" t="s">
        <v>1211</v>
      </c>
      <c r="B14" s="122" t="s">
        <v>1212</v>
      </c>
      <c r="C14" s="122" t="s">
        <v>2406</v>
      </c>
      <c r="D14" s="122" t="s">
        <v>2407</v>
      </c>
      <c r="E14" s="122" t="s">
        <v>430</v>
      </c>
      <c r="F14" s="122" t="s">
        <v>2408</v>
      </c>
      <c r="G14" s="122" t="s">
        <v>2409</v>
      </c>
      <c r="H14" s="122" t="s">
        <v>76</v>
      </c>
      <c r="I14" s="122" t="s">
        <v>235</v>
      </c>
      <c r="J14" s="122" t="s">
        <v>61</v>
      </c>
      <c r="K14" s="122" t="s">
        <v>314</v>
      </c>
      <c r="L14" s="122" t="s">
        <v>479</v>
      </c>
      <c r="M14" s="122" t="s">
        <v>1067</v>
      </c>
      <c r="N14" s="122" t="s">
        <v>62</v>
      </c>
      <c r="O14" s="122" t="s">
        <v>1217</v>
      </c>
      <c r="P14" s="123">
        <v>1037</v>
      </c>
      <c r="Q14" s="123">
        <v>3.306</v>
      </c>
      <c r="R14" s="123">
        <v>60037</v>
      </c>
      <c r="S14" s="123">
        <v>0.72</v>
      </c>
      <c r="T14" s="123">
        <v>2060.6410000000001</v>
      </c>
      <c r="U14" s="125">
        <v>0</v>
      </c>
      <c r="V14" s="125">
        <v>9.4670000000000004E-2</v>
      </c>
      <c r="W14" s="126">
        <v>5.8709999999999998E-2</v>
      </c>
      <c r="X14" s="159"/>
    </row>
    <row r="15" spans="1:24" x14ac:dyDescent="0.2">
      <c r="A15" s="121" t="s">
        <v>1211</v>
      </c>
      <c r="B15" s="122" t="s">
        <v>1212</v>
      </c>
      <c r="C15" s="122" t="s">
        <v>2410</v>
      </c>
      <c r="D15" s="122" t="s">
        <v>2411</v>
      </c>
      <c r="E15" s="122" t="s">
        <v>430</v>
      </c>
      <c r="F15" s="122" t="s">
        <v>2410</v>
      </c>
      <c r="G15" s="122" t="s">
        <v>2412</v>
      </c>
      <c r="H15" s="122" t="s">
        <v>76</v>
      </c>
      <c r="I15" s="122" t="s">
        <v>235</v>
      </c>
      <c r="J15" s="122" t="s">
        <v>61</v>
      </c>
      <c r="K15" s="122" t="s">
        <v>314</v>
      </c>
      <c r="L15" s="122" t="s">
        <v>476</v>
      </c>
      <c r="M15" s="122" t="s">
        <v>1074</v>
      </c>
      <c r="N15" s="122" t="s">
        <v>62</v>
      </c>
      <c r="O15" s="122" t="s">
        <v>1217</v>
      </c>
      <c r="P15" s="123">
        <v>1010</v>
      </c>
      <c r="Q15" s="123">
        <v>3.306</v>
      </c>
      <c r="R15" s="123">
        <v>61238</v>
      </c>
      <c r="S15" s="123">
        <v>1.7569999999999999</v>
      </c>
      <c r="T15" s="123">
        <v>2050.5839999999998</v>
      </c>
      <c r="U15" s="125">
        <v>0</v>
      </c>
      <c r="V15" s="125">
        <v>9.425E-2</v>
      </c>
      <c r="W15" s="126">
        <v>5.8450000000000002E-2</v>
      </c>
      <c r="X15" s="159"/>
    </row>
    <row r="16" spans="1:24" x14ac:dyDescent="0.2">
      <c r="A16" s="121" t="s">
        <v>1211</v>
      </c>
      <c r="B16" s="122" t="s">
        <v>1212</v>
      </c>
      <c r="C16" s="122" t="s">
        <v>2413</v>
      </c>
      <c r="D16" s="122" t="s">
        <v>2414</v>
      </c>
      <c r="E16" s="122" t="s">
        <v>430</v>
      </c>
      <c r="F16" s="122" t="s">
        <v>2413</v>
      </c>
      <c r="G16" s="122" t="s">
        <v>2415</v>
      </c>
      <c r="H16" s="122" t="s">
        <v>76</v>
      </c>
      <c r="I16" s="122" t="s">
        <v>235</v>
      </c>
      <c r="J16" s="122" t="s">
        <v>61</v>
      </c>
      <c r="K16" s="122" t="s">
        <v>314</v>
      </c>
      <c r="L16" s="122" t="s">
        <v>476</v>
      </c>
      <c r="M16" s="122" t="s">
        <v>1081</v>
      </c>
      <c r="N16" s="122" t="s">
        <v>62</v>
      </c>
      <c r="O16" s="122" t="s">
        <v>1217</v>
      </c>
      <c r="P16" s="123">
        <v>600</v>
      </c>
      <c r="Q16" s="123">
        <v>3.306</v>
      </c>
      <c r="R16" s="123">
        <v>28186</v>
      </c>
      <c r="S16" s="135"/>
      <c r="T16" s="123">
        <v>559.09699999999998</v>
      </c>
      <c r="U16" s="125">
        <v>0</v>
      </c>
      <c r="V16" s="125">
        <v>2.5680000000000001E-2</v>
      </c>
      <c r="W16" s="126">
        <v>1.592E-2</v>
      </c>
      <c r="X16" s="159"/>
    </row>
    <row r="17" spans="1:24" x14ac:dyDescent="0.2">
      <c r="A17" s="121" t="s">
        <v>1211</v>
      </c>
      <c r="B17" s="122" t="s">
        <v>1212</v>
      </c>
      <c r="C17" s="122" t="s">
        <v>2416</v>
      </c>
      <c r="D17" s="122" t="s">
        <v>2417</v>
      </c>
      <c r="E17" s="122" t="s">
        <v>430</v>
      </c>
      <c r="F17" s="122" t="s">
        <v>2416</v>
      </c>
      <c r="G17" s="122" t="s">
        <v>2418</v>
      </c>
      <c r="H17" s="122" t="s">
        <v>76</v>
      </c>
      <c r="I17" s="122" t="s">
        <v>235</v>
      </c>
      <c r="J17" s="122" t="s">
        <v>61</v>
      </c>
      <c r="K17" s="122" t="s">
        <v>314</v>
      </c>
      <c r="L17" s="122" t="s">
        <v>476</v>
      </c>
      <c r="M17" s="122" t="s">
        <v>1056</v>
      </c>
      <c r="N17" s="122" t="s">
        <v>62</v>
      </c>
      <c r="O17" s="122" t="s">
        <v>1217</v>
      </c>
      <c r="P17" s="123">
        <v>2375</v>
      </c>
      <c r="Q17" s="123">
        <v>3.306</v>
      </c>
      <c r="R17" s="123">
        <v>5387</v>
      </c>
      <c r="S17" s="135"/>
      <c r="T17" s="123">
        <v>422.97399999999999</v>
      </c>
      <c r="U17" s="125">
        <v>0</v>
      </c>
      <c r="V17" s="125">
        <v>1.9429999999999999E-2</v>
      </c>
      <c r="W17" s="126">
        <v>1.205E-2</v>
      </c>
      <c r="X17" s="159"/>
    </row>
    <row r="18" spans="1:24" x14ac:dyDescent="0.2">
      <c r="A18" s="121" t="s">
        <v>1211</v>
      </c>
      <c r="B18" s="122" t="s">
        <v>1212</v>
      </c>
      <c r="C18" s="122" t="s">
        <v>2419</v>
      </c>
      <c r="D18" s="122" t="s">
        <v>2420</v>
      </c>
      <c r="E18" s="122" t="s">
        <v>430</v>
      </c>
      <c r="F18" s="122" t="s">
        <v>2419</v>
      </c>
      <c r="G18" s="122" t="s">
        <v>2421</v>
      </c>
      <c r="H18" s="122" t="s">
        <v>76</v>
      </c>
      <c r="I18" s="122" t="s">
        <v>237</v>
      </c>
      <c r="J18" s="122" t="s">
        <v>61</v>
      </c>
      <c r="K18" s="122" t="s">
        <v>314</v>
      </c>
      <c r="L18" s="122" t="s">
        <v>494</v>
      </c>
      <c r="M18" s="122" t="s">
        <v>1062</v>
      </c>
      <c r="N18" s="122" t="s">
        <v>62</v>
      </c>
      <c r="O18" s="122" t="s">
        <v>1217</v>
      </c>
      <c r="P18" s="123">
        <v>19012</v>
      </c>
      <c r="Q18" s="123">
        <v>3.306</v>
      </c>
      <c r="R18" s="123">
        <v>627.5</v>
      </c>
      <c r="S18" s="135"/>
      <c r="T18" s="123">
        <v>394.40699999999998</v>
      </c>
      <c r="U18" s="125">
        <v>3.0000000000000001E-5</v>
      </c>
      <c r="V18" s="125">
        <v>1.8110000000000001E-2</v>
      </c>
      <c r="W18" s="126">
        <v>1.123E-2</v>
      </c>
      <c r="X18" s="159"/>
    </row>
    <row r="19" spans="1:24" x14ac:dyDescent="0.2">
      <c r="A19" s="121" t="s">
        <v>1211</v>
      </c>
      <c r="B19" s="122" t="s">
        <v>1212</v>
      </c>
      <c r="C19" s="122" t="s">
        <v>2422</v>
      </c>
      <c r="D19" s="122" t="s">
        <v>2423</v>
      </c>
      <c r="E19" s="122" t="s">
        <v>430</v>
      </c>
      <c r="F19" s="122" t="s">
        <v>2424</v>
      </c>
      <c r="G19" s="122" t="s">
        <v>2425</v>
      </c>
      <c r="H19" s="122" t="s">
        <v>76</v>
      </c>
      <c r="I19" s="122" t="s">
        <v>235</v>
      </c>
      <c r="J19" s="122" t="s">
        <v>61</v>
      </c>
      <c r="K19" s="122" t="s">
        <v>314</v>
      </c>
      <c r="L19" s="122" t="s">
        <v>476</v>
      </c>
      <c r="M19" s="122" t="s">
        <v>1074</v>
      </c>
      <c r="N19" s="122" t="s">
        <v>62</v>
      </c>
      <c r="O19" s="122" t="s">
        <v>1217</v>
      </c>
      <c r="P19" s="123">
        <v>551</v>
      </c>
      <c r="Q19" s="123">
        <v>3.306</v>
      </c>
      <c r="R19" s="123">
        <v>18970</v>
      </c>
      <c r="S19" s="135"/>
      <c r="T19" s="123">
        <v>345.55900000000003</v>
      </c>
      <c r="U19" s="125">
        <v>0</v>
      </c>
      <c r="V19" s="125">
        <v>1.5869999999999999E-2</v>
      </c>
      <c r="W19" s="126">
        <v>9.8399999999999998E-3</v>
      </c>
      <c r="X19" s="159"/>
    </row>
    <row r="20" spans="1:24" x14ac:dyDescent="0.2">
      <c r="A20" s="121" t="s">
        <v>1211</v>
      </c>
      <c r="B20" s="122" t="s">
        <v>1212</v>
      </c>
      <c r="C20" s="122" t="s">
        <v>2426</v>
      </c>
      <c r="D20" s="122" t="s">
        <v>2427</v>
      </c>
      <c r="E20" s="122" t="s">
        <v>430</v>
      </c>
      <c r="F20" s="122" t="s">
        <v>2426</v>
      </c>
      <c r="G20" s="122" t="s">
        <v>2428</v>
      </c>
      <c r="H20" s="122" t="s">
        <v>76</v>
      </c>
      <c r="I20" s="122" t="s">
        <v>235</v>
      </c>
      <c r="J20" s="122" t="s">
        <v>61</v>
      </c>
      <c r="K20" s="122" t="s">
        <v>314</v>
      </c>
      <c r="L20" s="122" t="s">
        <v>476</v>
      </c>
      <c r="M20" s="122" t="s">
        <v>1066</v>
      </c>
      <c r="N20" s="122" t="s">
        <v>62</v>
      </c>
      <c r="O20" s="122" t="s">
        <v>1217</v>
      </c>
      <c r="P20" s="123">
        <v>2664</v>
      </c>
      <c r="Q20" s="123">
        <v>3.306</v>
      </c>
      <c r="R20" s="123">
        <v>3794</v>
      </c>
      <c r="S20" s="135"/>
      <c r="T20" s="123">
        <v>334.14499999999998</v>
      </c>
      <c r="U20" s="125">
        <v>2.0000000000000002E-5</v>
      </c>
      <c r="V20" s="125">
        <v>1.5350000000000001E-2</v>
      </c>
      <c r="W20" s="126">
        <v>9.5200000000000007E-3</v>
      </c>
      <c r="X20" s="159"/>
    </row>
    <row r="21" spans="1:24" x14ac:dyDescent="0.2">
      <c r="A21" s="121" t="s">
        <v>1211</v>
      </c>
      <c r="B21" s="122" t="s">
        <v>1212</v>
      </c>
      <c r="C21" s="122" t="s">
        <v>2429</v>
      </c>
      <c r="D21" s="122" t="s">
        <v>2430</v>
      </c>
      <c r="E21" s="122" t="s">
        <v>430</v>
      </c>
      <c r="F21" s="122" t="s">
        <v>2429</v>
      </c>
      <c r="G21" s="122" t="s">
        <v>2431</v>
      </c>
      <c r="H21" s="122" t="s">
        <v>76</v>
      </c>
      <c r="I21" s="122" t="s">
        <v>235</v>
      </c>
      <c r="J21" s="122" t="s">
        <v>61</v>
      </c>
      <c r="K21" s="122" t="s">
        <v>188</v>
      </c>
      <c r="L21" s="122" t="s">
        <v>479</v>
      </c>
      <c r="M21" s="122" t="s">
        <v>1107</v>
      </c>
      <c r="N21" s="122" t="s">
        <v>62</v>
      </c>
      <c r="O21" s="122" t="s">
        <v>1217</v>
      </c>
      <c r="P21" s="123">
        <v>991</v>
      </c>
      <c r="Q21" s="123">
        <v>3.306</v>
      </c>
      <c r="R21" s="123">
        <v>9122</v>
      </c>
      <c r="S21" s="122"/>
      <c r="T21" s="123">
        <v>298.85899999999998</v>
      </c>
      <c r="U21" s="125">
        <v>3.0000000000000001E-5</v>
      </c>
      <c r="V21" s="125">
        <v>1.3729999999999999E-2</v>
      </c>
      <c r="W21" s="126">
        <v>8.5100000000000002E-3</v>
      </c>
      <c r="X21" s="159"/>
    </row>
    <row r="22" spans="1:24" x14ac:dyDescent="0.2">
      <c r="A22" s="121" t="s">
        <v>1211</v>
      </c>
      <c r="B22" s="122" t="s">
        <v>1212</v>
      </c>
      <c r="C22" s="122" t="s">
        <v>2432</v>
      </c>
      <c r="D22" s="122" t="s">
        <v>2433</v>
      </c>
      <c r="E22" s="122" t="s">
        <v>430</v>
      </c>
      <c r="F22" s="122" t="s">
        <v>2434</v>
      </c>
      <c r="G22" s="122" t="s">
        <v>2435</v>
      </c>
      <c r="H22" s="122" t="s">
        <v>76</v>
      </c>
      <c r="I22" s="122" t="s">
        <v>235</v>
      </c>
      <c r="J22" s="122" t="s">
        <v>61</v>
      </c>
      <c r="K22" s="122" t="s">
        <v>314</v>
      </c>
      <c r="L22" s="122" t="s">
        <v>476</v>
      </c>
      <c r="M22" s="122" t="s">
        <v>1051</v>
      </c>
      <c r="N22" s="122" t="s">
        <v>62</v>
      </c>
      <c r="O22" s="122" t="s">
        <v>1217</v>
      </c>
      <c r="P22" s="123">
        <v>525</v>
      </c>
      <c r="Q22" s="123">
        <v>3.306</v>
      </c>
      <c r="R22" s="123">
        <v>15423</v>
      </c>
      <c r="S22" s="122"/>
      <c r="T22" s="123">
        <v>267.68900000000002</v>
      </c>
      <c r="U22" s="125">
        <v>0</v>
      </c>
      <c r="V22" s="125">
        <v>1.2290000000000001E-2</v>
      </c>
      <c r="W22" s="126">
        <v>7.62E-3</v>
      </c>
      <c r="X22" s="159"/>
    </row>
    <row r="23" spans="1:24" x14ac:dyDescent="0.2">
      <c r="A23" s="121" t="s">
        <v>1211</v>
      </c>
      <c r="B23" s="122" t="s">
        <v>1212</v>
      </c>
      <c r="C23" s="122" t="s">
        <v>2436</v>
      </c>
      <c r="D23" s="122" t="s">
        <v>2437</v>
      </c>
      <c r="E23" s="122" t="s">
        <v>430</v>
      </c>
      <c r="F23" s="122" t="s">
        <v>2436</v>
      </c>
      <c r="G23" s="122" t="s">
        <v>2438</v>
      </c>
      <c r="H23" s="122" t="s">
        <v>76</v>
      </c>
      <c r="I23" s="122" t="s">
        <v>235</v>
      </c>
      <c r="J23" s="122" t="s">
        <v>61</v>
      </c>
      <c r="K23" s="122" t="s">
        <v>173</v>
      </c>
      <c r="L23" s="122" t="s">
        <v>102</v>
      </c>
      <c r="M23" s="122" t="s">
        <v>1080</v>
      </c>
      <c r="N23" s="122" t="s">
        <v>62</v>
      </c>
      <c r="O23" s="122" t="s">
        <v>1218</v>
      </c>
      <c r="P23" s="123">
        <v>232</v>
      </c>
      <c r="Q23" s="123">
        <v>3.8809999999999998</v>
      </c>
      <c r="R23" s="123">
        <v>26801</v>
      </c>
      <c r="S23" s="122"/>
      <c r="T23" s="123">
        <v>241.29499999999999</v>
      </c>
      <c r="U23" s="125">
        <v>1.0000000000000001E-5</v>
      </c>
      <c r="V23" s="125">
        <v>1.108E-2</v>
      </c>
      <c r="W23" s="126">
        <v>6.8700000000000002E-3</v>
      </c>
      <c r="X23" s="159"/>
    </row>
    <row r="24" spans="1:24" x14ac:dyDescent="0.2">
      <c r="A24" s="121" t="s">
        <v>1211</v>
      </c>
      <c r="B24" s="122" t="s">
        <v>1212</v>
      </c>
      <c r="C24" s="122" t="s">
        <v>2439</v>
      </c>
      <c r="D24" s="122" t="s">
        <v>2440</v>
      </c>
      <c r="E24" s="122" t="s">
        <v>430</v>
      </c>
      <c r="F24" s="122" t="s">
        <v>2441</v>
      </c>
      <c r="G24" s="122" t="s">
        <v>2442</v>
      </c>
      <c r="H24" s="122" t="s">
        <v>76</v>
      </c>
      <c r="I24" s="122" t="s">
        <v>235</v>
      </c>
      <c r="J24" s="122" t="s">
        <v>61</v>
      </c>
      <c r="K24" s="122" t="s">
        <v>314</v>
      </c>
      <c r="L24" s="122" t="s">
        <v>476</v>
      </c>
      <c r="M24" s="122" t="s">
        <v>1082</v>
      </c>
      <c r="N24" s="122" t="s">
        <v>62</v>
      </c>
      <c r="O24" s="122" t="s">
        <v>1217</v>
      </c>
      <c r="P24" s="123">
        <v>531</v>
      </c>
      <c r="Q24" s="123">
        <v>3.306</v>
      </c>
      <c r="R24" s="123">
        <v>11501</v>
      </c>
      <c r="S24" s="122"/>
      <c r="T24" s="123">
        <v>201.898</v>
      </c>
      <c r="U24" s="125">
        <v>1.0000000000000001E-5</v>
      </c>
      <c r="V24" s="125">
        <v>9.2700000000000005E-3</v>
      </c>
      <c r="W24" s="126">
        <v>5.7499999999999999E-3</v>
      </c>
      <c r="X24" s="159"/>
    </row>
    <row r="25" spans="1:24" x14ac:dyDescent="0.2">
      <c r="A25" s="121" t="s">
        <v>1211</v>
      </c>
      <c r="B25" s="122" t="s">
        <v>1212</v>
      </c>
      <c r="C25" s="122" t="s">
        <v>2443</v>
      </c>
      <c r="D25" s="122" t="s">
        <v>2444</v>
      </c>
      <c r="E25" s="122" t="s">
        <v>430</v>
      </c>
      <c r="F25" s="122" t="s">
        <v>2443</v>
      </c>
      <c r="G25" s="122" t="s">
        <v>2445</v>
      </c>
      <c r="H25" s="122" t="s">
        <v>76</v>
      </c>
      <c r="I25" s="122" t="s">
        <v>235</v>
      </c>
      <c r="J25" s="122" t="s">
        <v>61</v>
      </c>
      <c r="K25" s="122" t="s">
        <v>166</v>
      </c>
      <c r="L25" s="122" t="s">
        <v>476</v>
      </c>
      <c r="M25" s="122" t="s">
        <v>1069</v>
      </c>
      <c r="N25" s="122" t="s">
        <v>62</v>
      </c>
      <c r="O25" s="122" t="s">
        <v>1217</v>
      </c>
      <c r="P25" s="123">
        <v>668</v>
      </c>
      <c r="Q25" s="123">
        <v>3.306</v>
      </c>
      <c r="R25" s="123">
        <v>8021</v>
      </c>
      <c r="S25" s="122"/>
      <c r="T25" s="123">
        <v>177.136</v>
      </c>
      <c r="U25" s="125">
        <v>0</v>
      </c>
      <c r="V25" s="125">
        <v>8.1300000000000001E-3</v>
      </c>
      <c r="W25" s="126">
        <v>5.0400000000000002E-3</v>
      </c>
      <c r="X25" s="159"/>
    </row>
    <row r="26" spans="1:24" x14ac:dyDescent="0.2">
      <c r="A26" s="121" t="s">
        <v>1211</v>
      </c>
      <c r="B26" s="122" t="s">
        <v>1212</v>
      </c>
      <c r="C26" s="122" t="s">
        <v>2446</v>
      </c>
      <c r="D26" s="122" t="s">
        <v>2447</v>
      </c>
      <c r="E26" s="122" t="s">
        <v>430</v>
      </c>
      <c r="F26" s="122" t="s">
        <v>2448</v>
      </c>
      <c r="G26" s="122" t="s">
        <v>2449</v>
      </c>
      <c r="H26" s="122" t="s">
        <v>76</v>
      </c>
      <c r="I26" s="122" t="s">
        <v>235</v>
      </c>
      <c r="J26" s="122" t="s">
        <v>61</v>
      </c>
      <c r="K26" s="122" t="s">
        <v>314</v>
      </c>
      <c r="L26" s="122" t="s">
        <v>476</v>
      </c>
      <c r="M26" s="122" t="s">
        <v>1108</v>
      </c>
      <c r="N26" s="122" t="s">
        <v>62</v>
      </c>
      <c r="O26" s="122" t="s">
        <v>1217</v>
      </c>
      <c r="P26" s="123">
        <v>107</v>
      </c>
      <c r="Q26" s="123">
        <v>3.306</v>
      </c>
      <c r="R26" s="123">
        <v>46374</v>
      </c>
      <c r="S26" s="123">
        <v>0.14099999999999999</v>
      </c>
      <c r="T26" s="123">
        <v>164.51</v>
      </c>
      <c r="U26" s="125">
        <v>0</v>
      </c>
      <c r="V26" s="125">
        <v>7.5599999999999999E-3</v>
      </c>
      <c r="W26" s="126">
        <v>4.6899999999999997E-3</v>
      </c>
      <c r="X26" s="159"/>
    </row>
    <row r="27" spans="1:24" x14ac:dyDescent="0.2">
      <c r="A27" s="121" t="s">
        <v>1211</v>
      </c>
      <c r="B27" s="122" t="s">
        <v>1212</v>
      </c>
      <c r="C27" s="122" t="s">
        <v>2450</v>
      </c>
      <c r="D27" s="122" t="s">
        <v>2451</v>
      </c>
      <c r="E27" s="122" t="s">
        <v>430</v>
      </c>
      <c r="F27" s="122" t="s">
        <v>2452</v>
      </c>
      <c r="G27" s="122" t="s">
        <v>2453</v>
      </c>
      <c r="H27" s="122" t="s">
        <v>76</v>
      </c>
      <c r="I27" s="122" t="s">
        <v>235</v>
      </c>
      <c r="J27" s="122" t="s">
        <v>61</v>
      </c>
      <c r="K27" s="122" t="s">
        <v>314</v>
      </c>
      <c r="L27" s="122" t="s">
        <v>479</v>
      </c>
      <c r="M27" s="122" t="s">
        <v>1081</v>
      </c>
      <c r="N27" s="122" t="s">
        <v>62</v>
      </c>
      <c r="O27" s="122" t="s">
        <v>1217</v>
      </c>
      <c r="P27" s="123">
        <v>129</v>
      </c>
      <c r="Q27" s="123">
        <v>3.306</v>
      </c>
      <c r="R27" s="123">
        <v>32636</v>
      </c>
      <c r="S27" s="122"/>
      <c r="T27" s="123">
        <v>139.184</v>
      </c>
      <c r="U27" s="125">
        <v>0</v>
      </c>
      <c r="V27" s="125">
        <v>6.3899999999999998E-3</v>
      </c>
      <c r="W27" s="126">
        <v>3.96E-3</v>
      </c>
      <c r="X27" s="159"/>
    </row>
    <row r="28" spans="1:24" x14ac:dyDescent="0.2">
      <c r="A28" s="121" t="s">
        <v>1211</v>
      </c>
      <c r="B28" s="122" t="s">
        <v>1212</v>
      </c>
      <c r="C28" s="122" t="s">
        <v>2454</v>
      </c>
      <c r="D28" s="122" t="s">
        <v>2455</v>
      </c>
      <c r="E28" s="122" t="s">
        <v>430</v>
      </c>
      <c r="F28" s="122" t="s">
        <v>2454</v>
      </c>
      <c r="G28" s="122" t="s">
        <v>2456</v>
      </c>
      <c r="H28" s="122" t="s">
        <v>76</v>
      </c>
      <c r="I28" s="122" t="s">
        <v>235</v>
      </c>
      <c r="J28" s="122" t="s">
        <v>61</v>
      </c>
      <c r="K28" s="122" t="s">
        <v>314</v>
      </c>
      <c r="L28" s="122" t="s">
        <v>476</v>
      </c>
      <c r="M28" s="122" t="s">
        <v>1108</v>
      </c>
      <c r="N28" s="122" t="s">
        <v>62</v>
      </c>
      <c r="O28" s="122" t="s">
        <v>1217</v>
      </c>
      <c r="P28" s="123">
        <v>355</v>
      </c>
      <c r="Q28" s="123">
        <v>3.306</v>
      </c>
      <c r="R28" s="123">
        <v>11837</v>
      </c>
      <c r="S28" s="122"/>
      <c r="T28" s="123">
        <v>138.923</v>
      </c>
      <c r="U28" s="125">
        <v>0</v>
      </c>
      <c r="V28" s="125">
        <v>6.3800000000000003E-3</v>
      </c>
      <c r="W28" s="126">
        <v>3.96E-3</v>
      </c>
      <c r="X28" s="159"/>
    </row>
    <row r="29" spans="1:24" x14ac:dyDescent="0.2">
      <c r="A29" s="121" t="s">
        <v>1211</v>
      </c>
      <c r="B29" s="122" t="s">
        <v>1212</v>
      </c>
      <c r="C29" s="122" t="s">
        <v>2457</v>
      </c>
      <c r="D29" s="122" t="s">
        <v>2458</v>
      </c>
      <c r="E29" s="122" t="s">
        <v>430</v>
      </c>
      <c r="F29" s="122" t="s">
        <v>2457</v>
      </c>
      <c r="G29" s="122" t="s">
        <v>2459</v>
      </c>
      <c r="H29" s="122" t="s">
        <v>76</v>
      </c>
      <c r="I29" s="122" t="s">
        <v>235</v>
      </c>
      <c r="J29" s="122" t="s">
        <v>61</v>
      </c>
      <c r="K29" s="122" t="s">
        <v>188</v>
      </c>
      <c r="L29" s="122" t="s">
        <v>476</v>
      </c>
      <c r="M29" s="122" t="s">
        <v>1058</v>
      </c>
      <c r="N29" s="122" t="s">
        <v>62</v>
      </c>
      <c r="O29" s="122" t="s">
        <v>1217</v>
      </c>
      <c r="P29" s="123">
        <v>990</v>
      </c>
      <c r="Q29" s="123">
        <v>3.306</v>
      </c>
      <c r="R29" s="123">
        <v>4201</v>
      </c>
      <c r="S29" s="122"/>
      <c r="T29" s="123">
        <v>137.49600000000001</v>
      </c>
      <c r="U29" s="125">
        <v>1.0000000000000001E-5</v>
      </c>
      <c r="V29" s="125">
        <v>6.3099999999999996E-3</v>
      </c>
      <c r="W29" s="126">
        <v>3.9199999999999999E-3</v>
      </c>
      <c r="X29" s="159"/>
    </row>
    <row r="30" spans="1:24" x14ac:dyDescent="0.2">
      <c r="A30" s="121" t="s">
        <v>1211</v>
      </c>
      <c r="B30" s="122" t="s">
        <v>1212</v>
      </c>
      <c r="C30" s="122" t="s">
        <v>2460</v>
      </c>
      <c r="D30" s="122" t="s">
        <v>2461</v>
      </c>
      <c r="E30" s="122" t="s">
        <v>430</v>
      </c>
      <c r="F30" s="122" t="s">
        <v>2462</v>
      </c>
      <c r="G30" s="122" t="s">
        <v>2463</v>
      </c>
      <c r="H30" s="122" t="s">
        <v>76</v>
      </c>
      <c r="I30" s="122" t="s">
        <v>235</v>
      </c>
      <c r="J30" s="122" t="s">
        <v>61</v>
      </c>
      <c r="K30" s="122" t="s">
        <v>314</v>
      </c>
      <c r="L30" s="122" t="s">
        <v>476</v>
      </c>
      <c r="M30" s="122" t="s">
        <v>1048</v>
      </c>
      <c r="N30" s="122" t="s">
        <v>62</v>
      </c>
      <c r="O30" s="122" t="s">
        <v>1217</v>
      </c>
      <c r="P30" s="123">
        <v>896</v>
      </c>
      <c r="Q30" s="123">
        <v>3.306</v>
      </c>
      <c r="R30" s="123">
        <v>4420</v>
      </c>
      <c r="S30" s="122"/>
      <c r="T30" s="123">
        <v>130.928</v>
      </c>
      <c r="U30" s="125">
        <v>1.0000000000000001E-5</v>
      </c>
      <c r="V30" s="125">
        <v>6.0099999999999997E-3</v>
      </c>
      <c r="W30" s="126">
        <v>3.7299999999999998E-3</v>
      </c>
      <c r="X30" s="159"/>
    </row>
    <row r="31" spans="1:24" x14ac:dyDescent="0.2">
      <c r="A31" s="121" t="s">
        <v>1211</v>
      </c>
      <c r="B31" s="122" t="s">
        <v>1212</v>
      </c>
      <c r="C31" s="122" t="s">
        <v>2464</v>
      </c>
      <c r="D31" s="122" t="s">
        <v>2465</v>
      </c>
      <c r="E31" s="122" t="s">
        <v>430</v>
      </c>
      <c r="F31" s="122" t="s">
        <v>2466</v>
      </c>
      <c r="G31" s="122" t="s">
        <v>2467</v>
      </c>
      <c r="H31" s="122" t="s">
        <v>76</v>
      </c>
      <c r="I31" s="122" t="s">
        <v>235</v>
      </c>
      <c r="J31" s="122" t="s">
        <v>61</v>
      </c>
      <c r="K31" s="122" t="s">
        <v>188</v>
      </c>
      <c r="L31" s="122" t="s">
        <v>479</v>
      </c>
      <c r="M31" s="122" t="s">
        <v>1058</v>
      </c>
      <c r="N31" s="122" t="s">
        <v>62</v>
      </c>
      <c r="O31" s="122" t="s">
        <v>1217</v>
      </c>
      <c r="P31" s="123">
        <v>601</v>
      </c>
      <c r="Q31" s="123">
        <v>3.306</v>
      </c>
      <c r="R31" s="123">
        <v>6585</v>
      </c>
      <c r="S31" s="122"/>
      <c r="T31" s="123">
        <v>130.83799999999999</v>
      </c>
      <c r="U31" s="125">
        <v>1.0000000000000001E-5</v>
      </c>
      <c r="V31" s="125">
        <v>6.0099999999999997E-3</v>
      </c>
      <c r="W31" s="126">
        <v>3.7299999999999998E-3</v>
      </c>
      <c r="X31" s="159"/>
    </row>
    <row r="32" spans="1:24" x14ac:dyDescent="0.2">
      <c r="A32" s="121" t="s">
        <v>1211</v>
      </c>
      <c r="B32" s="122" t="s">
        <v>1212</v>
      </c>
      <c r="C32" s="122" t="s">
        <v>2468</v>
      </c>
      <c r="D32" s="122" t="s">
        <v>2469</v>
      </c>
      <c r="E32" s="122" t="s">
        <v>430</v>
      </c>
      <c r="F32" s="122" t="s">
        <v>2468</v>
      </c>
      <c r="G32" s="122" t="s">
        <v>2470</v>
      </c>
      <c r="H32" s="122" t="s">
        <v>76</v>
      </c>
      <c r="I32" s="122" t="s">
        <v>235</v>
      </c>
      <c r="J32" s="122" t="s">
        <v>61</v>
      </c>
      <c r="K32" s="122" t="s">
        <v>314</v>
      </c>
      <c r="L32" s="122" t="s">
        <v>476</v>
      </c>
      <c r="M32" s="122" t="s">
        <v>1056</v>
      </c>
      <c r="N32" s="122" t="s">
        <v>62</v>
      </c>
      <c r="O32" s="122" t="s">
        <v>1217</v>
      </c>
      <c r="P32" s="123">
        <v>202</v>
      </c>
      <c r="Q32" s="123">
        <v>3.306</v>
      </c>
      <c r="R32" s="123">
        <v>17688</v>
      </c>
      <c r="S32" s="122"/>
      <c r="T32" s="123">
        <v>118.123</v>
      </c>
      <c r="U32" s="125">
        <v>5.0000000000000002E-5</v>
      </c>
      <c r="V32" s="125">
        <v>5.4200000000000003E-3</v>
      </c>
      <c r="W32" s="126">
        <v>3.3600000000000001E-3</v>
      </c>
      <c r="X32" s="159"/>
    </row>
    <row r="33" spans="1:24" x14ac:dyDescent="0.2">
      <c r="A33" s="121" t="s">
        <v>1211</v>
      </c>
      <c r="B33" s="122" t="s">
        <v>1212</v>
      </c>
      <c r="C33" s="122" t="s">
        <v>2471</v>
      </c>
      <c r="D33" s="122" t="s">
        <v>2472</v>
      </c>
      <c r="E33" s="122" t="s">
        <v>430</v>
      </c>
      <c r="F33" s="122" t="s">
        <v>2471</v>
      </c>
      <c r="G33" s="122" t="s">
        <v>2473</v>
      </c>
      <c r="H33" s="122" t="s">
        <v>76</v>
      </c>
      <c r="I33" s="122" t="s">
        <v>235</v>
      </c>
      <c r="J33" s="122" t="s">
        <v>61</v>
      </c>
      <c r="K33" s="122" t="s">
        <v>314</v>
      </c>
      <c r="L33" s="122" t="s">
        <v>476</v>
      </c>
      <c r="M33" s="122" t="s">
        <v>1108</v>
      </c>
      <c r="N33" s="122" t="s">
        <v>62</v>
      </c>
      <c r="O33" s="122" t="s">
        <v>1217</v>
      </c>
      <c r="P33" s="123">
        <v>134</v>
      </c>
      <c r="Q33" s="123">
        <v>3.306</v>
      </c>
      <c r="R33" s="123">
        <v>23964</v>
      </c>
      <c r="S33" s="122"/>
      <c r="T33" s="123">
        <v>106.161</v>
      </c>
      <c r="U33" s="125">
        <v>0</v>
      </c>
      <c r="V33" s="125">
        <v>4.8799999999999998E-3</v>
      </c>
      <c r="W33" s="126">
        <v>3.0200000000000001E-3</v>
      </c>
      <c r="X33" s="159"/>
    </row>
    <row r="34" spans="1:24" x14ac:dyDescent="0.2">
      <c r="A34" s="121" t="s">
        <v>1211</v>
      </c>
      <c r="B34" s="122" t="s">
        <v>1212</v>
      </c>
      <c r="C34" s="122" t="s">
        <v>2474</v>
      </c>
      <c r="D34" s="122" t="s">
        <v>2475</v>
      </c>
      <c r="E34" s="122" t="s">
        <v>430</v>
      </c>
      <c r="F34" s="122" t="s">
        <v>2474</v>
      </c>
      <c r="G34" s="122" t="s">
        <v>2476</v>
      </c>
      <c r="H34" s="122" t="s">
        <v>76</v>
      </c>
      <c r="I34" s="122" t="s">
        <v>235</v>
      </c>
      <c r="J34" s="122" t="s">
        <v>61</v>
      </c>
      <c r="K34" s="122" t="s">
        <v>314</v>
      </c>
      <c r="L34" s="122" t="s">
        <v>476</v>
      </c>
      <c r="M34" s="122" t="s">
        <v>1059</v>
      </c>
      <c r="N34" s="122" t="s">
        <v>62</v>
      </c>
      <c r="O34" s="122" t="s">
        <v>1217</v>
      </c>
      <c r="P34" s="123">
        <v>222</v>
      </c>
      <c r="Q34" s="123">
        <v>3.306</v>
      </c>
      <c r="R34" s="123">
        <v>13917</v>
      </c>
      <c r="S34" s="122"/>
      <c r="T34" s="123">
        <v>102.14100000000001</v>
      </c>
      <c r="U34" s="125">
        <v>0</v>
      </c>
      <c r="V34" s="125">
        <v>4.6899999999999997E-3</v>
      </c>
      <c r="W34" s="126">
        <v>2.9099999999999998E-3</v>
      </c>
      <c r="X34" s="159"/>
    </row>
    <row r="35" spans="1:24" x14ac:dyDescent="0.2">
      <c r="A35" s="121" t="s">
        <v>1211</v>
      </c>
      <c r="B35" s="122" t="s">
        <v>1212</v>
      </c>
      <c r="C35" s="122" t="s">
        <v>2477</v>
      </c>
      <c r="D35" s="122" t="s">
        <v>2478</v>
      </c>
      <c r="E35" s="122" t="s">
        <v>430</v>
      </c>
      <c r="F35" s="122" t="s">
        <v>2479</v>
      </c>
      <c r="G35" s="122" t="s">
        <v>2480</v>
      </c>
      <c r="H35" s="122" t="s">
        <v>76</v>
      </c>
      <c r="I35" s="122" t="s">
        <v>235</v>
      </c>
      <c r="J35" s="122" t="s">
        <v>61</v>
      </c>
      <c r="K35" s="122" t="s">
        <v>314</v>
      </c>
      <c r="L35" s="122" t="s">
        <v>476</v>
      </c>
      <c r="M35" s="122" t="s">
        <v>1103</v>
      </c>
      <c r="N35" s="122" t="s">
        <v>62</v>
      </c>
      <c r="O35" s="122" t="s">
        <v>1217</v>
      </c>
      <c r="P35" s="123">
        <v>186</v>
      </c>
      <c r="Q35" s="123">
        <v>3.306</v>
      </c>
      <c r="R35" s="123">
        <v>15545</v>
      </c>
      <c r="S35" s="122"/>
      <c r="T35" s="123">
        <v>95.588999999999999</v>
      </c>
      <c r="U35" s="125">
        <v>0</v>
      </c>
      <c r="V35" s="125">
        <v>4.3899999999999998E-3</v>
      </c>
      <c r="W35" s="126">
        <v>2.7200000000000002E-3</v>
      </c>
      <c r="X35" s="159"/>
    </row>
    <row r="36" spans="1:24" x14ac:dyDescent="0.2">
      <c r="A36" s="121" t="s">
        <v>1211</v>
      </c>
      <c r="B36" s="122" t="s">
        <v>1212</v>
      </c>
      <c r="C36" s="122" t="s">
        <v>2481</v>
      </c>
      <c r="D36" s="122" t="s">
        <v>2482</v>
      </c>
      <c r="E36" s="122" t="s">
        <v>430</v>
      </c>
      <c r="F36" s="122" t="s">
        <v>2481</v>
      </c>
      <c r="G36" s="122" t="s">
        <v>2483</v>
      </c>
      <c r="H36" s="122" t="s">
        <v>76</v>
      </c>
      <c r="I36" s="122" t="s">
        <v>235</v>
      </c>
      <c r="J36" s="122" t="s">
        <v>61</v>
      </c>
      <c r="K36" s="122" t="s">
        <v>157</v>
      </c>
      <c r="L36" s="122" t="s">
        <v>476</v>
      </c>
      <c r="M36" s="122" t="s">
        <v>1048</v>
      </c>
      <c r="N36" s="122" t="s">
        <v>62</v>
      </c>
      <c r="O36" s="122" t="s">
        <v>1217</v>
      </c>
      <c r="P36" s="123">
        <v>504</v>
      </c>
      <c r="Q36" s="123">
        <v>3.306</v>
      </c>
      <c r="R36" s="123">
        <v>5206</v>
      </c>
      <c r="S36" s="122"/>
      <c r="T36" s="123">
        <v>86.744</v>
      </c>
      <c r="U36" s="125">
        <v>0</v>
      </c>
      <c r="V36" s="125">
        <v>3.98E-3</v>
      </c>
      <c r="W36" s="126">
        <v>2.47E-3</v>
      </c>
      <c r="X36" s="159"/>
    </row>
    <row r="37" spans="1:24" x14ac:dyDescent="0.2">
      <c r="A37" s="121" t="s">
        <v>1211</v>
      </c>
      <c r="B37" s="122" t="s">
        <v>1212</v>
      </c>
      <c r="C37" s="122" t="s">
        <v>2484</v>
      </c>
      <c r="D37" s="122" t="s">
        <v>2485</v>
      </c>
      <c r="E37" s="122" t="s">
        <v>430</v>
      </c>
      <c r="F37" s="122" t="s">
        <v>2486</v>
      </c>
      <c r="G37" s="122" t="s">
        <v>2487</v>
      </c>
      <c r="H37" s="122" t="s">
        <v>76</v>
      </c>
      <c r="I37" s="122" t="s">
        <v>235</v>
      </c>
      <c r="J37" s="122" t="s">
        <v>61</v>
      </c>
      <c r="K37" s="122" t="s">
        <v>153</v>
      </c>
      <c r="L37" s="122" t="s">
        <v>488</v>
      </c>
      <c r="M37" s="122" t="s">
        <v>1049</v>
      </c>
      <c r="N37" s="122" t="s">
        <v>62</v>
      </c>
      <c r="O37" s="122" t="s">
        <v>1218</v>
      </c>
      <c r="P37" s="123">
        <v>98</v>
      </c>
      <c r="Q37" s="123">
        <v>3.8809999999999998</v>
      </c>
      <c r="R37" s="123">
        <v>19756</v>
      </c>
      <c r="S37" s="122"/>
      <c r="T37" s="123">
        <v>75.134</v>
      </c>
      <c r="U37" s="125">
        <v>0</v>
      </c>
      <c r="V37" s="125">
        <v>3.4499999999999999E-3</v>
      </c>
      <c r="W37" s="126">
        <v>2.14E-3</v>
      </c>
      <c r="X37" s="159"/>
    </row>
    <row r="38" spans="1:24" x14ac:dyDescent="0.2">
      <c r="A38" s="121" t="s">
        <v>1211</v>
      </c>
      <c r="B38" s="122" t="s">
        <v>1212</v>
      </c>
      <c r="C38" s="122" t="s">
        <v>2488</v>
      </c>
      <c r="D38" s="122" t="s">
        <v>2411</v>
      </c>
      <c r="E38" s="122" t="s">
        <v>430</v>
      </c>
      <c r="F38" s="122" t="s">
        <v>2488</v>
      </c>
      <c r="G38" s="122" t="s">
        <v>2489</v>
      </c>
      <c r="H38" s="122" t="s">
        <v>76</v>
      </c>
      <c r="I38" s="122" t="s">
        <v>235</v>
      </c>
      <c r="J38" s="122" t="s">
        <v>61</v>
      </c>
      <c r="K38" s="122" t="s">
        <v>314</v>
      </c>
      <c r="L38" s="122" t="s">
        <v>476</v>
      </c>
      <c r="M38" s="122" t="s">
        <v>1108</v>
      </c>
      <c r="N38" s="122" t="s">
        <v>62</v>
      </c>
      <c r="O38" s="122" t="s">
        <v>1217</v>
      </c>
      <c r="P38" s="123">
        <v>192</v>
      </c>
      <c r="Q38" s="123">
        <v>3.306</v>
      </c>
      <c r="R38" s="123">
        <v>11038</v>
      </c>
      <c r="S38" s="122"/>
      <c r="T38" s="123">
        <v>70.063999999999993</v>
      </c>
      <c r="U38" s="125">
        <v>1.0000000000000001E-5</v>
      </c>
      <c r="V38" s="125">
        <v>3.2200000000000002E-3</v>
      </c>
      <c r="W38" s="126">
        <v>2E-3</v>
      </c>
      <c r="X38" s="159"/>
    </row>
    <row r="39" spans="1:24" x14ac:dyDescent="0.2">
      <c r="A39" s="121" t="s">
        <v>1211</v>
      </c>
      <c r="B39" s="122" t="s">
        <v>1212</v>
      </c>
      <c r="C39" s="122" t="s">
        <v>2490</v>
      </c>
      <c r="D39" s="122" t="s">
        <v>2491</v>
      </c>
      <c r="E39" s="122" t="s">
        <v>102</v>
      </c>
      <c r="F39" s="122" t="s">
        <v>2490</v>
      </c>
      <c r="G39" s="122" t="s">
        <v>2492</v>
      </c>
      <c r="H39" s="122" t="s">
        <v>76</v>
      </c>
      <c r="I39" s="122" t="s">
        <v>235</v>
      </c>
      <c r="J39" s="122" t="s">
        <v>61</v>
      </c>
      <c r="K39" s="122" t="s">
        <v>143</v>
      </c>
      <c r="L39" s="122" t="s">
        <v>476</v>
      </c>
      <c r="M39" s="122" t="s">
        <v>1066</v>
      </c>
      <c r="N39" s="122" t="s">
        <v>62</v>
      </c>
      <c r="O39" s="122" t="s">
        <v>1217</v>
      </c>
      <c r="P39" s="123">
        <v>675</v>
      </c>
      <c r="Q39" s="123">
        <v>3.306</v>
      </c>
      <c r="R39" s="123">
        <v>3100</v>
      </c>
      <c r="S39" s="122"/>
      <c r="T39" s="123">
        <v>69.177999999999997</v>
      </c>
      <c r="U39" s="125">
        <v>0</v>
      </c>
      <c r="V39" s="125">
        <v>3.1800000000000001E-3</v>
      </c>
      <c r="W39" s="126">
        <v>1.97E-3</v>
      </c>
      <c r="X39" s="159"/>
    </row>
    <row r="40" spans="1:24" x14ac:dyDescent="0.2">
      <c r="A40" s="121" t="s">
        <v>1211</v>
      </c>
      <c r="B40" s="122" t="s">
        <v>1212</v>
      </c>
      <c r="C40" s="122" t="s">
        <v>2493</v>
      </c>
      <c r="D40" s="122" t="s">
        <v>2494</v>
      </c>
      <c r="E40" s="122" t="s">
        <v>430</v>
      </c>
      <c r="F40" s="122" t="s">
        <v>2493</v>
      </c>
      <c r="G40" s="122" t="s">
        <v>2495</v>
      </c>
      <c r="H40" s="122" t="s">
        <v>76</v>
      </c>
      <c r="I40" s="122" t="s">
        <v>235</v>
      </c>
      <c r="J40" s="122" t="s">
        <v>61</v>
      </c>
      <c r="K40" s="122" t="s">
        <v>314</v>
      </c>
      <c r="L40" s="122" t="s">
        <v>479</v>
      </c>
      <c r="M40" s="122" t="s">
        <v>1067</v>
      </c>
      <c r="N40" s="122" t="s">
        <v>62</v>
      </c>
      <c r="O40" s="122" t="s">
        <v>1217</v>
      </c>
      <c r="P40" s="123">
        <v>132</v>
      </c>
      <c r="Q40" s="123">
        <v>3.306</v>
      </c>
      <c r="R40" s="123">
        <v>15108</v>
      </c>
      <c r="S40" s="123">
        <v>3.1E-2</v>
      </c>
      <c r="T40" s="123">
        <v>66.033000000000001</v>
      </c>
      <c r="U40" s="125">
        <v>1.0000000000000001E-5</v>
      </c>
      <c r="V40" s="125">
        <v>3.0300000000000001E-3</v>
      </c>
      <c r="W40" s="126">
        <v>1.8799999999999999E-3</v>
      </c>
      <c r="X40" s="159"/>
    </row>
    <row r="41" spans="1:24" x14ac:dyDescent="0.2">
      <c r="A41" s="121" t="s">
        <v>1211</v>
      </c>
      <c r="B41" s="122" t="s">
        <v>1212</v>
      </c>
      <c r="C41" s="122" t="s">
        <v>2496</v>
      </c>
      <c r="D41" s="122" t="s">
        <v>2497</v>
      </c>
      <c r="E41" s="122" t="s">
        <v>430</v>
      </c>
      <c r="F41" s="122" t="s">
        <v>2496</v>
      </c>
      <c r="G41" s="122" t="s">
        <v>2498</v>
      </c>
      <c r="H41" s="122" t="s">
        <v>76</v>
      </c>
      <c r="I41" s="122" t="s">
        <v>235</v>
      </c>
      <c r="J41" s="122" t="s">
        <v>61</v>
      </c>
      <c r="K41" s="122" t="s">
        <v>159</v>
      </c>
      <c r="L41" s="122" t="s">
        <v>489</v>
      </c>
      <c r="M41" s="122" t="s">
        <v>1107</v>
      </c>
      <c r="N41" s="122" t="s">
        <v>62</v>
      </c>
      <c r="O41" s="122" t="s">
        <v>1219</v>
      </c>
      <c r="P41" s="123">
        <v>10920</v>
      </c>
      <c r="Q41" s="123">
        <v>0.42499999999999999</v>
      </c>
      <c r="R41" s="123">
        <v>1363</v>
      </c>
      <c r="S41" s="122"/>
      <c r="T41" s="123">
        <v>63.226999999999997</v>
      </c>
      <c r="U41" s="125">
        <v>8.0000000000000007E-5</v>
      </c>
      <c r="V41" s="125">
        <v>2.8999999999999998E-3</v>
      </c>
      <c r="W41" s="126">
        <v>1.8E-3</v>
      </c>
      <c r="X41" s="159"/>
    </row>
    <row r="42" spans="1:24" x14ac:dyDescent="0.2">
      <c r="A42" s="121" t="s">
        <v>1211</v>
      </c>
      <c r="B42" s="122" t="s">
        <v>1212</v>
      </c>
      <c r="C42" s="122" t="s">
        <v>2499</v>
      </c>
      <c r="D42" s="122" t="s">
        <v>2500</v>
      </c>
      <c r="E42" s="122" t="s">
        <v>430</v>
      </c>
      <c r="F42" s="122" t="s">
        <v>2501</v>
      </c>
      <c r="G42" s="122" t="s">
        <v>2502</v>
      </c>
      <c r="H42" s="122" t="s">
        <v>76</v>
      </c>
      <c r="I42" s="122" t="s">
        <v>235</v>
      </c>
      <c r="J42" s="122" t="s">
        <v>61</v>
      </c>
      <c r="K42" s="122" t="s">
        <v>314</v>
      </c>
      <c r="L42" s="122" t="s">
        <v>476</v>
      </c>
      <c r="M42" s="122" t="s">
        <v>1107</v>
      </c>
      <c r="N42" s="122" t="s">
        <v>62</v>
      </c>
      <c r="O42" s="122" t="s">
        <v>1217</v>
      </c>
      <c r="P42" s="123">
        <v>297</v>
      </c>
      <c r="Q42" s="123">
        <v>3.306</v>
      </c>
      <c r="R42" s="123">
        <v>6362</v>
      </c>
      <c r="S42" s="122"/>
      <c r="T42" s="123">
        <v>62.466999999999999</v>
      </c>
      <c r="U42" s="125">
        <v>0</v>
      </c>
      <c r="V42" s="125">
        <v>2.8700000000000002E-3</v>
      </c>
      <c r="W42" s="126">
        <v>1.7799999999999999E-3</v>
      </c>
      <c r="X42" s="159"/>
    </row>
    <row r="43" spans="1:24" x14ac:dyDescent="0.2">
      <c r="A43" s="121" t="s">
        <v>1211</v>
      </c>
      <c r="B43" s="122" t="s">
        <v>1212</v>
      </c>
      <c r="C43" s="122" t="s">
        <v>2503</v>
      </c>
      <c r="D43" s="122" t="s">
        <v>2504</v>
      </c>
      <c r="E43" s="122" t="s">
        <v>430</v>
      </c>
      <c r="F43" s="122" t="s">
        <v>2503</v>
      </c>
      <c r="G43" s="122" t="s">
        <v>2505</v>
      </c>
      <c r="H43" s="122" t="s">
        <v>76</v>
      </c>
      <c r="I43" s="122" t="s">
        <v>237</v>
      </c>
      <c r="J43" s="122" t="s">
        <v>61</v>
      </c>
      <c r="K43" s="122" t="s">
        <v>315</v>
      </c>
      <c r="L43" s="122" t="s">
        <v>494</v>
      </c>
      <c r="M43" s="122" t="s">
        <v>1085</v>
      </c>
      <c r="N43" s="122" t="s">
        <v>62</v>
      </c>
      <c r="O43" s="122" t="s">
        <v>1217</v>
      </c>
      <c r="P43" s="123">
        <v>113</v>
      </c>
      <c r="Q43" s="123">
        <v>3.306</v>
      </c>
      <c r="R43" s="123">
        <v>9759</v>
      </c>
      <c r="S43" s="122"/>
      <c r="T43" s="123">
        <v>36.457000000000001</v>
      </c>
      <c r="U43" s="125">
        <v>0</v>
      </c>
      <c r="V43" s="125">
        <v>1.67E-3</v>
      </c>
      <c r="W43" s="126">
        <v>1.0399999999999999E-3</v>
      </c>
      <c r="X43" s="159"/>
    </row>
    <row r="44" spans="1:24" x14ac:dyDescent="0.2">
      <c r="A44" s="121" t="s">
        <v>1211</v>
      </c>
      <c r="B44" s="122" t="s">
        <v>1212</v>
      </c>
      <c r="C44" s="122" t="s">
        <v>2506</v>
      </c>
      <c r="D44" s="122" t="s">
        <v>2507</v>
      </c>
      <c r="E44" s="122" t="s">
        <v>430</v>
      </c>
      <c r="F44" s="122" t="s">
        <v>2508</v>
      </c>
      <c r="G44" s="122" t="s">
        <v>2509</v>
      </c>
      <c r="H44" s="122" t="s">
        <v>76</v>
      </c>
      <c r="I44" s="122" t="s">
        <v>235</v>
      </c>
      <c r="J44" s="122" t="s">
        <v>61</v>
      </c>
      <c r="K44" s="122" t="s">
        <v>314</v>
      </c>
      <c r="L44" s="122" t="s">
        <v>476</v>
      </c>
      <c r="M44" s="122" t="s">
        <v>1108</v>
      </c>
      <c r="N44" s="122" t="s">
        <v>62</v>
      </c>
      <c r="O44" s="122" t="s">
        <v>1217</v>
      </c>
      <c r="P44" s="123">
        <v>202</v>
      </c>
      <c r="Q44" s="123">
        <v>3.306</v>
      </c>
      <c r="R44" s="123">
        <v>4213</v>
      </c>
      <c r="S44" s="122"/>
      <c r="T44" s="123">
        <v>28.135000000000002</v>
      </c>
      <c r="U44" s="125">
        <v>0</v>
      </c>
      <c r="V44" s="125">
        <v>1.2899999999999999E-3</v>
      </c>
      <c r="W44" s="126">
        <v>8.0000000000000004E-4</v>
      </c>
      <c r="X44" s="159"/>
    </row>
    <row r="45" spans="1:24" x14ac:dyDescent="0.2">
      <c r="A45" s="121" t="s">
        <v>1211</v>
      </c>
      <c r="B45" s="122" t="s">
        <v>1212</v>
      </c>
      <c r="C45" s="122" t="s">
        <v>2499</v>
      </c>
      <c r="D45" s="122" t="s">
        <v>2500</v>
      </c>
      <c r="E45" s="122" t="s">
        <v>430</v>
      </c>
      <c r="F45" s="122" t="s">
        <v>2510</v>
      </c>
      <c r="G45" s="122" t="s">
        <v>2511</v>
      </c>
      <c r="H45" s="122" t="s">
        <v>76</v>
      </c>
      <c r="I45" s="122" t="s">
        <v>235</v>
      </c>
      <c r="J45" s="122" t="s">
        <v>61</v>
      </c>
      <c r="K45" s="122" t="s">
        <v>314</v>
      </c>
      <c r="L45" s="122" t="s">
        <v>476</v>
      </c>
      <c r="M45" s="122" t="s">
        <v>1108</v>
      </c>
      <c r="N45" s="122" t="s">
        <v>62</v>
      </c>
      <c r="O45" s="122" t="s">
        <v>1217</v>
      </c>
      <c r="P45" s="123">
        <v>141</v>
      </c>
      <c r="Q45" s="123">
        <v>3.306</v>
      </c>
      <c r="R45" s="123">
        <v>6008</v>
      </c>
      <c r="S45" s="122"/>
      <c r="T45" s="123">
        <v>28.006</v>
      </c>
      <c r="U45" s="125">
        <v>0</v>
      </c>
      <c r="V45" s="125">
        <v>1.2899999999999999E-3</v>
      </c>
      <c r="W45" s="126">
        <v>8.0000000000000004E-4</v>
      </c>
      <c r="X45" s="159"/>
    </row>
    <row r="46" spans="1:24" x14ac:dyDescent="0.2">
      <c r="A46" s="121" t="s">
        <v>1211</v>
      </c>
      <c r="B46" s="122" t="s">
        <v>1212</v>
      </c>
      <c r="C46" s="122" t="s">
        <v>2512</v>
      </c>
      <c r="D46" s="122" t="s">
        <v>2513</v>
      </c>
      <c r="E46" s="122" t="s">
        <v>430</v>
      </c>
      <c r="F46" s="122" t="s">
        <v>2514</v>
      </c>
      <c r="G46" s="122" t="s">
        <v>2515</v>
      </c>
      <c r="H46" s="122" t="s">
        <v>76</v>
      </c>
      <c r="I46" s="122" t="s">
        <v>235</v>
      </c>
      <c r="J46" s="122" t="s">
        <v>61</v>
      </c>
      <c r="K46" s="122" t="s">
        <v>188</v>
      </c>
      <c r="L46" s="122" t="s">
        <v>476</v>
      </c>
      <c r="M46" s="122" t="s">
        <v>1058</v>
      </c>
      <c r="N46" s="122" t="s">
        <v>62</v>
      </c>
      <c r="O46" s="122" t="s">
        <v>1217</v>
      </c>
      <c r="P46" s="123">
        <v>130</v>
      </c>
      <c r="Q46" s="123">
        <v>3.306</v>
      </c>
      <c r="R46" s="123">
        <v>4114</v>
      </c>
      <c r="S46" s="122"/>
      <c r="T46" s="123">
        <v>17.681000000000001</v>
      </c>
      <c r="U46" s="125">
        <v>0</v>
      </c>
      <c r="V46" s="125">
        <v>8.0999999999999996E-4</v>
      </c>
      <c r="W46" s="126">
        <v>5.0000000000000001E-4</v>
      </c>
      <c r="X46" s="159"/>
    </row>
    <row r="47" spans="1:24" x14ac:dyDescent="0.2">
      <c r="A47" s="121" t="s">
        <v>1211</v>
      </c>
      <c r="B47" s="122" t="s">
        <v>1220</v>
      </c>
      <c r="C47" s="122" t="s">
        <v>2382</v>
      </c>
      <c r="D47" s="122" t="s">
        <v>2383</v>
      </c>
      <c r="E47" s="122" t="s">
        <v>429</v>
      </c>
      <c r="F47" s="122" t="s">
        <v>2516</v>
      </c>
      <c r="G47" s="122" t="s">
        <v>2517</v>
      </c>
      <c r="H47" s="122" t="s">
        <v>76</v>
      </c>
      <c r="I47" s="122" t="s">
        <v>236</v>
      </c>
      <c r="J47" s="122" t="s">
        <v>53</v>
      </c>
      <c r="K47" s="122" t="s">
        <v>53</v>
      </c>
      <c r="L47" s="122" t="s">
        <v>311</v>
      </c>
      <c r="M47" s="122" t="s">
        <v>965</v>
      </c>
      <c r="N47" s="122" t="s">
        <v>62</v>
      </c>
      <c r="O47" s="122" t="s">
        <v>1216</v>
      </c>
      <c r="P47" s="123">
        <v>21471</v>
      </c>
      <c r="Q47" s="123">
        <v>1</v>
      </c>
      <c r="R47" s="123">
        <v>499.28</v>
      </c>
      <c r="S47" s="122"/>
      <c r="T47" s="123">
        <v>107.2</v>
      </c>
      <c r="U47" s="125">
        <v>1E-4</v>
      </c>
      <c r="V47" s="125">
        <v>0.21260000000000001</v>
      </c>
      <c r="W47" s="126">
        <v>4.8370000000000003E-2</v>
      </c>
      <c r="X47" s="159"/>
    </row>
    <row r="48" spans="1:24" x14ac:dyDescent="0.2">
      <c r="A48" s="121" t="s">
        <v>1211</v>
      </c>
      <c r="B48" s="122" t="s">
        <v>1220</v>
      </c>
      <c r="C48" s="122" t="s">
        <v>2374</v>
      </c>
      <c r="D48" s="122" t="s">
        <v>2375</v>
      </c>
      <c r="E48" s="122" t="s">
        <v>429</v>
      </c>
      <c r="F48" s="122" t="s">
        <v>2518</v>
      </c>
      <c r="G48" s="122" t="s">
        <v>2519</v>
      </c>
      <c r="H48" s="122" t="s">
        <v>76</v>
      </c>
      <c r="I48" s="122" t="s">
        <v>236</v>
      </c>
      <c r="J48" s="122" t="s">
        <v>53</v>
      </c>
      <c r="K48" s="122" t="s">
        <v>53</v>
      </c>
      <c r="L48" s="122" t="s">
        <v>311</v>
      </c>
      <c r="M48" s="122" t="s">
        <v>985</v>
      </c>
      <c r="N48" s="122" t="s">
        <v>62</v>
      </c>
      <c r="O48" s="122" t="s">
        <v>1216</v>
      </c>
      <c r="P48" s="123">
        <v>19893</v>
      </c>
      <c r="Q48" s="123">
        <v>1</v>
      </c>
      <c r="R48" s="123">
        <v>419.81</v>
      </c>
      <c r="S48" s="122"/>
      <c r="T48" s="123">
        <v>83.513000000000005</v>
      </c>
      <c r="U48" s="125">
        <v>6.9999999999999994E-5</v>
      </c>
      <c r="V48" s="125">
        <v>0.16561999999999999</v>
      </c>
      <c r="W48" s="126">
        <v>3.7679999999999998E-2</v>
      </c>
      <c r="X48" s="159"/>
    </row>
    <row r="49" spans="1:24" x14ac:dyDescent="0.2">
      <c r="A49" s="121" t="s">
        <v>1211</v>
      </c>
      <c r="B49" s="122" t="s">
        <v>1220</v>
      </c>
      <c r="C49" s="122" t="s">
        <v>2378</v>
      </c>
      <c r="D49" s="122" t="s">
        <v>2379</v>
      </c>
      <c r="E49" s="122" t="s">
        <v>429</v>
      </c>
      <c r="F49" s="122" t="s">
        <v>2520</v>
      </c>
      <c r="G49" s="122" t="s">
        <v>2521</v>
      </c>
      <c r="H49" s="122" t="s">
        <v>76</v>
      </c>
      <c r="I49" s="122" t="s">
        <v>236</v>
      </c>
      <c r="J49" s="122" t="s">
        <v>53</v>
      </c>
      <c r="K49" s="122" t="s">
        <v>53</v>
      </c>
      <c r="L49" s="122" t="s">
        <v>311</v>
      </c>
      <c r="M49" s="122" t="s">
        <v>987</v>
      </c>
      <c r="N49" s="122" t="s">
        <v>62</v>
      </c>
      <c r="O49" s="122" t="s">
        <v>1216</v>
      </c>
      <c r="P49" s="123">
        <v>1844</v>
      </c>
      <c r="Q49" s="123">
        <v>1</v>
      </c>
      <c r="R49" s="123">
        <v>4241.12</v>
      </c>
      <c r="S49" s="122"/>
      <c r="T49" s="123">
        <v>78.206000000000003</v>
      </c>
      <c r="U49" s="125">
        <v>5.0000000000000002E-5</v>
      </c>
      <c r="V49" s="125">
        <v>0.15509999999999999</v>
      </c>
      <c r="W49" s="126">
        <v>3.5290000000000002E-2</v>
      </c>
      <c r="X49" s="159"/>
    </row>
    <row r="50" spans="1:24" x14ac:dyDescent="0.2">
      <c r="A50" s="121" t="s">
        <v>1211</v>
      </c>
      <c r="B50" s="122" t="s">
        <v>1220</v>
      </c>
      <c r="C50" s="122" t="s">
        <v>2374</v>
      </c>
      <c r="D50" s="122" t="s">
        <v>2375</v>
      </c>
      <c r="E50" s="122" t="s">
        <v>429</v>
      </c>
      <c r="F50" s="122" t="s">
        <v>2522</v>
      </c>
      <c r="G50" s="122" t="s">
        <v>2523</v>
      </c>
      <c r="H50" s="122" t="s">
        <v>76</v>
      </c>
      <c r="I50" s="122" t="s">
        <v>236</v>
      </c>
      <c r="J50" s="122" t="s">
        <v>53</v>
      </c>
      <c r="K50" s="122" t="s">
        <v>53</v>
      </c>
      <c r="L50" s="122" t="s">
        <v>311</v>
      </c>
      <c r="M50" s="122" t="s">
        <v>987</v>
      </c>
      <c r="N50" s="122" t="s">
        <v>62</v>
      </c>
      <c r="O50" s="122" t="s">
        <v>1216</v>
      </c>
      <c r="P50" s="123">
        <v>18016</v>
      </c>
      <c r="Q50" s="123">
        <v>1</v>
      </c>
      <c r="R50" s="123">
        <v>422.22</v>
      </c>
      <c r="S50" s="122"/>
      <c r="T50" s="123">
        <v>76.066999999999993</v>
      </c>
      <c r="U50" s="125">
        <v>1E-4</v>
      </c>
      <c r="V50" s="125">
        <v>0.15085000000000001</v>
      </c>
      <c r="W50" s="126">
        <v>3.4320000000000003E-2</v>
      </c>
      <c r="X50" s="159"/>
    </row>
    <row r="51" spans="1:24" x14ac:dyDescent="0.2">
      <c r="A51" s="121" t="s">
        <v>1211</v>
      </c>
      <c r="B51" s="122" t="s">
        <v>1220</v>
      </c>
      <c r="C51" s="122" t="s">
        <v>2524</v>
      </c>
      <c r="D51" s="122" t="s">
        <v>2525</v>
      </c>
      <c r="E51" s="122" t="s">
        <v>429</v>
      </c>
      <c r="F51" s="122" t="s">
        <v>2526</v>
      </c>
      <c r="G51" s="122" t="s">
        <v>2527</v>
      </c>
      <c r="H51" s="122" t="s">
        <v>76</v>
      </c>
      <c r="I51" s="122" t="s">
        <v>236</v>
      </c>
      <c r="J51" s="122" t="s">
        <v>53</v>
      </c>
      <c r="K51" s="122" t="s">
        <v>53</v>
      </c>
      <c r="L51" s="122" t="s">
        <v>311</v>
      </c>
      <c r="M51" s="122" t="s">
        <v>965</v>
      </c>
      <c r="N51" s="122" t="s">
        <v>62</v>
      </c>
      <c r="O51" s="122" t="s">
        <v>1216</v>
      </c>
      <c r="P51" s="123">
        <v>1038</v>
      </c>
      <c r="Q51" s="123">
        <v>1</v>
      </c>
      <c r="R51" s="123">
        <v>5713.57</v>
      </c>
      <c r="S51" s="122"/>
      <c r="T51" s="123">
        <v>59.307000000000002</v>
      </c>
      <c r="U51" s="125">
        <v>1.7000000000000001E-4</v>
      </c>
      <c r="V51" s="125">
        <v>0.11762</v>
      </c>
      <c r="W51" s="126">
        <v>2.6759999999999999E-2</v>
      </c>
      <c r="X51" s="159"/>
    </row>
    <row r="52" spans="1:24" x14ac:dyDescent="0.2">
      <c r="A52" s="121" t="s">
        <v>1211</v>
      </c>
      <c r="B52" s="122" t="s">
        <v>1220</v>
      </c>
      <c r="C52" s="122" t="s">
        <v>2378</v>
      </c>
      <c r="D52" s="122" t="s">
        <v>2379</v>
      </c>
      <c r="E52" s="122" t="s">
        <v>429</v>
      </c>
      <c r="F52" s="122" t="s">
        <v>2528</v>
      </c>
      <c r="G52" s="122" t="s">
        <v>2529</v>
      </c>
      <c r="H52" s="122" t="s">
        <v>76</v>
      </c>
      <c r="I52" s="122" t="s">
        <v>236</v>
      </c>
      <c r="J52" s="122" t="s">
        <v>53</v>
      </c>
      <c r="K52" s="122" t="s">
        <v>53</v>
      </c>
      <c r="L52" s="122" t="s">
        <v>311</v>
      </c>
      <c r="M52" s="122" t="s">
        <v>985</v>
      </c>
      <c r="N52" s="122" t="s">
        <v>62</v>
      </c>
      <c r="O52" s="122" t="s">
        <v>1216</v>
      </c>
      <c r="P52" s="123">
        <v>727.18</v>
      </c>
      <c r="Q52" s="123">
        <v>1</v>
      </c>
      <c r="R52" s="123">
        <v>4185.1899999999996</v>
      </c>
      <c r="S52" s="122"/>
      <c r="T52" s="123">
        <v>30.434000000000001</v>
      </c>
      <c r="U52" s="125">
        <v>1.0000000000000001E-5</v>
      </c>
      <c r="V52" s="125">
        <v>6.0359999999999997E-2</v>
      </c>
      <c r="W52" s="126">
        <v>1.3729999999999999E-2</v>
      </c>
      <c r="X52" s="159"/>
    </row>
    <row r="53" spans="1:24" x14ac:dyDescent="0.2">
      <c r="A53" s="121" t="s">
        <v>1211</v>
      </c>
      <c r="B53" s="122" t="s">
        <v>1220</v>
      </c>
      <c r="C53" s="122" t="s">
        <v>2378</v>
      </c>
      <c r="D53" s="122" t="s">
        <v>2379</v>
      </c>
      <c r="E53" s="122" t="s">
        <v>429</v>
      </c>
      <c r="F53" s="122" t="s">
        <v>2530</v>
      </c>
      <c r="G53" s="122" t="s">
        <v>2531</v>
      </c>
      <c r="H53" s="122" t="s">
        <v>76</v>
      </c>
      <c r="I53" s="122" t="s">
        <v>236</v>
      </c>
      <c r="J53" s="122" t="s">
        <v>53</v>
      </c>
      <c r="K53" s="122" t="s">
        <v>53</v>
      </c>
      <c r="L53" s="122" t="s">
        <v>311</v>
      </c>
      <c r="M53" s="122" t="s">
        <v>965</v>
      </c>
      <c r="N53" s="122" t="s">
        <v>62</v>
      </c>
      <c r="O53" s="122" t="s">
        <v>1216</v>
      </c>
      <c r="P53" s="123">
        <v>662</v>
      </c>
      <c r="Q53" s="123">
        <v>1</v>
      </c>
      <c r="R53" s="123">
        <v>3901.51</v>
      </c>
      <c r="S53" s="122"/>
      <c r="T53" s="123">
        <v>25.827999999999999</v>
      </c>
      <c r="U53" s="125">
        <v>1.0000000000000001E-5</v>
      </c>
      <c r="V53" s="125">
        <v>5.1220000000000002E-2</v>
      </c>
      <c r="W53" s="126">
        <v>1.1650000000000001E-2</v>
      </c>
      <c r="X53" s="159"/>
    </row>
    <row r="54" spans="1:24" x14ac:dyDescent="0.2">
      <c r="A54" s="121" t="s">
        <v>1211</v>
      </c>
      <c r="B54" s="122" t="s">
        <v>1220</v>
      </c>
      <c r="C54" s="122" t="s">
        <v>2374</v>
      </c>
      <c r="D54" s="122" t="s">
        <v>2375</v>
      </c>
      <c r="E54" s="122" t="s">
        <v>429</v>
      </c>
      <c r="F54" s="122" t="s">
        <v>2532</v>
      </c>
      <c r="G54" s="122" t="s">
        <v>2533</v>
      </c>
      <c r="H54" s="122" t="s">
        <v>76</v>
      </c>
      <c r="I54" s="122" t="s">
        <v>236</v>
      </c>
      <c r="J54" s="122" t="s">
        <v>53</v>
      </c>
      <c r="K54" s="122" t="s">
        <v>53</v>
      </c>
      <c r="L54" s="122" t="s">
        <v>311</v>
      </c>
      <c r="M54" s="122" t="s">
        <v>965</v>
      </c>
      <c r="N54" s="122" t="s">
        <v>62</v>
      </c>
      <c r="O54" s="122" t="s">
        <v>1216</v>
      </c>
      <c r="P54" s="123">
        <v>5875</v>
      </c>
      <c r="Q54" s="123">
        <v>1</v>
      </c>
      <c r="R54" s="123">
        <v>390.79</v>
      </c>
      <c r="S54" s="122"/>
      <c r="T54" s="123">
        <v>22.959</v>
      </c>
      <c r="U54" s="125">
        <v>2.0000000000000002E-5</v>
      </c>
      <c r="V54" s="125">
        <v>4.5530000000000001E-2</v>
      </c>
      <c r="W54" s="126">
        <v>1.0359999999999999E-2</v>
      </c>
      <c r="X54" s="159"/>
    </row>
    <row r="55" spans="1:24" x14ac:dyDescent="0.2">
      <c r="A55" s="121" t="s">
        <v>1211</v>
      </c>
      <c r="B55" s="122" t="s">
        <v>1220</v>
      </c>
      <c r="C55" s="122" t="s">
        <v>2382</v>
      </c>
      <c r="D55" s="122" t="s">
        <v>2383</v>
      </c>
      <c r="E55" s="122" t="s">
        <v>429</v>
      </c>
      <c r="F55" s="122" t="s">
        <v>2534</v>
      </c>
      <c r="G55" s="122" t="s">
        <v>2535</v>
      </c>
      <c r="H55" s="122" t="s">
        <v>76</v>
      </c>
      <c r="I55" s="122" t="s">
        <v>236</v>
      </c>
      <c r="J55" s="122" t="s">
        <v>53</v>
      </c>
      <c r="K55" s="122" t="s">
        <v>53</v>
      </c>
      <c r="L55" s="122" t="s">
        <v>311</v>
      </c>
      <c r="M55" s="122" t="s">
        <v>985</v>
      </c>
      <c r="N55" s="122" t="s">
        <v>62</v>
      </c>
      <c r="O55" s="122" t="s">
        <v>1216</v>
      </c>
      <c r="P55" s="123">
        <v>2026</v>
      </c>
      <c r="Q55" s="123">
        <v>1</v>
      </c>
      <c r="R55" s="123">
        <v>487.71</v>
      </c>
      <c r="S55" s="122"/>
      <c r="T55" s="123">
        <v>9.8810000000000002</v>
      </c>
      <c r="U55" s="125">
        <v>1.0000000000000001E-5</v>
      </c>
      <c r="V55" s="125">
        <v>1.9599999999999999E-2</v>
      </c>
      <c r="W55" s="126">
        <v>4.4600000000000004E-3</v>
      </c>
      <c r="X55" s="159"/>
    </row>
    <row r="56" spans="1:24" x14ac:dyDescent="0.2">
      <c r="A56" s="121" t="s">
        <v>1211</v>
      </c>
      <c r="B56" s="122" t="s">
        <v>1220</v>
      </c>
      <c r="C56" s="122" t="s">
        <v>2419</v>
      </c>
      <c r="D56" s="122" t="s">
        <v>2420</v>
      </c>
      <c r="E56" s="122" t="s">
        <v>430</v>
      </c>
      <c r="F56" s="122" t="s">
        <v>2419</v>
      </c>
      <c r="G56" s="122" t="s">
        <v>2421</v>
      </c>
      <c r="H56" s="122" t="s">
        <v>76</v>
      </c>
      <c r="I56" s="122" t="s">
        <v>237</v>
      </c>
      <c r="J56" s="122" t="s">
        <v>61</v>
      </c>
      <c r="K56" s="122" t="s">
        <v>314</v>
      </c>
      <c r="L56" s="122" t="s">
        <v>494</v>
      </c>
      <c r="M56" s="122" t="s">
        <v>1062</v>
      </c>
      <c r="N56" s="122" t="s">
        <v>62</v>
      </c>
      <c r="O56" s="122" t="s">
        <v>1217</v>
      </c>
      <c r="P56" s="123">
        <v>523</v>
      </c>
      <c r="Q56" s="123">
        <v>3.306</v>
      </c>
      <c r="R56" s="123">
        <v>627.5</v>
      </c>
      <c r="S56" s="122"/>
      <c r="T56" s="123">
        <v>10.85</v>
      </c>
      <c r="U56" s="125">
        <v>0</v>
      </c>
      <c r="V56" s="125">
        <v>2.1520000000000001E-2</v>
      </c>
      <c r="W56" s="126">
        <v>4.8999999999999998E-3</v>
      </c>
      <c r="X56" s="159"/>
    </row>
    <row r="57" spans="1:24" x14ac:dyDescent="0.2">
      <c r="A57" s="121" t="s">
        <v>1211</v>
      </c>
      <c r="B57" s="122" t="s">
        <v>1211</v>
      </c>
      <c r="C57" s="122" t="s">
        <v>2378</v>
      </c>
      <c r="D57" s="122" t="s">
        <v>2379</v>
      </c>
      <c r="E57" s="122" t="s">
        <v>429</v>
      </c>
      <c r="F57" s="122" t="s">
        <v>2536</v>
      </c>
      <c r="G57" s="122" t="s">
        <v>2537</v>
      </c>
      <c r="H57" s="122" t="s">
        <v>76</v>
      </c>
      <c r="I57" s="122" t="s">
        <v>235</v>
      </c>
      <c r="J57" s="122" t="s">
        <v>53</v>
      </c>
      <c r="K57" s="122" t="s">
        <v>157</v>
      </c>
      <c r="L57" s="122" t="s">
        <v>311</v>
      </c>
      <c r="M57" s="122" t="s">
        <v>1048</v>
      </c>
      <c r="N57" s="122" t="s">
        <v>62</v>
      </c>
      <c r="O57" s="122" t="s">
        <v>1216</v>
      </c>
      <c r="P57" s="123">
        <v>28000</v>
      </c>
      <c r="Q57" s="123">
        <v>1</v>
      </c>
      <c r="R57" s="123">
        <v>8678</v>
      </c>
      <c r="S57" s="122"/>
      <c r="T57" s="123">
        <v>2429.84</v>
      </c>
      <c r="U57" s="125">
        <v>2.5500000000000002E-3</v>
      </c>
      <c r="V57" s="125">
        <v>1.0800000000000001E-2</v>
      </c>
      <c r="W57" s="126">
        <v>2.0699999999999998E-3</v>
      </c>
      <c r="X57" s="159"/>
    </row>
    <row r="58" spans="1:24" x14ac:dyDescent="0.2">
      <c r="A58" s="121" t="s">
        <v>1211</v>
      </c>
      <c r="B58" s="122" t="s">
        <v>1211</v>
      </c>
      <c r="C58" s="122" t="s">
        <v>2378</v>
      </c>
      <c r="D58" s="122" t="s">
        <v>2379</v>
      </c>
      <c r="E58" s="122" t="s">
        <v>429</v>
      </c>
      <c r="F58" s="122" t="s">
        <v>2530</v>
      </c>
      <c r="G58" s="122" t="s">
        <v>2531</v>
      </c>
      <c r="H58" s="122" t="s">
        <v>76</v>
      </c>
      <c r="I58" s="122" t="s">
        <v>236</v>
      </c>
      <c r="J58" s="122" t="s">
        <v>53</v>
      </c>
      <c r="K58" s="122" t="s">
        <v>53</v>
      </c>
      <c r="L58" s="122" t="s">
        <v>311</v>
      </c>
      <c r="M58" s="122" t="s">
        <v>965</v>
      </c>
      <c r="N58" s="122" t="s">
        <v>62</v>
      </c>
      <c r="O58" s="122" t="s">
        <v>1216</v>
      </c>
      <c r="P58" s="123">
        <v>60025</v>
      </c>
      <c r="Q58" s="123">
        <v>1</v>
      </c>
      <c r="R58" s="123">
        <v>3901.51</v>
      </c>
      <c r="S58" s="122"/>
      <c r="T58" s="123">
        <v>2341.8809999999999</v>
      </c>
      <c r="U58" s="125">
        <v>8.3000000000000001E-4</v>
      </c>
      <c r="V58" s="125">
        <v>1.04E-2</v>
      </c>
      <c r="W58" s="126">
        <v>2E-3</v>
      </c>
      <c r="X58" s="159"/>
    </row>
    <row r="59" spans="1:24" x14ac:dyDescent="0.2">
      <c r="A59" s="121" t="s">
        <v>1211</v>
      </c>
      <c r="B59" s="122" t="s">
        <v>1211</v>
      </c>
      <c r="C59" s="122" t="s">
        <v>2378</v>
      </c>
      <c r="D59" s="122" t="s">
        <v>2379</v>
      </c>
      <c r="E59" s="122" t="s">
        <v>429</v>
      </c>
      <c r="F59" s="122" t="s">
        <v>2538</v>
      </c>
      <c r="G59" s="122" t="s">
        <v>2539</v>
      </c>
      <c r="H59" s="122" t="s">
        <v>76</v>
      </c>
      <c r="I59" s="122" t="s">
        <v>235</v>
      </c>
      <c r="J59" s="122" t="s">
        <v>53</v>
      </c>
      <c r="K59" s="122" t="s">
        <v>314</v>
      </c>
      <c r="L59" s="122" t="s">
        <v>311</v>
      </c>
      <c r="M59" s="122" t="s">
        <v>1074</v>
      </c>
      <c r="N59" s="122" t="s">
        <v>62</v>
      </c>
      <c r="O59" s="122" t="s">
        <v>1216</v>
      </c>
      <c r="P59" s="123">
        <v>9225</v>
      </c>
      <c r="Q59" s="123">
        <v>1</v>
      </c>
      <c r="R59" s="123">
        <v>24260</v>
      </c>
      <c r="S59" s="122"/>
      <c r="T59" s="123">
        <v>2237.9850000000001</v>
      </c>
      <c r="U59" s="125">
        <v>3.1E-4</v>
      </c>
      <c r="V59" s="125">
        <v>9.9399999999999992E-3</v>
      </c>
      <c r="W59" s="126">
        <v>1.91E-3</v>
      </c>
      <c r="X59" s="159"/>
    </row>
    <row r="60" spans="1:24" x14ac:dyDescent="0.2">
      <c r="A60" s="121" t="s">
        <v>1211</v>
      </c>
      <c r="B60" s="122" t="s">
        <v>1211</v>
      </c>
      <c r="C60" s="122" t="s">
        <v>2378</v>
      </c>
      <c r="D60" s="122" t="s">
        <v>2379</v>
      </c>
      <c r="E60" s="122" t="s">
        <v>429</v>
      </c>
      <c r="F60" s="122" t="s">
        <v>2540</v>
      </c>
      <c r="G60" s="122" t="s">
        <v>2541</v>
      </c>
      <c r="H60" s="122" t="s">
        <v>76</v>
      </c>
      <c r="I60" s="122" t="s">
        <v>236</v>
      </c>
      <c r="J60" s="122" t="s">
        <v>53</v>
      </c>
      <c r="K60" s="122" t="s">
        <v>53</v>
      </c>
      <c r="L60" s="122" t="s">
        <v>311</v>
      </c>
      <c r="M60" s="122" t="s">
        <v>963</v>
      </c>
      <c r="N60" s="122" t="s">
        <v>62</v>
      </c>
      <c r="O60" s="122" t="s">
        <v>1216</v>
      </c>
      <c r="P60" s="123">
        <v>33805.82</v>
      </c>
      <c r="Q60" s="123">
        <v>1</v>
      </c>
      <c r="R60" s="123">
        <v>3977.99</v>
      </c>
      <c r="S60" s="122"/>
      <c r="T60" s="123">
        <v>1344.7919999999999</v>
      </c>
      <c r="U60" s="125">
        <v>6.4999999999999997E-4</v>
      </c>
      <c r="V60" s="125">
        <v>5.9699999999999996E-3</v>
      </c>
      <c r="W60" s="126">
        <v>1.15E-3</v>
      </c>
      <c r="X60" s="159"/>
    </row>
    <row r="61" spans="1:24" x14ac:dyDescent="0.2">
      <c r="A61" s="121" t="s">
        <v>1211</v>
      </c>
      <c r="B61" s="122" t="s">
        <v>1211</v>
      </c>
      <c r="C61" s="122" t="s">
        <v>2374</v>
      </c>
      <c r="D61" s="122" t="s">
        <v>2375</v>
      </c>
      <c r="E61" s="122" t="s">
        <v>429</v>
      </c>
      <c r="F61" s="122" t="s">
        <v>2518</v>
      </c>
      <c r="G61" s="122" t="s">
        <v>2519</v>
      </c>
      <c r="H61" s="122" t="s">
        <v>76</v>
      </c>
      <c r="I61" s="122" t="s">
        <v>236</v>
      </c>
      <c r="J61" s="122" t="s">
        <v>53</v>
      </c>
      <c r="K61" s="122" t="s">
        <v>53</v>
      </c>
      <c r="L61" s="122" t="s">
        <v>311</v>
      </c>
      <c r="M61" s="122" t="s">
        <v>985</v>
      </c>
      <c r="N61" s="122" t="s">
        <v>62</v>
      </c>
      <c r="O61" s="122" t="s">
        <v>1216</v>
      </c>
      <c r="P61" s="123">
        <v>268473</v>
      </c>
      <c r="Q61" s="123">
        <v>1</v>
      </c>
      <c r="R61" s="123">
        <v>419.81</v>
      </c>
      <c r="S61" s="122"/>
      <c r="T61" s="123">
        <v>1127.077</v>
      </c>
      <c r="U61" s="125">
        <v>9.7999999999999997E-4</v>
      </c>
      <c r="V61" s="125">
        <v>5.0099999999999997E-3</v>
      </c>
      <c r="W61" s="126">
        <v>9.6000000000000002E-4</v>
      </c>
      <c r="X61" s="159"/>
    </row>
    <row r="62" spans="1:24" x14ac:dyDescent="0.2">
      <c r="A62" s="121" t="s">
        <v>1211</v>
      </c>
      <c r="B62" s="122" t="s">
        <v>1211</v>
      </c>
      <c r="C62" s="122" t="s">
        <v>2374</v>
      </c>
      <c r="D62" s="122" t="s">
        <v>2375</v>
      </c>
      <c r="E62" s="122" t="s">
        <v>429</v>
      </c>
      <c r="F62" s="122" t="s">
        <v>2542</v>
      </c>
      <c r="G62" s="122" t="s">
        <v>2543</v>
      </c>
      <c r="H62" s="122" t="s">
        <v>76</v>
      </c>
      <c r="I62" s="122" t="s">
        <v>236</v>
      </c>
      <c r="J62" s="122" t="s">
        <v>53</v>
      </c>
      <c r="K62" s="122" t="s">
        <v>53</v>
      </c>
      <c r="L62" s="122" t="s">
        <v>311</v>
      </c>
      <c r="M62" s="122" t="s">
        <v>963</v>
      </c>
      <c r="N62" s="122" t="s">
        <v>62</v>
      </c>
      <c r="O62" s="122" t="s">
        <v>1216</v>
      </c>
      <c r="P62" s="123">
        <v>197150</v>
      </c>
      <c r="Q62" s="123">
        <v>1</v>
      </c>
      <c r="R62" s="123">
        <v>401.77</v>
      </c>
      <c r="S62" s="122"/>
      <c r="T62" s="123">
        <v>792.09</v>
      </c>
      <c r="U62" s="125">
        <v>8.0999999999999996E-4</v>
      </c>
      <c r="V62" s="125">
        <v>3.5200000000000001E-3</v>
      </c>
      <c r="W62" s="126">
        <v>6.8000000000000005E-4</v>
      </c>
      <c r="X62" s="159"/>
    </row>
    <row r="63" spans="1:24" x14ac:dyDescent="0.2">
      <c r="A63" s="121" t="s">
        <v>1211</v>
      </c>
      <c r="B63" s="122" t="s">
        <v>1211</v>
      </c>
      <c r="C63" s="122" t="s">
        <v>2378</v>
      </c>
      <c r="D63" s="122" t="s">
        <v>2379</v>
      </c>
      <c r="E63" s="122" t="s">
        <v>429</v>
      </c>
      <c r="F63" s="122" t="s">
        <v>2544</v>
      </c>
      <c r="G63" s="122" t="s">
        <v>2545</v>
      </c>
      <c r="H63" s="122" t="s">
        <v>76</v>
      </c>
      <c r="I63" s="122" t="s">
        <v>235</v>
      </c>
      <c r="J63" s="122" t="s">
        <v>53</v>
      </c>
      <c r="K63" s="122" t="s">
        <v>314</v>
      </c>
      <c r="L63" s="122" t="s">
        <v>311</v>
      </c>
      <c r="M63" s="122" t="s">
        <v>1098</v>
      </c>
      <c r="N63" s="122" t="s">
        <v>62</v>
      </c>
      <c r="O63" s="122" t="s">
        <v>1216</v>
      </c>
      <c r="P63" s="123">
        <v>4557</v>
      </c>
      <c r="Q63" s="123">
        <v>1</v>
      </c>
      <c r="R63" s="123">
        <v>16230</v>
      </c>
      <c r="S63" s="122"/>
      <c r="T63" s="123">
        <v>739.601</v>
      </c>
      <c r="U63" s="125">
        <v>5.5999999999999995E-4</v>
      </c>
      <c r="V63" s="125">
        <v>3.29E-3</v>
      </c>
      <c r="W63" s="126">
        <v>6.3000000000000003E-4</v>
      </c>
      <c r="X63" s="159"/>
    </row>
    <row r="64" spans="1:24" x14ac:dyDescent="0.2">
      <c r="A64" s="121" t="s">
        <v>1211</v>
      </c>
      <c r="B64" s="122" t="s">
        <v>1211</v>
      </c>
      <c r="C64" s="122" t="s">
        <v>2378</v>
      </c>
      <c r="D64" s="122" t="s">
        <v>2379</v>
      </c>
      <c r="E64" s="122" t="s">
        <v>429</v>
      </c>
      <c r="F64" s="122" t="s">
        <v>2546</v>
      </c>
      <c r="G64" s="122" t="s">
        <v>2547</v>
      </c>
      <c r="H64" s="122" t="s">
        <v>76</v>
      </c>
      <c r="I64" s="122" t="s">
        <v>235</v>
      </c>
      <c r="J64" s="122" t="s">
        <v>53</v>
      </c>
      <c r="K64" s="122" t="s">
        <v>314</v>
      </c>
      <c r="L64" s="122" t="s">
        <v>311</v>
      </c>
      <c r="M64" s="122" t="s">
        <v>1108</v>
      </c>
      <c r="N64" s="122" t="s">
        <v>62</v>
      </c>
      <c r="O64" s="122" t="s">
        <v>1216</v>
      </c>
      <c r="P64" s="123">
        <v>3410</v>
      </c>
      <c r="Q64" s="123">
        <v>1</v>
      </c>
      <c r="R64" s="123">
        <v>16410</v>
      </c>
      <c r="S64" s="122"/>
      <c r="T64" s="123">
        <v>559.58100000000002</v>
      </c>
      <c r="U64" s="125">
        <v>5.1000000000000004E-4</v>
      </c>
      <c r="V64" s="125">
        <v>2.49E-3</v>
      </c>
      <c r="W64" s="126">
        <v>4.8000000000000001E-4</v>
      </c>
      <c r="X64" s="159"/>
    </row>
    <row r="65" spans="1:24" x14ac:dyDescent="0.2">
      <c r="A65" s="121" t="s">
        <v>1211</v>
      </c>
      <c r="B65" s="122" t="s">
        <v>1211</v>
      </c>
      <c r="C65" s="122" t="s">
        <v>2406</v>
      </c>
      <c r="D65" s="122" t="s">
        <v>2407</v>
      </c>
      <c r="E65" s="122" t="s">
        <v>430</v>
      </c>
      <c r="F65" s="122" t="s">
        <v>2408</v>
      </c>
      <c r="G65" s="122" t="s">
        <v>2409</v>
      </c>
      <c r="H65" s="122" t="s">
        <v>76</v>
      </c>
      <c r="I65" s="122" t="s">
        <v>235</v>
      </c>
      <c r="J65" s="122" t="s">
        <v>61</v>
      </c>
      <c r="K65" s="122" t="s">
        <v>314</v>
      </c>
      <c r="L65" s="122" t="s">
        <v>479</v>
      </c>
      <c r="M65" s="122" t="s">
        <v>1067</v>
      </c>
      <c r="N65" s="122" t="s">
        <v>62</v>
      </c>
      <c r="O65" s="122" t="s">
        <v>1217</v>
      </c>
      <c r="P65" s="123">
        <v>10228</v>
      </c>
      <c r="Q65" s="123">
        <v>3.306</v>
      </c>
      <c r="R65" s="123">
        <v>60037</v>
      </c>
      <c r="S65" s="123">
        <v>7.0979999999999999</v>
      </c>
      <c r="T65" s="123">
        <v>20324.237000000001</v>
      </c>
      <c r="U65" s="125">
        <v>2.0000000000000002E-5</v>
      </c>
      <c r="V65" s="125">
        <v>9.0329999999999994E-2</v>
      </c>
      <c r="W65" s="126">
        <v>1.7330000000000002E-2</v>
      </c>
      <c r="X65" s="159"/>
    </row>
    <row r="66" spans="1:24" x14ac:dyDescent="0.2">
      <c r="A66" s="121" t="s">
        <v>1211</v>
      </c>
      <c r="B66" s="122" t="s">
        <v>1211</v>
      </c>
      <c r="C66" s="122" t="s">
        <v>2402</v>
      </c>
      <c r="D66" s="122" t="s">
        <v>2403</v>
      </c>
      <c r="E66" s="122" t="s">
        <v>430</v>
      </c>
      <c r="F66" s="122" t="s">
        <v>2404</v>
      </c>
      <c r="G66" s="122" t="s">
        <v>2405</v>
      </c>
      <c r="H66" s="122" t="s">
        <v>76</v>
      </c>
      <c r="I66" s="122" t="s">
        <v>235</v>
      </c>
      <c r="J66" s="122" t="s">
        <v>61</v>
      </c>
      <c r="K66" s="122" t="s">
        <v>314</v>
      </c>
      <c r="L66" s="122" t="s">
        <v>476</v>
      </c>
      <c r="M66" s="122" t="s">
        <v>1074</v>
      </c>
      <c r="N66" s="122" t="s">
        <v>62</v>
      </c>
      <c r="O66" s="122" t="s">
        <v>1217</v>
      </c>
      <c r="P66" s="123">
        <v>8806</v>
      </c>
      <c r="Q66" s="123">
        <v>3.306</v>
      </c>
      <c r="R66" s="123">
        <v>66618</v>
      </c>
      <c r="S66" s="123">
        <v>17.579999999999998</v>
      </c>
      <c r="T66" s="123">
        <v>19452.377</v>
      </c>
      <c r="U66" s="125">
        <v>1.0000000000000001E-5</v>
      </c>
      <c r="V66" s="125">
        <v>8.6499999999999994E-2</v>
      </c>
      <c r="W66" s="126">
        <v>1.66E-2</v>
      </c>
      <c r="X66" s="159"/>
    </row>
    <row r="67" spans="1:24" x14ac:dyDescent="0.2">
      <c r="A67" s="121" t="s">
        <v>1211</v>
      </c>
      <c r="B67" s="122" t="s">
        <v>1211</v>
      </c>
      <c r="C67" s="122" t="s">
        <v>2419</v>
      </c>
      <c r="D67" s="122" t="s">
        <v>2420</v>
      </c>
      <c r="E67" s="122" t="s">
        <v>430</v>
      </c>
      <c r="F67" s="122" t="s">
        <v>2419</v>
      </c>
      <c r="G67" s="122" t="s">
        <v>2421</v>
      </c>
      <c r="H67" s="122" t="s">
        <v>76</v>
      </c>
      <c r="I67" s="122" t="s">
        <v>237</v>
      </c>
      <c r="J67" s="122" t="s">
        <v>61</v>
      </c>
      <c r="K67" s="122" t="s">
        <v>314</v>
      </c>
      <c r="L67" s="122" t="s">
        <v>494</v>
      </c>
      <c r="M67" s="122" t="s">
        <v>1062</v>
      </c>
      <c r="N67" s="122" t="s">
        <v>62</v>
      </c>
      <c r="O67" s="122" t="s">
        <v>1217</v>
      </c>
      <c r="P67" s="123">
        <v>639725</v>
      </c>
      <c r="Q67" s="123">
        <v>3.306</v>
      </c>
      <c r="R67" s="123">
        <v>627.5</v>
      </c>
      <c r="S67" s="122"/>
      <c r="T67" s="123">
        <v>13271.191000000001</v>
      </c>
      <c r="U67" s="125">
        <v>9.5E-4</v>
      </c>
      <c r="V67" s="125">
        <v>5.8959999999999999E-2</v>
      </c>
      <c r="W67" s="126">
        <v>1.1310000000000001E-2</v>
      </c>
      <c r="X67" s="159"/>
    </row>
    <row r="68" spans="1:24" x14ac:dyDescent="0.2">
      <c r="A68" s="121" t="s">
        <v>1211</v>
      </c>
      <c r="B68" s="122" t="s">
        <v>1211</v>
      </c>
      <c r="C68" s="122" t="s">
        <v>2416</v>
      </c>
      <c r="D68" s="122" t="s">
        <v>2417</v>
      </c>
      <c r="E68" s="122" t="s">
        <v>430</v>
      </c>
      <c r="F68" s="122" t="s">
        <v>2416</v>
      </c>
      <c r="G68" s="122" t="s">
        <v>2418</v>
      </c>
      <c r="H68" s="122" t="s">
        <v>76</v>
      </c>
      <c r="I68" s="122" t="s">
        <v>235</v>
      </c>
      <c r="J68" s="122" t="s">
        <v>61</v>
      </c>
      <c r="K68" s="122" t="s">
        <v>314</v>
      </c>
      <c r="L68" s="122" t="s">
        <v>476</v>
      </c>
      <c r="M68" s="122" t="s">
        <v>1056</v>
      </c>
      <c r="N68" s="122" t="s">
        <v>62</v>
      </c>
      <c r="O68" s="122" t="s">
        <v>1217</v>
      </c>
      <c r="P68" s="123">
        <v>71207</v>
      </c>
      <c r="Q68" s="123">
        <v>3.306</v>
      </c>
      <c r="R68" s="123">
        <v>5387</v>
      </c>
      <c r="S68" s="122"/>
      <c r="T68" s="123">
        <v>12681.555</v>
      </c>
      <c r="U68" s="125">
        <v>6.9999999999999994E-5</v>
      </c>
      <c r="V68" s="125">
        <v>5.6340000000000001E-2</v>
      </c>
      <c r="W68" s="126">
        <v>1.081E-2</v>
      </c>
      <c r="X68" s="159"/>
    </row>
    <row r="69" spans="1:24" x14ac:dyDescent="0.2">
      <c r="A69" s="121" t="s">
        <v>1211</v>
      </c>
      <c r="B69" s="122" t="s">
        <v>1211</v>
      </c>
      <c r="C69" s="122" t="s">
        <v>2410</v>
      </c>
      <c r="D69" s="122" t="s">
        <v>2411</v>
      </c>
      <c r="E69" s="122" t="s">
        <v>430</v>
      </c>
      <c r="F69" s="122" t="s">
        <v>2410</v>
      </c>
      <c r="G69" s="122" t="s">
        <v>2412</v>
      </c>
      <c r="H69" s="122" t="s">
        <v>76</v>
      </c>
      <c r="I69" s="122" t="s">
        <v>235</v>
      </c>
      <c r="J69" s="122" t="s">
        <v>61</v>
      </c>
      <c r="K69" s="122" t="s">
        <v>314</v>
      </c>
      <c r="L69" s="122" t="s">
        <v>476</v>
      </c>
      <c r="M69" s="122" t="s">
        <v>1074</v>
      </c>
      <c r="N69" s="122" t="s">
        <v>62</v>
      </c>
      <c r="O69" s="122" t="s">
        <v>1217</v>
      </c>
      <c r="P69" s="123">
        <v>5595</v>
      </c>
      <c r="Q69" s="123">
        <v>3.306</v>
      </c>
      <c r="R69" s="123">
        <v>61238</v>
      </c>
      <c r="S69" s="123">
        <v>9.7349999999999994</v>
      </c>
      <c r="T69" s="123">
        <v>11359.421</v>
      </c>
      <c r="U69" s="125">
        <v>1.0000000000000001E-5</v>
      </c>
      <c r="V69" s="125">
        <v>5.0509999999999999E-2</v>
      </c>
      <c r="W69" s="126">
        <v>9.6900000000000007E-3</v>
      </c>
      <c r="X69" s="159"/>
    </row>
    <row r="70" spans="1:24" x14ac:dyDescent="0.2">
      <c r="A70" s="121" t="s">
        <v>1211</v>
      </c>
      <c r="B70" s="122" t="s">
        <v>1211</v>
      </c>
      <c r="C70" s="122" t="s">
        <v>2432</v>
      </c>
      <c r="D70" s="122" t="s">
        <v>2433</v>
      </c>
      <c r="E70" s="122" t="s">
        <v>430</v>
      </c>
      <c r="F70" s="122" t="s">
        <v>2434</v>
      </c>
      <c r="G70" s="122" t="s">
        <v>2435</v>
      </c>
      <c r="H70" s="122" t="s">
        <v>76</v>
      </c>
      <c r="I70" s="122" t="s">
        <v>235</v>
      </c>
      <c r="J70" s="122" t="s">
        <v>61</v>
      </c>
      <c r="K70" s="122" t="s">
        <v>314</v>
      </c>
      <c r="L70" s="122" t="s">
        <v>476</v>
      </c>
      <c r="M70" s="122" t="s">
        <v>1051</v>
      </c>
      <c r="N70" s="122" t="s">
        <v>62</v>
      </c>
      <c r="O70" s="122" t="s">
        <v>1217</v>
      </c>
      <c r="P70" s="123">
        <v>15000</v>
      </c>
      <c r="Q70" s="123">
        <v>3.306</v>
      </c>
      <c r="R70" s="123">
        <v>15423</v>
      </c>
      <c r="S70" s="122"/>
      <c r="T70" s="123">
        <v>7648.2659999999996</v>
      </c>
      <c r="U70" s="125">
        <v>1E-4</v>
      </c>
      <c r="V70" s="125">
        <v>3.3980000000000003E-2</v>
      </c>
      <c r="W70" s="126">
        <v>6.5199999999999998E-3</v>
      </c>
      <c r="X70" s="159"/>
    </row>
    <row r="71" spans="1:24" x14ac:dyDescent="0.2">
      <c r="A71" s="121" t="s">
        <v>1211</v>
      </c>
      <c r="B71" s="122" t="s">
        <v>1211</v>
      </c>
      <c r="C71" s="122" t="s">
        <v>2454</v>
      </c>
      <c r="D71" s="122" t="s">
        <v>2455</v>
      </c>
      <c r="E71" s="122" t="s">
        <v>430</v>
      </c>
      <c r="F71" s="122" t="s">
        <v>2454</v>
      </c>
      <c r="G71" s="122" t="s">
        <v>2456</v>
      </c>
      <c r="H71" s="122" t="s">
        <v>76</v>
      </c>
      <c r="I71" s="122" t="s">
        <v>235</v>
      </c>
      <c r="J71" s="122" t="s">
        <v>61</v>
      </c>
      <c r="K71" s="122" t="s">
        <v>314</v>
      </c>
      <c r="L71" s="122" t="s">
        <v>476</v>
      </c>
      <c r="M71" s="122" t="s">
        <v>1108</v>
      </c>
      <c r="N71" s="122" t="s">
        <v>62</v>
      </c>
      <c r="O71" s="122" t="s">
        <v>1217</v>
      </c>
      <c r="P71" s="123">
        <v>18844</v>
      </c>
      <c r="Q71" s="123">
        <v>3.306</v>
      </c>
      <c r="R71" s="123">
        <v>11837</v>
      </c>
      <c r="S71" s="122"/>
      <c r="T71" s="123">
        <v>7374.2460000000001</v>
      </c>
      <c r="U71" s="125">
        <v>9.0000000000000006E-5</v>
      </c>
      <c r="V71" s="125">
        <v>3.2759999999999997E-2</v>
      </c>
      <c r="W71" s="126">
        <v>6.2899999999999996E-3</v>
      </c>
      <c r="X71" s="159"/>
    </row>
    <row r="72" spans="1:24" x14ac:dyDescent="0.2">
      <c r="A72" s="121" t="s">
        <v>1211</v>
      </c>
      <c r="B72" s="122" t="s">
        <v>1211</v>
      </c>
      <c r="C72" s="122" t="s">
        <v>2474</v>
      </c>
      <c r="D72" s="122" t="s">
        <v>2475</v>
      </c>
      <c r="E72" s="122" t="s">
        <v>430</v>
      </c>
      <c r="F72" s="122" t="s">
        <v>2474</v>
      </c>
      <c r="G72" s="122" t="s">
        <v>2476</v>
      </c>
      <c r="H72" s="122" t="s">
        <v>76</v>
      </c>
      <c r="I72" s="122" t="s">
        <v>235</v>
      </c>
      <c r="J72" s="122" t="s">
        <v>61</v>
      </c>
      <c r="K72" s="122" t="s">
        <v>314</v>
      </c>
      <c r="L72" s="122" t="s">
        <v>476</v>
      </c>
      <c r="M72" s="122" t="s">
        <v>1059</v>
      </c>
      <c r="N72" s="122" t="s">
        <v>62</v>
      </c>
      <c r="O72" s="122" t="s">
        <v>1217</v>
      </c>
      <c r="P72" s="123">
        <v>14615</v>
      </c>
      <c r="Q72" s="123">
        <v>3.306</v>
      </c>
      <c r="R72" s="123">
        <v>13917</v>
      </c>
      <c r="S72" s="122"/>
      <c r="T72" s="123">
        <v>6724.3029999999999</v>
      </c>
      <c r="U72" s="125">
        <v>6.0000000000000002E-5</v>
      </c>
      <c r="V72" s="125">
        <v>2.9870000000000001E-2</v>
      </c>
      <c r="W72" s="126">
        <v>5.7299999999999999E-3</v>
      </c>
      <c r="X72" s="159"/>
    </row>
    <row r="73" spans="1:24" x14ac:dyDescent="0.2">
      <c r="A73" s="121" t="s">
        <v>1211</v>
      </c>
      <c r="B73" s="122" t="s">
        <v>1211</v>
      </c>
      <c r="C73" s="122" t="s">
        <v>2460</v>
      </c>
      <c r="D73" s="122" t="s">
        <v>2461</v>
      </c>
      <c r="E73" s="122" t="s">
        <v>430</v>
      </c>
      <c r="F73" s="122" t="s">
        <v>2462</v>
      </c>
      <c r="G73" s="122" t="s">
        <v>2463</v>
      </c>
      <c r="H73" s="122" t="s">
        <v>76</v>
      </c>
      <c r="I73" s="122" t="s">
        <v>235</v>
      </c>
      <c r="J73" s="122" t="s">
        <v>61</v>
      </c>
      <c r="K73" s="122" t="s">
        <v>314</v>
      </c>
      <c r="L73" s="122" t="s">
        <v>476</v>
      </c>
      <c r="M73" s="122" t="s">
        <v>1048</v>
      </c>
      <c r="N73" s="122" t="s">
        <v>62</v>
      </c>
      <c r="O73" s="122" t="s">
        <v>1217</v>
      </c>
      <c r="P73" s="123">
        <v>40185</v>
      </c>
      <c r="Q73" s="123">
        <v>3.306</v>
      </c>
      <c r="R73" s="123">
        <v>4420</v>
      </c>
      <c r="S73" s="122"/>
      <c r="T73" s="123">
        <v>5872.0410000000002</v>
      </c>
      <c r="U73" s="125">
        <v>5.4000000000000001E-4</v>
      </c>
      <c r="V73" s="125">
        <v>2.6089999999999999E-2</v>
      </c>
      <c r="W73" s="126">
        <v>5.0099999999999997E-3</v>
      </c>
      <c r="X73" s="159"/>
    </row>
    <row r="74" spans="1:24" x14ac:dyDescent="0.2">
      <c r="A74" s="121" t="s">
        <v>1211</v>
      </c>
      <c r="B74" s="122" t="s">
        <v>1211</v>
      </c>
      <c r="C74" s="122" t="s">
        <v>2439</v>
      </c>
      <c r="D74" s="122" t="s">
        <v>2440</v>
      </c>
      <c r="E74" s="122" t="s">
        <v>430</v>
      </c>
      <c r="F74" s="122" t="s">
        <v>2441</v>
      </c>
      <c r="G74" s="122" t="s">
        <v>2442</v>
      </c>
      <c r="H74" s="122" t="s">
        <v>76</v>
      </c>
      <c r="I74" s="122" t="s">
        <v>235</v>
      </c>
      <c r="J74" s="122" t="s">
        <v>61</v>
      </c>
      <c r="K74" s="122" t="s">
        <v>314</v>
      </c>
      <c r="L74" s="122" t="s">
        <v>476</v>
      </c>
      <c r="M74" s="122" t="s">
        <v>1082</v>
      </c>
      <c r="N74" s="122" t="s">
        <v>62</v>
      </c>
      <c r="O74" s="122" t="s">
        <v>1217</v>
      </c>
      <c r="P74" s="123">
        <v>15230</v>
      </c>
      <c r="Q74" s="123">
        <v>3.306</v>
      </c>
      <c r="R74" s="123">
        <v>11501</v>
      </c>
      <c r="S74" s="122"/>
      <c r="T74" s="123">
        <v>5790.7969999999996</v>
      </c>
      <c r="U74" s="125">
        <v>1.6000000000000001E-4</v>
      </c>
      <c r="V74" s="125">
        <v>2.5729999999999999E-2</v>
      </c>
      <c r="W74" s="126">
        <v>4.9399999999999999E-3</v>
      </c>
      <c r="X74" s="159"/>
    </row>
    <row r="75" spans="1:24" x14ac:dyDescent="0.2">
      <c r="A75" s="121" t="s">
        <v>1211</v>
      </c>
      <c r="B75" s="122" t="s">
        <v>1211</v>
      </c>
      <c r="C75" s="122" t="s">
        <v>2429</v>
      </c>
      <c r="D75" s="122" t="s">
        <v>2430</v>
      </c>
      <c r="E75" s="122" t="s">
        <v>430</v>
      </c>
      <c r="F75" s="122" t="s">
        <v>2429</v>
      </c>
      <c r="G75" s="122" t="s">
        <v>2431</v>
      </c>
      <c r="H75" s="122" t="s">
        <v>76</v>
      </c>
      <c r="I75" s="122" t="s">
        <v>235</v>
      </c>
      <c r="J75" s="122" t="s">
        <v>61</v>
      </c>
      <c r="K75" s="122" t="s">
        <v>188</v>
      </c>
      <c r="L75" s="122" t="s">
        <v>479</v>
      </c>
      <c r="M75" s="122" t="s">
        <v>1107</v>
      </c>
      <c r="N75" s="122" t="s">
        <v>62</v>
      </c>
      <c r="O75" s="122" t="s">
        <v>1217</v>
      </c>
      <c r="P75" s="123">
        <v>18668</v>
      </c>
      <c r="Q75" s="123">
        <v>3.306</v>
      </c>
      <c r="R75" s="123">
        <v>9122</v>
      </c>
      <c r="S75" s="122"/>
      <c r="T75" s="123">
        <v>5629.7709999999997</v>
      </c>
      <c r="U75" s="125">
        <v>4.6999999999999999E-4</v>
      </c>
      <c r="V75" s="125">
        <v>2.5010000000000001E-2</v>
      </c>
      <c r="W75" s="126">
        <v>4.7999999999999996E-3</v>
      </c>
      <c r="X75" s="159"/>
    </row>
    <row r="76" spans="1:24" x14ac:dyDescent="0.2">
      <c r="A76" s="121" t="s">
        <v>1211</v>
      </c>
      <c r="B76" s="122" t="s">
        <v>1211</v>
      </c>
      <c r="C76" s="122" t="s">
        <v>2548</v>
      </c>
      <c r="D76" s="122" t="s">
        <v>2549</v>
      </c>
      <c r="E76" s="122" t="s">
        <v>430</v>
      </c>
      <c r="F76" s="122" t="s">
        <v>2550</v>
      </c>
      <c r="G76" s="122" t="s">
        <v>2551</v>
      </c>
      <c r="H76" s="122" t="s">
        <v>76</v>
      </c>
      <c r="I76" s="122" t="s">
        <v>235</v>
      </c>
      <c r="J76" s="122" t="s">
        <v>61</v>
      </c>
      <c r="K76" s="122" t="s">
        <v>314</v>
      </c>
      <c r="L76" s="122" t="s">
        <v>486</v>
      </c>
      <c r="M76" s="122" t="s">
        <v>1074</v>
      </c>
      <c r="N76" s="122" t="s">
        <v>62</v>
      </c>
      <c r="O76" s="122" t="s">
        <v>1218</v>
      </c>
      <c r="P76" s="123">
        <v>3411</v>
      </c>
      <c r="Q76" s="123">
        <v>3.8809999999999998</v>
      </c>
      <c r="R76" s="123">
        <v>47917</v>
      </c>
      <c r="S76" s="122"/>
      <c r="T76" s="123">
        <v>5404.0739999999996</v>
      </c>
      <c r="U76" s="125">
        <v>1.2E-4</v>
      </c>
      <c r="V76" s="125">
        <v>2.401E-2</v>
      </c>
      <c r="W76" s="126">
        <v>4.6100000000000004E-3</v>
      </c>
      <c r="X76" s="159"/>
    </row>
    <row r="77" spans="1:24" x14ac:dyDescent="0.2">
      <c r="A77" s="121" t="s">
        <v>1211</v>
      </c>
      <c r="B77" s="122" t="s">
        <v>1211</v>
      </c>
      <c r="C77" s="122" t="s">
        <v>2457</v>
      </c>
      <c r="D77" s="122" t="s">
        <v>2458</v>
      </c>
      <c r="E77" s="122" t="s">
        <v>430</v>
      </c>
      <c r="F77" s="122" t="s">
        <v>2457</v>
      </c>
      <c r="G77" s="122" t="s">
        <v>2459</v>
      </c>
      <c r="H77" s="122" t="s">
        <v>76</v>
      </c>
      <c r="I77" s="122" t="s">
        <v>235</v>
      </c>
      <c r="J77" s="122" t="s">
        <v>61</v>
      </c>
      <c r="K77" s="122" t="s">
        <v>188</v>
      </c>
      <c r="L77" s="122" t="s">
        <v>476</v>
      </c>
      <c r="M77" s="122" t="s">
        <v>1058</v>
      </c>
      <c r="N77" s="122" t="s">
        <v>62</v>
      </c>
      <c r="O77" s="122" t="s">
        <v>1217</v>
      </c>
      <c r="P77" s="123">
        <v>34387</v>
      </c>
      <c r="Q77" s="123">
        <v>3.306</v>
      </c>
      <c r="R77" s="123">
        <v>4201</v>
      </c>
      <c r="S77" s="122"/>
      <c r="T77" s="123">
        <v>4775.8410000000003</v>
      </c>
      <c r="U77" s="125">
        <v>1.9000000000000001E-4</v>
      </c>
      <c r="V77" s="125">
        <v>2.1219999999999999E-2</v>
      </c>
      <c r="W77" s="126">
        <v>4.0699999999999998E-3</v>
      </c>
      <c r="X77" s="159"/>
    </row>
    <row r="78" spans="1:24" x14ac:dyDescent="0.2">
      <c r="A78" s="121" t="s">
        <v>1211</v>
      </c>
      <c r="B78" s="122" t="s">
        <v>1211</v>
      </c>
      <c r="C78" s="122" t="s">
        <v>2424</v>
      </c>
      <c r="D78" s="122" t="s">
        <v>2552</v>
      </c>
      <c r="E78" s="122" t="s">
        <v>430</v>
      </c>
      <c r="F78" s="122" t="s">
        <v>2424</v>
      </c>
      <c r="G78" s="122" t="s">
        <v>2553</v>
      </c>
      <c r="H78" s="122" t="s">
        <v>76</v>
      </c>
      <c r="I78" s="122" t="s">
        <v>235</v>
      </c>
      <c r="J78" s="122" t="s">
        <v>61</v>
      </c>
      <c r="K78" s="122" t="s">
        <v>314</v>
      </c>
      <c r="L78" s="122" t="s">
        <v>476</v>
      </c>
      <c r="M78" s="122" t="s">
        <v>1074</v>
      </c>
      <c r="N78" s="122" t="s">
        <v>62</v>
      </c>
      <c r="O78" s="122" t="s">
        <v>1217</v>
      </c>
      <c r="P78" s="123">
        <v>25244</v>
      </c>
      <c r="Q78" s="123">
        <v>3.306</v>
      </c>
      <c r="R78" s="123">
        <v>5610</v>
      </c>
      <c r="S78" s="122"/>
      <c r="T78" s="123">
        <v>4681.9189999999999</v>
      </c>
      <c r="U78" s="125">
        <v>1.231E-2</v>
      </c>
      <c r="V78" s="125">
        <v>2.0799999999999999E-2</v>
      </c>
      <c r="W78" s="126">
        <v>3.9899999999999996E-3</v>
      </c>
      <c r="X78" s="159"/>
    </row>
    <row r="79" spans="1:24" x14ac:dyDescent="0.2">
      <c r="A79" s="121" t="s">
        <v>1211</v>
      </c>
      <c r="B79" s="122" t="s">
        <v>1211</v>
      </c>
      <c r="C79" s="122" t="s">
        <v>2450</v>
      </c>
      <c r="D79" s="122" t="s">
        <v>2451</v>
      </c>
      <c r="E79" s="122" t="s">
        <v>430</v>
      </c>
      <c r="F79" s="122" t="s">
        <v>2452</v>
      </c>
      <c r="G79" s="122" t="s">
        <v>2453</v>
      </c>
      <c r="H79" s="122" t="s">
        <v>76</v>
      </c>
      <c r="I79" s="122" t="s">
        <v>235</v>
      </c>
      <c r="J79" s="122" t="s">
        <v>61</v>
      </c>
      <c r="K79" s="122" t="s">
        <v>314</v>
      </c>
      <c r="L79" s="122" t="s">
        <v>479</v>
      </c>
      <c r="M79" s="122" t="s">
        <v>1081</v>
      </c>
      <c r="N79" s="122" t="s">
        <v>62</v>
      </c>
      <c r="O79" s="122" t="s">
        <v>1217</v>
      </c>
      <c r="P79" s="123">
        <v>4316</v>
      </c>
      <c r="Q79" s="123">
        <v>3.306</v>
      </c>
      <c r="R79" s="123">
        <v>32636</v>
      </c>
      <c r="S79" s="122"/>
      <c r="T79" s="123">
        <v>4656.732</v>
      </c>
      <c r="U79" s="125">
        <v>4.0000000000000003E-5</v>
      </c>
      <c r="V79" s="125">
        <v>2.069E-2</v>
      </c>
      <c r="W79" s="126">
        <v>3.9699999999999996E-3</v>
      </c>
      <c r="X79" s="159"/>
    </row>
    <row r="80" spans="1:24" x14ac:dyDescent="0.2">
      <c r="A80" s="121" t="s">
        <v>1211</v>
      </c>
      <c r="B80" s="122" t="s">
        <v>1211</v>
      </c>
      <c r="C80" s="122" t="s">
        <v>2554</v>
      </c>
      <c r="D80" s="122" t="s">
        <v>2555</v>
      </c>
      <c r="E80" s="122" t="s">
        <v>430</v>
      </c>
      <c r="F80" s="122" t="s">
        <v>2554</v>
      </c>
      <c r="G80" s="122" t="s">
        <v>2556</v>
      </c>
      <c r="H80" s="122" t="s">
        <v>76</v>
      </c>
      <c r="I80" s="122" t="s">
        <v>235</v>
      </c>
      <c r="J80" s="122" t="s">
        <v>61</v>
      </c>
      <c r="K80" s="122" t="s">
        <v>314</v>
      </c>
      <c r="L80" s="122" t="s">
        <v>476</v>
      </c>
      <c r="M80" s="122" t="s">
        <v>1108</v>
      </c>
      <c r="N80" s="122" t="s">
        <v>62</v>
      </c>
      <c r="O80" s="122" t="s">
        <v>1217</v>
      </c>
      <c r="P80" s="123">
        <v>13113</v>
      </c>
      <c r="Q80" s="123">
        <v>3.306</v>
      </c>
      <c r="R80" s="123">
        <v>10725</v>
      </c>
      <c r="S80" s="122"/>
      <c r="T80" s="123">
        <v>4649.4570000000003</v>
      </c>
      <c r="U80" s="125">
        <v>5.1000000000000004E-4</v>
      </c>
      <c r="V80" s="125">
        <v>2.0660000000000001E-2</v>
      </c>
      <c r="W80" s="126">
        <v>3.96E-3</v>
      </c>
      <c r="X80" s="159"/>
    </row>
    <row r="81" spans="1:24" x14ac:dyDescent="0.2">
      <c r="A81" s="121" t="s">
        <v>1211</v>
      </c>
      <c r="B81" s="122" t="s">
        <v>1211</v>
      </c>
      <c r="C81" s="122" t="s">
        <v>2503</v>
      </c>
      <c r="D81" s="122" t="s">
        <v>2504</v>
      </c>
      <c r="E81" s="122" t="s">
        <v>430</v>
      </c>
      <c r="F81" s="122" t="s">
        <v>2503</v>
      </c>
      <c r="G81" s="122" t="s">
        <v>2505</v>
      </c>
      <c r="H81" s="122" t="s">
        <v>76</v>
      </c>
      <c r="I81" s="122" t="s">
        <v>237</v>
      </c>
      <c r="J81" s="122" t="s">
        <v>61</v>
      </c>
      <c r="K81" s="122" t="s">
        <v>315</v>
      </c>
      <c r="L81" s="122" t="s">
        <v>494</v>
      </c>
      <c r="M81" s="122" t="s">
        <v>1085</v>
      </c>
      <c r="N81" s="122" t="s">
        <v>62</v>
      </c>
      <c r="O81" s="122" t="s">
        <v>1217</v>
      </c>
      <c r="P81" s="123">
        <v>13915</v>
      </c>
      <c r="Q81" s="123">
        <v>3.306</v>
      </c>
      <c r="R81" s="123">
        <v>9759</v>
      </c>
      <c r="S81" s="122"/>
      <c r="T81" s="123">
        <v>4489.4319999999998</v>
      </c>
      <c r="U81" s="125">
        <v>4.0999999999999999E-4</v>
      </c>
      <c r="V81" s="125">
        <v>1.9949999999999999E-2</v>
      </c>
      <c r="W81" s="126">
        <v>3.8300000000000001E-3</v>
      </c>
      <c r="X81" s="159"/>
    </row>
    <row r="82" spans="1:24" x14ac:dyDescent="0.2">
      <c r="A82" s="121" t="s">
        <v>1211</v>
      </c>
      <c r="B82" s="122" t="s">
        <v>1211</v>
      </c>
      <c r="C82" s="122" t="s">
        <v>2557</v>
      </c>
      <c r="D82" s="122" t="s">
        <v>2558</v>
      </c>
      <c r="E82" s="122" t="s">
        <v>430</v>
      </c>
      <c r="F82" s="122" t="s">
        <v>2557</v>
      </c>
      <c r="G82" s="122" t="s">
        <v>2559</v>
      </c>
      <c r="H82" s="122" t="s">
        <v>76</v>
      </c>
      <c r="I82" s="122" t="s">
        <v>235</v>
      </c>
      <c r="J82" s="122" t="s">
        <v>61</v>
      </c>
      <c r="K82" s="122" t="s">
        <v>313</v>
      </c>
      <c r="L82" s="122" t="s">
        <v>486</v>
      </c>
      <c r="M82" s="122" t="s">
        <v>1054</v>
      </c>
      <c r="N82" s="122" t="s">
        <v>62</v>
      </c>
      <c r="O82" s="122" t="s">
        <v>1218</v>
      </c>
      <c r="P82" s="123">
        <v>63877</v>
      </c>
      <c r="Q82" s="123">
        <v>3.8809999999999998</v>
      </c>
      <c r="R82" s="123">
        <v>1778</v>
      </c>
      <c r="S82" s="122"/>
      <c r="T82" s="123">
        <v>4407.4390000000003</v>
      </c>
      <c r="U82" s="125">
        <v>2.2200000000000002E-3</v>
      </c>
      <c r="V82" s="125">
        <v>1.958E-2</v>
      </c>
      <c r="W82" s="126">
        <v>3.7599999999999999E-3</v>
      </c>
      <c r="X82" s="159"/>
    </row>
    <row r="83" spans="1:24" x14ac:dyDescent="0.2">
      <c r="A83" s="121" t="s">
        <v>1211</v>
      </c>
      <c r="B83" s="122" t="s">
        <v>1211</v>
      </c>
      <c r="C83" s="122" t="s">
        <v>2560</v>
      </c>
      <c r="D83" s="122" t="s">
        <v>2561</v>
      </c>
      <c r="E83" s="122" t="s">
        <v>430</v>
      </c>
      <c r="F83" s="122" t="s">
        <v>2560</v>
      </c>
      <c r="G83" s="122" t="s">
        <v>2562</v>
      </c>
      <c r="H83" s="122" t="s">
        <v>76</v>
      </c>
      <c r="I83" s="122" t="s">
        <v>235</v>
      </c>
      <c r="J83" s="122" t="s">
        <v>61</v>
      </c>
      <c r="K83" s="122" t="s">
        <v>314</v>
      </c>
      <c r="L83" s="122" t="s">
        <v>476</v>
      </c>
      <c r="M83" s="122" t="s">
        <v>1103</v>
      </c>
      <c r="N83" s="122" t="s">
        <v>62</v>
      </c>
      <c r="O83" s="122" t="s">
        <v>1217</v>
      </c>
      <c r="P83" s="123">
        <v>27847</v>
      </c>
      <c r="Q83" s="123">
        <v>3.306</v>
      </c>
      <c r="R83" s="123">
        <v>4763</v>
      </c>
      <c r="S83" s="122"/>
      <c r="T83" s="123">
        <v>4384.9219999999996</v>
      </c>
      <c r="U83" s="125">
        <v>1.2999999999999999E-4</v>
      </c>
      <c r="V83" s="125">
        <v>1.9480000000000001E-2</v>
      </c>
      <c r="W83" s="126">
        <v>3.7399999999999998E-3</v>
      </c>
      <c r="X83" s="159"/>
    </row>
    <row r="84" spans="1:24" x14ac:dyDescent="0.2">
      <c r="A84" s="121" t="s">
        <v>1211</v>
      </c>
      <c r="B84" s="122" t="s">
        <v>1211</v>
      </c>
      <c r="C84" s="122" t="s">
        <v>2464</v>
      </c>
      <c r="D84" s="122" t="s">
        <v>2465</v>
      </c>
      <c r="E84" s="122" t="s">
        <v>430</v>
      </c>
      <c r="F84" s="122" t="s">
        <v>2466</v>
      </c>
      <c r="G84" s="122" t="s">
        <v>2467</v>
      </c>
      <c r="H84" s="122" t="s">
        <v>76</v>
      </c>
      <c r="I84" s="122" t="s">
        <v>235</v>
      </c>
      <c r="J84" s="122" t="s">
        <v>61</v>
      </c>
      <c r="K84" s="122" t="s">
        <v>188</v>
      </c>
      <c r="L84" s="122" t="s">
        <v>479</v>
      </c>
      <c r="M84" s="122" t="s">
        <v>1058</v>
      </c>
      <c r="N84" s="122" t="s">
        <v>62</v>
      </c>
      <c r="O84" s="122" t="s">
        <v>1217</v>
      </c>
      <c r="P84" s="123">
        <v>19277</v>
      </c>
      <c r="Q84" s="123">
        <v>3.306</v>
      </c>
      <c r="R84" s="123">
        <v>6585</v>
      </c>
      <c r="S84" s="122"/>
      <c r="T84" s="123">
        <v>4196.6049999999996</v>
      </c>
      <c r="U84" s="125">
        <v>1.7000000000000001E-4</v>
      </c>
      <c r="V84" s="125">
        <v>1.864E-2</v>
      </c>
      <c r="W84" s="126">
        <v>3.5799999999999998E-3</v>
      </c>
      <c r="X84" s="159"/>
    </row>
    <row r="85" spans="1:24" x14ac:dyDescent="0.2">
      <c r="A85" s="121" t="s">
        <v>1211</v>
      </c>
      <c r="B85" s="122" t="s">
        <v>1211</v>
      </c>
      <c r="C85" s="122" t="s">
        <v>2488</v>
      </c>
      <c r="D85" s="122" t="s">
        <v>2411</v>
      </c>
      <c r="E85" s="122" t="s">
        <v>430</v>
      </c>
      <c r="F85" s="122" t="s">
        <v>2488</v>
      </c>
      <c r="G85" s="122" t="s">
        <v>2489</v>
      </c>
      <c r="H85" s="122" t="s">
        <v>76</v>
      </c>
      <c r="I85" s="122" t="s">
        <v>235</v>
      </c>
      <c r="J85" s="122" t="s">
        <v>61</v>
      </c>
      <c r="K85" s="122" t="s">
        <v>314</v>
      </c>
      <c r="L85" s="122" t="s">
        <v>476</v>
      </c>
      <c r="M85" s="122" t="s">
        <v>1108</v>
      </c>
      <c r="N85" s="122" t="s">
        <v>62</v>
      </c>
      <c r="O85" s="122" t="s">
        <v>1217</v>
      </c>
      <c r="P85" s="123">
        <v>10286</v>
      </c>
      <c r="Q85" s="123">
        <v>3.306</v>
      </c>
      <c r="R85" s="123">
        <v>11038</v>
      </c>
      <c r="S85" s="122"/>
      <c r="T85" s="123">
        <v>3753.529</v>
      </c>
      <c r="U85" s="125">
        <v>4.4999999999999999E-4</v>
      </c>
      <c r="V85" s="125">
        <v>1.668E-2</v>
      </c>
      <c r="W85" s="126">
        <v>3.2000000000000002E-3</v>
      </c>
      <c r="X85" s="159"/>
    </row>
    <row r="86" spans="1:24" x14ac:dyDescent="0.2">
      <c r="A86" s="121" t="s">
        <v>1211</v>
      </c>
      <c r="B86" s="122" t="s">
        <v>1211</v>
      </c>
      <c r="C86" s="122" t="s">
        <v>2496</v>
      </c>
      <c r="D86" s="122" t="s">
        <v>2497</v>
      </c>
      <c r="E86" s="122" t="s">
        <v>430</v>
      </c>
      <c r="F86" s="122" t="s">
        <v>2496</v>
      </c>
      <c r="G86" s="122" t="s">
        <v>2498</v>
      </c>
      <c r="H86" s="122" t="s">
        <v>76</v>
      </c>
      <c r="I86" s="122" t="s">
        <v>235</v>
      </c>
      <c r="J86" s="122" t="s">
        <v>61</v>
      </c>
      <c r="K86" s="122" t="s">
        <v>159</v>
      </c>
      <c r="L86" s="122" t="s">
        <v>489</v>
      </c>
      <c r="M86" s="122" t="s">
        <v>1107</v>
      </c>
      <c r="N86" s="122" t="s">
        <v>62</v>
      </c>
      <c r="O86" s="122" t="s">
        <v>1219</v>
      </c>
      <c r="P86" s="123">
        <v>646885</v>
      </c>
      <c r="Q86" s="123">
        <v>0.42499999999999999</v>
      </c>
      <c r="R86" s="123">
        <v>1363</v>
      </c>
      <c r="S86" s="122"/>
      <c r="T86" s="123">
        <v>3745.48</v>
      </c>
      <c r="U86" s="125">
        <v>4.4900000000000001E-3</v>
      </c>
      <c r="V86" s="125">
        <v>1.6639999999999999E-2</v>
      </c>
      <c r="W86" s="126">
        <v>3.1900000000000001E-3</v>
      </c>
      <c r="X86" s="159"/>
    </row>
    <row r="87" spans="1:24" x14ac:dyDescent="0.2">
      <c r="A87" s="121" t="s">
        <v>1211</v>
      </c>
      <c r="B87" s="122" t="s">
        <v>1211</v>
      </c>
      <c r="C87" s="122" t="s">
        <v>2477</v>
      </c>
      <c r="D87" s="122" t="s">
        <v>2478</v>
      </c>
      <c r="E87" s="122" t="s">
        <v>430</v>
      </c>
      <c r="F87" s="122" t="s">
        <v>2479</v>
      </c>
      <c r="G87" s="122" t="s">
        <v>2480</v>
      </c>
      <c r="H87" s="122" t="s">
        <v>76</v>
      </c>
      <c r="I87" s="122" t="s">
        <v>235</v>
      </c>
      <c r="J87" s="122" t="s">
        <v>61</v>
      </c>
      <c r="K87" s="122" t="s">
        <v>314</v>
      </c>
      <c r="L87" s="122" t="s">
        <v>476</v>
      </c>
      <c r="M87" s="122" t="s">
        <v>1103</v>
      </c>
      <c r="N87" s="122" t="s">
        <v>62</v>
      </c>
      <c r="O87" s="122" t="s">
        <v>1217</v>
      </c>
      <c r="P87" s="123">
        <v>7086</v>
      </c>
      <c r="Q87" s="123">
        <v>3.306</v>
      </c>
      <c r="R87" s="123">
        <v>15545</v>
      </c>
      <c r="S87" s="122"/>
      <c r="T87" s="123">
        <v>3641.6210000000001</v>
      </c>
      <c r="U87" s="125">
        <v>1.8000000000000001E-4</v>
      </c>
      <c r="V87" s="125">
        <v>1.618E-2</v>
      </c>
      <c r="W87" s="126">
        <v>3.0999999999999999E-3</v>
      </c>
      <c r="X87" s="159"/>
    </row>
    <row r="88" spans="1:24" x14ac:dyDescent="0.2">
      <c r="A88" s="121" t="s">
        <v>1211</v>
      </c>
      <c r="B88" s="122" t="s">
        <v>1211</v>
      </c>
      <c r="C88" s="122" t="s">
        <v>2413</v>
      </c>
      <c r="D88" s="122" t="s">
        <v>2414</v>
      </c>
      <c r="E88" s="122" t="s">
        <v>430</v>
      </c>
      <c r="F88" s="122" t="s">
        <v>2413</v>
      </c>
      <c r="G88" s="122" t="s">
        <v>2415</v>
      </c>
      <c r="H88" s="122" t="s">
        <v>76</v>
      </c>
      <c r="I88" s="122" t="s">
        <v>235</v>
      </c>
      <c r="J88" s="122" t="s">
        <v>61</v>
      </c>
      <c r="K88" s="122" t="s">
        <v>314</v>
      </c>
      <c r="L88" s="122" t="s">
        <v>476</v>
      </c>
      <c r="M88" s="122" t="s">
        <v>1081</v>
      </c>
      <c r="N88" s="122" t="s">
        <v>62</v>
      </c>
      <c r="O88" s="122" t="s">
        <v>1217</v>
      </c>
      <c r="P88" s="123">
        <v>3672</v>
      </c>
      <c r="Q88" s="123">
        <v>3.306</v>
      </c>
      <c r="R88" s="123">
        <v>28186</v>
      </c>
      <c r="S88" s="122"/>
      <c r="T88" s="123">
        <v>3421.6770000000001</v>
      </c>
      <c r="U88" s="125">
        <v>1.0000000000000001E-5</v>
      </c>
      <c r="V88" s="125">
        <v>1.52E-2</v>
      </c>
      <c r="W88" s="126">
        <v>2.9199999999999999E-3</v>
      </c>
      <c r="X88" s="159"/>
    </row>
    <row r="89" spans="1:24" x14ac:dyDescent="0.2">
      <c r="A89" s="121" t="s">
        <v>1211</v>
      </c>
      <c r="B89" s="122" t="s">
        <v>1211</v>
      </c>
      <c r="C89" s="122" t="s">
        <v>2468</v>
      </c>
      <c r="D89" s="122" t="s">
        <v>2469</v>
      </c>
      <c r="E89" s="122" t="s">
        <v>430</v>
      </c>
      <c r="F89" s="122" t="s">
        <v>2468</v>
      </c>
      <c r="G89" s="122" t="s">
        <v>2470</v>
      </c>
      <c r="H89" s="122" t="s">
        <v>76</v>
      </c>
      <c r="I89" s="122" t="s">
        <v>235</v>
      </c>
      <c r="J89" s="122" t="s">
        <v>61</v>
      </c>
      <c r="K89" s="122" t="s">
        <v>314</v>
      </c>
      <c r="L89" s="122" t="s">
        <v>476</v>
      </c>
      <c r="M89" s="122" t="s">
        <v>1056</v>
      </c>
      <c r="N89" s="122" t="s">
        <v>62</v>
      </c>
      <c r="O89" s="122" t="s">
        <v>1217</v>
      </c>
      <c r="P89" s="123">
        <v>5620</v>
      </c>
      <c r="Q89" s="123">
        <v>3.306</v>
      </c>
      <c r="R89" s="123">
        <v>17688</v>
      </c>
      <c r="S89" s="122"/>
      <c r="T89" s="123">
        <v>3286.3809999999999</v>
      </c>
      <c r="U89" s="125">
        <v>1.3699999999999999E-3</v>
      </c>
      <c r="V89" s="125">
        <v>1.46E-2</v>
      </c>
      <c r="W89" s="126">
        <v>2.8E-3</v>
      </c>
      <c r="X89" s="159"/>
    </row>
    <row r="90" spans="1:24" x14ac:dyDescent="0.2">
      <c r="A90" s="121" t="s">
        <v>1211</v>
      </c>
      <c r="B90" s="122" t="s">
        <v>1211</v>
      </c>
      <c r="C90" s="122" t="s">
        <v>2426</v>
      </c>
      <c r="D90" s="122" t="s">
        <v>2427</v>
      </c>
      <c r="E90" s="122" t="s">
        <v>430</v>
      </c>
      <c r="F90" s="122" t="s">
        <v>2426</v>
      </c>
      <c r="G90" s="122" t="s">
        <v>2428</v>
      </c>
      <c r="H90" s="122" t="s">
        <v>76</v>
      </c>
      <c r="I90" s="122" t="s">
        <v>235</v>
      </c>
      <c r="J90" s="122" t="s">
        <v>61</v>
      </c>
      <c r="K90" s="122" t="s">
        <v>314</v>
      </c>
      <c r="L90" s="122" t="s">
        <v>476</v>
      </c>
      <c r="M90" s="122" t="s">
        <v>1066</v>
      </c>
      <c r="N90" s="122" t="s">
        <v>62</v>
      </c>
      <c r="O90" s="122" t="s">
        <v>1217</v>
      </c>
      <c r="P90" s="123">
        <v>26118</v>
      </c>
      <c r="Q90" s="123">
        <v>3.306</v>
      </c>
      <c r="R90" s="123">
        <v>3794</v>
      </c>
      <c r="S90" s="122"/>
      <c r="T90" s="123">
        <v>3275.971</v>
      </c>
      <c r="U90" s="125">
        <v>2.2000000000000001E-4</v>
      </c>
      <c r="V90" s="125">
        <v>1.455E-2</v>
      </c>
      <c r="W90" s="126">
        <v>2.7899999999999999E-3</v>
      </c>
      <c r="X90" s="159"/>
    </row>
    <row r="91" spans="1:24" x14ac:dyDescent="0.2">
      <c r="A91" s="121" t="s">
        <v>1211</v>
      </c>
      <c r="B91" s="122" t="s">
        <v>1211</v>
      </c>
      <c r="C91" s="122" t="s">
        <v>2436</v>
      </c>
      <c r="D91" s="122" t="s">
        <v>2437</v>
      </c>
      <c r="E91" s="122" t="s">
        <v>430</v>
      </c>
      <c r="F91" s="122" t="s">
        <v>2436</v>
      </c>
      <c r="G91" s="122" t="s">
        <v>2438</v>
      </c>
      <c r="H91" s="122" t="s">
        <v>76</v>
      </c>
      <c r="I91" s="122" t="s">
        <v>235</v>
      </c>
      <c r="J91" s="122" t="s">
        <v>61</v>
      </c>
      <c r="K91" s="122" t="s">
        <v>173</v>
      </c>
      <c r="L91" s="122" t="s">
        <v>102</v>
      </c>
      <c r="M91" s="122" t="s">
        <v>1080</v>
      </c>
      <c r="N91" s="122" t="s">
        <v>62</v>
      </c>
      <c r="O91" s="122" t="s">
        <v>1218</v>
      </c>
      <c r="P91" s="123">
        <v>3008</v>
      </c>
      <c r="Q91" s="123">
        <v>3.8809999999999998</v>
      </c>
      <c r="R91" s="123">
        <v>26801</v>
      </c>
      <c r="S91" s="122"/>
      <c r="T91" s="123">
        <v>3128.52</v>
      </c>
      <c r="U91" s="125">
        <v>8.0000000000000007E-5</v>
      </c>
      <c r="V91" s="125">
        <v>1.3899999999999999E-2</v>
      </c>
      <c r="W91" s="126">
        <v>2.6700000000000001E-3</v>
      </c>
      <c r="X91" s="159"/>
    </row>
    <row r="92" spans="1:24" x14ac:dyDescent="0.2">
      <c r="A92" s="121" t="s">
        <v>1211</v>
      </c>
      <c r="B92" s="122" t="s">
        <v>1211</v>
      </c>
      <c r="C92" s="122" t="s">
        <v>2563</v>
      </c>
      <c r="D92" s="122" t="s">
        <v>2564</v>
      </c>
      <c r="E92" s="122" t="s">
        <v>430</v>
      </c>
      <c r="F92" s="122" t="s">
        <v>2563</v>
      </c>
      <c r="G92" s="122" t="s">
        <v>2565</v>
      </c>
      <c r="H92" s="122" t="s">
        <v>76</v>
      </c>
      <c r="I92" s="122" t="s">
        <v>235</v>
      </c>
      <c r="J92" s="122" t="s">
        <v>61</v>
      </c>
      <c r="K92" s="122" t="s">
        <v>314</v>
      </c>
      <c r="L92" s="122" t="s">
        <v>476</v>
      </c>
      <c r="M92" s="122" t="s">
        <v>1108</v>
      </c>
      <c r="N92" s="122" t="s">
        <v>62</v>
      </c>
      <c r="O92" s="122" t="s">
        <v>1217</v>
      </c>
      <c r="P92" s="123">
        <v>5873</v>
      </c>
      <c r="Q92" s="123">
        <v>3.306</v>
      </c>
      <c r="R92" s="123">
        <v>15285</v>
      </c>
      <c r="S92" s="122"/>
      <c r="T92" s="123">
        <v>2967.7570000000001</v>
      </c>
      <c r="U92" s="125">
        <v>1.49E-3</v>
      </c>
      <c r="V92" s="125">
        <v>1.3180000000000001E-2</v>
      </c>
      <c r="W92" s="126">
        <v>2.5300000000000001E-3</v>
      </c>
      <c r="X92" s="159"/>
    </row>
    <row r="93" spans="1:24" x14ac:dyDescent="0.2">
      <c r="A93" s="121" t="s">
        <v>1211</v>
      </c>
      <c r="B93" s="122" t="s">
        <v>1211</v>
      </c>
      <c r="C93" s="122" t="s">
        <v>2446</v>
      </c>
      <c r="D93" s="122" t="s">
        <v>2447</v>
      </c>
      <c r="E93" s="122" t="s">
        <v>430</v>
      </c>
      <c r="F93" s="122" t="s">
        <v>2448</v>
      </c>
      <c r="G93" s="122" t="s">
        <v>2449</v>
      </c>
      <c r="H93" s="122" t="s">
        <v>76</v>
      </c>
      <c r="I93" s="122" t="s">
        <v>235</v>
      </c>
      <c r="J93" s="122" t="s">
        <v>61</v>
      </c>
      <c r="K93" s="122" t="s">
        <v>314</v>
      </c>
      <c r="L93" s="122" t="s">
        <v>476</v>
      </c>
      <c r="M93" s="122" t="s">
        <v>1108</v>
      </c>
      <c r="N93" s="122" t="s">
        <v>62</v>
      </c>
      <c r="O93" s="122" t="s">
        <v>1217</v>
      </c>
      <c r="P93" s="123">
        <v>1891</v>
      </c>
      <c r="Q93" s="123">
        <v>3.306</v>
      </c>
      <c r="R93" s="123">
        <v>46374</v>
      </c>
      <c r="S93" s="123">
        <v>2.492</v>
      </c>
      <c r="T93" s="123">
        <v>2907.375</v>
      </c>
      <c r="U93" s="125">
        <v>2.0000000000000002E-5</v>
      </c>
      <c r="V93" s="125">
        <v>1.2930000000000001E-2</v>
      </c>
      <c r="W93" s="126">
        <v>2.48E-3</v>
      </c>
      <c r="X93" s="159"/>
    </row>
    <row r="94" spans="1:24" x14ac:dyDescent="0.2">
      <c r="A94" s="121" t="s">
        <v>1211</v>
      </c>
      <c r="B94" s="122" t="s">
        <v>1211</v>
      </c>
      <c r="C94" s="122" t="s">
        <v>2471</v>
      </c>
      <c r="D94" s="122" t="s">
        <v>2472</v>
      </c>
      <c r="E94" s="122" t="s">
        <v>430</v>
      </c>
      <c r="F94" s="122" t="s">
        <v>2471</v>
      </c>
      <c r="G94" s="122" t="s">
        <v>2473</v>
      </c>
      <c r="H94" s="122" t="s">
        <v>76</v>
      </c>
      <c r="I94" s="122" t="s">
        <v>235</v>
      </c>
      <c r="J94" s="122" t="s">
        <v>61</v>
      </c>
      <c r="K94" s="122" t="s">
        <v>314</v>
      </c>
      <c r="L94" s="122" t="s">
        <v>476</v>
      </c>
      <c r="M94" s="122" t="s">
        <v>1108</v>
      </c>
      <c r="N94" s="122" t="s">
        <v>62</v>
      </c>
      <c r="O94" s="122" t="s">
        <v>1217</v>
      </c>
      <c r="P94" s="123">
        <v>3654</v>
      </c>
      <c r="Q94" s="123">
        <v>3.306</v>
      </c>
      <c r="R94" s="123">
        <v>23964</v>
      </c>
      <c r="S94" s="122"/>
      <c r="T94" s="123">
        <v>2894.8809999999999</v>
      </c>
      <c r="U94" s="125">
        <v>4.0000000000000003E-5</v>
      </c>
      <c r="V94" s="125">
        <v>1.286E-2</v>
      </c>
      <c r="W94" s="126">
        <v>2.47E-3</v>
      </c>
      <c r="X94" s="159"/>
    </row>
    <row r="95" spans="1:24" x14ac:dyDescent="0.2">
      <c r="A95" s="121" t="s">
        <v>1211</v>
      </c>
      <c r="B95" s="122" t="s">
        <v>1211</v>
      </c>
      <c r="C95" s="122" t="s">
        <v>2566</v>
      </c>
      <c r="D95" s="122" t="s">
        <v>2567</v>
      </c>
      <c r="E95" s="122" t="s">
        <v>430</v>
      </c>
      <c r="F95" s="122" t="s">
        <v>2566</v>
      </c>
      <c r="G95" s="122" t="s">
        <v>2568</v>
      </c>
      <c r="H95" s="122" t="s">
        <v>76</v>
      </c>
      <c r="I95" s="122" t="s">
        <v>235</v>
      </c>
      <c r="J95" s="122" t="s">
        <v>61</v>
      </c>
      <c r="K95" s="122" t="s">
        <v>313</v>
      </c>
      <c r="L95" s="122" t="s">
        <v>488</v>
      </c>
      <c r="M95" s="122" t="s">
        <v>1080</v>
      </c>
      <c r="N95" s="122" t="s">
        <v>62</v>
      </c>
      <c r="O95" s="122" t="s">
        <v>1218</v>
      </c>
      <c r="P95" s="123">
        <v>6891</v>
      </c>
      <c r="Q95" s="123">
        <v>3.8809999999999998</v>
      </c>
      <c r="R95" s="123">
        <v>10690</v>
      </c>
      <c r="S95" s="122"/>
      <c r="T95" s="123">
        <v>2858.71</v>
      </c>
      <c r="U95" s="125">
        <v>3.64E-3</v>
      </c>
      <c r="V95" s="125">
        <v>1.2699999999999999E-2</v>
      </c>
      <c r="W95" s="126">
        <v>2.4399999999999999E-3</v>
      </c>
      <c r="X95" s="159"/>
    </row>
    <row r="96" spans="1:24" x14ac:dyDescent="0.2">
      <c r="A96" s="121" t="s">
        <v>1211</v>
      </c>
      <c r="B96" s="122" t="s">
        <v>1211</v>
      </c>
      <c r="C96" s="122" t="s">
        <v>2490</v>
      </c>
      <c r="D96" s="122" t="s">
        <v>2491</v>
      </c>
      <c r="E96" s="122" t="s">
        <v>102</v>
      </c>
      <c r="F96" s="122" t="s">
        <v>2490</v>
      </c>
      <c r="G96" s="122" t="s">
        <v>2492</v>
      </c>
      <c r="H96" s="122" t="s">
        <v>76</v>
      </c>
      <c r="I96" s="122" t="s">
        <v>235</v>
      </c>
      <c r="J96" s="122" t="s">
        <v>61</v>
      </c>
      <c r="K96" s="122" t="s">
        <v>143</v>
      </c>
      <c r="L96" s="122" t="s">
        <v>476</v>
      </c>
      <c r="M96" s="122" t="s">
        <v>1066</v>
      </c>
      <c r="N96" s="122" t="s">
        <v>62</v>
      </c>
      <c r="O96" s="122" t="s">
        <v>1217</v>
      </c>
      <c r="P96" s="123">
        <v>23535</v>
      </c>
      <c r="Q96" s="123">
        <v>3.306</v>
      </c>
      <c r="R96" s="123">
        <v>3100</v>
      </c>
      <c r="S96" s="122"/>
      <c r="T96" s="123">
        <v>2412.0079999999998</v>
      </c>
      <c r="U96" s="125">
        <v>1.3999999999999999E-4</v>
      </c>
      <c r="V96" s="125">
        <v>1.072E-2</v>
      </c>
      <c r="W96" s="126">
        <v>2.0600000000000002E-3</v>
      </c>
      <c r="X96" s="159"/>
    </row>
    <row r="97" spans="1:24" x14ac:dyDescent="0.2">
      <c r="A97" s="121" t="s">
        <v>1211</v>
      </c>
      <c r="B97" s="122" t="s">
        <v>1211</v>
      </c>
      <c r="C97" s="122" t="s">
        <v>2569</v>
      </c>
      <c r="D97" s="122" t="s">
        <v>2570</v>
      </c>
      <c r="E97" s="122" t="s">
        <v>430</v>
      </c>
      <c r="F97" s="122" t="s">
        <v>2569</v>
      </c>
      <c r="G97" s="122" t="s">
        <v>2571</v>
      </c>
      <c r="H97" s="122" t="s">
        <v>76</v>
      </c>
      <c r="I97" s="122" t="s">
        <v>235</v>
      </c>
      <c r="J97" s="122" t="s">
        <v>61</v>
      </c>
      <c r="K97" s="122" t="s">
        <v>314</v>
      </c>
      <c r="L97" s="122" t="s">
        <v>479</v>
      </c>
      <c r="M97" s="122" t="s">
        <v>1051</v>
      </c>
      <c r="N97" s="122" t="s">
        <v>62</v>
      </c>
      <c r="O97" s="122" t="s">
        <v>1217</v>
      </c>
      <c r="P97" s="123">
        <v>7448</v>
      </c>
      <c r="Q97" s="123">
        <v>3.306</v>
      </c>
      <c r="R97" s="123">
        <v>9668</v>
      </c>
      <c r="S97" s="122"/>
      <c r="T97" s="123">
        <v>2380.56</v>
      </c>
      <c r="U97" s="125">
        <v>2.0000000000000001E-4</v>
      </c>
      <c r="V97" s="125">
        <v>1.0580000000000001E-2</v>
      </c>
      <c r="W97" s="126">
        <v>2.0300000000000001E-3</v>
      </c>
      <c r="X97" s="159"/>
    </row>
    <row r="98" spans="1:24" x14ac:dyDescent="0.2">
      <c r="A98" s="121" t="s">
        <v>1211</v>
      </c>
      <c r="B98" s="122" t="s">
        <v>1211</v>
      </c>
      <c r="C98" s="122" t="s">
        <v>2572</v>
      </c>
      <c r="D98" s="122" t="s">
        <v>2573</v>
      </c>
      <c r="E98" s="122" t="s">
        <v>430</v>
      </c>
      <c r="F98" s="122" t="s">
        <v>2572</v>
      </c>
      <c r="G98" s="122" t="s">
        <v>2574</v>
      </c>
      <c r="H98" s="122" t="s">
        <v>76</v>
      </c>
      <c r="I98" s="122" t="s">
        <v>235</v>
      </c>
      <c r="J98" s="122" t="s">
        <v>61</v>
      </c>
      <c r="K98" s="122" t="s">
        <v>314</v>
      </c>
      <c r="L98" s="122" t="s">
        <v>476</v>
      </c>
      <c r="M98" s="122" t="s">
        <v>1108</v>
      </c>
      <c r="N98" s="122" t="s">
        <v>62</v>
      </c>
      <c r="O98" s="122" t="s">
        <v>1217</v>
      </c>
      <c r="P98" s="123">
        <v>6375</v>
      </c>
      <c r="Q98" s="123">
        <v>3.306</v>
      </c>
      <c r="R98" s="123">
        <v>11080</v>
      </c>
      <c r="S98" s="122"/>
      <c r="T98" s="123">
        <v>2335.1930000000002</v>
      </c>
      <c r="U98" s="125">
        <v>3.6000000000000002E-4</v>
      </c>
      <c r="V98" s="125">
        <v>1.0370000000000001E-2</v>
      </c>
      <c r="W98" s="126">
        <v>1.99E-3</v>
      </c>
      <c r="X98" s="159"/>
    </row>
    <row r="99" spans="1:24" x14ac:dyDescent="0.2">
      <c r="A99" s="121" t="s">
        <v>1211</v>
      </c>
      <c r="B99" s="122" t="s">
        <v>1211</v>
      </c>
      <c r="C99" s="122" t="s">
        <v>2493</v>
      </c>
      <c r="D99" s="122" t="s">
        <v>2494</v>
      </c>
      <c r="E99" s="122" t="s">
        <v>430</v>
      </c>
      <c r="F99" s="122" t="s">
        <v>2493</v>
      </c>
      <c r="G99" s="122" t="s">
        <v>2495</v>
      </c>
      <c r="H99" s="122" t="s">
        <v>76</v>
      </c>
      <c r="I99" s="122" t="s">
        <v>235</v>
      </c>
      <c r="J99" s="122" t="s">
        <v>61</v>
      </c>
      <c r="K99" s="122" t="s">
        <v>314</v>
      </c>
      <c r="L99" s="122" t="s">
        <v>479</v>
      </c>
      <c r="M99" s="122" t="s">
        <v>1067</v>
      </c>
      <c r="N99" s="122" t="s">
        <v>62</v>
      </c>
      <c r="O99" s="122" t="s">
        <v>1217</v>
      </c>
      <c r="P99" s="123">
        <v>4518</v>
      </c>
      <c r="Q99" s="123">
        <v>3.306</v>
      </c>
      <c r="R99" s="123">
        <v>15108</v>
      </c>
      <c r="S99" s="123">
        <v>1.0649999999999999</v>
      </c>
      <c r="T99" s="123">
        <v>2260.1280000000002</v>
      </c>
      <c r="U99" s="125">
        <v>2.5999999999999998E-4</v>
      </c>
      <c r="V99" s="125">
        <v>1.005E-2</v>
      </c>
      <c r="W99" s="126">
        <v>1.9300000000000001E-3</v>
      </c>
      <c r="X99" s="159"/>
    </row>
    <row r="100" spans="1:24" x14ac:dyDescent="0.2">
      <c r="A100" s="121" t="s">
        <v>1211</v>
      </c>
      <c r="B100" s="122" t="s">
        <v>1211</v>
      </c>
      <c r="C100" s="122" t="s">
        <v>2575</v>
      </c>
      <c r="D100" s="122" t="s">
        <v>2576</v>
      </c>
      <c r="E100" s="122" t="s">
        <v>430</v>
      </c>
      <c r="F100" s="122" t="s">
        <v>2575</v>
      </c>
      <c r="G100" s="122" t="s">
        <v>2577</v>
      </c>
      <c r="H100" s="122" t="s">
        <v>76</v>
      </c>
      <c r="I100" s="122" t="s">
        <v>235</v>
      </c>
      <c r="J100" s="122" t="s">
        <v>61</v>
      </c>
      <c r="K100" s="122" t="s">
        <v>314</v>
      </c>
      <c r="L100" s="122" t="s">
        <v>476</v>
      </c>
      <c r="M100" s="122" t="s">
        <v>1108</v>
      </c>
      <c r="N100" s="122" t="s">
        <v>62</v>
      </c>
      <c r="O100" s="122" t="s">
        <v>1217</v>
      </c>
      <c r="P100" s="123">
        <v>7496</v>
      </c>
      <c r="Q100" s="123">
        <v>3.306</v>
      </c>
      <c r="R100" s="123">
        <v>8721</v>
      </c>
      <c r="S100" s="122"/>
      <c r="T100" s="123">
        <v>2161.2190000000001</v>
      </c>
      <c r="U100" s="125">
        <v>3.0000000000000001E-5</v>
      </c>
      <c r="V100" s="125">
        <v>9.5999999999999992E-3</v>
      </c>
      <c r="W100" s="126">
        <v>1.8400000000000001E-3</v>
      </c>
      <c r="X100" s="159"/>
    </row>
    <row r="101" spans="1:24" x14ac:dyDescent="0.2">
      <c r="A101" s="121" t="s">
        <v>1211</v>
      </c>
      <c r="B101" s="122" t="s">
        <v>1211</v>
      </c>
      <c r="C101" s="122" t="s">
        <v>2499</v>
      </c>
      <c r="D101" s="122" t="s">
        <v>2500</v>
      </c>
      <c r="E101" s="122" t="s">
        <v>430</v>
      </c>
      <c r="F101" s="122" t="s">
        <v>2501</v>
      </c>
      <c r="G101" s="122" t="s">
        <v>2502</v>
      </c>
      <c r="H101" s="122" t="s">
        <v>76</v>
      </c>
      <c r="I101" s="122" t="s">
        <v>235</v>
      </c>
      <c r="J101" s="122" t="s">
        <v>61</v>
      </c>
      <c r="K101" s="122" t="s">
        <v>314</v>
      </c>
      <c r="L101" s="122" t="s">
        <v>476</v>
      </c>
      <c r="M101" s="122" t="s">
        <v>1107</v>
      </c>
      <c r="N101" s="122" t="s">
        <v>62</v>
      </c>
      <c r="O101" s="122" t="s">
        <v>1217</v>
      </c>
      <c r="P101" s="123">
        <v>10097</v>
      </c>
      <c r="Q101" s="123">
        <v>3.306</v>
      </c>
      <c r="R101" s="123">
        <v>6362</v>
      </c>
      <c r="S101" s="122"/>
      <c r="T101" s="123">
        <v>2123.6790000000001</v>
      </c>
      <c r="U101" s="125">
        <v>1E-4</v>
      </c>
      <c r="V101" s="125">
        <v>9.4299999999999991E-3</v>
      </c>
      <c r="W101" s="126">
        <v>1.81E-3</v>
      </c>
      <c r="X101" s="159"/>
    </row>
    <row r="102" spans="1:24" x14ac:dyDescent="0.2">
      <c r="A102" s="121" t="s">
        <v>1211</v>
      </c>
      <c r="B102" s="122" t="s">
        <v>1211</v>
      </c>
      <c r="C102" s="122" t="s">
        <v>2382</v>
      </c>
      <c r="D102" s="122" t="s">
        <v>2383</v>
      </c>
      <c r="E102" s="122" t="s">
        <v>429</v>
      </c>
      <c r="F102" s="122" t="s">
        <v>2578</v>
      </c>
      <c r="G102" s="122" t="s">
        <v>2579</v>
      </c>
      <c r="H102" s="122" t="s">
        <v>76</v>
      </c>
      <c r="I102" s="122" t="s">
        <v>235</v>
      </c>
      <c r="J102" s="122" t="s">
        <v>61</v>
      </c>
      <c r="K102" s="122" t="s">
        <v>314</v>
      </c>
      <c r="L102" s="122" t="s">
        <v>311</v>
      </c>
      <c r="M102" s="122" t="s">
        <v>1108</v>
      </c>
      <c r="N102" s="122" t="s">
        <v>62</v>
      </c>
      <c r="O102" s="122" t="s">
        <v>1216</v>
      </c>
      <c r="P102" s="123">
        <v>66443</v>
      </c>
      <c r="Q102" s="123">
        <v>1</v>
      </c>
      <c r="R102" s="123">
        <v>2651</v>
      </c>
      <c r="S102" s="122"/>
      <c r="T102" s="123">
        <v>1761.404</v>
      </c>
      <c r="U102" s="125">
        <v>1.022E-2</v>
      </c>
      <c r="V102" s="125">
        <v>7.8300000000000002E-3</v>
      </c>
      <c r="W102" s="126">
        <v>1.5E-3</v>
      </c>
      <c r="X102" s="159"/>
    </row>
    <row r="103" spans="1:24" x14ac:dyDescent="0.2">
      <c r="A103" s="121" t="s">
        <v>1211</v>
      </c>
      <c r="B103" s="122" t="s">
        <v>1211</v>
      </c>
      <c r="C103" s="122" t="s">
        <v>2580</v>
      </c>
      <c r="D103" s="122" t="s">
        <v>2581</v>
      </c>
      <c r="E103" s="122" t="s">
        <v>430</v>
      </c>
      <c r="F103" s="122" t="s">
        <v>2580</v>
      </c>
      <c r="G103" s="122" t="s">
        <v>2582</v>
      </c>
      <c r="H103" s="122" t="s">
        <v>76</v>
      </c>
      <c r="I103" s="122" t="s">
        <v>235</v>
      </c>
      <c r="J103" s="122" t="s">
        <v>61</v>
      </c>
      <c r="K103" s="122" t="s">
        <v>314</v>
      </c>
      <c r="L103" s="122" t="s">
        <v>476</v>
      </c>
      <c r="M103" s="122" t="s">
        <v>759</v>
      </c>
      <c r="N103" s="122" t="s">
        <v>62</v>
      </c>
      <c r="O103" s="122" t="s">
        <v>1217</v>
      </c>
      <c r="P103" s="123">
        <v>21070</v>
      </c>
      <c r="Q103" s="123">
        <v>3.306</v>
      </c>
      <c r="R103" s="123">
        <v>2499</v>
      </c>
      <c r="S103" s="122"/>
      <c r="T103" s="123">
        <v>1740.739</v>
      </c>
      <c r="U103" s="125">
        <v>7.9000000000000001E-4</v>
      </c>
      <c r="V103" s="125">
        <v>7.7299999999999999E-3</v>
      </c>
      <c r="W103" s="126">
        <v>1.48E-3</v>
      </c>
      <c r="X103" s="159"/>
    </row>
    <row r="104" spans="1:24" x14ac:dyDescent="0.2">
      <c r="A104" s="121" t="s">
        <v>1211</v>
      </c>
      <c r="B104" s="122" t="s">
        <v>1211</v>
      </c>
      <c r="C104" s="122" t="s">
        <v>2506</v>
      </c>
      <c r="D104" s="122" t="s">
        <v>2507</v>
      </c>
      <c r="E104" s="122" t="s">
        <v>430</v>
      </c>
      <c r="F104" s="122" t="s">
        <v>2508</v>
      </c>
      <c r="G104" s="122" t="s">
        <v>2509</v>
      </c>
      <c r="H104" s="122" t="s">
        <v>76</v>
      </c>
      <c r="I104" s="122" t="s">
        <v>235</v>
      </c>
      <c r="J104" s="122" t="s">
        <v>61</v>
      </c>
      <c r="K104" s="122" t="s">
        <v>314</v>
      </c>
      <c r="L104" s="122" t="s">
        <v>476</v>
      </c>
      <c r="M104" s="122" t="s">
        <v>1108</v>
      </c>
      <c r="N104" s="122" t="s">
        <v>62</v>
      </c>
      <c r="O104" s="122" t="s">
        <v>1217</v>
      </c>
      <c r="P104" s="123">
        <v>12487</v>
      </c>
      <c r="Q104" s="123">
        <v>3.306</v>
      </c>
      <c r="R104" s="123">
        <v>4213</v>
      </c>
      <c r="S104" s="122"/>
      <c r="T104" s="123">
        <v>1739.212</v>
      </c>
      <c r="U104" s="125">
        <v>6.9999999999999994E-5</v>
      </c>
      <c r="V104" s="125">
        <v>7.7299999999999999E-3</v>
      </c>
      <c r="W104" s="126">
        <v>1.48E-3</v>
      </c>
      <c r="X104" s="159"/>
    </row>
    <row r="105" spans="1:24" x14ac:dyDescent="0.2">
      <c r="A105" s="121" t="s">
        <v>1211</v>
      </c>
      <c r="B105" s="122" t="s">
        <v>1211</v>
      </c>
      <c r="C105" s="122" t="s">
        <v>2499</v>
      </c>
      <c r="D105" s="122" t="s">
        <v>2500</v>
      </c>
      <c r="E105" s="122" t="s">
        <v>430</v>
      </c>
      <c r="F105" s="122" t="s">
        <v>2510</v>
      </c>
      <c r="G105" s="122" t="s">
        <v>2511</v>
      </c>
      <c r="H105" s="122" t="s">
        <v>76</v>
      </c>
      <c r="I105" s="122" t="s">
        <v>235</v>
      </c>
      <c r="J105" s="122" t="s">
        <v>61</v>
      </c>
      <c r="K105" s="122" t="s">
        <v>314</v>
      </c>
      <c r="L105" s="122" t="s">
        <v>476</v>
      </c>
      <c r="M105" s="122" t="s">
        <v>1108</v>
      </c>
      <c r="N105" s="122" t="s">
        <v>62</v>
      </c>
      <c r="O105" s="122" t="s">
        <v>1217</v>
      </c>
      <c r="P105" s="123">
        <v>4755</v>
      </c>
      <c r="Q105" s="123">
        <v>3.306</v>
      </c>
      <c r="R105" s="123">
        <v>6008</v>
      </c>
      <c r="S105" s="122"/>
      <c r="T105" s="123">
        <v>944.45899999999995</v>
      </c>
      <c r="U105" s="125">
        <v>6.0000000000000002E-5</v>
      </c>
      <c r="V105" s="125">
        <v>4.1999999999999997E-3</v>
      </c>
      <c r="W105" s="126">
        <v>8.0999999999999996E-4</v>
      </c>
      <c r="X105" s="159"/>
    </row>
    <row r="106" spans="1:24" x14ac:dyDescent="0.2">
      <c r="A106" s="121" t="s">
        <v>1223</v>
      </c>
      <c r="B106" s="122" t="s">
        <v>1224</v>
      </c>
      <c r="C106" s="122" t="s">
        <v>2378</v>
      </c>
      <c r="D106" s="122" t="s">
        <v>2379</v>
      </c>
      <c r="E106" s="122" t="s">
        <v>429</v>
      </c>
      <c r="F106" s="122" t="s">
        <v>2380</v>
      </c>
      <c r="G106" s="122" t="s">
        <v>2381</v>
      </c>
      <c r="H106" s="122" t="s">
        <v>76</v>
      </c>
      <c r="I106" s="122" t="s">
        <v>234</v>
      </c>
      <c r="J106" s="122" t="s">
        <v>53</v>
      </c>
      <c r="K106" s="122" t="s">
        <v>53</v>
      </c>
      <c r="L106" s="122" t="s">
        <v>311</v>
      </c>
      <c r="M106" s="122" t="s">
        <v>1053</v>
      </c>
      <c r="N106" s="122" t="s">
        <v>62</v>
      </c>
      <c r="O106" s="122" t="s">
        <v>1216</v>
      </c>
      <c r="P106" s="123">
        <v>211684</v>
      </c>
      <c r="Q106" s="123">
        <v>1</v>
      </c>
      <c r="R106" s="123">
        <v>31690</v>
      </c>
      <c r="S106" s="122"/>
      <c r="T106" s="123">
        <v>67082.66</v>
      </c>
      <c r="U106" s="125">
        <v>0.1008</v>
      </c>
      <c r="V106" s="125">
        <v>7.3099999999999998E-2</v>
      </c>
      <c r="W106" s="126">
        <v>4.5539999999999997E-2</v>
      </c>
      <c r="X106" s="159"/>
    </row>
    <row r="107" spans="1:24" x14ac:dyDescent="0.2">
      <c r="A107" s="121" t="s">
        <v>1223</v>
      </c>
      <c r="B107" s="122" t="s">
        <v>1224</v>
      </c>
      <c r="C107" s="122" t="s">
        <v>2390</v>
      </c>
      <c r="D107" s="122" t="s">
        <v>2391</v>
      </c>
      <c r="E107" s="122" t="s">
        <v>429</v>
      </c>
      <c r="F107" s="122" t="s">
        <v>2392</v>
      </c>
      <c r="G107" s="122" t="s">
        <v>2393</v>
      </c>
      <c r="H107" s="122" t="s">
        <v>76</v>
      </c>
      <c r="I107" s="122" t="s">
        <v>234</v>
      </c>
      <c r="J107" s="122" t="s">
        <v>53</v>
      </c>
      <c r="K107" s="122" t="s">
        <v>53</v>
      </c>
      <c r="L107" s="122" t="s">
        <v>311</v>
      </c>
      <c r="M107" s="122" t="s">
        <v>1053</v>
      </c>
      <c r="N107" s="122" t="s">
        <v>62</v>
      </c>
      <c r="O107" s="122" t="s">
        <v>1216</v>
      </c>
      <c r="P107" s="123">
        <v>2054221</v>
      </c>
      <c r="Q107" s="123">
        <v>1</v>
      </c>
      <c r="R107" s="123">
        <v>3172</v>
      </c>
      <c r="S107" s="122"/>
      <c r="T107" s="123">
        <v>65159.89</v>
      </c>
      <c r="U107" s="125">
        <v>0.1007</v>
      </c>
      <c r="V107" s="125">
        <v>7.0999999999999994E-2</v>
      </c>
      <c r="W107" s="126">
        <v>4.4229999999999998E-2</v>
      </c>
      <c r="X107" s="159"/>
    </row>
    <row r="108" spans="1:24" x14ac:dyDescent="0.2">
      <c r="A108" s="121" t="s">
        <v>1223</v>
      </c>
      <c r="B108" s="122" t="s">
        <v>1224</v>
      </c>
      <c r="C108" s="122" t="s">
        <v>2382</v>
      </c>
      <c r="D108" s="122" t="s">
        <v>2383</v>
      </c>
      <c r="E108" s="122" t="s">
        <v>429</v>
      </c>
      <c r="F108" s="122" t="s">
        <v>2384</v>
      </c>
      <c r="G108" s="122" t="s">
        <v>2385</v>
      </c>
      <c r="H108" s="122" t="s">
        <v>76</v>
      </c>
      <c r="I108" s="122" t="s">
        <v>236</v>
      </c>
      <c r="J108" s="122" t="s">
        <v>53</v>
      </c>
      <c r="K108" s="122" t="s">
        <v>53</v>
      </c>
      <c r="L108" s="122" t="s">
        <v>311</v>
      </c>
      <c r="M108" s="122" t="s">
        <v>965</v>
      </c>
      <c r="N108" s="122" t="s">
        <v>62</v>
      </c>
      <c r="O108" s="122" t="s">
        <v>1216</v>
      </c>
      <c r="P108" s="123">
        <v>12292637</v>
      </c>
      <c r="Q108" s="123">
        <v>1</v>
      </c>
      <c r="R108" s="123">
        <v>497.98</v>
      </c>
      <c r="S108" s="122"/>
      <c r="T108" s="123">
        <v>61214.874000000003</v>
      </c>
      <c r="U108" s="125">
        <v>0.30731999999999998</v>
      </c>
      <c r="V108" s="125">
        <v>6.6699999999999995E-2</v>
      </c>
      <c r="W108" s="126">
        <v>4.1549999999999997E-2</v>
      </c>
      <c r="X108" s="159"/>
    </row>
    <row r="109" spans="1:24" x14ac:dyDescent="0.2">
      <c r="A109" s="121" t="s">
        <v>1223</v>
      </c>
      <c r="B109" s="122" t="s">
        <v>1224</v>
      </c>
      <c r="C109" s="122" t="s">
        <v>2374</v>
      </c>
      <c r="D109" s="122" t="s">
        <v>2375</v>
      </c>
      <c r="E109" s="122" t="s">
        <v>429</v>
      </c>
      <c r="F109" s="122" t="s">
        <v>2376</v>
      </c>
      <c r="G109" s="122" t="s">
        <v>2377</v>
      </c>
      <c r="H109" s="122" t="s">
        <v>76</v>
      </c>
      <c r="I109" s="122" t="s">
        <v>234</v>
      </c>
      <c r="J109" s="122" t="s">
        <v>53</v>
      </c>
      <c r="K109" s="122" t="s">
        <v>53</v>
      </c>
      <c r="L109" s="122" t="s">
        <v>311</v>
      </c>
      <c r="M109" s="122" t="s">
        <v>1053</v>
      </c>
      <c r="N109" s="122" t="s">
        <v>62</v>
      </c>
      <c r="O109" s="122" t="s">
        <v>1216</v>
      </c>
      <c r="P109" s="123">
        <v>1769096</v>
      </c>
      <c r="Q109" s="123">
        <v>1</v>
      </c>
      <c r="R109" s="123">
        <v>3183</v>
      </c>
      <c r="S109" s="122"/>
      <c r="T109" s="123">
        <v>56310.326000000001</v>
      </c>
      <c r="U109" s="125">
        <v>9.3109999999999998E-2</v>
      </c>
      <c r="V109" s="125">
        <v>6.1359999999999998E-2</v>
      </c>
      <c r="W109" s="126">
        <v>3.8219999999999997E-2</v>
      </c>
      <c r="X109" s="159"/>
    </row>
    <row r="110" spans="1:24" x14ac:dyDescent="0.2">
      <c r="A110" s="121" t="s">
        <v>1223</v>
      </c>
      <c r="B110" s="122" t="s">
        <v>1224</v>
      </c>
      <c r="C110" s="122" t="s">
        <v>2382</v>
      </c>
      <c r="D110" s="122" t="s">
        <v>2383</v>
      </c>
      <c r="E110" s="122" t="s">
        <v>429</v>
      </c>
      <c r="F110" s="122" t="s">
        <v>2388</v>
      </c>
      <c r="G110" s="122" t="s">
        <v>2389</v>
      </c>
      <c r="H110" s="122" t="s">
        <v>76</v>
      </c>
      <c r="I110" s="122" t="s">
        <v>236</v>
      </c>
      <c r="J110" s="122" t="s">
        <v>53</v>
      </c>
      <c r="K110" s="122" t="s">
        <v>53</v>
      </c>
      <c r="L110" s="122" t="s">
        <v>311</v>
      </c>
      <c r="M110" s="122" t="s">
        <v>985</v>
      </c>
      <c r="N110" s="122" t="s">
        <v>62</v>
      </c>
      <c r="O110" s="122" t="s">
        <v>1216</v>
      </c>
      <c r="P110" s="123">
        <v>8733682</v>
      </c>
      <c r="Q110" s="123">
        <v>1</v>
      </c>
      <c r="R110" s="123">
        <v>487.66</v>
      </c>
      <c r="S110" s="122"/>
      <c r="T110" s="123">
        <v>42590.673999999999</v>
      </c>
      <c r="U110" s="125">
        <v>0.24695</v>
      </c>
      <c r="V110" s="125">
        <v>4.641E-2</v>
      </c>
      <c r="W110" s="126">
        <v>2.8910000000000002E-2</v>
      </c>
      <c r="X110" s="159"/>
    </row>
    <row r="111" spans="1:24" x14ac:dyDescent="0.2">
      <c r="A111" s="121" t="s">
        <v>1223</v>
      </c>
      <c r="B111" s="122" t="s">
        <v>1224</v>
      </c>
      <c r="C111" s="122" t="s">
        <v>2378</v>
      </c>
      <c r="D111" s="122" t="s">
        <v>2379</v>
      </c>
      <c r="E111" s="122" t="s">
        <v>429</v>
      </c>
      <c r="F111" s="122" t="s">
        <v>2398</v>
      </c>
      <c r="G111" s="122" t="s">
        <v>2399</v>
      </c>
      <c r="H111" s="122" t="s">
        <v>76</v>
      </c>
      <c r="I111" s="122" t="s">
        <v>236</v>
      </c>
      <c r="J111" s="122" t="s">
        <v>53</v>
      </c>
      <c r="K111" s="122" t="s">
        <v>53</v>
      </c>
      <c r="L111" s="122" t="s">
        <v>311</v>
      </c>
      <c r="M111" s="122" t="s">
        <v>965</v>
      </c>
      <c r="N111" s="122" t="s">
        <v>62</v>
      </c>
      <c r="O111" s="122" t="s">
        <v>1216</v>
      </c>
      <c r="P111" s="123">
        <v>29716498</v>
      </c>
      <c r="Q111" s="123">
        <v>1</v>
      </c>
      <c r="R111" s="123">
        <v>119.39</v>
      </c>
      <c r="S111" s="122"/>
      <c r="T111" s="123">
        <v>35478.527000000002</v>
      </c>
      <c r="U111" s="125">
        <v>7.4289999999999995E-2</v>
      </c>
      <c r="V111" s="125">
        <v>3.866E-2</v>
      </c>
      <c r="W111" s="126">
        <v>2.4080000000000001E-2</v>
      </c>
      <c r="X111" s="159"/>
    </row>
    <row r="112" spans="1:24" x14ac:dyDescent="0.2">
      <c r="A112" s="121" t="s">
        <v>1223</v>
      </c>
      <c r="B112" s="122" t="s">
        <v>1224</v>
      </c>
      <c r="C112" s="122" t="s">
        <v>2374</v>
      </c>
      <c r="D112" s="122" t="s">
        <v>2375</v>
      </c>
      <c r="E112" s="122" t="s">
        <v>429</v>
      </c>
      <c r="F112" s="122" t="s">
        <v>2386</v>
      </c>
      <c r="G112" s="122" t="s">
        <v>2387</v>
      </c>
      <c r="H112" s="122" t="s">
        <v>76</v>
      </c>
      <c r="I112" s="122" t="s">
        <v>236</v>
      </c>
      <c r="J112" s="122" t="s">
        <v>53</v>
      </c>
      <c r="K112" s="122" t="s">
        <v>53</v>
      </c>
      <c r="L112" s="122" t="s">
        <v>311</v>
      </c>
      <c r="M112" s="122" t="s">
        <v>965</v>
      </c>
      <c r="N112" s="122" t="s">
        <v>62</v>
      </c>
      <c r="O112" s="122" t="s">
        <v>1216</v>
      </c>
      <c r="P112" s="123">
        <v>8610742</v>
      </c>
      <c r="Q112" s="123">
        <v>1</v>
      </c>
      <c r="R112" s="123">
        <v>402.04</v>
      </c>
      <c r="S112" s="122"/>
      <c r="T112" s="123">
        <v>34618.627</v>
      </c>
      <c r="U112" s="125">
        <v>6.7479999999999998E-2</v>
      </c>
      <c r="V112" s="125">
        <v>3.7719999999999997E-2</v>
      </c>
      <c r="W112" s="126">
        <v>2.35E-2</v>
      </c>
      <c r="X112" s="159"/>
    </row>
    <row r="113" spans="1:24" x14ac:dyDescent="0.2">
      <c r="A113" s="121" t="s">
        <v>1223</v>
      </c>
      <c r="B113" s="122" t="s">
        <v>1224</v>
      </c>
      <c r="C113" s="122" t="s">
        <v>2382</v>
      </c>
      <c r="D113" s="122" t="s">
        <v>2383</v>
      </c>
      <c r="E113" s="122" t="s">
        <v>429</v>
      </c>
      <c r="F113" s="122" t="s">
        <v>2396</v>
      </c>
      <c r="G113" s="122" t="s">
        <v>2397</v>
      </c>
      <c r="H113" s="122" t="s">
        <v>76</v>
      </c>
      <c r="I113" s="122" t="s">
        <v>234</v>
      </c>
      <c r="J113" s="122" t="s">
        <v>53</v>
      </c>
      <c r="K113" s="122" t="s">
        <v>53</v>
      </c>
      <c r="L113" s="122" t="s">
        <v>311</v>
      </c>
      <c r="M113" s="122" t="s">
        <v>1053</v>
      </c>
      <c r="N113" s="122" t="s">
        <v>62</v>
      </c>
      <c r="O113" s="122" t="s">
        <v>1216</v>
      </c>
      <c r="P113" s="123">
        <v>633473</v>
      </c>
      <c r="Q113" s="123">
        <v>1</v>
      </c>
      <c r="R113" s="123">
        <v>4984</v>
      </c>
      <c r="S113" s="122"/>
      <c r="T113" s="123">
        <v>31572.294000000002</v>
      </c>
      <c r="U113" s="125">
        <v>7.0389999999999994E-2</v>
      </c>
      <c r="V113" s="125">
        <v>3.44E-2</v>
      </c>
      <c r="W113" s="126">
        <v>2.1430000000000001E-2</v>
      </c>
      <c r="X113" s="159"/>
    </row>
    <row r="114" spans="1:24" x14ac:dyDescent="0.2">
      <c r="A114" s="121" t="s">
        <v>1223</v>
      </c>
      <c r="B114" s="122" t="s">
        <v>1224</v>
      </c>
      <c r="C114" s="122" t="s">
        <v>2374</v>
      </c>
      <c r="D114" s="122" t="s">
        <v>2375</v>
      </c>
      <c r="E114" s="122" t="s">
        <v>429</v>
      </c>
      <c r="F114" s="122" t="s">
        <v>2400</v>
      </c>
      <c r="G114" s="122" t="s">
        <v>2401</v>
      </c>
      <c r="H114" s="122" t="s">
        <v>76</v>
      </c>
      <c r="I114" s="122" t="s">
        <v>236</v>
      </c>
      <c r="J114" s="122" t="s">
        <v>53</v>
      </c>
      <c r="K114" s="122" t="s">
        <v>53</v>
      </c>
      <c r="L114" s="122" t="s">
        <v>311</v>
      </c>
      <c r="M114" s="122" t="s">
        <v>985</v>
      </c>
      <c r="N114" s="122" t="s">
        <v>62</v>
      </c>
      <c r="O114" s="122" t="s">
        <v>1216</v>
      </c>
      <c r="P114" s="123">
        <v>7079847</v>
      </c>
      <c r="Q114" s="123">
        <v>1</v>
      </c>
      <c r="R114" s="123">
        <v>418.76</v>
      </c>
      <c r="S114" s="122"/>
      <c r="T114" s="123">
        <v>29647.566999999999</v>
      </c>
      <c r="U114" s="125">
        <v>9.4399999999999998E-2</v>
      </c>
      <c r="V114" s="125">
        <v>3.2309999999999998E-2</v>
      </c>
      <c r="W114" s="126">
        <v>2.0119999999999999E-2</v>
      </c>
      <c r="X114" s="159"/>
    </row>
    <row r="115" spans="1:24" x14ac:dyDescent="0.2">
      <c r="A115" s="121" t="s">
        <v>1223</v>
      </c>
      <c r="B115" s="122" t="s">
        <v>1224</v>
      </c>
      <c r="C115" s="122" t="s">
        <v>2374</v>
      </c>
      <c r="D115" s="122" t="s">
        <v>2375</v>
      </c>
      <c r="E115" s="122" t="s">
        <v>429</v>
      </c>
      <c r="F115" s="122" t="s">
        <v>2583</v>
      </c>
      <c r="G115" s="122" t="s">
        <v>2584</v>
      </c>
      <c r="H115" s="122" t="s">
        <v>76</v>
      </c>
      <c r="I115" s="122" t="s">
        <v>235</v>
      </c>
      <c r="J115" s="122" t="s">
        <v>53</v>
      </c>
      <c r="K115" s="122" t="s">
        <v>314</v>
      </c>
      <c r="L115" s="122" t="s">
        <v>311</v>
      </c>
      <c r="M115" s="122" t="s">
        <v>1075</v>
      </c>
      <c r="N115" s="122" t="s">
        <v>62</v>
      </c>
      <c r="O115" s="122" t="s">
        <v>1216</v>
      </c>
      <c r="P115" s="123">
        <v>312782</v>
      </c>
      <c r="Q115" s="123">
        <v>1</v>
      </c>
      <c r="R115" s="123">
        <v>6378</v>
      </c>
      <c r="S115" s="122"/>
      <c r="T115" s="123">
        <v>19949.236000000001</v>
      </c>
      <c r="U115" s="125">
        <v>2.5699999999999998E-3</v>
      </c>
      <c r="V115" s="125">
        <v>2.1739999999999999E-2</v>
      </c>
      <c r="W115" s="126">
        <v>1.354E-2</v>
      </c>
      <c r="X115" s="159"/>
    </row>
    <row r="116" spans="1:24" x14ac:dyDescent="0.2">
      <c r="A116" s="121" t="s">
        <v>1223</v>
      </c>
      <c r="B116" s="122" t="s">
        <v>1224</v>
      </c>
      <c r="C116" s="122" t="s">
        <v>2378</v>
      </c>
      <c r="D116" s="122" t="s">
        <v>2379</v>
      </c>
      <c r="E116" s="122" t="s">
        <v>429</v>
      </c>
      <c r="F116" s="122" t="s">
        <v>2394</v>
      </c>
      <c r="G116" s="122" t="s">
        <v>2395</v>
      </c>
      <c r="H116" s="122" t="s">
        <v>76</v>
      </c>
      <c r="I116" s="122" t="s">
        <v>236</v>
      </c>
      <c r="J116" s="122" t="s">
        <v>53</v>
      </c>
      <c r="K116" s="122" t="s">
        <v>53</v>
      </c>
      <c r="L116" s="122" t="s">
        <v>311</v>
      </c>
      <c r="M116" s="122" t="s">
        <v>985</v>
      </c>
      <c r="N116" s="122" t="s">
        <v>62</v>
      </c>
      <c r="O116" s="122" t="s">
        <v>1216</v>
      </c>
      <c r="P116" s="123">
        <v>400716.07</v>
      </c>
      <c r="Q116" s="123">
        <v>1</v>
      </c>
      <c r="R116" s="123">
        <v>4185.8599999999997</v>
      </c>
      <c r="S116" s="122"/>
      <c r="T116" s="123">
        <v>16773.414000000001</v>
      </c>
      <c r="U116" s="125">
        <v>4.5569999999999999E-2</v>
      </c>
      <c r="V116" s="125">
        <v>1.8280000000000001E-2</v>
      </c>
      <c r="W116" s="126">
        <v>1.1390000000000001E-2</v>
      </c>
      <c r="X116" s="159"/>
    </row>
    <row r="117" spans="1:24" x14ac:dyDescent="0.2">
      <c r="A117" s="121" t="s">
        <v>1223</v>
      </c>
      <c r="B117" s="122" t="s">
        <v>1224</v>
      </c>
      <c r="C117" s="122" t="s">
        <v>2378</v>
      </c>
      <c r="D117" s="122" t="s">
        <v>2379</v>
      </c>
      <c r="E117" s="122" t="s">
        <v>429</v>
      </c>
      <c r="F117" s="122" t="s">
        <v>2585</v>
      </c>
      <c r="G117" s="122" t="s">
        <v>2586</v>
      </c>
      <c r="H117" s="122" t="s">
        <v>76</v>
      </c>
      <c r="I117" s="122" t="s">
        <v>235</v>
      </c>
      <c r="J117" s="122" t="s">
        <v>53</v>
      </c>
      <c r="K117" s="122" t="s">
        <v>314</v>
      </c>
      <c r="L117" s="122" t="s">
        <v>311</v>
      </c>
      <c r="M117" s="122" t="s">
        <v>1081</v>
      </c>
      <c r="N117" s="122" t="s">
        <v>62</v>
      </c>
      <c r="O117" s="122" t="s">
        <v>1216</v>
      </c>
      <c r="P117" s="123">
        <v>116274</v>
      </c>
      <c r="Q117" s="123">
        <v>1</v>
      </c>
      <c r="R117" s="123">
        <v>9747</v>
      </c>
      <c r="S117" s="122"/>
      <c r="T117" s="123">
        <v>11333.227000000001</v>
      </c>
      <c r="U117" s="125">
        <v>8.3700000000000007E-3</v>
      </c>
      <c r="V117" s="125">
        <v>1.235E-2</v>
      </c>
      <c r="W117" s="126">
        <v>7.6899999999999998E-3</v>
      </c>
      <c r="X117" s="159"/>
    </row>
    <row r="118" spans="1:24" x14ac:dyDescent="0.2">
      <c r="A118" s="121" t="s">
        <v>1223</v>
      </c>
      <c r="B118" s="122" t="s">
        <v>1224</v>
      </c>
      <c r="C118" s="122" t="s">
        <v>2374</v>
      </c>
      <c r="D118" s="122" t="s">
        <v>2375</v>
      </c>
      <c r="E118" s="122" t="s">
        <v>429</v>
      </c>
      <c r="F118" s="122" t="s">
        <v>2587</v>
      </c>
      <c r="G118" s="122" t="s">
        <v>2588</v>
      </c>
      <c r="H118" s="122" t="s">
        <v>76</v>
      </c>
      <c r="I118" s="122" t="s">
        <v>235</v>
      </c>
      <c r="J118" s="122" t="s">
        <v>53</v>
      </c>
      <c r="K118" s="122" t="s">
        <v>314</v>
      </c>
      <c r="L118" s="122" t="s">
        <v>311</v>
      </c>
      <c r="M118" s="122" t="s">
        <v>1067</v>
      </c>
      <c r="N118" s="122" t="s">
        <v>62</v>
      </c>
      <c r="O118" s="122" t="s">
        <v>1216</v>
      </c>
      <c r="P118" s="123">
        <v>106189</v>
      </c>
      <c r="Q118" s="123">
        <v>1</v>
      </c>
      <c r="R118" s="123">
        <v>8617</v>
      </c>
      <c r="S118" s="122"/>
      <c r="T118" s="123">
        <v>9150.3060000000005</v>
      </c>
      <c r="U118" s="125">
        <v>1.07E-3</v>
      </c>
      <c r="V118" s="125">
        <v>9.9699999999999997E-3</v>
      </c>
      <c r="W118" s="126">
        <v>6.2100000000000002E-3</v>
      </c>
      <c r="X118" s="159"/>
    </row>
    <row r="119" spans="1:24" x14ac:dyDescent="0.2">
      <c r="A119" s="121" t="s">
        <v>1223</v>
      </c>
      <c r="B119" s="122" t="s">
        <v>1224</v>
      </c>
      <c r="C119" s="122" t="s">
        <v>2374</v>
      </c>
      <c r="D119" s="122" t="s">
        <v>2375</v>
      </c>
      <c r="E119" s="122" t="s">
        <v>429</v>
      </c>
      <c r="F119" s="122" t="s">
        <v>2589</v>
      </c>
      <c r="G119" s="122" t="s">
        <v>2590</v>
      </c>
      <c r="H119" s="122" t="s">
        <v>76</v>
      </c>
      <c r="I119" s="122" t="s">
        <v>235</v>
      </c>
      <c r="J119" s="122" t="s">
        <v>53</v>
      </c>
      <c r="K119" s="122" t="s">
        <v>314</v>
      </c>
      <c r="L119" s="122" t="s">
        <v>311</v>
      </c>
      <c r="M119" s="122" t="s">
        <v>1074</v>
      </c>
      <c r="N119" s="122" t="s">
        <v>62</v>
      </c>
      <c r="O119" s="122" t="s">
        <v>1216</v>
      </c>
      <c r="P119" s="123">
        <v>48542</v>
      </c>
      <c r="Q119" s="123">
        <v>1</v>
      </c>
      <c r="R119" s="123">
        <v>2569</v>
      </c>
      <c r="S119" s="122"/>
      <c r="T119" s="123">
        <v>1247.0440000000001</v>
      </c>
      <c r="U119" s="125">
        <v>1.2999999999999999E-4</v>
      </c>
      <c r="V119" s="125">
        <v>1.3600000000000001E-3</v>
      </c>
      <c r="W119" s="126">
        <v>8.4999999999999995E-4</v>
      </c>
      <c r="X119" s="159"/>
    </row>
    <row r="120" spans="1:24" x14ac:dyDescent="0.2">
      <c r="A120" s="121" t="s">
        <v>1223</v>
      </c>
      <c r="B120" s="122" t="s">
        <v>1224</v>
      </c>
      <c r="C120" s="122" t="s">
        <v>2378</v>
      </c>
      <c r="D120" s="122" t="s">
        <v>2379</v>
      </c>
      <c r="E120" s="122" t="s">
        <v>429</v>
      </c>
      <c r="F120" s="122" t="s">
        <v>2591</v>
      </c>
      <c r="G120" s="122" t="s">
        <v>2592</v>
      </c>
      <c r="H120" s="122" t="s">
        <v>76</v>
      </c>
      <c r="I120" s="122" t="s">
        <v>235</v>
      </c>
      <c r="J120" s="122" t="s">
        <v>53</v>
      </c>
      <c r="K120" s="122" t="s">
        <v>153</v>
      </c>
      <c r="L120" s="122" t="s">
        <v>311</v>
      </c>
      <c r="M120" s="122" t="s">
        <v>1049</v>
      </c>
      <c r="N120" s="122" t="s">
        <v>62</v>
      </c>
      <c r="O120" s="122" t="s">
        <v>1216</v>
      </c>
      <c r="P120" s="123">
        <v>15393</v>
      </c>
      <c r="Q120" s="123">
        <v>1</v>
      </c>
      <c r="R120" s="123">
        <v>7918</v>
      </c>
      <c r="S120" s="122"/>
      <c r="T120" s="123">
        <v>1218.818</v>
      </c>
      <c r="U120" s="125">
        <v>1.09E-3</v>
      </c>
      <c r="V120" s="125">
        <v>1.33E-3</v>
      </c>
      <c r="W120" s="126">
        <v>8.3000000000000001E-4</v>
      </c>
      <c r="X120" s="159"/>
    </row>
    <row r="121" spans="1:24" x14ac:dyDescent="0.2">
      <c r="A121" s="121" t="s">
        <v>1223</v>
      </c>
      <c r="B121" s="122" t="s">
        <v>1224</v>
      </c>
      <c r="C121" s="122" t="s">
        <v>2378</v>
      </c>
      <c r="D121" s="122" t="s">
        <v>2379</v>
      </c>
      <c r="E121" s="122" t="s">
        <v>429</v>
      </c>
      <c r="F121" s="122" t="s">
        <v>2593</v>
      </c>
      <c r="G121" s="122" t="s">
        <v>2594</v>
      </c>
      <c r="H121" s="122" t="s">
        <v>76</v>
      </c>
      <c r="I121" s="122" t="s">
        <v>235</v>
      </c>
      <c r="J121" s="122" t="s">
        <v>53</v>
      </c>
      <c r="K121" s="122" t="s">
        <v>143</v>
      </c>
      <c r="L121" s="122" t="s">
        <v>311</v>
      </c>
      <c r="M121" s="122" t="s">
        <v>1061</v>
      </c>
      <c r="N121" s="122" t="s">
        <v>62</v>
      </c>
      <c r="O121" s="122" t="s">
        <v>1216</v>
      </c>
      <c r="P121" s="123">
        <v>8141</v>
      </c>
      <c r="Q121" s="123">
        <v>1</v>
      </c>
      <c r="R121" s="123">
        <v>7727</v>
      </c>
      <c r="S121" s="122"/>
      <c r="T121" s="123">
        <v>629.05499999999995</v>
      </c>
      <c r="U121" s="125">
        <v>1.07E-3</v>
      </c>
      <c r="V121" s="125">
        <v>6.8999999999999997E-4</v>
      </c>
      <c r="W121" s="126">
        <v>4.2999999999999999E-4</v>
      </c>
      <c r="X121" s="159"/>
    </row>
    <row r="122" spans="1:24" x14ac:dyDescent="0.2">
      <c r="A122" s="121" t="s">
        <v>1223</v>
      </c>
      <c r="B122" s="122" t="s">
        <v>1224</v>
      </c>
      <c r="C122" s="122" t="s">
        <v>2410</v>
      </c>
      <c r="D122" s="122" t="s">
        <v>2411</v>
      </c>
      <c r="E122" s="122" t="s">
        <v>430</v>
      </c>
      <c r="F122" s="122" t="s">
        <v>2410</v>
      </c>
      <c r="G122" s="122" t="s">
        <v>2412</v>
      </c>
      <c r="H122" s="122" t="s">
        <v>76</v>
      </c>
      <c r="I122" s="122" t="s">
        <v>235</v>
      </c>
      <c r="J122" s="122" t="s">
        <v>61</v>
      </c>
      <c r="K122" s="122" t="s">
        <v>314</v>
      </c>
      <c r="L122" s="122" t="s">
        <v>476</v>
      </c>
      <c r="M122" s="122" t="s">
        <v>1074</v>
      </c>
      <c r="N122" s="122" t="s">
        <v>62</v>
      </c>
      <c r="O122" s="122" t="s">
        <v>1217</v>
      </c>
      <c r="P122" s="123">
        <v>51363</v>
      </c>
      <c r="Q122" s="123">
        <v>3.306</v>
      </c>
      <c r="R122" s="123">
        <v>61238</v>
      </c>
      <c r="S122" s="123">
        <v>89.372</v>
      </c>
      <c r="T122" s="123">
        <v>104281.30899999999</v>
      </c>
      <c r="U122" s="125">
        <v>5.0000000000000002E-5</v>
      </c>
      <c r="V122" s="125">
        <v>0.11373</v>
      </c>
      <c r="W122" s="126">
        <v>7.0849999999999996E-2</v>
      </c>
      <c r="X122" s="159"/>
    </row>
    <row r="123" spans="1:24" x14ac:dyDescent="0.2">
      <c r="A123" s="121" t="s">
        <v>1223</v>
      </c>
      <c r="B123" s="122" t="s">
        <v>1224</v>
      </c>
      <c r="C123" s="122" t="s">
        <v>2402</v>
      </c>
      <c r="D123" s="122" t="s">
        <v>2403</v>
      </c>
      <c r="E123" s="122" t="s">
        <v>430</v>
      </c>
      <c r="F123" s="122" t="s">
        <v>2404</v>
      </c>
      <c r="G123" s="122" t="s">
        <v>2405</v>
      </c>
      <c r="H123" s="122" t="s">
        <v>76</v>
      </c>
      <c r="I123" s="122" t="s">
        <v>235</v>
      </c>
      <c r="J123" s="122" t="s">
        <v>61</v>
      </c>
      <c r="K123" s="122" t="s">
        <v>314</v>
      </c>
      <c r="L123" s="122" t="s">
        <v>476</v>
      </c>
      <c r="M123" s="122" t="s">
        <v>1074</v>
      </c>
      <c r="N123" s="122" t="s">
        <v>62</v>
      </c>
      <c r="O123" s="122" t="s">
        <v>1217</v>
      </c>
      <c r="P123" s="123">
        <v>36815</v>
      </c>
      <c r="Q123" s="123">
        <v>3.306</v>
      </c>
      <c r="R123" s="123">
        <v>66618</v>
      </c>
      <c r="S123" s="123">
        <v>67.412000000000006</v>
      </c>
      <c r="T123" s="123">
        <v>81303.892999999996</v>
      </c>
      <c r="U123" s="125">
        <v>3.0000000000000001E-5</v>
      </c>
      <c r="V123" s="125">
        <v>8.8669999999999999E-2</v>
      </c>
      <c r="W123" s="126">
        <v>5.5230000000000001E-2</v>
      </c>
      <c r="X123" s="159"/>
    </row>
    <row r="124" spans="1:24" x14ac:dyDescent="0.2">
      <c r="A124" s="121" t="s">
        <v>1223</v>
      </c>
      <c r="B124" s="122" t="s">
        <v>1224</v>
      </c>
      <c r="C124" s="122" t="s">
        <v>2406</v>
      </c>
      <c r="D124" s="122" t="s">
        <v>2407</v>
      </c>
      <c r="E124" s="122" t="s">
        <v>430</v>
      </c>
      <c r="F124" s="122" t="s">
        <v>2408</v>
      </c>
      <c r="G124" s="122" t="s">
        <v>2409</v>
      </c>
      <c r="H124" s="122" t="s">
        <v>76</v>
      </c>
      <c r="I124" s="122" t="s">
        <v>235</v>
      </c>
      <c r="J124" s="122" t="s">
        <v>61</v>
      </c>
      <c r="K124" s="122" t="s">
        <v>314</v>
      </c>
      <c r="L124" s="122" t="s">
        <v>479</v>
      </c>
      <c r="M124" s="122" t="s">
        <v>1067</v>
      </c>
      <c r="N124" s="122" t="s">
        <v>62</v>
      </c>
      <c r="O124" s="122" t="s">
        <v>1217</v>
      </c>
      <c r="P124" s="123">
        <v>36598</v>
      </c>
      <c r="Q124" s="123">
        <v>3.306</v>
      </c>
      <c r="R124" s="123">
        <v>60037</v>
      </c>
      <c r="S124" s="123">
        <v>25.396999999999998</v>
      </c>
      <c r="T124" s="123">
        <v>72724.523000000001</v>
      </c>
      <c r="U124" s="125">
        <v>6.0000000000000002E-5</v>
      </c>
      <c r="V124" s="125">
        <v>7.9269999999999993E-2</v>
      </c>
      <c r="W124" s="126">
        <v>4.938E-2</v>
      </c>
      <c r="X124" s="159"/>
    </row>
    <row r="125" spans="1:24" x14ac:dyDescent="0.2">
      <c r="A125" s="121" t="s">
        <v>1223</v>
      </c>
      <c r="B125" s="122" t="s">
        <v>1224</v>
      </c>
      <c r="C125" s="122" t="s">
        <v>2419</v>
      </c>
      <c r="D125" s="122" t="s">
        <v>2420</v>
      </c>
      <c r="E125" s="122" t="s">
        <v>430</v>
      </c>
      <c r="F125" s="122" t="s">
        <v>2419</v>
      </c>
      <c r="G125" s="122" t="s">
        <v>2421</v>
      </c>
      <c r="H125" s="122" t="s">
        <v>76</v>
      </c>
      <c r="I125" s="122" t="s">
        <v>237</v>
      </c>
      <c r="J125" s="122" t="s">
        <v>61</v>
      </c>
      <c r="K125" s="122" t="s">
        <v>314</v>
      </c>
      <c r="L125" s="122" t="s">
        <v>494</v>
      </c>
      <c r="M125" s="122" t="s">
        <v>1062</v>
      </c>
      <c r="N125" s="122" t="s">
        <v>62</v>
      </c>
      <c r="O125" s="122" t="s">
        <v>1217</v>
      </c>
      <c r="P125" s="123">
        <v>716870</v>
      </c>
      <c r="Q125" s="123">
        <v>3.306</v>
      </c>
      <c r="R125" s="123">
        <v>627.5</v>
      </c>
      <c r="S125" s="122"/>
      <c r="T125" s="123">
        <v>14871.575999999999</v>
      </c>
      <c r="U125" s="125">
        <v>1.07E-3</v>
      </c>
      <c r="V125" s="125">
        <v>1.6209999999999999E-2</v>
      </c>
      <c r="W125" s="126">
        <v>1.009E-2</v>
      </c>
      <c r="X125" s="159"/>
    </row>
    <row r="126" spans="1:24" x14ac:dyDescent="0.2">
      <c r="A126" s="121" t="s">
        <v>1223</v>
      </c>
      <c r="B126" s="122" t="s">
        <v>1224</v>
      </c>
      <c r="C126" s="122" t="s">
        <v>2416</v>
      </c>
      <c r="D126" s="122" t="s">
        <v>2417</v>
      </c>
      <c r="E126" s="122" t="s">
        <v>430</v>
      </c>
      <c r="F126" s="122" t="s">
        <v>2416</v>
      </c>
      <c r="G126" s="122" t="s">
        <v>2418</v>
      </c>
      <c r="H126" s="122" t="s">
        <v>76</v>
      </c>
      <c r="I126" s="122" t="s">
        <v>235</v>
      </c>
      <c r="J126" s="122" t="s">
        <v>61</v>
      </c>
      <c r="K126" s="122" t="s">
        <v>314</v>
      </c>
      <c r="L126" s="122" t="s">
        <v>476</v>
      </c>
      <c r="M126" s="122" t="s">
        <v>1056</v>
      </c>
      <c r="N126" s="122" t="s">
        <v>62</v>
      </c>
      <c r="O126" s="122" t="s">
        <v>1217</v>
      </c>
      <c r="P126" s="123">
        <v>76454</v>
      </c>
      <c r="Q126" s="123">
        <v>3.306</v>
      </c>
      <c r="R126" s="123">
        <v>5387</v>
      </c>
      <c r="S126" s="122"/>
      <c r="T126" s="123">
        <v>13616.014999999999</v>
      </c>
      <c r="U126" s="125">
        <v>8.0000000000000007E-5</v>
      </c>
      <c r="V126" s="125">
        <v>1.4840000000000001E-2</v>
      </c>
      <c r="W126" s="126">
        <v>9.2399999999999999E-3</v>
      </c>
      <c r="X126" s="159"/>
    </row>
    <row r="127" spans="1:24" x14ac:dyDescent="0.2">
      <c r="A127" s="121" t="s">
        <v>1223</v>
      </c>
      <c r="B127" s="122" t="s">
        <v>1224</v>
      </c>
      <c r="C127" s="122" t="s">
        <v>2426</v>
      </c>
      <c r="D127" s="122" t="s">
        <v>2427</v>
      </c>
      <c r="E127" s="122" t="s">
        <v>430</v>
      </c>
      <c r="F127" s="122" t="s">
        <v>2426</v>
      </c>
      <c r="G127" s="122" t="s">
        <v>2428</v>
      </c>
      <c r="H127" s="122" t="s">
        <v>76</v>
      </c>
      <c r="I127" s="122" t="s">
        <v>235</v>
      </c>
      <c r="J127" s="122" t="s">
        <v>61</v>
      </c>
      <c r="K127" s="122" t="s">
        <v>314</v>
      </c>
      <c r="L127" s="122" t="s">
        <v>476</v>
      </c>
      <c r="M127" s="122" t="s">
        <v>1066</v>
      </c>
      <c r="N127" s="122" t="s">
        <v>62</v>
      </c>
      <c r="O127" s="122" t="s">
        <v>1217</v>
      </c>
      <c r="P127" s="123">
        <v>102099</v>
      </c>
      <c r="Q127" s="123">
        <v>3.306</v>
      </c>
      <c r="R127" s="123">
        <v>3794</v>
      </c>
      <c r="S127" s="122"/>
      <c r="T127" s="123">
        <v>12806.241</v>
      </c>
      <c r="U127" s="125">
        <v>8.7000000000000001E-4</v>
      </c>
      <c r="V127" s="125">
        <v>1.3950000000000001E-2</v>
      </c>
      <c r="W127" s="126">
        <v>8.6899999999999998E-3</v>
      </c>
      <c r="X127" s="159"/>
    </row>
    <row r="128" spans="1:24" x14ac:dyDescent="0.2">
      <c r="A128" s="121" t="s">
        <v>1223</v>
      </c>
      <c r="B128" s="122" t="s">
        <v>1224</v>
      </c>
      <c r="C128" s="122" t="s">
        <v>2429</v>
      </c>
      <c r="D128" s="122" t="s">
        <v>2430</v>
      </c>
      <c r="E128" s="122" t="s">
        <v>430</v>
      </c>
      <c r="F128" s="122" t="s">
        <v>2429</v>
      </c>
      <c r="G128" s="122" t="s">
        <v>2431</v>
      </c>
      <c r="H128" s="122" t="s">
        <v>76</v>
      </c>
      <c r="I128" s="122" t="s">
        <v>235</v>
      </c>
      <c r="J128" s="122" t="s">
        <v>61</v>
      </c>
      <c r="K128" s="122" t="s">
        <v>188</v>
      </c>
      <c r="L128" s="122" t="s">
        <v>479</v>
      </c>
      <c r="M128" s="122" t="s">
        <v>1107</v>
      </c>
      <c r="N128" s="122" t="s">
        <v>62</v>
      </c>
      <c r="O128" s="122" t="s">
        <v>1217</v>
      </c>
      <c r="P128" s="123">
        <v>41669</v>
      </c>
      <c r="Q128" s="123">
        <v>3.306</v>
      </c>
      <c r="R128" s="123">
        <v>9122</v>
      </c>
      <c r="S128" s="122"/>
      <c r="T128" s="123">
        <v>12566.259</v>
      </c>
      <c r="U128" s="125">
        <v>1.0499999999999999E-3</v>
      </c>
      <c r="V128" s="125">
        <v>1.3690000000000001E-2</v>
      </c>
      <c r="W128" s="126">
        <v>8.5299999999999994E-3</v>
      </c>
      <c r="X128" s="159"/>
    </row>
    <row r="129" spans="1:24" x14ac:dyDescent="0.2">
      <c r="A129" s="121" t="s">
        <v>1223</v>
      </c>
      <c r="B129" s="122" t="s">
        <v>1224</v>
      </c>
      <c r="C129" s="122" t="s">
        <v>2422</v>
      </c>
      <c r="D129" s="122" t="s">
        <v>2423</v>
      </c>
      <c r="E129" s="122" t="s">
        <v>430</v>
      </c>
      <c r="F129" s="122" t="s">
        <v>2424</v>
      </c>
      <c r="G129" s="122" t="s">
        <v>2425</v>
      </c>
      <c r="H129" s="122" t="s">
        <v>76</v>
      </c>
      <c r="I129" s="122" t="s">
        <v>235</v>
      </c>
      <c r="J129" s="122" t="s">
        <v>61</v>
      </c>
      <c r="K129" s="122" t="s">
        <v>314</v>
      </c>
      <c r="L129" s="122" t="s">
        <v>476</v>
      </c>
      <c r="M129" s="122" t="s">
        <v>1074</v>
      </c>
      <c r="N129" s="122" t="s">
        <v>62</v>
      </c>
      <c r="O129" s="122" t="s">
        <v>1217</v>
      </c>
      <c r="P129" s="123">
        <v>19251</v>
      </c>
      <c r="Q129" s="123">
        <v>3.306</v>
      </c>
      <c r="R129" s="123">
        <v>18970</v>
      </c>
      <c r="S129" s="122"/>
      <c r="T129" s="123">
        <v>12073.23</v>
      </c>
      <c r="U129" s="125">
        <v>5.0000000000000002E-5</v>
      </c>
      <c r="V129" s="125">
        <v>1.316E-2</v>
      </c>
      <c r="W129" s="126">
        <v>8.2000000000000007E-3</v>
      </c>
      <c r="X129" s="159"/>
    </row>
    <row r="130" spans="1:24" x14ac:dyDescent="0.2">
      <c r="A130" s="121" t="s">
        <v>1223</v>
      </c>
      <c r="B130" s="122" t="s">
        <v>1224</v>
      </c>
      <c r="C130" s="122" t="s">
        <v>2432</v>
      </c>
      <c r="D130" s="122" t="s">
        <v>2433</v>
      </c>
      <c r="E130" s="122" t="s">
        <v>430</v>
      </c>
      <c r="F130" s="122" t="s">
        <v>2434</v>
      </c>
      <c r="G130" s="122" t="s">
        <v>2435</v>
      </c>
      <c r="H130" s="122" t="s">
        <v>76</v>
      </c>
      <c r="I130" s="122" t="s">
        <v>235</v>
      </c>
      <c r="J130" s="122" t="s">
        <v>61</v>
      </c>
      <c r="K130" s="122" t="s">
        <v>314</v>
      </c>
      <c r="L130" s="122" t="s">
        <v>476</v>
      </c>
      <c r="M130" s="122" t="s">
        <v>1051</v>
      </c>
      <c r="N130" s="122" t="s">
        <v>62</v>
      </c>
      <c r="O130" s="122" t="s">
        <v>1217</v>
      </c>
      <c r="P130" s="123">
        <v>18114</v>
      </c>
      <c r="Q130" s="123">
        <v>3.306</v>
      </c>
      <c r="R130" s="123">
        <v>15423</v>
      </c>
      <c r="S130" s="122"/>
      <c r="T130" s="123">
        <v>9236.0460000000003</v>
      </c>
      <c r="U130" s="125">
        <v>1.2E-4</v>
      </c>
      <c r="V130" s="125">
        <v>1.0059999999999999E-2</v>
      </c>
      <c r="W130" s="126">
        <v>6.2700000000000004E-3</v>
      </c>
      <c r="X130" s="159"/>
    </row>
    <row r="131" spans="1:24" x14ac:dyDescent="0.2">
      <c r="A131" s="121" t="s">
        <v>1223</v>
      </c>
      <c r="B131" s="122" t="s">
        <v>1224</v>
      </c>
      <c r="C131" s="122" t="s">
        <v>2413</v>
      </c>
      <c r="D131" s="122" t="s">
        <v>2414</v>
      </c>
      <c r="E131" s="122" t="s">
        <v>430</v>
      </c>
      <c r="F131" s="122" t="s">
        <v>2413</v>
      </c>
      <c r="G131" s="122" t="s">
        <v>2415</v>
      </c>
      <c r="H131" s="122" t="s">
        <v>76</v>
      </c>
      <c r="I131" s="122" t="s">
        <v>235</v>
      </c>
      <c r="J131" s="122" t="s">
        <v>61</v>
      </c>
      <c r="K131" s="122" t="s">
        <v>314</v>
      </c>
      <c r="L131" s="122" t="s">
        <v>476</v>
      </c>
      <c r="M131" s="122" t="s">
        <v>1081</v>
      </c>
      <c r="N131" s="122" t="s">
        <v>62</v>
      </c>
      <c r="O131" s="122" t="s">
        <v>1217</v>
      </c>
      <c r="P131" s="123">
        <v>8873</v>
      </c>
      <c r="Q131" s="123">
        <v>3.306</v>
      </c>
      <c r="R131" s="123">
        <v>28186</v>
      </c>
      <c r="S131" s="122"/>
      <c r="T131" s="123">
        <v>8268.1200000000008</v>
      </c>
      <c r="U131" s="125">
        <v>3.0000000000000001E-5</v>
      </c>
      <c r="V131" s="125">
        <v>9.0100000000000006E-3</v>
      </c>
      <c r="W131" s="126">
        <v>5.6100000000000004E-3</v>
      </c>
      <c r="X131" s="159"/>
    </row>
    <row r="132" spans="1:24" x14ac:dyDescent="0.2">
      <c r="A132" s="121" t="s">
        <v>1223</v>
      </c>
      <c r="B132" s="122" t="s">
        <v>1224</v>
      </c>
      <c r="C132" s="122" t="s">
        <v>2446</v>
      </c>
      <c r="D132" s="122" t="s">
        <v>2447</v>
      </c>
      <c r="E132" s="122" t="s">
        <v>430</v>
      </c>
      <c r="F132" s="122" t="s">
        <v>2448</v>
      </c>
      <c r="G132" s="122" t="s">
        <v>2449</v>
      </c>
      <c r="H132" s="122" t="s">
        <v>76</v>
      </c>
      <c r="I132" s="122" t="s">
        <v>235</v>
      </c>
      <c r="J132" s="122" t="s">
        <v>61</v>
      </c>
      <c r="K132" s="122" t="s">
        <v>314</v>
      </c>
      <c r="L132" s="122" t="s">
        <v>476</v>
      </c>
      <c r="M132" s="122" t="s">
        <v>1108</v>
      </c>
      <c r="N132" s="122" t="s">
        <v>62</v>
      </c>
      <c r="O132" s="122" t="s">
        <v>1217</v>
      </c>
      <c r="P132" s="123">
        <v>4817</v>
      </c>
      <c r="Q132" s="123">
        <v>3.306</v>
      </c>
      <c r="R132" s="123">
        <v>46374</v>
      </c>
      <c r="S132" s="123">
        <v>6.3470000000000004</v>
      </c>
      <c r="T132" s="123">
        <v>7406.0429999999997</v>
      </c>
      <c r="U132" s="125">
        <v>5.0000000000000002E-5</v>
      </c>
      <c r="V132" s="125">
        <v>8.0800000000000004E-3</v>
      </c>
      <c r="W132" s="126">
        <v>5.0299999999999997E-3</v>
      </c>
      <c r="X132" s="159"/>
    </row>
    <row r="133" spans="1:24" x14ac:dyDescent="0.2">
      <c r="A133" s="121" t="s">
        <v>1223</v>
      </c>
      <c r="B133" s="122" t="s">
        <v>1224</v>
      </c>
      <c r="C133" s="122" t="s">
        <v>2439</v>
      </c>
      <c r="D133" s="122" t="s">
        <v>2440</v>
      </c>
      <c r="E133" s="122" t="s">
        <v>430</v>
      </c>
      <c r="F133" s="122" t="s">
        <v>2441</v>
      </c>
      <c r="G133" s="122" t="s">
        <v>2442</v>
      </c>
      <c r="H133" s="122" t="s">
        <v>76</v>
      </c>
      <c r="I133" s="122" t="s">
        <v>235</v>
      </c>
      <c r="J133" s="122" t="s">
        <v>61</v>
      </c>
      <c r="K133" s="122" t="s">
        <v>314</v>
      </c>
      <c r="L133" s="122" t="s">
        <v>476</v>
      </c>
      <c r="M133" s="122" t="s">
        <v>1082</v>
      </c>
      <c r="N133" s="122" t="s">
        <v>62</v>
      </c>
      <c r="O133" s="122" t="s">
        <v>1217</v>
      </c>
      <c r="P133" s="123">
        <v>16803</v>
      </c>
      <c r="Q133" s="123">
        <v>3.306</v>
      </c>
      <c r="R133" s="123">
        <v>11501</v>
      </c>
      <c r="S133" s="122"/>
      <c r="T133" s="123">
        <v>6388.8879999999999</v>
      </c>
      <c r="U133" s="125">
        <v>1.8000000000000001E-4</v>
      </c>
      <c r="V133" s="125">
        <v>6.96E-3</v>
      </c>
      <c r="W133" s="126">
        <v>4.3400000000000001E-3</v>
      </c>
      <c r="X133" s="159"/>
    </row>
    <row r="134" spans="1:24" x14ac:dyDescent="0.2">
      <c r="A134" s="121" t="s">
        <v>1223</v>
      </c>
      <c r="B134" s="122" t="s">
        <v>1224</v>
      </c>
      <c r="C134" s="122" t="s">
        <v>2443</v>
      </c>
      <c r="D134" s="122" t="s">
        <v>2444</v>
      </c>
      <c r="E134" s="122" t="s">
        <v>430</v>
      </c>
      <c r="F134" s="122" t="s">
        <v>2443</v>
      </c>
      <c r="G134" s="122" t="s">
        <v>2445</v>
      </c>
      <c r="H134" s="122" t="s">
        <v>76</v>
      </c>
      <c r="I134" s="122" t="s">
        <v>235</v>
      </c>
      <c r="J134" s="122" t="s">
        <v>61</v>
      </c>
      <c r="K134" s="122" t="s">
        <v>166</v>
      </c>
      <c r="L134" s="122" t="s">
        <v>476</v>
      </c>
      <c r="M134" s="122" t="s">
        <v>1069</v>
      </c>
      <c r="N134" s="122" t="s">
        <v>62</v>
      </c>
      <c r="O134" s="122" t="s">
        <v>1217</v>
      </c>
      <c r="P134" s="123">
        <v>23277</v>
      </c>
      <c r="Q134" s="123">
        <v>3.306</v>
      </c>
      <c r="R134" s="123">
        <v>8021</v>
      </c>
      <c r="S134" s="122"/>
      <c r="T134" s="123">
        <v>6172.4610000000002</v>
      </c>
      <c r="U134" s="125">
        <v>1.2E-4</v>
      </c>
      <c r="V134" s="125">
        <v>6.7299999999999999E-3</v>
      </c>
      <c r="W134" s="126">
        <v>4.1900000000000001E-3</v>
      </c>
      <c r="X134" s="159"/>
    </row>
    <row r="135" spans="1:24" x14ac:dyDescent="0.2">
      <c r="A135" s="121" t="s">
        <v>1223</v>
      </c>
      <c r="B135" s="122" t="s">
        <v>1224</v>
      </c>
      <c r="C135" s="122" t="s">
        <v>2460</v>
      </c>
      <c r="D135" s="122" t="s">
        <v>2461</v>
      </c>
      <c r="E135" s="122" t="s">
        <v>430</v>
      </c>
      <c r="F135" s="122" t="s">
        <v>2462</v>
      </c>
      <c r="G135" s="122" t="s">
        <v>2463</v>
      </c>
      <c r="H135" s="122" t="s">
        <v>76</v>
      </c>
      <c r="I135" s="122" t="s">
        <v>235</v>
      </c>
      <c r="J135" s="122" t="s">
        <v>61</v>
      </c>
      <c r="K135" s="122" t="s">
        <v>314</v>
      </c>
      <c r="L135" s="122" t="s">
        <v>476</v>
      </c>
      <c r="M135" s="122" t="s">
        <v>1048</v>
      </c>
      <c r="N135" s="122" t="s">
        <v>62</v>
      </c>
      <c r="O135" s="122" t="s">
        <v>1217</v>
      </c>
      <c r="P135" s="123">
        <v>40736</v>
      </c>
      <c r="Q135" s="123">
        <v>3.306</v>
      </c>
      <c r="R135" s="123">
        <v>4420</v>
      </c>
      <c r="S135" s="122"/>
      <c r="T135" s="123">
        <v>5952.5559999999996</v>
      </c>
      <c r="U135" s="125">
        <v>5.5000000000000003E-4</v>
      </c>
      <c r="V135" s="125">
        <v>6.4900000000000001E-3</v>
      </c>
      <c r="W135" s="126">
        <v>4.0400000000000002E-3</v>
      </c>
      <c r="X135" s="159"/>
    </row>
    <row r="136" spans="1:24" x14ac:dyDescent="0.2">
      <c r="A136" s="121" t="s">
        <v>1223</v>
      </c>
      <c r="B136" s="122" t="s">
        <v>1224</v>
      </c>
      <c r="C136" s="122" t="s">
        <v>2464</v>
      </c>
      <c r="D136" s="122" t="s">
        <v>2465</v>
      </c>
      <c r="E136" s="122" t="s">
        <v>430</v>
      </c>
      <c r="F136" s="122" t="s">
        <v>2466</v>
      </c>
      <c r="G136" s="122" t="s">
        <v>2467</v>
      </c>
      <c r="H136" s="122" t="s">
        <v>76</v>
      </c>
      <c r="I136" s="122" t="s">
        <v>235</v>
      </c>
      <c r="J136" s="122" t="s">
        <v>61</v>
      </c>
      <c r="K136" s="122" t="s">
        <v>188</v>
      </c>
      <c r="L136" s="122" t="s">
        <v>479</v>
      </c>
      <c r="M136" s="122" t="s">
        <v>1058</v>
      </c>
      <c r="N136" s="122" t="s">
        <v>62</v>
      </c>
      <c r="O136" s="122" t="s">
        <v>1217</v>
      </c>
      <c r="P136" s="123">
        <v>25941</v>
      </c>
      <c r="Q136" s="123">
        <v>3.306</v>
      </c>
      <c r="R136" s="123">
        <v>6585</v>
      </c>
      <c r="S136" s="122"/>
      <c r="T136" s="123">
        <v>5647.3580000000002</v>
      </c>
      <c r="U136" s="125">
        <v>2.2000000000000001E-4</v>
      </c>
      <c r="V136" s="125">
        <v>6.1500000000000001E-3</v>
      </c>
      <c r="W136" s="126">
        <v>3.8300000000000001E-3</v>
      </c>
      <c r="X136" s="159"/>
    </row>
    <row r="137" spans="1:24" x14ac:dyDescent="0.2">
      <c r="A137" s="121" t="s">
        <v>1223</v>
      </c>
      <c r="B137" s="122" t="s">
        <v>1224</v>
      </c>
      <c r="C137" s="122" t="s">
        <v>2557</v>
      </c>
      <c r="D137" s="122" t="s">
        <v>2558</v>
      </c>
      <c r="E137" s="122" t="s">
        <v>430</v>
      </c>
      <c r="F137" s="122" t="s">
        <v>2557</v>
      </c>
      <c r="G137" s="122" t="s">
        <v>2559</v>
      </c>
      <c r="H137" s="122" t="s">
        <v>76</v>
      </c>
      <c r="I137" s="122" t="s">
        <v>235</v>
      </c>
      <c r="J137" s="122" t="s">
        <v>61</v>
      </c>
      <c r="K137" s="122" t="s">
        <v>313</v>
      </c>
      <c r="L137" s="122" t="s">
        <v>486</v>
      </c>
      <c r="M137" s="122" t="s">
        <v>1054</v>
      </c>
      <c r="N137" s="122" t="s">
        <v>62</v>
      </c>
      <c r="O137" s="122" t="s">
        <v>1218</v>
      </c>
      <c r="P137" s="123">
        <v>79250</v>
      </c>
      <c r="Q137" s="123">
        <v>3.8809999999999998</v>
      </c>
      <c r="R137" s="123">
        <v>1778</v>
      </c>
      <c r="S137" s="122"/>
      <c r="T137" s="123">
        <v>5468.1589999999997</v>
      </c>
      <c r="U137" s="125">
        <v>2.7499999999999998E-3</v>
      </c>
      <c r="V137" s="125">
        <v>5.96E-3</v>
      </c>
      <c r="W137" s="126">
        <v>3.7100000000000002E-3</v>
      </c>
      <c r="X137" s="159"/>
    </row>
    <row r="138" spans="1:24" x14ac:dyDescent="0.2">
      <c r="A138" s="121" t="s">
        <v>1223</v>
      </c>
      <c r="B138" s="122" t="s">
        <v>1224</v>
      </c>
      <c r="C138" s="122" t="s">
        <v>2457</v>
      </c>
      <c r="D138" s="122" t="s">
        <v>2458</v>
      </c>
      <c r="E138" s="122" t="s">
        <v>430</v>
      </c>
      <c r="F138" s="122" t="s">
        <v>2457</v>
      </c>
      <c r="G138" s="122" t="s">
        <v>2459</v>
      </c>
      <c r="H138" s="122" t="s">
        <v>76</v>
      </c>
      <c r="I138" s="122" t="s">
        <v>235</v>
      </c>
      <c r="J138" s="122" t="s">
        <v>61</v>
      </c>
      <c r="K138" s="122" t="s">
        <v>188</v>
      </c>
      <c r="L138" s="122" t="s">
        <v>476</v>
      </c>
      <c r="M138" s="122" t="s">
        <v>1058</v>
      </c>
      <c r="N138" s="122" t="s">
        <v>62</v>
      </c>
      <c r="O138" s="122" t="s">
        <v>1217</v>
      </c>
      <c r="P138" s="123">
        <v>38696</v>
      </c>
      <c r="Q138" s="123">
        <v>3.306</v>
      </c>
      <c r="R138" s="123">
        <v>4201</v>
      </c>
      <c r="S138" s="122"/>
      <c r="T138" s="123">
        <v>5374.2960000000003</v>
      </c>
      <c r="U138" s="125">
        <v>2.1000000000000001E-4</v>
      </c>
      <c r="V138" s="125">
        <v>5.8599999999999998E-3</v>
      </c>
      <c r="W138" s="126">
        <v>3.65E-3</v>
      </c>
      <c r="X138" s="159"/>
    </row>
    <row r="139" spans="1:24" x14ac:dyDescent="0.2">
      <c r="A139" s="121" t="s">
        <v>1223</v>
      </c>
      <c r="B139" s="122" t="s">
        <v>1224</v>
      </c>
      <c r="C139" s="122" t="s">
        <v>2436</v>
      </c>
      <c r="D139" s="122" t="s">
        <v>2437</v>
      </c>
      <c r="E139" s="122" t="s">
        <v>430</v>
      </c>
      <c r="F139" s="122" t="s">
        <v>2436</v>
      </c>
      <c r="G139" s="122" t="s">
        <v>2438</v>
      </c>
      <c r="H139" s="122" t="s">
        <v>76</v>
      </c>
      <c r="I139" s="122" t="s">
        <v>235</v>
      </c>
      <c r="J139" s="122" t="s">
        <v>61</v>
      </c>
      <c r="K139" s="122" t="s">
        <v>173</v>
      </c>
      <c r="L139" s="122" t="s">
        <v>102</v>
      </c>
      <c r="M139" s="122" t="s">
        <v>1080</v>
      </c>
      <c r="N139" s="122" t="s">
        <v>62</v>
      </c>
      <c r="O139" s="122" t="s">
        <v>1218</v>
      </c>
      <c r="P139" s="123">
        <v>5115</v>
      </c>
      <c r="Q139" s="123">
        <v>3.8809999999999998</v>
      </c>
      <c r="R139" s="123">
        <v>26801</v>
      </c>
      <c r="S139" s="122"/>
      <c r="T139" s="123">
        <v>5319.94</v>
      </c>
      <c r="U139" s="125">
        <v>1.3999999999999999E-4</v>
      </c>
      <c r="V139" s="125">
        <v>5.7999999999999996E-3</v>
      </c>
      <c r="W139" s="126">
        <v>3.6099999999999999E-3</v>
      </c>
      <c r="X139" s="159"/>
    </row>
    <row r="140" spans="1:24" x14ac:dyDescent="0.2">
      <c r="A140" s="121" t="s">
        <v>1223</v>
      </c>
      <c r="B140" s="122" t="s">
        <v>1224</v>
      </c>
      <c r="C140" s="122" t="s">
        <v>2454</v>
      </c>
      <c r="D140" s="122" t="s">
        <v>2455</v>
      </c>
      <c r="E140" s="122" t="s">
        <v>430</v>
      </c>
      <c r="F140" s="122" t="s">
        <v>2454</v>
      </c>
      <c r="G140" s="122" t="s">
        <v>2456</v>
      </c>
      <c r="H140" s="122" t="s">
        <v>76</v>
      </c>
      <c r="I140" s="122" t="s">
        <v>235</v>
      </c>
      <c r="J140" s="122" t="s">
        <v>61</v>
      </c>
      <c r="K140" s="122" t="s">
        <v>314</v>
      </c>
      <c r="L140" s="122" t="s">
        <v>476</v>
      </c>
      <c r="M140" s="122" t="s">
        <v>1108</v>
      </c>
      <c r="N140" s="122" t="s">
        <v>62</v>
      </c>
      <c r="O140" s="122" t="s">
        <v>1217</v>
      </c>
      <c r="P140" s="123">
        <v>13338</v>
      </c>
      <c r="Q140" s="123">
        <v>3.306</v>
      </c>
      <c r="R140" s="123">
        <v>11837</v>
      </c>
      <c r="S140" s="122"/>
      <c r="T140" s="123">
        <v>5219.576</v>
      </c>
      <c r="U140" s="125">
        <v>6.0000000000000002E-5</v>
      </c>
      <c r="V140" s="125">
        <v>5.6899999999999997E-3</v>
      </c>
      <c r="W140" s="126">
        <v>3.5400000000000002E-3</v>
      </c>
      <c r="X140" s="159"/>
    </row>
    <row r="141" spans="1:24" x14ac:dyDescent="0.2">
      <c r="A141" s="121" t="s">
        <v>1223</v>
      </c>
      <c r="B141" s="122" t="s">
        <v>1224</v>
      </c>
      <c r="C141" s="122" t="s">
        <v>2450</v>
      </c>
      <c r="D141" s="122" t="s">
        <v>2451</v>
      </c>
      <c r="E141" s="122" t="s">
        <v>430</v>
      </c>
      <c r="F141" s="122" t="s">
        <v>2452</v>
      </c>
      <c r="G141" s="122" t="s">
        <v>2453</v>
      </c>
      <c r="H141" s="122" t="s">
        <v>76</v>
      </c>
      <c r="I141" s="122" t="s">
        <v>235</v>
      </c>
      <c r="J141" s="122" t="s">
        <v>61</v>
      </c>
      <c r="K141" s="122" t="s">
        <v>314</v>
      </c>
      <c r="L141" s="122" t="s">
        <v>479</v>
      </c>
      <c r="M141" s="122" t="s">
        <v>1081</v>
      </c>
      <c r="N141" s="122" t="s">
        <v>62</v>
      </c>
      <c r="O141" s="122" t="s">
        <v>1217</v>
      </c>
      <c r="P141" s="123">
        <v>3760</v>
      </c>
      <c r="Q141" s="123">
        <v>3.306</v>
      </c>
      <c r="R141" s="123">
        <v>32636</v>
      </c>
      <c r="S141" s="122"/>
      <c r="T141" s="123">
        <v>4056.8380000000002</v>
      </c>
      <c r="U141" s="125">
        <v>4.0000000000000003E-5</v>
      </c>
      <c r="V141" s="125">
        <v>4.4200000000000003E-3</v>
      </c>
      <c r="W141" s="126">
        <v>2.7499999999999998E-3</v>
      </c>
      <c r="X141" s="159"/>
    </row>
    <row r="142" spans="1:24" x14ac:dyDescent="0.2">
      <c r="A142" s="121" t="s">
        <v>1223</v>
      </c>
      <c r="B142" s="122" t="s">
        <v>1224</v>
      </c>
      <c r="C142" s="122" t="s">
        <v>2468</v>
      </c>
      <c r="D142" s="122" t="s">
        <v>2469</v>
      </c>
      <c r="E142" s="122" t="s">
        <v>430</v>
      </c>
      <c r="F142" s="122" t="s">
        <v>2468</v>
      </c>
      <c r="G142" s="122" t="s">
        <v>2470</v>
      </c>
      <c r="H142" s="122" t="s">
        <v>76</v>
      </c>
      <c r="I142" s="122" t="s">
        <v>235</v>
      </c>
      <c r="J142" s="122" t="s">
        <v>61</v>
      </c>
      <c r="K142" s="122" t="s">
        <v>314</v>
      </c>
      <c r="L142" s="122" t="s">
        <v>476</v>
      </c>
      <c r="M142" s="122" t="s">
        <v>1056</v>
      </c>
      <c r="N142" s="122" t="s">
        <v>62</v>
      </c>
      <c r="O142" s="122" t="s">
        <v>1217</v>
      </c>
      <c r="P142" s="123">
        <v>6659</v>
      </c>
      <c r="Q142" s="123">
        <v>3.306</v>
      </c>
      <c r="R142" s="123">
        <v>17688</v>
      </c>
      <c r="S142" s="122"/>
      <c r="T142" s="123">
        <v>3893.9520000000002</v>
      </c>
      <c r="U142" s="125">
        <v>1.6199999999999999E-3</v>
      </c>
      <c r="V142" s="125">
        <v>4.2399999999999998E-3</v>
      </c>
      <c r="W142" s="126">
        <v>2.64E-3</v>
      </c>
      <c r="X142" s="159"/>
    </row>
    <row r="143" spans="1:24" x14ac:dyDescent="0.2">
      <c r="A143" s="121" t="s">
        <v>1223</v>
      </c>
      <c r="B143" s="122" t="s">
        <v>1224</v>
      </c>
      <c r="C143" s="122" t="s">
        <v>2471</v>
      </c>
      <c r="D143" s="122" t="s">
        <v>2472</v>
      </c>
      <c r="E143" s="122" t="s">
        <v>430</v>
      </c>
      <c r="F143" s="122" t="s">
        <v>2471</v>
      </c>
      <c r="G143" s="122" t="s">
        <v>2473</v>
      </c>
      <c r="H143" s="122" t="s">
        <v>76</v>
      </c>
      <c r="I143" s="122" t="s">
        <v>235</v>
      </c>
      <c r="J143" s="122" t="s">
        <v>61</v>
      </c>
      <c r="K143" s="122" t="s">
        <v>314</v>
      </c>
      <c r="L143" s="122" t="s">
        <v>476</v>
      </c>
      <c r="M143" s="122" t="s">
        <v>1108</v>
      </c>
      <c r="N143" s="122" t="s">
        <v>62</v>
      </c>
      <c r="O143" s="122" t="s">
        <v>1217</v>
      </c>
      <c r="P143" s="123">
        <v>4664</v>
      </c>
      <c r="Q143" s="123">
        <v>3.306</v>
      </c>
      <c r="R143" s="123">
        <v>23964</v>
      </c>
      <c r="S143" s="122"/>
      <c r="T143" s="123">
        <v>3695.0529999999999</v>
      </c>
      <c r="U143" s="125">
        <v>5.0000000000000002E-5</v>
      </c>
      <c r="V143" s="125">
        <v>4.0299999999999997E-3</v>
      </c>
      <c r="W143" s="126">
        <v>2.5100000000000001E-3</v>
      </c>
      <c r="X143" s="159"/>
    </row>
    <row r="144" spans="1:24" x14ac:dyDescent="0.2">
      <c r="A144" s="121" t="s">
        <v>1223</v>
      </c>
      <c r="B144" s="122" t="s">
        <v>1224</v>
      </c>
      <c r="C144" s="122" t="s">
        <v>2474</v>
      </c>
      <c r="D144" s="122" t="s">
        <v>2475</v>
      </c>
      <c r="E144" s="122" t="s">
        <v>430</v>
      </c>
      <c r="F144" s="122" t="s">
        <v>2474</v>
      </c>
      <c r="G144" s="122" t="s">
        <v>2476</v>
      </c>
      <c r="H144" s="122" t="s">
        <v>76</v>
      </c>
      <c r="I144" s="122" t="s">
        <v>235</v>
      </c>
      <c r="J144" s="122" t="s">
        <v>61</v>
      </c>
      <c r="K144" s="122" t="s">
        <v>314</v>
      </c>
      <c r="L144" s="122" t="s">
        <v>476</v>
      </c>
      <c r="M144" s="122" t="s">
        <v>1059</v>
      </c>
      <c r="N144" s="122" t="s">
        <v>62</v>
      </c>
      <c r="O144" s="122" t="s">
        <v>1217</v>
      </c>
      <c r="P144" s="123">
        <v>8026</v>
      </c>
      <c r="Q144" s="123">
        <v>3.306</v>
      </c>
      <c r="R144" s="123">
        <v>13917</v>
      </c>
      <c r="S144" s="122"/>
      <c r="T144" s="123">
        <v>3692.7310000000002</v>
      </c>
      <c r="U144" s="125">
        <v>3.0000000000000001E-5</v>
      </c>
      <c r="V144" s="125">
        <v>4.0200000000000001E-3</v>
      </c>
      <c r="W144" s="126">
        <v>2.5100000000000001E-3</v>
      </c>
      <c r="X144" s="159"/>
    </row>
    <row r="145" spans="1:24" x14ac:dyDescent="0.2">
      <c r="A145" s="121" t="s">
        <v>1223</v>
      </c>
      <c r="B145" s="122" t="s">
        <v>1224</v>
      </c>
      <c r="C145" s="122" t="s">
        <v>2477</v>
      </c>
      <c r="D145" s="122" t="s">
        <v>2478</v>
      </c>
      <c r="E145" s="122" t="s">
        <v>430</v>
      </c>
      <c r="F145" s="122" t="s">
        <v>2479</v>
      </c>
      <c r="G145" s="122" t="s">
        <v>2480</v>
      </c>
      <c r="H145" s="122" t="s">
        <v>76</v>
      </c>
      <c r="I145" s="122" t="s">
        <v>235</v>
      </c>
      <c r="J145" s="122" t="s">
        <v>61</v>
      </c>
      <c r="K145" s="122" t="s">
        <v>314</v>
      </c>
      <c r="L145" s="122" t="s">
        <v>476</v>
      </c>
      <c r="M145" s="122" t="s">
        <v>1103</v>
      </c>
      <c r="N145" s="122" t="s">
        <v>62</v>
      </c>
      <c r="O145" s="122" t="s">
        <v>1217</v>
      </c>
      <c r="P145" s="123">
        <v>5918</v>
      </c>
      <c r="Q145" s="123">
        <v>3.306</v>
      </c>
      <c r="R145" s="123">
        <v>15545</v>
      </c>
      <c r="S145" s="122"/>
      <c r="T145" s="123">
        <v>3041.3649999999998</v>
      </c>
      <c r="U145" s="125">
        <v>1.4999999999999999E-4</v>
      </c>
      <c r="V145" s="125">
        <v>3.31E-3</v>
      </c>
      <c r="W145" s="126">
        <v>2.0600000000000002E-3</v>
      </c>
      <c r="X145" s="159"/>
    </row>
    <row r="146" spans="1:24" x14ac:dyDescent="0.2">
      <c r="A146" s="121" t="s">
        <v>1223</v>
      </c>
      <c r="B146" s="122" t="s">
        <v>1224</v>
      </c>
      <c r="C146" s="122" t="s">
        <v>2490</v>
      </c>
      <c r="D146" s="122" t="s">
        <v>2491</v>
      </c>
      <c r="E146" s="122" t="s">
        <v>102</v>
      </c>
      <c r="F146" s="122" t="s">
        <v>2490</v>
      </c>
      <c r="G146" s="122" t="s">
        <v>2492</v>
      </c>
      <c r="H146" s="122" t="s">
        <v>76</v>
      </c>
      <c r="I146" s="122" t="s">
        <v>235</v>
      </c>
      <c r="J146" s="122" t="s">
        <v>61</v>
      </c>
      <c r="K146" s="122" t="s">
        <v>143</v>
      </c>
      <c r="L146" s="122" t="s">
        <v>476</v>
      </c>
      <c r="M146" s="122" t="s">
        <v>1066</v>
      </c>
      <c r="N146" s="122" t="s">
        <v>62</v>
      </c>
      <c r="O146" s="122" t="s">
        <v>1217</v>
      </c>
      <c r="P146" s="123">
        <v>27675</v>
      </c>
      <c r="Q146" s="123">
        <v>3.306</v>
      </c>
      <c r="R146" s="123">
        <v>3100</v>
      </c>
      <c r="S146" s="122"/>
      <c r="T146" s="123">
        <v>2836.3</v>
      </c>
      <c r="U146" s="125">
        <v>1.6000000000000001E-4</v>
      </c>
      <c r="V146" s="125">
        <v>3.0899999999999999E-3</v>
      </c>
      <c r="W146" s="126">
        <v>1.9300000000000001E-3</v>
      </c>
      <c r="X146" s="159"/>
    </row>
    <row r="147" spans="1:24" x14ac:dyDescent="0.2">
      <c r="A147" s="121" t="s">
        <v>1223</v>
      </c>
      <c r="B147" s="122" t="s">
        <v>1224</v>
      </c>
      <c r="C147" s="122" t="s">
        <v>2493</v>
      </c>
      <c r="D147" s="122" t="s">
        <v>2494</v>
      </c>
      <c r="E147" s="122" t="s">
        <v>430</v>
      </c>
      <c r="F147" s="122" t="s">
        <v>2493</v>
      </c>
      <c r="G147" s="122" t="s">
        <v>2495</v>
      </c>
      <c r="H147" s="122" t="s">
        <v>76</v>
      </c>
      <c r="I147" s="122" t="s">
        <v>235</v>
      </c>
      <c r="J147" s="122" t="s">
        <v>61</v>
      </c>
      <c r="K147" s="122" t="s">
        <v>314</v>
      </c>
      <c r="L147" s="122" t="s">
        <v>479</v>
      </c>
      <c r="M147" s="122" t="s">
        <v>1067</v>
      </c>
      <c r="N147" s="122" t="s">
        <v>62</v>
      </c>
      <c r="O147" s="122" t="s">
        <v>1217</v>
      </c>
      <c r="P147" s="123">
        <v>5106</v>
      </c>
      <c r="Q147" s="123">
        <v>3.306</v>
      </c>
      <c r="R147" s="123">
        <v>15108</v>
      </c>
      <c r="S147" s="123">
        <v>1.2030000000000001</v>
      </c>
      <c r="T147" s="123">
        <v>2554.2750000000001</v>
      </c>
      <c r="U147" s="125">
        <v>2.9999999999999997E-4</v>
      </c>
      <c r="V147" s="125">
        <v>2.7799999999999999E-3</v>
      </c>
      <c r="W147" s="126">
        <v>1.73E-3</v>
      </c>
      <c r="X147" s="159"/>
    </row>
    <row r="148" spans="1:24" x14ac:dyDescent="0.2">
      <c r="A148" s="121" t="s">
        <v>1223</v>
      </c>
      <c r="B148" s="122" t="s">
        <v>1224</v>
      </c>
      <c r="C148" s="122" t="s">
        <v>2481</v>
      </c>
      <c r="D148" s="122" t="s">
        <v>2482</v>
      </c>
      <c r="E148" s="122" t="s">
        <v>430</v>
      </c>
      <c r="F148" s="122" t="s">
        <v>2481</v>
      </c>
      <c r="G148" s="122" t="s">
        <v>2483</v>
      </c>
      <c r="H148" s="122" t="s">
        <v>76</v>
      </c>
      <c r="I148" s="122" t="s">
        <v>235</v>
      </c>
      <c r="J148" s="122" t="s">
        <v>61</v>
      </c>
      <c r="K148" s="122" t="s">
        <v>157</v>
      </c>
      <c r="L148" s="122" t="s">
        <v>476</v>
      </c>
      <c r="M148" s="122" t="s">
        <v>1048</v>
      </c>
      <c r="N148" s="122" t="s">
        <v>62</v>
      </c>
      <c r="O148" s="122" t="s">
        <v>1217</v>
      </c>
      <c r="P148" s="123">
        <v>14576</v>
      </c>
      <c r="Q148" s="123">
        <v>3.306</v>
      </c>
      <c r="R148" s="123">
        <v>5206</v>
      </c>
      <c r="S148" s="122"/>
      <c r="T148" s="123">
        <v>2508.681</v>
      </c>
      <c r="U148" s="125">
        <v>8.0000000000000007E-5</v>
      </c>
      <c r="V148" s="125">
        <v>2.7299999999999998E-3</v>
      </c>
      <c r="W148" s="126">
        <v>1.6999999999999999E-3</v>
      </c>
      <c r="X148" s="159"/>
    </row>
    <row r="149" spans="1:24" x14ac:dyDescent="0.2">
      <c r="A149" s="121" t="s">
        <v>1223</v>
      </c>
      <c r="B149" s="122" t="s">
        <v>1224</v>
      </c>
      <c r="C149" s="122" t="s">
        <v>2496</v>
      </c>
      <c r="D149" s="122" t="s">
        <v>2497</v>
      </c>
      <c r="E149" s="122" t="s">
        <v>430</v>
      </c>
      <c r="F149" s="122" t="s">
        <v>2496</v>
      </c>
      <c r="G149" s="122" t="s">
        <v>2498</v>
      </c>
      <c r="H149" s="122" t="s">
        <v>76</v>
      </c>
      <c r="I149" s="122" t="s">
        <v>235</v>
      </c>
      <c r="J149" s="122" t="s">
        <v>61</v>
      </c>
      <c r="K149" s="122" t="s">
        <v>159</v>
      </c>
      <c r="L149" s="122" t="s">
        <v>489</v>
      </c>
      <c r="M149" s="122" t="s">
        <v>1107</v>
      </c>
      <c r="N149" s="122" t="s">
        <v>62</v>
      </c>
      <c r="O149" s="122" t="s">
        <v>1219</v>
      </c>
      <c r="P149" s="123">
        <v>382065</v>
      </c>
      <c r="Q149" s="123">
        <v>0.42499999999999999</v>
      </c>
      <c r="R149" s="123">
        <v>1363</v>
      </c>
      <c r="S149" s="122"/>
      <c r="T149" s="123">
        <v>2212.1660000000002</v>
      </c>
      <c r="U149" s="125">
        <v>2.65E-3</v>
      </c>
      <c r="V149" s="125">
        <v>2.4099999999999998E-3</v>
      </c>
      <c r="W149" s="126">
        <v>1.5E-3</v>
      </c>
      <c r="X149" s="159"/>
    </row>
    <row r="150" spans="1:24" x14ac:dyDescent="0.2">
      <c r="A150" s="121" t="s">
        <v>1223</v>
      </c>
      <c r="B150" s="122" t="s">
        <v>1224</v>
      </c>
      <c r="C150" s="122" t="s">
        <v>2484</v>
      </c>
      <c r="D150" s="122" t="s">
        <v>2485</v>
      </c>
      <c r="E150" s="122" t="s">
        <v>430</v>
      </c>
      <c r="F150" s="122" t="s">
        <v>2486</v>
      </c>
      <c r="G150" s="122" t="s">
        <v>2487</v>
      </c>
      <c r="H150" s="122" t="s">
        <v>76</v>
      </c>
      <c r="I150" s="122" t="s">
        <v>235</v>
      </c>
      <c r="J150" s="122" t="s">
        <v>61</v>
      </c>
      <c r="K150" s="122" t="s">
        <v>153</v>
      </c>
      <c r="L150" s="122" t="s">
        <v>488</v>
      </c>
      <c r="M150" s="122" t="s">
        <v>1049</v>
      </c>
      <c r="N150" s="122" t="s">
        <v>62</v>
      </c>
      <c r="O150" s="122" t="s">
        <v>1218</v>
      </c>
      <c r="P150" s="123">
        <v>2866</v>
      </c>
      <c r="Q150" s="123">
        <v>3.8809999999999998</v>
      </c>
      <c r="R150" s="123">
        <v>19756</v>
      </c>
      <c r="S150" s="122"/>
      <c r="T150" s="123">
        <v>2197.279</v>
      </c>
      <c r="U150" s="125">
        <v>6.9999999999999994E-5</v>
      </c>
      <c r="V150" s="125">
        <v>2.3900000000000002E-3</v>
      </c>
      <c r="W150" s="126">
        <v>1.49E-3</v>
      </c>
      <c r="X150" s="159"/>
    </row>
    <row r="151" spans="1:24" x14ac:dyDescent="0.2">
      <c r="A151" s="121" t="s">
        <v>1223</v>
      </c>
      <c r="B151" s="122" t="s">
        <v>1224</v>
      </c>
      <c r="C151" s="122" t="s">
        <v>2488</v>
      </c>
      <c r="D151" s="122" t="s">
        <v>2411</v>
      </c>
      <c r="E151" s="122" t="s">
        <v>430</v>
      </c>
      <c r="F151" s="122" t="s">
        <v>2488</v>
      </c>
      <c r="G151" s="122" t="s">
        <v>2489</v>
      </c>
      <c r="H151" s="122" t="s">
        <v>76</v>
      </c>
      <c r="I151" s="122" t="s">
        <v>235</v>
      </c>
      <c r="J151" s="122" t="s">
        <v>61</v>
      </c>
      <c r="K151" s="122" t="s">
        <v>314</v>
      </c>
      <c r="L151" s="122" t="s">
        <v>476</v>
      </c>
      <c r="M151" s="122" t="s">
        <v>1108</v>
      </c>
      <c r="N151" s="122" t="s">
        <v>62</v>
      </c>
      <c r="O151" s="122" t="s">
        <v>1217</v>
      </c>
      <c r="P151" s="123">
        <v>5898</v>
      </c>
      <c r="Q151" s="123">
        <v>3.306</v>
      </c>
      <c r="R151" s="123">
        <v>11038</v>
      </c>
      <c r="S151" s="122"/>
      <c r="T151" s="123">
        <v>2152.2759999999998</v>
      </c>
      <c r="U151" s="125">
        <v>2.5999999999999998E-4</v>
      </c>
      <c r="V151" s="125">
        <v>2.3500000000000001E-3</v>
      </c>
      <c r="W151" s="126">
        <v>1.4599999999999999E-3</v>
      </c>
      <c r="X151" s="159"/>
    </row>
    <row r="152" spans="1:24" x14ac:dyDescent="0.2">
      <c r="A152" s="121" t="s">
        <v>1223</v>
      </c>
      <c r="B152" s="122" t="s">
        <v>1224</v>
      </c>
      <c r="C152" s="122" t="s">
        <v>2499</v>
      </c>
      <c r="D152" s="122" t="s">
        <v>2500</v>
      </c>
      <c r="E152" s="122" t="s">
        <v>430</v>
      </c>
      <c r="F152" s="122" t="s">
        <v>2501</v>
      </c>
      <c r="G152" s="122" t="s">
        <v>2502</v>
      </c>
      <c r="H152" s="122" t="s">
        <v>76</v>
      </c>
      <c r="I152" s="122" t="s">
        <v>235</v>
      </c>
      <c r="J152" s="122" t="s">
        <v>61</v>
      </c>
      <c r="K152" s="122" t="s">
        <v>314</v>
      </c>
      <c r="L152" s="122" t="s">
        <v>476</v>
      </c>
      <c r="M152" s="122" t="s">
        <v>1107</v>
      </c>
      <c r="N152" s="122" t="s">
        <v>62</v>
      </c>
      <c r="O152" s="122" t="s">
        <v>1217</v>
      </c>
      <c r="P152" s="123">
        <v>8909</v>
      </c>
      <c r="Q152" s="123">
        <v>3.306</v>
      </c>
      <c r="R152" s="123">
        <v>6362</v>
      </c>
      <c r="S152" s="122"/>
      <c r="T152" s="123">
        <v>1873.81</v>
      </c>
      <c r="U152" s="125">
        <v>9.0000000000000006E-5</v>
      </c>
      <c r="V152" s="125">
        <v>2.0400000000000001E-3</v>
      </c>
      <c r="W152" s="126">
        <v>1.2700000000000001E-3</v>
      </c>
      <c r="X152" s="159"/>
    </row>
    <row r="153" spans="1:24" x14ac:dyDescent="0.2">
      <c r="A153" s="121" t="s">
        <v>1223</v>
      </c>
      <c r="B153" s="122" t="s">
        <v>1224</v>
      </c>
      <c r="C153" s="122" t="s">
        <v>2506</v>
      </c>
      <c r="D153" s="122" t="s">
        <v>2507</v>
      </c>
      <c r="E153" s="122" t="s">
        <v>430</v>
      </c>
      <c r="F153" s="122" t="s">
        <v>2508</v>
      </c>
      <c r="G153" s="122" t="s">
        <v>2509</v>
      </c>
      <c r="H153" s="122" t="s">
        <v>76</v>
      </c>
      <c r="I153" s="122" t="s">
        <v>235</v>
      </c>
      <c r="J153" s="122" t="s">
        <v>61</v>
      </c>
      <c r="K153" s="122" t="s">
        <v>314</v>
      </c>
      <c r="L153" s="122" t="s">
        <v>476</v>
      </c>
      <c r="M153" s="122" t="s">
        <v>1108</v>
      </c>
      <c r="N153" s="122" t="s">
        <v>62</v>
      </c>
      <c r="O153" s="122" t="s">
        <v>1217</v>
      </c>
      <c r="P153" s="123">
        <v>11184</v>
      </c>
      <c r="Q153" s="123">
        <v>3.306</v>
      </c>
      <c r="R153" s="123">
        <v>4213</v>
      </c>
      <c r="S153" s="122"/>
      <c r="T153" s="123">
        <v>1557.7270000000001</v>
      </c>
      <c r="U153" s="125">
        <v>6.9999999999999994E-5</v>
      </c>
      <c r="V153" s="125">
        <v>1.6999999999999999E-3</v>
      </c>
      <c r="W153" s="126">
        <v>1.06E-3</v>
      </c>
      <c r="X153" s="159"/>
    </row>
    <row r="154" spans="1:24" x14ac:dyDescent="0.2">
      <c r="A154" s="121" t="s">
        <v>1223</v>
      </c>
      <c r="B154" s="122" t="s">
        <v>1224</v>
      </c>
      <c r="C154" s="122" t="s">
        <v>2499</v>
      </c>
      <c r="D154" s="122" t="s">
        <v>2500</v>
      </c>
      <c r="E154" s="122" t="s">
        <v>430</v>
      </c>
      <c r="F154" s="122" t="s">
        <v>2510</v>
      </c>
      <c r="G154" s="122" t="s">
        <v>2511</v>
      </c>
      <c r="H154" s="122" t="s">
        <v>76</v>
      </c>
      <c r="I154" s="122" t="s">
        <v>235</v>
      </c>
      <c r="J154" s="122" t="s">
        <v>61</v>
      </c>
      <c r="K154" s="122" t="s">
        <v>314</v>
      </c>
      <c r="L154" s="122" t="s">
        <v>476</v>
      </c>
      <c r="M154" s="122" t="s">
        <v>1108</v>
      </c>
      <c r="N154" s="122" t="s">
        <v>62</v>
      </c>
      <c r="O154" s="122" t="s">
        <v>1217</v>
      </c>
      <c r="P154" s="123">
        <v>5264</v>
      </c>
      <c r="Q154" s="123">
        <v>3.306</v>
      </c>
      <c r="R154" s="123">
        <v>6008</v>
      </c>
      <c r="S154" s="122"/>
      <c r="T154" s="123">
        <v>1045.559</v>
      </c>
      <c r="U154" s="125">
        <v>6.9999999999999994E-5</v>
      </c>
      <c r="V154" s="125">
        <v>1.14E-3</v>
      </c>
      <c r="W154" s="126">
        <v>7.1000000000000002E-4</v>
      </c>
      <c r="X154" s="159"/>
    </row>
    <row r="155" spans="1:24" x14ac:dyDescent="0.2">
      <c r="A155" s="121" t="s">
        <v>1223</v>
      </c>
      <c r="B155" s="122" t="s">
        <v>1224</v>
      </c>
      <c r="C155" s="122" t="s">
        <v>2503</v>
      </c>
      <c r="D155" s="122" t="s">
        <v>2504</v>
      </c>
      <c r="E155" s="122" t="s">
        <v>430</v>
      </c>
      <c r="F155" s="122" t="s">
        <v>2503</v>
      </c>
      <c r="G155" s="122" t="s">
        <v>2505</v>
      </c>
      <c r="H155" s="122" t="s">
        <v>76</v>
      </c>
      <c r="I155" s="122" t="s">
        <v>237</v>
      </c>
      <c r="J155" s="122" t="s">
        <v>61</v>
      </c>
      <c r="K155" s="122" t="s">
        <v>315</v>
      </c>
      <c r="L155" s="122" t="s">
        <v>494</v>
      </c>
      <c r="M155" s="122" t="s">
        <v>1085</v>
      </c>
      <c r="N155" s="122" t="s">
        <v>62</v>
      </c>
      <c r="O155" s="122" t="s">
        <v>1217</v>
      </c>
      <c r="P155" s="123">
        <v>3200</v>
      </c>
      <c r="Q155" s="123">
        <v>3.306</v>
      </c>
      <c r="R155" s="123">
        <v>9759</v>
      </c>
      <c r="S155" s="122"/>
      <c r="T155" s="123">
        <v>1032.424</v>
      </c>
      <c r="U155" s="125">
        <v>9.0000000000000006E-5</v>
      </c>
      <c r="V155" s="125">
        <v>1.1199999999999999E-3</v>
      </c>
      <c r="W155" s="126">
        <v>6.9999999999999999E-4</v>
      </c>
      <c r="X155" s="159"/>
    </row>
    <row r="156" spans="1:24" x14ac:dyDescent="0.2">
      <c r="A156" s="121" t="s">
        <v>1223</v>
      </c>
      <c r="B156" s="122" t="s">
        <v>1224</v>
      </c>
      <c r="C156" s="122" t="s">
        <v>2512</v>
      </c>
      <c r="D156" s="122" t="s">
        <v>2513</v>
      </c>
      <c r="E156" s="122" t="s">
        <v>430</v>
      </c>
      <c r="F156" s="122" t="s">
        <v>2514</v>
      </c>
      <c r="G156" s="122" t="s">
        <v>2515</v>
      </c>
      <c r="H156" s="122" t="s">
        <v>76</v>
      </c>
      <c r="I156" s="122" t="s">
        <v>235</v>
      </c>
      <c r="J156" s="122" t="s">
        <v>61</v>
      </c>
      <c r="K156" s="122" t="s">
        <v>188</v>
      </c>
      <c r="L156" s="122" t="s">
        <v>476</v>
      </c>
      <c r="M156" s="122" t="s">
        <v>1058</v>
      </c>
      <c r="N156" s="122" t="s">
        <v>62</v>
      </c>
      <c r="O156" s="122" t="s">
        <v>1217</v>
      </c>
      <c r="P156" s="123">
        <v>5054</v>
      </c>
      <c r="Q156" s="123">
        <v>3.306</v>
      </c>
      <c r="R156" s="123">
        <v>4114</v>
      </c>
      <c r="S156" s="122"/>
      <c r="T156" s="123">
        <v>687.38900000000001</v>
      </c>
      <c r="U156" s="125">
        <v>2.0000000000000002E-5</v>
      </c>
      <c r="V156" s="125">
        <v>7.5000000000000002E-4</v>
      </c>
      <c r="W156" s="126">
        <v>4.6999999999999999E-4</v>
      </c>
      <c r="X156" s="159"/>
    </row>
    <row r="157" spans="1:24" x14ac:dyDescent="0.2">
      <c r="A157" s="121" t="s">
        <v>1223</v>
      </c>
      <c r="B157" s="122" t="s">
        <v>1225</v>
      </c>
      <c r="C157" s="122" t="s">
        <v>2374</v>
      </c>
      <c r="D157" s="122" t="s">
        <v>2375</v>
      </c>
      <c r="E157" s="122" t="s">
        <v>429</v>
      </c>
      <c r="F157" s="122" t="s">
        <v>2518</v>
      </c>
      <c r="G157" s="122" t="s">
        <v>2519</v>
      </c>
      <c r="H157" s="122" t="s">
        <v>76</v>
      </c>
      <c r="I157" s="122" t="s">
        <v>236</v>
      </c>
      <c r="J157" s="122" t="s">
        <v>53</v>
      </c>
      <c r="K157" s="122" t="s">
        <v>53</v>
      </c>
      <c r="L157" s="122" t="s">
        <v>311</v>
      </c>
      <c r="M157" s="122" t="s">
        <v>985</v>
      </c>
      <c r="N157" s="122" t="s">
        <v>62</v>
      </c>
      <c r="O157" s="122" t="s">
        <v>1216</v>
      </c>
      <c r="P157" s="123">
        <v>183985</v>
      </c>
      <c r="Q157" s="123">
        <v>1</v>
      </c>
      <c r="R157" s="123">
        <v>419.81</v>
      </c>
      <c r="S157" s="122"/>
      <c r="T157" s="123">
        <v>772.38699999999994</v>
      </c>
      <c r="U157" s="125">
        <v>6.7000000000000002E-4</v>
      </c>
      <c r="V157" s="125">
        <v>0.34029999999999999</v>
      </c>
      <c r="W157" s="126">
        <v>7.6520000000000005E-2</v>
      </c>
      <c r="X157" s="159"/>
    </row>
    <row r="158" spans="1:24" x14ac:dyDescent="0.2">
      <c r="A158" s="121" t="s">
        <v>1223</v>
      </c>
      <c r="B158" s="122" t="s">
        <v>1225</v>
      </c>
      <c r="C158" s="122" t="s">
        <v>2382</v>
      </c>
      <c r="D158" s="122" t="s">
        <v>2383</v>
      </c>
      <c r="E158" s="122" t="s">
        <v>429</v>
      </c>
      <c r="F158" s="122" t="s">
        <v>2516</v>
      </c>
      <c r="G158" s="122" t="s">
        <v>2517</v>
      </c>
      <c r="H158" s="122" t="s">
        <v>76</v>
      </c>
      <c r="I158" s="122" t="s">
        <v>236</v>
      </c>
      <c r="J158" s="122" t="s">
        <v>53</v>
      </c>
      <c r="K158" s="122" t="s">
        <v>53</v>
      </c>
      <c r="L158" s="122" t="s">
        <v>311</v>
      </c>
      <c r="M158" s="122" t="s">
        <v>965</v>
      </c>
      <c r="N158" s="122" t="s">
        <v>62</v>
      </c>
      <c r="O158" s="122" t="s">
        <v>1216</v>
      </c>
      <c r="P158" s="123">
        <v>136496</v>
      </c>
      <c r="Q158" s="123">
        <v>1</v>
      </c>
      <c r="R158" s="123">
        <v>499.28</v>
      </c>
      <c r="S158" s="122"/>
      <c r="T158" s="123">
        <v>681.49699999999996</v>
      </c>
      <c r="U158" s="125">
        <v>6.4999999999999997E-4</v>
      </c>
      <c r="V158" s="125">
        <v>0.30025000000000002</v>
      </c>
      <c r="W158" s="126">
        <v>6.7519999999999997E-2</v>
      </c>
      <c r="X158" s="159"/>
    </row>
    <row r="159" spans="1:24" x14ac:dyDescent="0.2">
      <c r="A159" s="121" t="s">
        <v>1223</v>
      </c>
      <c r="B159" s="122" t="s">
        <v>1225</v>
      </c>
      <c r="C159" s="122" t="s">
        <v>2378</v>
      </c>
      <c r="D159" s="122" t="s">
        <v>2379</v>
      </c>
      <c r="E159" s="122" t="s">
        <v>429</v>
      </c>
      <c r="F159" s="122" t="s">
        <v>2520</v>
      </c>
      <c r="G159" s="122" t="s">
        <v>2521</v>
      </c>
      <c r="H159" s="122" t="s">
        <v>76</v>
      </c>
      <c r="I159" s="122" t="s">
        <v>236</v>
      </c>
      <c r="J159" s="122" t="s">
        <v>53</v>
      </c>
      <c r="K159" s="122" t="s">
        <v>53</v>
      </c>
      <c r="L159" s="122" t="s">
        <v>311</v>
      </c>
      <c r="M159" s="122" t="s">
        <v>987</v>
      </c>
      <c r="N159" s="122" t="s">
        <v>62</v>
      </c>
      <c r="O159" s="122" t="s">
        <v>1216</v>
      </c>
      <c r="P159" s="123">
        <v>10502</v>
      </c>
      <c r="Q159" s="123">
        <v>1</v>
      </c>
      <c r="R159" s="123">
        <v>4241.12</v>
      </c>
      <c r="S159" s="122"/>
      <c r="T159" s="123">
        <v>445.40199999999999</v>
      </c>
      <c r="U159" s="125">
        <v>2.7E-4</v>
      </c>
      <c r="V159" s="125">
        <v>0.19622999999999999</v>
      </c>
      <c r="W159" s="126">
        <v>4.4130000000000003E-2</v>
      </c>
      <c r="X159" s="159"/>
    </row>
    <row r="160" spans="1:24" x14ac:dyDescent="0.2">
      <c r="A160" s="121" t="s">
        <v>1223</v>
      </c>
      <c r="B160" s="122" t="s">
        <v>1225</v>
      </c>
      <c r="C160" s="122" t="s">
        <v>2382</v>
      </c>
      <c r="D160" s="122" t="s">
        <v>2383</v>
      </c>
      <c r="E160" s="122" t="s">
        <v>429</v>
      </c>
      <c r="F160" s="122" t="s">
        <v>2534</v>
      </c>
      <c r="G160" s="122" t="s">
        <v>2535</v>
      </c>
      <c r="H160" s="122" t="s">
        <v>76</v>
      </c>
      <c r="I160" s="122" t="s">
        <v>236</v>
      </c>
      <c r="J160" s="122" t="s">
        <v>53</v>
      </c>
      <c r="K160" s="122" t="s">
        <v>53</v>
      </c>
      <c r="L160" s="122" t="s">
        <v>311</v>
      </c>
      <c r="M160" s="122" t="s">
        <v>985</v>
      </c>
      <c r="N160" s="122" t="s">
        <v>62</v>
      </c>
      <c r="O160" s="122" t="s">
        <v>1216</v>
      </c>
      <c r="P160" s="123">
        <v>38522</v>
      </c>
      <c r="Q160" s="123">
        <v>1</v>
      </c>
      <c r="R160" s="123">
        <v>487.71</v>
      </c>
      <c r="S160" s="122"/>
      <c r="T160" s="123">
        <v>187.876</v>
      </c>
      <c r="U160" s="125">
        <v>1.6000000000000001E-4</v>
      </c>
      <c r="V160" s="125">
        <v>8.2769999999999996E-2</v>
      </c>
      <c r="W160" s="126">
        <v>1.8610000000000002E-2</v>
      </c>
      <c r="X160" s="159"/>
    </row>
    <row r="161" spans="1:24" x14ac:dyDescent="0.2">
      <c r="A161" s="121" t="s">
        <v>1223</v>
      </c>
      <c r="B161" s="122" t="s">
        <v>1225</v>
      </c>
      <c r="C161" s="122" t="s">
        <v>2378</v>
      </c>
      <c r="D161" s="122" t="s">
        <v>2379</v>
      </c>
      <c r="E161" s="122" t="s">
        <v>429</v>
      </c>
      <c r="F161" s="122" t="s">
        <v>2530</v>
      </c>
      <c r="G161" s="122" t="s">
        <v>2531</v>
      </c>
      <c r="H161" s="122" t="s">
        <v>76</v>
      </c>
      <c r="I161" s="122" t="s">
        <v>236</v>
      </c>
      <c r="J161" s="122" t="s">
        <v>53</v>
      </c>
      <c r="K161" s="122" t="s">
        <v>53</v>
      </c>
      <c r="L161" s="122" t="s">
        <v>311</v>
      </c>
      <c r="M161" s="122" t="s">
        <v>965</v>
      </c>
      <c r="N161" s="122" t="s">
        <v>62</v>
      </c>
      <c r="O161" s="122" t="s">
        <v>1216</v>
      </c>
      <c r="P161" s="123">
        <v>2969</v>
      </c>
      <c r="Q161" s="123">
        <v>1</v>
      </c>
      <c r="R161" s="123">
        <v>3901.51</v>
      </c>
      <c r="S161" s="122"/>
      <c r="T161" s="123">
        <v>115.836</v>
      </c>
      <c r="U161" s="125">
        <v>4.0000000000000003E-5</v>
      </c>
      <c r="V161" s="125">
        <v>5.1029999999999999E-2</v>
      </c>
      <c r="W161" s="126">
        <v>1.1480000000000001E-2</v>
      </c>
      <c r="X161" s="159"/>
    </row>
    <row r="162" spans="1:24" x14ac:dyDescent="0.2">
      <c r="A162" s="121" t="s">
        <v>1223</v>
      </c>
      <c r="B162" s="122" t="s">
        <v>1225</v>
      </c>
      <c r="C162" s="122" t="s">
        <v>2382</v>
      </c>
      <c r="D162" s="122" t="s">
        <v>2383</v>
      </c>
      <c r="E162" s="122" t="s">
        <v>429</v>
      </c>
      <c r="F162" s="122" t="s">
        <v>2595</v>
      </c>
      <c r="G162" s="122" t="s">
        <v>2596</v>
      </c>
      <c r="H162" s="122" t="s">
        <v>76</v>
      </c>
      <c r="I162" s="122" t="s">
        <v>236</v>
      </c>
      <c r="J162" s="122" t="s">
        <v>53</v>
      </c>
      <c r="K162" s="122" t="s">
        <v>53</v>
      </c>
      <c r="L162" s="122" t="s">
        <v>311</v>
      </c>
      <c r="M162" s="122" t="s">
        <v>987</v>
      </c>
      <c r="N162" s="122" t="s">
        <v>62</v>
      </c>
      <c r="O162" s="122" t="s">
        <v>1216</v>
      </c>
      <c r="P162" s="123">
        <v>3433</v>
      </c>
      <c r="Q162" s="123">
        <v>1</v>
      </c>
      <c r="R162" s="123">
        <v>339.54</v>
      </c>
      <c r="S162" s="122"/>
      <c r="T162" s="123">
        <v>11.656000000000001</v>
      </c>
      <c r="U162" s="125">
        <v>1.0000000000000001E-5</v>
      </c>
      <c r="V162" s="125">
        <v>5.1399999999999996E-3</v>
      </c>
      <c r="W162" s="126">
        <v>1.15E-3</v>
      </c>
      <c r="X162" s="159"/>
    </row>
    <row r="163" spans="1:24" x14ac:dyDescent="0.2">
      <c r="A163" s="121" t="s">
        <v>1223</v>
      </c>
      <c r="B163" s="122" t="s">
        <v>1225</v>
      </c>
      <c r="C163" s="122" t="s">
        <v>2378</v>
      </c>
      <c r="D163" s="122" t="s">
        <v>2379</v>
      </c>
      <c r="E163" s="122" t="s">
        <v>429</v>
      </c>
      <c r="F163" s="122" t="s">
        <v>2528</v>
      </c>
      <c r="G163" s="122" t="s">
        <v>2529</v>
      </c>
      <c r="H163" s="122" t="s">
        <v>76</v>
      </c>
      <c r="I163" s="122" t="s">
        <v>236</v>
      </c>
      <c r="J163" s="122" t="s">
        <v>53</v>
      </c>
      <c r="K163" s="122" t="s">
        <v>53</v>
      </c>
      <c r="L163" s="122" t="s">
        <v>311</v>
      </c>
      <c r="M163" s="122" t="s">
        <v>985</v>
      </c>
      <c r="N163" s="122" t="s">
        <v>62</v>
      </c>
      <c r="O163" s="122" t="s">
        <v>1216</v>
      </c>
      <c r="P163" s="123">
        <v>0.74</v>
      </c>
      <c r="Q163" s="123">
        <v>1</v>
      </c>
      <c r="R163" s="123">
        <v>4185.1899999999996</v>
      </c>
      <c r="S163" s="122"/>
      <c r="T163" s="123">
        <v>3.1E-2</v>
      </c>
      <c r="U163" s="125">
        <v>0</v>
      </c>
      <c r="V163" s="125">
        <v>1.0000000000000001E-5</v>
      </c>
      <c r="W163" s="126">
        <v>0</v>
      </c>
      <c r="X163" s="159"/>
    </row>
    <row r="164" spans="1:24" x14ac:dyDescent="0.2">
      <c r="A164" s="121" t="s">
        <v>1223</v>
      </c>
      <c r="B164" s="122" t="s">
        <v>1225</v>
      </c>
      <c r="C164" s="122" t="s">
        <v>2419</v>
      </c>
      <c r="D164" s="122" t="s">
        <v>2420</v>
      </c>
      <c r="E164" s="122" t="s">
        <v>430</v>
      </c>
      <c r="F164" s="122" t="s">
        <v>2419</v>
      </c>
      <c r="G164" s="122" t="s">
        <v>2421</v>
      </c>
      <c r="H164" s="122" t="s">
        <v>76</v>
      </c>
      <c r="I164" s="122" t="s">
        <v>237</v>
      </c>
      <c r="J164" s="122" t="s">
        <v>61</v>
      </c>
      <c r="K164" s="122" t="s">
        <v>314</v>
      </c>
      <c r="L164" s="122" t="s">
        <v>494</v>
      </c>
      <c r="M164" s="122" t="s">
        <v>1062</v>
      </c>
      <c r="N164" s="122" t="s">
        <v>62</v>
      </c>
      <c r="O164" s="122" t="s">
        <v>1217</v>
      </c>
      <c r="P164" s="123">
        <v>2654</v>
      </c>
      <c r="Q164" s="123">
        <v>3.306</v>
      </c>
      <c r="R164" s="123">
        <v>627.5</v>
      </c>
      <c r="S164" s="122"/>
      <c r="T164" s="123">
        <v>55.058</v>
      </c>
      <c r="U164" s="125">
        <v>0</v>
      </c>
      <c r="V164" s="125">
        <v>2.426E-2</v>
      </c>
      <c r="W164" s="126">
        <v>5.45E-3</v>
      </c>
      <c r="X164" s="159"/>
    </row>
    <row r="165" spans="1:24" x14ac:dyDescent="0.2">
      <c r="A165" s="121" t="s">
        <v>1223</v>
      </c>
      <c r="B165" s="122" t="s">
        <v>1223</v>
      </c>
      <c r="C165" s="122" t="s">
        <v>2378</v>
      </c>
      <c r="D165" s="122" t="s">
        <v>2379</v>
      </c>
      <c r="E165" s="122" t="s">
        <v>429</v>
      </c>
      <c r="F165" s="122" t="s">
        <v>2536</v>
      </c>
      <c r="G165" s="122" t="s">
        <v>2537</v>
      </c>
      <c r="H165" s="122" t="s">
        <v>76</v>
      </c>
      <c r="I165" s="122" t="s">
        <v>235</v>
      </c>
      <c r="J165" s="122" t="s">
        <v>53</v>
      </c>
      <c r="K165" s="122" t="s">
        <v>157</v>
      </c>
      <c r="L165" s="122" t="s">
        <v>311</v>
      </c>
      <c r="M165" s="122" t="s">
        <v>1048</v>
      </c>
      <c r="N165" s="122" t="s">
        <v>62</v>
      </c>
      <c r="O165" s="122" t="s">
        <v>1216</v>
      </c>
      <c r="P165" s="123">
        <v>488200</v>
      </c>
      <c r="Q165" s="123">
        <v>1</v>
      </c>
      <c r="R165" s="123">
        <v>8678</v>
      </c>
      <c r="S165" s="122"/>
      <c r="T165" s="123">
        <v>42365.995999999999</v>
      </c>
      <c r="U165" s="125">
        <v>4.446E-2</v>
      </c>
      <c r="V165" s="125">
        <v>8.5800000000000008E-3</v>
      </c>
      <c r="W165" s="126">
        <v>1.5499999999999999E-3</v>
      </c>
      <c r="X165" s="159"/>
    </row>
    <row r="166" spans="1:24" x14ac:dyDescent="0.2">
      <c r="A166" s="121" t="s">
        <v>1223</v>
      </c>
      <c r="B166" s="122" t="s">
        <v>1223</v>
      </c>
      <c r="C166" s="122" t="s">
        <v>2378</v>
      </c>
      <c r="D166" s="122" t="s">
        <v>2379</v>
      </c>
      <c r="E166" s="122" t="s">
        <v>429</v>
      </c>
      <c r="F166" s="122" t="s">
        <v>2538</v>
      </c>
      <c r="G166" s="122" t="s">
        <v>2539</v>
      </c>
      <c r="H166" s="122" t="s">
        <v>76</v>
      </c>
      <c r="I166" s="122" t="s">
        <v>235</v>
      </c>
      <c r="J166" s="122" t="s">
        <v>53</v>
      </c>
      <c r="K166" s="122" t="s">
        <v>314</v>
      </c>
      <c r="L166" s="122" t="s">
        <v>311</v>
      </c>
      <c r="M166" s="122" t="s">
        <v>1074</v>
      </c>
      <c r="N166" s="122" t="s">
        <v>62</v>
      </c>
      <c r="O166" s="122" t="s">
        <v>1216</v>
      </c>
      <c r="P166" s="123">
        <v>162230</v>
      </c>
      <c r="Q166" s="123">
        <v>1</v>
      </c>
      <c r="R166" s="123">
        <v>24260</v>
      </c>
      <c r="S166" s="122"/>
      <c r="T166" s="123">
        <v>39356.998</v>
      </c>
      <c r="U166" s="125">
        <v>5.5300000000000002E-3</v>
      </c>
      <c r="V166" s="125">
        <v>7.9699999999999997E-3</v>
      </c>
      <c r="W166" s="126">
        <v>1.4400000000000001E-3</v>
      </c>
      <c r="X166" s="159"/>
    </row>
    <row r="167" spans="1:24" x14ac:dyDescent="0.2">
      <c r="A167" s="121" t="s">
        <v>1223</v>
      </c>
      <c r="B167" s="122" t="s">
        <v>1223</v>
      </c>
      <c r="C167" s="122" t="s">
        <v>2378</v>
      </c>
      <c r="D167" s="122" t="s">
        <v>2379</v>
      </c>
      <c r="E167" s="122" t="s">
        <v>429</v>
      </c>
      <c r="F167" s="122" t="s">
        <v>2546</v>
      </c>
      <c r="G167" s="122" t="s">
        <v>2547</v>
      </c>
      <c r="H167" s="122" t="s">
        <v>76</v>
      </c>
      <c r="I167" s="122" t="s">
        <v>235</v>
      </c>
      <c r="J167" s="122" t="s">
        <v>53</v>
      </c>
      <c r="K167" s="122" t="s">
        <v>314</v>
      </c>
      <c r="L167" s="122" t="s">
        <v>311</v>
      </c>
      <c r="M167" s="122" t="s">
        <v>1108</v>
      </c>
      <c r="N167" s="122" t="s">
        <v>62</v>
      </c>
      <c r="O167" s="122" t="s">
        <v>1216</v>
      </c>
      <c r="P167" s="123">
        <v>137344</v>
      </c>
      <c r="Q167" s="123">
        <v>1</v>
      </c>
      <c r="R167" s="123">
        <v>16410</v>
      </c>
      <c r="S167" s="122"/>
      <c r="T167" s="123">
        <v>22538.15</v>
      </c>
      <c r="U167" s="125">
        <v>2.0719999999999999E-2</v>
      </c>
      <c r="V167" s="125">
        <v>4.5700000000000003E-3</v>
      </c>
      <c r="W167" s="126">
        <v>8.3000000000000001E-4</v>
      </c>
      <c r="X167" s="159"/>
    </row>
    <row r="168" spans="1:24" x14ac:dyDescent="0.2">
      <c r="A168" s="121" t="s">
        <v>1223</v>
      </c>
      <c r="B168" s="122" t="s">
        <v>1223</v>
      </c>
      <c r="C168" s="122" t="s">
        <v>2378</v>
      </c>
      <c r="D168" s="122" t="s">
        <v>2379</v>
      </c>
      <c r="E168" s="122" t="s">
        <v>429</v>
      </c>
      <c r="F168" s="122" t="s">
        <v>2544</v>
      </c>
      <c r="G168" s="122" t="s">
        <v>2545</v>
      </c>
      <c r="H168" s="122" t="s">
        <v>76</v>
      </c>
      <c r="I168" s="122" t="s">
        <v>235</v>
      </c>
      <c r="J168" s="122" t="s">
        <v>53</v>
      </c>
      <c r="K168" s="122" t="s">
        <v>314</v>
      </c>
      <c r="L168" s="122" t="s">
        <v>311</v>
      </c>
      <c r="M168" s="122" t="s">
        <v>1098</v>
      </c>
      <c r="N168" s="122" t="s">
        <v>62</v>
      </c>
      <c r="O168" s="122" t="s">
        <v>1216</v>
      </c>
      <c r="P168" s="123">
        <v>100548</v>
      </c>
      <c r="Q168" s="123">
        <v>1</v>
      </c>
      <c r="R168" s="123">
        <v>16230</v>
      </c>
      <c r="S168" s="122"/>
      <c r="T168" s="123">
        <v>16318.94</v>
      </c>
      <c r="U168" s="125">
        <v>1.2330000000000001E-2</v>
      </c>
      <c r="V168" s="125">
        <v>3.31E-3</v>
      </c>
      <c r="W168" s="126">
        <v>5.9999999999999995E-4</v>
      </c>
      <c r="X168" s="159"/>
    </row>
    <row r="169" spans="1:24" x14ac:dyDescent="0.2">
      <c r="A169" s="121" t="s">
        <v>1223</v>
      </c>
      <c r="B169" s="122" t="s">
        <v>1223</v>
      </c>
      <c r="C169" s="122" t="s">
        <v>2402</v>
      </c>
      <c r="D169" s="122" t="s">
        <v>2403</v>
      </c>
      <c r="E169" s="122" t="s">
        <v>430</v>
      </c>
      <c r="F169" s="122" t="s">
        <v>2404</v>
      </c>
      <c r="G169" s="122" t="s">
        <v>2405</v>
      </c>
      <c r="H169" s="122" t="s">
        <v>76</v>
      </c>
      <c r="I169" s="122" t="s">
        <v>235</v>
      </c>
      <c r="J169" s="122" t="s">
        <v>61</v>
      </c>
      <c r="K169" s="122" t="s">
        <v>314</v>
      </c>
      <c r="L169" s="122" t="s">
        <v>476</v>
      </c>
      <c r="M169" s="122" t="s">
        <v>1074</v>
      </c>
      <c r="N169" s="122" t="s">
        <v>62</v>
      </c>
      <c r="O169" s="122" t="s">
        <v>1217</v>
      </c>
      <c r="P169" s="123">
        <v>211712</v>
      </c>
      <c r="Q169" s="123">
        <v>3.306</v>
      </c>
      <c r="R169" s="123">
        <v>66618</v>
      </c>
      <c r="S169" s="123">
        <v>421.79399999999998</v>
      </c>
      <c r="T169" s="123">
        <v>467667.07199999999</v>
      </c>
      <c r="U169" s="125">
        <v>2.0000000000000001E-4</v>
      </c>
      <c r="V169" s="125">
        <v>9.4820000000000002E-2</v>
      </c>
      <c r="W169" s="126">
        <v>1.7149999999999999E-2</v>
      </c>
      <c r="X169" s="159"/>
    </row>
    <row r="170" spans="1:24" x14ac:dyDescent="0.2">
      <c r="A170" s="121" t="s">
        <v>1223</v>
      </c>
      <c r="B170" s="122" t="s">
        <v>1223</v>
      </c>
      <c r="C170" s="122" t="s">
        <v>2406</v>
      </c>
      <c r="D170" s="122" t="s">
        <v>2407</v>
      </c>
      <c r="E170" s="122" t="s">
        <v>430</v>
      </c>
      <c r="F170" s="122" t="s">
        <v>2408</v>
      </c>
      <c r="G170" s="122" t="s">
        <v>2409</v>
      </c>
      <c r="H170" s="122" t="s">
        <v>76</v>
      </c>
      <c r="I170" s="122" t="s">
        <v>235</v>
      </c>
      <c r="J170" s="122" t="s">
        <v>61</v>
      </c>
      <c r="K170" s="122" t="s">
        <v>314</v>
      </c>
      <c r="L170" s="122" t="s">
        <v>479</v>
      </c>
      <c r="M170" s="122" t="s">
        <v>1067</v>
      </c>
      <c r="N170" s="122" t="s">
        <v>62</v>
      </c>
      <c r="O170" s="122" t="s">
        <v>1217</v>
      </c>
      <c r="P170" s="123">
        <v>218552</v>
      </c>
      <c r="Q170" s="123">
        <v>3.306</v>
      </c>
      <c r="R170" s="123">
        <v>60037</v>
      </c>
      <c r="S170" s="123">
        <v>151.66399999999999</v>
      </c>
      <c r="T170" s="123">
        <v>434288.48599999998</v>
      </c>
      <c r="U170" s="125">
        <v>3.5E-4</v>
      </c>
      <c r="V170" s="125">
        <v>8.7999999999999995E-2</v>
      </c>
      <c r="W170" s="126">
        <v>1.5910000000000001E-2</v>
      </c>
      <c r="X170" s="159"/>
    </row>
    <row r="171" spans="1:24" x14ac:dyDescent="0.2">
      <c r="A171" s="121" t="s">
        <v>1223</v>
      </c>
      <c r="B171" s="122" t="s">
        <v>1223</v>
      </c>
      <c r="C171" s="122" t="s">
        <v>2410</v>
      </c>
      <c r="D171" s="122" t="s">
        <v>2411</v>
      </c>
      <c r="E171" s="122" t="s">
        <v>430</v>
      </c>
      <c r="F171" s="122" t="s">
        <v>2410</v>
      </c>
      <c r="G171" s="122" t="s">
        <v>2412</v>
      </c>
      <c r="H171" s="122" t="s">
        <v>76</v>
      </c>
      <c r="I171" s="122" t="s">
        <v>235</v>
      </c>
      <c r="J171" s="122" t="s">
        <v>61</v>
      </c>
      <c r="K171" s="122" t="s">
        <v>314</v>
      </c>
      <c r="L171" s="122" t="s">
        <v>476</v>
      </c>
      <c r="M171" s="122" t="s">
        <v>1074</v>
      </c>
      <c r="N171" s="122" t="s">
        <v>62</v>
      </c>
      <c r="O171" s="122" t="s">
        <v>1217</v>
      </c>
      <c r="P171" s="123">
        <v>162517</v>
      </c>
      <c r="Q171" s="123">
        <v>3.306</v>
      </c>
      <c r="R171" s="123">
        <v>61238</v>
      </c>
      <c r="S171" s="123">
        <v>282.77999999999997</v>
      </c>
      <c r="T171" s="123">
        <v>329955.13199999998</v>
      </c>
      <c r="U171" s="125">
        <v>1.4999999999999999E-4</v>
      </c>
      <c r="V171" s="125">
        <v>6.6890000000000005E-2</v>
      </c>
      <c r="W171" s="126">
        <v>1.21E-2</v>
      </c>
      <c r="X171" s="159"/>
    </row>
    <row r="172" spans="1:24" x14ac:dyDescent="0.2">
      <c r="A172" s="121" t="s">
        <v>1223</v>
      </c>
      <c r="B172" s="122" t="s">
        <v>1223</v>
      </c>
      <c r="C172" s="122" t="s">
        <v>2419</v>
      </c>
      <c r="D172" s="122" t="s">
        <v>2420</v>
      </c>
      <c r="E172" s="122" t="s">
        <v>430</v>
      </c>
      <c r="F172" s="122" t="s">
        <v>2419</v>
      </c>
      <c r="G172" s="122" t="s">
        <v>2421</v>
      </c>
      <c r="H172" s="122" t="s">
        <v>76</v>
      </c>
      <c r="I172" s="122" t="s">
        <v>237</v>
      </c>
      <c r="J172" s="122" t="s">
        <v>61</v>
      </c>
      <c r="K172" s="122" t="s">
        <v>314</v>
      </c>
      <c r="L172" s="122" t="s">
        <v>494</v>
      </c>
      <c r="M172" s="122" t="s">
        <v>1062</v>
      </c>
      <c r="N172" s="122" t="s">
        <v>62</v>
      </c>
      <c r="O172" s="122" t="s">
        <v>1217</v>
      </c>
      <c r="P172" s="123">
        <v>15083723</v>
      </c>
      <c r="Q172" s="123">
        <v>3.306</v>
      </c>
      <c r="R172" s="123">
        <v>627.5</v>
      </c>
      <c r="S172" s="122"/>
      <c r="T172" s="123">
        <v>312914.09600000002</v>
      </c>
      <c r="U172" s="125">
        <v>2.2419999999999999E-2</v>
      </c>
      <c r="V172" s="125">
        <v>6.3380000000000006E-2</v>
      </c>
      <c r="W172" s="126">
        <v>1.146E-2</v>
      </c>
      <c r="X172" s="159"/>
    </row>
    <row r="173" spans="1:24" x14ac:dyDescent="0.2">
      <c r="A173" s="121" t="s">
        <v>1223</v>
      </c>
      <c r="B173" s="122" t="s">
        <v>1223</v>
      </c>
      <c r="C173" s="122" t="s">
        <v>2416</v>
      </c>
      <c r="D173" s="122" t="s">
        <v>2417</v>
      </c>
      <c r="E173" s="122" t="s">
        <v>430</v>
      </c>
      <c r="F173" s="122" t="s">
        <v>2416</v>
      </c>
      <c r="G173" s="122" t="s">
        <v>2418</v>
      </c>
      <c r="H173" s="122" t="s">
        <v>76</v>
      </c>
      <c r="I173" s="122" t="s">
        <v>235</v>
      </c>
      <c r="J173" s="122" t="s">
        <v>61</v>
      </c>
      <c r="K173" s="122" t="s">
        <v>314</v>
      </c>
      <c r="L173" s="122" t="s">
        <v>476</v>
      </c>
      <c r="M173" s="122" t="s">
        <v>1056</v>
      </c>
      <c r="N173" s="122" t="s">
        <v>62</v>
      </c>
      <c r="O173" s="122" t="s">
        <v>1217</v>
      </c>
      <c r="P173" s="123">
        <v>1467986</v>
      </c>
      <c r="Q173" s="123">
        <v>3.306</v>
      </c>
      <c r="R173" s="123">
        <v>5387</v>
      </c>
      <c r="S173" s="122"/>
      <c r="T173" s="123">
        <v>261439.82199999999</v>
      </c>
      <c r="U173" s="125">
        <v>1.47E-3</v>
      </c>
      <c r="V173" s="125">
        <v>5.296E-2</v>
      </c>
      <c r="W173" s="126">
        <v>9.58E-3</v>
      </c>
      <c r="X173" s="159"/>
    </row>
    <row r="174" spans="1:24" x14ac:dyDescent="0.2">
      <c r="A174" s="121" t="s">
        <v>1223</v>
      </c>
      <c r="B174" s="122" t="s">
        <v>1223</v>
      </c>
      <c r="C174" s="122" t="s">
        <v>2432</v>
      </c>
      <c r="D174" s="122" t="s">
        <v>2433</v>
      </c>
      <c r="E174" s="122" t="s">
        <v>430</v>
      </c>
      <c r="F174" s="122" t="s">
        <v>2434</v>
      </c>
      <c r="G174" s="122" t="s">
        <v>2435</v>
      </c>
      <c r="H174" s="122" t="s">
        <v>76</v>
      </c>
      <c r="I174" s="122" t="s">
        <v>235</v>
      </c>
      <c r="J174" s="122" t="s">
        <v>61</v>
      </c>
      <c r="K174" s="122" t="s">
        <v>314</v>
      </c>
      <c r="L174" s="122" t="s">
        <v>476</v>
      </c>
      <c r="M174" s="122" t="s">
        <v>1051</v>
      </c>
      <c r="N174" s="122" t="s">
        <v>62</v>
      </c>
      <c r="O174" s="122" t="s">
        <v>1217</v>
      </c>
      <c r="P174" s="123">
        <v>329135</v>
      </c>
      <c r="Q174" s="123">
        <v>3.306</v>
      </c>
      <c r="R174" s="123">
        <v>15423</v>
      </c>
      <c r="S174" s="122"/>
      <c r="T174" s="123">
        <v>167820.79500000001</v>
      </c>
      <c r="U174" s="125">
        <v>2.0999999999999999E-3</v>
      </c>
      <c r="V174" s="125">
        <v>3.3989999999999999E-2</v>
      </c>
      <c r="W174" s="126">
        <v>6.1500000000000001E-3</v>
      </c>
      <c r="X174" s="159"/>
    </row>
    <row r="175" spans="1:24" x14ac:dyDescent="0.2">
      <c r="A175" s="121" t="s">
        <v>1223</v>
      </c>
      <c r="B175" s="122" t="s">
        <v>1223</v>
      </c>
      <c r="C175" s="122" t="s">
        <v>2454</v>
      </c>
      <c r="D175" s="122" t="s">
        <v>2455</v>
      </c>
      <c r="E175" s="122" t="s">
        <v>430</v>
      </c>
      <c r="F175" s="122" t="s">
        <v>2454</v>
      </c>
      <c r="G175" s="122" t="s">
        <v>2456</v>
      </c>
      <c r="H175" s="122" t="s">
        <v>76</v>
      </c>
      <c r="I175" s="122" t="s">
        <v>235</v>
      </c>
      <c r="J175" s="122" t="s">
        <v>61</v>
      </c>
      <c r="K175" s="122" t="s">
        <v>314</v>
      </c>
      <c r="L175" s="122" t="s">
        <v>476</v>
      </c>
      <c r="M175" s="122" t="s">
        <v>1108</v>
      </c>
      <c r="N175" s="122" t="s">
        <v>62</v>
      </c>
      <c r="O175" s="122" t="s">
        <v>1217</v>
      </c>
      <c r="P175" s="123">
        <v>426390</v>
      </c>
      <c r="Q175" s="123">
        <v>3.306</v>
      </c>
      <c r="R175" s="123">
        <v>11837</v>
      </c>
      <c r="S175" s="122"/>
      <c r="T175" s="123">
        <v>166859.71900000001</v>
      </c>
      <c r="U175" s="125">
        <v>2.0500000000000002E-3</v>
      </c>
      <c r="V175" s="125">
        <v>3.3799999999999997E-2</v>
      </c>
      <c r="W175" s="126">
        <v>6.11E-3</v>
      </c>
      <c r="X175" s="159"/>
    </row>
    <row r="176" spans="1:24" x14ac:dyDescent="0.2">
      <c r="A176" s="121" t="s">
        <v>1223</v>
      </c>
      <c r="B176" s="122" t="s">
        <v>1223</v>
      </c>
      <c r="C176" s="122" t="s">
        <v>2474</v>
      </c>
      <c r="D176" s="122" t="s">
        <v>2475</v>
      </c>
      <c r="E176" s="122" t="s">
        <v>430</v>
      </c>
      <c r="F176" s="122" t="s">
        <v>2474</v>
      </c>
      <c r="G176" s="122" t="s">
        <v>2476</v>
      </c>
      <c r="H176" s="122" t="s">
        <v>76</v>
      </c>
      <c r="I176" s="122" t="s">
        <v>235</v>
      </c>
      <c r="J176" s="122" t="s">
        <v>61</v>
      </c>
      <c r="K176" s="122" t="s">
        <v>314</v>
      </c>
      <c r="L176" s="122" t="s">
        <v>476</v>
      </c>
      <c r="M176" s="122" t="s">
        <v>1059</v>
      </c>
      <c r="N176" s="122" t="s">
        <v>62</v>
      </c>
      <c r="O176" s="122" t="s">
        <v>1217</v>
      </c>
      <c r="P176" s="123">
        <v>311377</v>
      </c>
      <c r="Q176" s="123">
        <v>3.306</v>
      </c>
      <c r="R176" s="123">
        <v>13917</v>
      </c>
      <c r="S176" s="122"/>
      <c r="T176" s="123">
        <v>143263.318</v>
      </c>
      <c r="U176" s="125">
        <v>1.1800000000000001E-3</v>
      </c>
      <c r="V176" s="125">
        <v>2.9020000000000001E-2</v>
      </c>
      <c r="W176" s="126">
        <v>5.2500000000000003E-3</v>
      </c>
      <c r="X176" s="159"/>
    </row>
    <row r="177" spans="1:24" x14ac:dyDescent="0.2">
      <c r="A177" s="121" t="s">
        <v>1223</v>
      </c>
      <c r="B177" s="122" t="s">
        <v>1223</v>
      </c>
      <c r="C177" s="122" t="s">
        <v>2460</v>
      </c>
      <c r="D177" s="122" t="s">
        <v>2461</v>
      </c>
      <c r="E177" s="122" t="s">
        <v>430</v>
      </c>
      <c r="F177" s="122" t="s">
        <v>2462</v>
      </c>
      <c r="G177" s="122" t="s">
        <v>2463</v>
      </c>
      <c r="H177" s="122" t="s">
        <v>76</v>
      </c>
      <c r="I177" s="122" t="s">
        <v>235</v>
      </c>
      <c r="J177" s="122" t="s">
        <v>61</v>
      </c>
      <c r="K177" s="122" t="s">
        <v>314</v>
      </c>
      <c r="L177" s="122" t="s">
        <v>476</v>
      </c>
      <c r="M177" s="122" t="s">
        <v>1048</v>
      </c>
      <c r="N177" s="122" t="s">
        <v>62</v>
      </c>
      <c r="O177" s="122" t="s">
        <v>1217</v>
      </c>
      <c r="P177" s="123">
        <v>905223</v>
      </c>
      <c r="Q177" s="123">
        <v>3.306</v>
      </c>
      <c r="R177" s="123">
        <v>4420</v>
      </c>
      <c r="S177" s="122"/>
      <c r="T177" s="123">
        <v>132275.89199999999</v>
      </c>
      <c r="U177" s="125">
        <v>1.223E-2</v>
      </c>
      <c r="V177" s="125">
        <v>2.6790000000000001E-2</v>
      </c>
      <c r="W177" s="126">
        <v>4.8500000000000001E-3</v>
      </c>
      <c r="X177" s="159"/>
    </row>
    <row r="178" spans="1:24" x14ac:dyDescent="0.2">
      <c r="A178" s="121" t="s">
        <v>1223</v>
      </c>
      <c r="B178" s="122" t="s">
        <v>1223</v>
      </c>
      <c r="C178" s="122" t="s">
        <v>2439</v>
      </c>
      <c r="D178" s="122" t="s">
        <v>2440</v>
      </c>
      <c r="E178" s="122" t="s">
        <v>430</v>
      </c>
      <c r="F178" s="122" t="s">
        <v>2441</v>
      </c>
      <c r="G178" s="122" t="s">
        <v>2442</v>
      </c>
      <c r="H178" s="122" t="s">
        <v>76</v>
      </c>
      <c r="I178" s="122" t="s">
        <v>235</v>
      </c>
      <c r="J178" s="122" t="s">
        <v>61</v>
      </c>
      <c r="K178" s="122" t="s">
        <v>314</v>
      </c>
      <c r="L178" s="122" t="s">
        <v>476</v>
      </c>
      <c r="M178" s="122" t="s">
        <v>1082</v>
      </c>
      <c r="N178" s="122" t="s">
        <v>62</v>
      </c>
      <c r="O178" s="122" t="s">
        <v>1217</v>
      </c>
      <c r="P178" s="123">
        <v>341937</v>
      </c>
      <c r="Q178" s="123">
        <v>3.306</v>
      </c>
      <c r="R178" s="123">
        <v>11501</v>
      </c>
      <c r="S178" s="122"/>
      <c r="T178" s="123">
        <v>130012.33199999999</v>
      </c>
      <c r="U178" s="125">
        <v>3.6700000000000001E-3</v>
      </c>
      <c r="V178" s="125">
        <v>2.6339999999999999E-2</v>
      </c>
      <c r="W178" s="126">
        <v>4.7600000000000003E-3</v>
      </c>
      <c r="X178" s="159"/>
    </row>
    <row r="179" spans="1:24" x14ac:dyDescent="0.2">
      <c r="A179" s="121" t="s">
        <v>1223</v>
      </c>
      <c r="B179" s="122" t="s">
        <v>1223</v>
      </c>
      <c r="C179" s="122" t="s">
        <v>2464</v>
      </c>
      <c r="D179" s="122" t="s">
        <v>2465</v>
      </c>
      <c r="E179" s="122" t="s">
        <v>430</v>
      </c>
      <c r="F179" s="122" t="s">
        <v>2466</v>
      </c>
      <c r="G179" s="122" t="s">
        <v>2467</v>
      </c>
      <c r="H179" s="122" t="s">
        <v>76</v>
      </c>
      <c r="I179" s="122" t="s">
        <v>235</v>
      </c>
      <c r="J179" s="122" t="s">
        <v>61</v>
      </c>
      <c r="K179" s="122" t="s">
        <v>188</v>
      </c>
      <c r="L179" s="122" t="s">
        <v>479</v>
      </c>
      <c r="M179" s="122" t="s">
        <v>1058</v>
      </c>
      <c r="N179" s="122" t="s">
        <v>62</v>
      </c>
      <c r="O179" s="122" t="s">
        <v>1217</v>
      </c>
      <c r="P179" s="123">
        <v>514895</v>
      </c>
      <c r="Q179" s="123">
        <v>3.306</v>
      </c>
      <c r="R179" s="123">
        <v>6585</v>
      </c>
      <c r="S179" s="122"/>
      <c r="T179" s="123">
        <v>112092.693</v>
      </c>
      <c r="U179" s="125">
        <v>4.45E-3</v>
      </c>
      <c r="V179" s="125">
        <v>2.2710000000000001E-2</v>
      </c>
      <c r="W179" s="126">
        <v>4.1099999999999999E-3</v>
      </c>
      <c r="X179" s="159"/>
    </row>
    <row r="180" spans="1:24" x14ac:dyDescent="0.2">
      <c r="A180" s="121" t="s">
        <v>1223</v>
      </c>
      <c r="B180" s="122" t="s">
        <v>1223</v>
      </c>
      <c r="C180" s="122" t="s">
        <v>2457</v>
      </c>
      <c r="D180" s="122" t="s">
        <v>2458</v>
      </c>
      <c r="E180" s="122" t="s">
        <v>430</v>
      </c>
      <c r="F180" s="122" t="s">
        <v>2457</v>
      </c>
      <c r="G180" s="122" t="s">
        <v>2459</v>
      </c>
      <c r="H180" s="122" t="s">
        <v>76</v>
      </c>
      <c r="I180" s="122" t="s">
        <v>235</v>
      </c>
      <c r="J180" s="122" t="s">
        <v>61</v>
      </c>
      <c r="K180" s="122" t="s">
        <v>188</v>
      </c>
      <c r="L180" s="122" t="s">
        <v>476</v>
      </c>
      <c r="M180" s="122" t="s">
        <v>1058</v>
      </c>
      <c r="N180" s="122" t="s">
        <v>62</v>
      </c>
      <c r="O180" s="122" t="s">
        <v>1217</v>
      </c>
      <c r="P180" s="123">
        <v>799291</v>
      </c>
      <c r="Q180" s="123">
        <v>3.306</v>
      </c>
      <c r="R180" s="123">
        <v>4201</v>
      </c>
      <c r="S180" s="122"/>
      <c r="T180" s="123">
        <v>111009.57799999999</v>
      </c>
      <c r="U180" s="125">
        <v>4.3400000000000001E-3</v>
      </c>
      <c r="V180" s="125">
        <v>2.249E-2</v>
      </c>
      <c r="W180" s="126">
        <v>4.0699999999999998E-3</v>
      </c>
      <c r="X180" s="159"/>
    </row>
    <row r="181" spans="1:24" x14ac:dyDescent="0.2">
      <c r="A181" s="121" t="s">
        <v>1223</v>
      </c>
      <c r="B181" s="122" t="s">
        <v>1223</v>
      </c>
      <c r="C181" s="122" t="s">
        <v>2554</v>
      </c>
      <c r="D181" s="122" t="s">
        <v>2555</v>
      </c>
      <c r="E181" s="122" t="s">
        <v>430</v>
      </c>
      <c r="F181" s="122" t="s">
        <v>2554</v>
      </c>
      <c r="G181" s="122" t="s">
        <v>2556</v>
      </c>
      <c r="H181" s="122" t="s">
        <v>76</v>
      </c>
      <c r="I181" s="122" t="s">
        <v>235</v>
      </c>
      <c r="J181" s="122" t="s">
        <v>61</v>
      </c>
      <c r="K181" s="122" t="s">
        <v>314</v>
      </c>
      <c r="L181" s="122" t="s">
        <v>476</v>
      </c>
      <c r="M181" s="122" t="s">
        <v>1108</v>
      </c>
      <c r="N181" s="122" t="s">
        <v>62</v>
      </c>
      <c r="O181" s="122" t="s">
        <v>1217</v>
      </c>
      <c r="P181" s="123">
        <v>304436</v>
      </c>
      <c r="Q181" s="123">
        <v>3.306</v>
      </c>
      <c r="R181" s="123">
        <v>10725</v>
      </c>
      <c r="S181" s="122"/>
      <c r="T181" s="123">
        <v>107943.416</v>
      </c>
      <c r="U181" s="125">
        <v>1.192E-2</v>
      </c>
      <c r="V181" s="125">
        <v>2.1870000000000001E-2</v>
      </c>
      <c r="W181" s="126">
        <v>3.9500000000000004E-3</v>
      </c>
      <c r="X181" s="159"/>
    </row>
    <row r="182" spans="1:24" x14ac:dyDescent="0.2">
      <c r="A182" s="121" t="s">
        <v>1223</v>
      </c>
      <c r="B182" s="122" t="s">
        <v>1223</v>
      </c>
      <c r="C182" s="122" t="s">
        <v>2424</v>
      </c>
      <c r="D182" s="122" t="s">
        <v>2552</v>
      </c>
      <c r="E182" s="122" t="s">
        <v>430</v>
      </c>
      <c r="F182" s="122" t="s">
        <v>2424</v>
      </c>
      <c r="G182" s="122" t="s">
        <v>2553</v>
      </c>
      <c r="H182" s="122" t="s">
        <v>76</v>
      </c>
      <c r="I182" s="122" t="s">
        <v>235</v>
      </c>
      <c r="J182" s="122" t="s">
        <v>61</v>
      </c>
      <c r="K182" s="122" t="s">
        <v>314</v>
      </c>
      <c r="L182" s="122" t="s">
        <v>476</v>
      </c>
      <c r="M182" s="122" t="s">
        <v>1074</v>
      </c>
      <c r="N182" s="122" t="s">
        <v>62</v>
      </c>
      <c r="O182" s="122" t="s">
        <v>1217</v>
      </c>
      <c r="P182" s="123">
        <v>565882</v>
      </c>
      <c r="Q182" s="123">
        <v>3.306</v>
      </c>
      <c r="R182" s="123">
        <v>5610</v>
      </c>
      <c r="S182" s="122"/>
      <c r="T182" s="123">
        <v>104952.211</v>
      </c>
      <c r="U182" s="125">
        <v>0.27604000000000001</v>
      </c>
      <c r="V182" s="125">
        <v>2.1260000000000001E-2</v>
      </c>
      <c r="W182" s="126">
        <v>3.8400000000000001E-3</v>
      </c>
      <c r="X182" s="159"/>
    </row>
    <row r="183" spans="1:24" x14ac:dyDescent="0.2">
      <c r="A183" s="121" t="s">
        <v>1223</v>
      </c>
      <c r="B183" s="122" t="s">
        <v>1223</v>
      </c>
      <c r="C183" s="122" t="s">
        <v>2429</v>
      </c>
      <c r="D183" s="122" t="s">
        <v>2430</v>
      </c>
      <c r="E183" s="122" t="s">
        <v>430</v>
      </c>
      <c r="F183" s="122" t="s">
        <v>2429</v>
      </c>
      <c r="G183" s="122" t="s">
        <v>2431</v>
      </c>
      <c r="H183" s="122" t="s">
        <v>76</v>
      </c>
      <c r="I183" s="122" t="s">
        <v>235</v>
      </c>
      <c r="J183" s="122" t="s">
        <v>61</v>
      </c>
      <c r="K183" s="122" t="s">
        <v>188</v>
      </c>
      <c r="L183" s="122" t="s">
        <v>479</v>
      </c>
      <c r="M183" s="122" t="s">
        <v>1107</v>
      </c>
      <c r="N183" s="122" t="s">
        <v>62</v>
      </c>
      <c r="O183" s="122" t="s">
        <v>1217</v>
      </c>
      <c r="P183" s="123">
        <v>336536</v>
      </c>
      <c r="Q183" s="123">
        <v>3.306</v>
      </c>
      <c r="R183" s="123">
        <v>9122</v>
      </c>
      <c r="S183" s="122"/>
      <c r="T183" s="123">
        <v>101490.27899999999</v>
      </c>
      <c r="U183" s="125">
        <v>8.5000000000000006E-3</v>
      </c>
      <c r="V183" s="125">
        <v>2.0559999999999998E-2</v>
      </c>
      <c r="W183" s="126">
        <v>3.7200000000000002E-3</v>
      </c>
      <c r="X183" s="159"/>
    </row>
    <row r="184" spans="1:24" x14ac:dyDescent="0.2">
      <c r="A184" s="121" t="s">
        <v>1223</v>
      </c>
      <c r="B184" s="122" t="s">
        <v>1223</v>
      </c>
      <c r="C184" s="122" t="s">
        <v>2450</v>
      </c>
      <c r="D184" s="122" t="s">
        <v>2451</v>
      </c>
      <c r="E184" s="122" t="s">
        <v>430</v>
      </c>
      <c r="F184" s="122" t="s">
        <v>2452</v>
      </c>
      <c r="G184" s="122" t="s">
        <v>2453</v>
      </c>
      <c r="H184" s="122" t="s">
        <v>76</v>
      </c>
      <c r="I184" s="122" t="s">
        <v>235</v>
      </c>
      <c r="J184" s="122" t="s">
        <v>61</v>
      </c>
      <c r="K184" s="122" t="s">
        <v>314</v>
      </c>
      <c r="L184" s="122" t="s">
        <v>479</v>
      </c>
      <c r="M184" s="122" t="s">
        <v>1081</v>
      </c>
      <c r="N184" s="122" t="s">
        <v>62</v>
      </c>
      <c r="O184" s="122" t="s">
        <v>1217</v>
      </c>
      <c r="P184" s="123">
        <v>93306</v>
      </c>
      <c r="Q184" s="123">
        <v>3.306</v>
      </c>
      <c r="R184" s="123">
        <v>32636</v>
      </c>
      <c r="S184" s="122"/>
      <c r="T184" s="123">
        <v>100672.15</v>
      </c>
      <c r="U184" s="125">
        <v>9.7000000000000005E-4</v>
      </c>
      <c r="V184" s="125">
        <v>2.0389999999999998E-2</v>
      </c>
      <c r="W184" s="126">
        <v>3.6900000000000001E-3</v>
      </c>
      <c r="X184" s="159"/>
    </row>
    <row r="185" spans="1:24" x14ac:dyDescent="0.2">
      <c r="A185" s="121" t="s">
        <v>1223</v>
      </c>
      <c r="B185" s="122" t="s">
        <v>1223</v>
      </c>
      <c r="C185" s="122" t="s">
        <v>2557</v>
      </c>
      <c r="D185" s="122" t="s">
        <v>2558</v>
      </c>
      <c r="E185" s="122" t="s">
        <v>430</v>
      </c>
      <c r="F185" s="122" t="s">
        <v>2557</v>
      </c>
      <c r="G185" s="122" t="s">
        <v>2559</v>
      </c>
      <c r="H185" s="122" t="s">
        <v>76</v>
      </c>
      <c r="I185" s="122" t="s">
        <v>235</v>
      </c>
      <c r="J185" s="122" t="s">
        <v>61</v>
      </c>
      <c r="K185" s="122" t="s">
        <v>313</v>
      </c>
      <c r="L185" s="122" t="s">
        <v>486</v>
      </c>
      <c r="M185" s="122" t="s">
        <v>1054</v>
      </c>
      <c r="N185" s="122" t="s">
        <v>62</v>
      </c>
      <c r="O185" s="122" t="s">
        <v>1218</v>
      </c>
      <c r="P185" s="123">
        <v>1444453</v>
      </c>
      <c r="Q185" s="123">
        <v>3.8809999999999998</v>
      </c>
      <c r="R185" s="123">
        <v>1778</v>
      </c>
      <c r="S185" s="122"/>
      <c r="T185" s="123">
        <v>99665.59</v>
      </c>
      <c r="U185" s="125">
        <v>5.0110000000000002E-2</v>
      </c>
      <c r="V185" s="125">
        <v>2.019E-2</v>
      </c>
      <c r="W185" s="126">
        <v>3.65E-3</v>
      </c>
      <c r="X185" s="159"/>
    </row>
    <row r="186" spans="1:24" x14ac:dyDescent="0.2">
      <c r="A186" s="121" t="s">
        <v>1223</v>
      </c>
      <c r="B186" s="122" t="s">
        <v>1223</v>
      </c>
      <c r="C186" s="122" t="s">
        <v>2503</v>
      </c>
      <c r="D186" s="122" t="s">
        <v>2504</v>
      </c>
      <c r="E186" s="122" t="s">
        <v>430</v>
      </c>
      <c r="F186" s="122" t="s">
        <v>2503</v>
      </c>
      <c r="G186" s="122" t="s">
        <v>2505</v>
      </c>
      <c r="H186" s="122" t="s">
        <v>76</v>
      </c>
      <c r="I186" s="122" t="s">
        <v>237</v>
      </c>
      <c r="J186" s="122" t="s">
        <v>61</v>
      </c>
      <c r="K186" s="122" t="s">
        <v>315</v>
      </c>
      <c r="L186" s="122" t="s">
        <v>494</v>
      </c>
      <c r="M186" s="122" t="s">
        <v>1085</v>
      </c>
      <c r="N186" s="122" t="s">
        <v>62</v>
      </c>
      <c r="O186" s="122" t="s">
        <v>1217</v>
      </c>
      <c r="P186" s="123">
        <v>308003</v>
      </c>
      <c r="Q186" s="123">
        <v>3.306</v>
      </c>
      <c r="R186" s="123">
        <v>9759</v>
      </c>
      <c r="S186" s="122"/>
      <c r="T186" s="123">
        <v>99371.79</v>
      </c>
      <c r="U186" s="125">
        <v>9.1400000000000006E-3</v>
      </c>
      <c r="V186" s="125">
        <v>2.0129999999999999E-2</v>
      </c>
      <c r="W186" s="126">
        <v>3.64E-3</v>
      </c>
      <c r="X186" s="159"/>
    </row>
    <row r="187" spans="1:24" x14ac:dyDescent="0.2">
      <c r="A187" s="121" t="s">
        <v>1223</v>
      </c>
      <c r="B187" s="122" t="s">
        <v>1223</v>
      </c>
      <c r="C187" s="122" t="s">
        <v>2548</v>
      </c>
      <c r="D187" s="122" t="s">
        <v>2549</v>
      </c>
      <c r="E187" s="122" t="s">
        <v>430</v>
      </c>
      <c r="F187" s="122" t="s">
        <v>2550</v>
      </c>
      <c r="G187" s="122" t="s">
        <v>2551</v>
      </c>
      <c r="H187" s="122" t="s">
        <v>76</v>
      </c>
      <c r="I187" s="122" t="s">
        <v>235</v>
      </c>
      <c r="J187" s="122" t="s">
        <v>61</v>
      </c>
      <c r="K187" s="122" t="s">
        <v>314</v>
      </c>
      <c r="L187" s="122" t="s">
        <v>486</v>
      </c>
      <c r="M187" s="122" t="s">
        <v>1074</v>
      </c>
      <c r="N187" s="122" t="s">
        <v>62</v>
      </c>
      <c r="O187" s="122" t="s">
        <v>1218</v>
      </c>
      <c r="P187" s="123">
        <v>61639</v>
      </c>
      <c r="Q187" s="123">
        <v>3.8809999999999998</v>
      </c>
      <c r="R187" s="123">
        <v>47917</v>
      </c>
      <c r="S187" s="122"/>
      <c r="T187" s="123">
        <v>97657.399000000005</v>
      </c>
      <c r="U187" s="125">
        <v>2.0899999999999998E-3</v>
      </c>
      <c r="V187" s="125">
        <v>1.9779999999999999E-2</v>
      </c>
      <c r="W187" s="126">
        <v>3.5799999999999998E-3</v>
      </c>
      <c r="X187" s="159"/>
    </row>
    <row r="188" spans="1:24" x14ac:dyDescent="0.2">
      <c r="A188" s="121" t="s">
        <v>1223</v>
      </c>
      <c r="B188" s="122" t="s">
        <v>1223</v>
      </c>
      <c r="C188" s="122" t="s">
        <v>2560</v>
      </c>
      <c r="D188" s="122" t="s">
        <v>2561</v>
      </c>
      <c r="E188" s="122" t="s">
        <v>430</v>
      </c>
      <c r="F188" s="122" t="s">
        <v>2560</v>
      </c>
      <c r="G188" s="122" t="s">
        <v>2562</v>
      </c>
      <c r="H188" s="122" t="s">
        <v>76</v>
      </c>
      <c r="I188" s="122" t="s">
        <v>235</v>
      </c>
      <c r="J188" s="122" t="s">
        <v>61</v>
      </c>
      <c r="K188" s="122" t="s">
        <v>314</v>
      </c>
      <c r="L188" s="122" t="s">
        <v>476</v>
      </c>
      <c r="M188" s="122" t="s">
        <v>1103</v>
      </c>
      <c r="N188" s="122" t="s">
        <v>62</v>
      </c>
      <c r="O188" s="122" t="s">
        <v>1217</v>
      </c>
      <c r="P188" s="123">
        <v>619923</v>
      </c>
      <c r="Q188" s="123">
        <v>3.306</v>
      </c>
      <c r="R188" s="123">
        <v>4763</v>
      </c>
      <c r="S188" s="122"/>
      <c r="T188" s="123">
        <v>97616.039000000004</v>
      </c>
      <c r="U188" s="125">
        <v>2.9199999999999999E-3</v>
      </c>
      <c r="V188" s="125">
        <v>1.9769999999999999E-2</v>
      </c>
      <c r="W188" s="126">
        <v>3.5799999999999998E-3</v>
      </c>
      <c r="X188" s="159"/>
    </row>
    <row r="189" spans="1:24" x14ac:dyDescent="0.2">
      <c r="A189" s="121" t="s">
        <v>1223</v>
      </c>
      <c r="B189" s="122" t="s">
        <v>1223</v>
      </c>
      <c r="C189" s="122" t="s">
        <v>2488</v>
      </c>
      <c r="D189" s="122" t="s">
        <v>2411</v>
      </c>
      <c r="E189" s="122" t="s">
        <v>430</v>
      </c>
      <c r="F189" s="122" t="s">
        <v>2488</v>
      </c>
      <c r="G189" s="122" t="s">
        <v>2489</v>
      </c>
      <c r="H189" s="122" t="s">
        <v>76</v>
      </c>
      <c r="I189" s="122" t="s">
        <v>235</v>
      </c>
      <c r="J189" s="122" t="s">
        <v>61</v>
      </c>
      <c r="K189" s="122" t="s">
        <v>314</v>
      </c>
      <c r="L189" s="122" t="s">
        <v>476</v>
      </c>
      <c r="M189" s="122" t="s">
        <v>1108</v>
      </c>
      <c r="N189" s="122" t="s">
        <v>62</v>
      </c>
      <c r="O189" s="122" t="s">
        <v>1217</v>
      </c>
      <c r="P189" s="123">
        <v>227416</v>
      </c>
      <c r="Q189" s="123">
        <v>3.306</v>
      </c>
      <c r="R189" s="123">
        <v>11038</v>
      </c>
      <c r="S189" s="122"/>
      <c r="T189" s="123">
        <v>82987.801000000007</v>
      </c>
      <c r="U189" s="125">
        <v>1.0059999999999999E-2</v>
      </c>
      <c r="V189" s="125">
        <v>1.6809999999999999E-2</v>
      </c>
      <c r="W189" s="126">
        <v>3.0400000000000002E-3</v>
      </c>
      <c r="X189" s="159"/>
    </row>
    <row r="190" spans="1:24" x14ac:dyDescent="0.2">
      <c r="A190" s="121" t="s">
        <v>1223</v>
      </c>
      <c r="B190" s="122" t="s">
        <v>1223</v>
      </c>
      <c r="C190" s="122" t="s">
        <v>2496</v>
      </c>
      <c r="D190" s="122" t="s">
        <v>2497</v>
      </c>
      <c r="E190" s="122" t="s">
        <v>430</v>
      </c>
      <c r="F190" s="122" t="s">
        <v>2496</v>
      </c>
      <c r="G190" s="122" t="s">
        <v>2498</v>
      </c>
      <c r="H190" s="122" t="s">
        <v>76</v>
      </c>
      <c r="I190" s="122" t="s">
        <v>235</v>
      </c>
      <c r="J190" s="122" t="s">
        <v>61</v>
      </c>
      <c r="K190" s="122" t="s">
        <v>159</v>
      </c>
      <c r="L190" s="122" t="s">
        <v>489</v>
      </c>
      <c r="M190" s="122" t="s">
        <v>1107</v>
      </c>
      <c r="N190" s="122" t="s">
        <v>62</v>
      </c>
      <c r="O190" s="122" t="s">
        <v>1219</v>
      </c>
      <c r="P190" s="123">
        <v>14280420</v>
      </c>
      <c r="Q190" s="123">
        <v>0.42499999999999999</v>
      </c>
      <c r="R190" s="123">
        <v>1363</v>
      </c>
      <c r="S190" s="122"/>
      <c r="T190" s="123">
        <v>82683.975000000006</v>
      </c>
      <c r="U190" s="125">
        <v>9.9169999999999994E-2</v>
      </c>
      <c r="V190" s="125">
        <v>1.6750000000000001E-2</v>
      </c>
      <c r="W190" s="126">
        <v>3.0300000000000001E-3</v>
      </c>
      <c r="X190" s="159"/>
    </row>
    <row r="191" spans="1:24" x14ac:dyDescent="0.2">
      <c r="A191" s="121" t="s">
        <v>1223</v>
      </c>
      <c r="B191" s="122" t="s">
        <v>1223</v>
      </c>
      <c r="C191" s="122" t="s">
        <v>2477</v>
      </c>
      <c r="D191" s="122" t="s">
        <v>2478</v>
      </c>
      <c r="E191" s="122" t="s">
        <v>430</v>
      </c>
      <c r="F191" s="122" t="s">
        <v>2479</v>
      </c>
      <c r="G191" s="122" t="s">
        <v>2480</v>
      </c>
      <c r="H191" s="122" t="s">
        <v>76</v>
      </c>
      <c r="I191" s="122" t="s">
        <v>235</v>
      </c>
      <c r="J191" s="122" t="s">
        <v>61</v>
      </c>
      <c r="K191" s="122" t="s">
        <v>314</v>
      </c>
      <c r="L191" s="122" t="s">
        <v>476</v>
      </c>
      <c r="M191" s="122" t="s">
        <v>1103</v>
      </c>
      <c r="N191" s="122" t="s">
        <v>62</v>
      </c>
      <c r="O191" s="122" t="s">
        <v>1217</v>
      </c>
      <c r="P191" s="123">
        <v>152994</v>
      </c>
      <c r="Q191" s="123">
        <v>3.306</v>
      </c>
      <c r="R191" s="123">
        <v>15545</v>
      </c>
      <c r="S191" s="122"/>
      <c r="T191" s="123">
        <v>78626.324999999997</v>
      </c>
      <c r="U191" s="125">
        <v>3.9300000000000003E-3</v>
      </c>
      <c r="V191" s="125">
        <v>1.593E-2</v>
      </c>
      <c r="W191" s="126">
        <v>2.8800000000000002E-3</v>
      </c>
      <c r="X191" s="159"/>
    </row>
    <row r="192" spans="1:24" x14ac:dyDescent="0.2">
      <c r="A192" s="121" t="s">
        <v>1223</v>
      </c>
      <c r="B192" s="122" t="s">
        <v>1223</v>
      </c>
      <c r="C192" s="122" t="s">
        <v>2413</v>
      </c>
      <c r="D192" s="122" t="s">
        <v>2414</v>
      </c>
      <c r="E192" s="122" t="s">
        <v>430</v>
      </c>
      <c r="F192" s="122" t="s">
        <v>2413</v>
      </c>
      <c r="G192" s="122" t="s">
        <v>2415</v>
      </c>
      <c r="H192" s="122" t="s">
        <v>76</v>
      </c>
      <c r="I192" s="122" t="s">
        <v>235</v>
      </c>
      <c r="J192" s="122" t="s">
        <v>61</v>
      </c>
      <c r="K192" s="122" t="s">
        <v>314</v>
      </c>
      <c r="L192" s="122" t="s">
        <v>476</v>
      </c>
      <c r="M192" s="122" t="s">
        <v>1081</v>
      </c>
      <c r="N192" s="122" t="s">
        <v>62</v>
      </c>
      <c r="O192" s="122" t="s">
        <v>1217</v>
      </c>
      <c r="P192" s="123">
        <v>80528</v>
      </c>
      <c r="Q192" s="123">
        <v>3.306</v>
      </c>
      <c r="R192" s="123">
        <v>28186</v>
      </c>
      <c r="S192" s="122"/>
      <c r="T192" s="123">
        <v>75038.339000000007</v>
      </c>
      <c r="U192" s="125">
        <v>2.5999999999999998E-4</v>
      </c>
      <c r="V192" s="125">
        <v>1.52E-2</v>
      </c>
      <c r="W192" s="126">
        <v>2.7499999999999998E-3</v>
      </c>
      <c r="X192" s="159"/>
    </row>
    <row r="193" spans="1:24" x14ac:dyDescent="0.2">
      <c r="A193" s="121" t="s">
        <v>1223</v>
      </c>
      <c r="B193" s="122" t="s">
        <v>1223</v>
      </c>
      <c r="C193" s="122" t="s">
        <v>2426</v>
      </c>
      <c r="D193" s="122" t="s">
        <v>2427</v>
      </c>
      <c r="E193" s="122" t="s">
        <v>430</v>
      </c>
      <c r="F193" s="122" t="s">
        <v>2426</v>
      </c>
      <c r="G193" s="122" t="s">
        <v>2428</v>
      </c>
      <c r="H193" s="122" t="s">
        <v>76</v>
      </c>
      <c r="I193" s="122" t="s">
        <v>235</v>
      </c>
      <c r="J193" s="122" t="s">
        <v>61</v>
      </c>
      <c r="K193" s="122" t="s">
        <v>314</v>
      </c>
      <c r="L193" s="122" t="s">
        <v>476</v>
      </c>
      <c r="M193" s="122" t="s">
        <v>1066</v>
      </c>
      <c r="N193" s="122" t="s">
        <v>62</v>
      </c>
      <c r="O193" s="122" t="s">
        <v>1217</v>
      </c>
      <c r="P193" s="123">
        <v>582535</v>
      </c>
      <c r="Q193" s="123">
        <v>3.306</v>
      </c>
      <c r="R193" s="123">
        <v>3794</v>
      </c>
      <c r="S193" s="122"/>
      <c r="T193" s="123">
        <v>73067.154999999999</v>
      </c>
      <c r="U193" s="125">
        <v>4.9699999999999996E-3</v>
      </c>
      <c r="V193" s="125">
        <v>1.4800000000000001E-2</v>
      </c>
      <c r="W193" s="126">
        <v>2.6800000000000001E-3</v>
      </c>
      <c r="X193" s="159"/>
    </row>
    <row r="194" spans="1:24" x14ac:dyDescent="0.2">
      <c r="A194" s="121" t="s">
        <v>1223</v>
      </c>
      <c r="B194" s="122" t="s">
        <v>1223</v>
      </c>
      <c r="C194" s="122" t="s">
        <v>2468</v>
      </c>
      <c r="D194" s="122" t="s">
        <v>2469</v>
      </c>
      <c r="E194" s="122" t="s">
        <v>430</v>
      </c>
      <c r="F194" s="122" t="s">
        <v>2468</v>
      </c>
      <c r="G194" s="122" t="s">
        <v>2470</v>
      </c>
      <c r="H194" s="122" t="s">
        <v>76</v>
      </c>
      <c r="I194" s="122" t="s">
        <v>235</v>
      </c>
      <c r="J194" s="122" t="s">
        <v>61</v>
      </c>
      <c r="K194" s="122" t="s">
        <v>314</v>
      </c>
      <c r="L194" s="122" t="s">
        <v>476</v>
      </c>
      <c r="M194" s="122" t="s">
        <v>1056</v>
      </c>
      <c r="N194" s="122" t="s">
        <v>62</v>
      </c>
      <c r="O194" s="122" t="s">
        <v>1217</v>
      </c>
      <c r="P194" s="123">
        <v>117816</v>
      </c>
      <c r="Q194" s="123">
        <v>3.306</v>
      </c>
      <c r="R194" s="123">
        <v>17688</v>
      </c>
      <c r="S194" s="122"/>
      <c r="T194" s="123">
        <v>68894.706000000006</v>
      </c>
      <c r="U194" s="125">
        <v>2.8740000000000002E-2</v>
      </c>
      <c r="V194" s="125">
        <v>1.396E-2</v>
      </c>
      <c r="W194" s="126">
        <v>2.5200000000000001E-3</v>
      </c>
      <c r="X194" s="159"/>
    </row>
    <row r="195" spans="1:24" x14ac:dyDescent="0.2">
      <c r="A195" s="121" t="s">
        <v>1223</v>
      </c>
      <c r="B195" s="122" t="s">
        <v>1223</v>
      </c>
      <c r="C195" s="122" t="s">
        <v>2436</v>
      </c>
      <c r="D195" s="122" t="s">
        <v>2437</v>
      </c>
      <c r="E195" s="122" t="s">
        <v>430</v>
      </c>
      <c r="F195" s="122" t="s">
        <v>2436</v>
      </c>
      <c r="G195" s="122" t="s">
        <v>2438</v>
      </c>
      <c r="H195" s="122" t="s">
        <v>76</v>
      </c>
      <c r="I195" s="122" t="s">
        <v>235</v>
      </c>
      <c r="J195" s="122" t="s">
        <v>61</v>
      </c>
      <c r="K195" s="122" t="s">
        <v>173</v>
      </c>
      <c r="L195" s="122" t="s">
        <v>102</v>
      </c>
      <c r="M195" s="122" t="s">
        <v>1080</v>
      </c>
      <c r="N195" s="122" t="s">
        <v>62</v>
      </c>
      <c r="O195" s="122" t="s">
        <v>1218</v>
      </c>
      <c r="P195" s="123">
        <v>64388</v>
      </c>
      <c r="Q195" s="123">
        <v>3.8809999999999998</v>
      </c>
      <c r="R195" s="123">
        <v>26801</v>
      </c>
      <c r="S195" s="122"/>
      <c r="T195" s="123">
        <v>66967.796000000002</v>
      </c>
      <c r="U195" s="125">
        <v>1.8E-3</v>
      </c>
      <c r="V195" s="125">
        <v>1.357E-2</v>
      </c>
      <c r="W195" s="126">
        <v>2.4499999999999999E-3</v>
      </c>
      <c r="X195" s="159"/>
    </row>
    <row r="196" spans="1:24" x14ac:dyDescent="0.2">
      <c r="A196" s="121" t="s">
        <v>1223</v>
      </c>
      <c r="B196" s="122" t="s">
        <v>1223</v>
      </c>
      <c r="C196" s="122" t="s">
        <v>2563</v>
      </c>
      <c r="D196" s="122" t="s">
        <v>2564</v>
      </c>
      <c r="E196" s="122" t="s">
        <v>430</v>
      </c>
      <c r="F196" s="122" t="s">
        <v>2563</v>
      </c>
      <c r="G196" s="122" t="s">
        <v>2565</v>
      </c>
      <c r="H196" s="122" t="s">
        <v>76</v>
      </c>
      <c r="I196" s="122" t="s">
        <v>235</v>
      </c>
      <c r="J196" s="122" t="s">
        <v>61</v>
      </c>
      <c r="K196" s="122" t="s">
        <v>314</v>
      </c>
      <c r="L196" s="122" t="s">
        <v>476</v>
      </c>
      <c r="M196" s="122" t="s">
        <v>1108</v>
      </c>
      <c r="N196" s="122" t="s">
        <v>62</v>
      </c>
      <c r="O196" s="122" t="s">
        <v>1217</v>
      </c>
      <c r="P196" s="123">
        <v>132290</v>
      </c>
      <c r="Q196" s="123">
        <v>3.306</v>
      </c>
      <c r="R196" s="123">
        <v>15285</v>
      </c>
      <c r="S196" s="122"/>
      <c r="T196" s="123">
        <v>66849.061000000002</v>
      </c>
      <c r="U196" s="125">
        <v>3.3489999999999999E-2</v>
      </c>
      <c r="V196" s="125">
        <v>1.354E-2</v>
      </c>
      <c r="W196" s="126">
        <v>2.4499999999999999E-3</v>
      </c>
      <c r="X196" s="159"/>
    </row>
    <row r="197" spans="1:24" x14ac:dyDescent="0.2">
      <c r="A197" s="121" t="s">
        <v>1223</v>
      </c>
      <c r="B197" s="122" t="s">
        <v>1223</v>
      </c>
      <c r="C197" s="122" t="s">
        <v>2471</v>
      </c>
      <c r="D197" s="122" t="s">
        <v>2472</v>
      </c>
      <c r="E197" s="122" t="s">
        <v>430</v>
      </c>
      <c r="F197" s="122" t="s">
        <v>2471</v>
      </c>
      <c r="G197" s="122" t="s">
        <v>2473</v>
      </c>
      <c r="H197" s="122" t="s">
        <v>76</v>
      </c>
      <c r="I197" s="122" t="s">
        <v>235</v>
      </c>
      <c r="J197" s="122" t="s">
        <v>61</v>
      </c>
      <c r="K197" s="122" t="s">
        <v>314</v>
      </c>
      <c r="L197" s="122" t="s">
        <v>476</v>
      </c>
      <c r="M197" s="122" t="s">
        <v>1108</v>
      </c>
      <c r="N197" s="122" t="s">
        <v>62</v>
      </c>
      <c r="O197" s="122" t="s">
        <v>1217</v>
      </c>
      <c r="P197" s="123">
        <v>81912</v>
      </c>
      <c r="Q197" s="123">
        <v>3.306</v>
      </c>
      <c r="R197" s="123">
        <v>23964</v>
      </c>
      <c r="S197" s="122"/>
      <c r="T197" s="123">
        <v>64894.769</v>
      </c>
      <c r="U197" s="125">
        <v>8.0000000000000004E-4</v>
      </c>
      <c r="V197" s="125">
        <v>1.315E-2</v>
      </c>
      <c r="W197" s="126">
        <v>2.3800000000000002E-3</v>
      </c>
      <c r="X197" s="159"/>
    </row>
    <row r="198" spans="1:24" x14ac:dyDescent="0.2">
      <c r="A198" s="121" t="s">
        <v>1223</v>
      </c>
      <c r="B198" s="122" t="s">
        <v>1223</v>
      </c>
      <c r="C198" s="122" t="s">
        <v>2446</v>
      </c>
      <c r="D198" s="122" t="s">
        <v>2447</v>
      </c>
      <c r="E198" s="122" t="s">
        <v>430</v>
      </c>
      <c r="F198" s="122" t="s">
        <v>2448</v>
      </c>
      <c r="G198" s="122" t="s">
        <v>2449</v>
      </c>
      <c r="H198" s="122" t="s">
        <v>76</v>
      </c>
      <c r="I198" s="122" t="s">
        <v>235</v>
      </c>
      <c r="J198" s="122" t="s">
        <v>61</v>
      </c>
      <c r="K198" s="122" t="s">
        <v>314</v>
      </c>
      <c r="L198" s="122" t="s">
        <v>476</v>
      </c>
      <c r="M198" s="122" t="s">
        <v>1108</v>
      </c>
      <c r="N198" s="122" t="s">
        <v>62</v>
      </c>
      <c r="O198" s="122" t="s">
        <v>1217</v>
      </c>
      <c r="P198" s="123">
        <v>41616</v>
      </c>
      <c r="Q198" s="123">
        <v>3.306</v>
      </c>
      <c r="R198" s="123">
        <v>46374</v>
      </c>
      <c r="S198" s="123">
        <v>54.832000000000001</v>
      </c>
      <c r="T198" s="123">
        <v>63983.781000000003</v>
      </c>
      <c r="U198" s="125">
        <v>4.6999999999999999E-4</v>
      </c>
      <c r="V198" s="125">
        <v>1.2970000000000001E-2</v>
      </c>
      <c r="W198" s="126">
        <v>2.3500000000000001E-3</v>
      </c>
      <c r="X198" s="159"/>
    </row>
    <row r="199" spans="1:24" x14ac:dyDescent="0.2">
      <c r="A199" s="121" t="s">
        <v>1223</v>
      </c>
      <c r="B199" s="122" t="s">
        <v>1223</v>
      </c>
      <c r="C199" s="122" t="s">
        <v>2566</v>
      </c>
      <c r="D199" s="122" t="s">
        <v>2567</v>
      </c>
      <c r="E199" s="122" t="s">
        <v>430</v>
      </c>
      <c r="F199" s="122" t="s">
        <v>2566</v>
      </c>
      <c r="G199" s="122" t="s">
        <v>2568</v>
      </c>
      <c r="H199" s="122" t="s">
        <v>76</v>
      </c>
      <c r="I199" s="122" t="s">
        <v>235</v>
      </c>
      <c r="J199" s="122" t="s">
        <v>61</v>
      </c>
      <c r="K199" s="122" t="s">
        <v>313</v>
      </c>
      <c r="L199" s="122" t="s">
        <v>488</v>
      </c>
      <c r="M199" s="122" t="s">
        <v>1080</v>
      </c>
      <c r="N199" s="122" t="s">
        <v>62</v>
      </c>
      <c r="O199" s="122" t="s">
        <v>1218</v>
      </c>
      <c r="P199" s="123">
        <v>152709</v>
      </c>
      <c r="Q199" s="123">
        <v>3.8809999999999998</v>
      </c>
      <c r="R199" s="123">
        <v>10690</v>
      </c>
      <c r="S199" s="122"/>
      <c r="T199" s="123">
        <v>63350.845000000001</v>
      </c>
      <c r="U199" s="125">
        <v>8.0589999999999995E-2</v>
      </c>
      <c r="V199" s="125">
        <v>1.2829999999999999E-2</v>
      </c>
      <c r="W199" s="126">
        <v>2.32E-3</v>
      </c>
      <c r="X199" s="159"/>
    </row>
    <row r="200" spans="1:24" x14ac:dyDescent="0.2">
      <c r="A200" s="121" t="s">
        <v>1223</v>
      </c>
      <c r="B200" s="122" t="s">
        <v>1223</v>
      </c>
      <c r="C200" s="122" t="s">
        <v>2490</v>
      </c>
      <c r="D200" s="122" t="s">
        <v>2491</v>
      </c>
      <c r="E200" s="122" t="s">
        <v>102</v>
      </c>
      <c r="F200" s="122" t="s">
        <v>2490</v>
      </c>
      <c r="G200" s="122" t="s">
        <v>2492</v>
      </c>
      <c r="H200" s="122" t="s">
        <v>76</v>
      </c>
      <c r="I200" s="122" t="s">
        <v>235</v>
      </c>
      <c r="J200" s="122" t="s">
        <v>61</v>
      </c>
      <c r="K200" s="122" t="s">
        <v>143</v>
      </c>
      <c r="L200" s="122" t="s">
        <v>476</v>
      </c>
      <c r="M200" s="122" t="s">
        <v>1066</v>
      </c>
      <c r="N200" s="122" t="s">
        <v>62</v>
      </c>
      <c r="O200" s="122" t="s">
        <v>1217</v>
      </c>
      <c r="P200" s="123">
        <v>540390</v>
      </c>
      <c r="Q200" s="123">
        <v>3.306</v>
      </c>
      <c r="R200" s="123">
        <v>3100</v>
      </c>
      <c r="S200" s="122"/>
      <c r="T200" s="123">
        <v>55382.41</v>
      </c>
      <c r="U200" s="125">
        <v>3.2000000000000002E-3</v>
      </c>
      <c r="V200" s="125">
        <v>1.1220000000000001E-2</v>
      </c>
      <c r="W200" s="126">
        <v>2.0300000000000001E-3</v>
      </c>
      <c r="X200" s="159"/>
    </row>
    <row r="201" spans="1:24" x14ac:dyDescent="0.2">
      <c r="A201" s="121" t="s">
        <v>1223</v>
      </c>
      <c r="B201" s="122" t="s">
        <v>1223</v>
      </c>
      <c r="C201" s="122" t="s">
        <v>2569</v>
      </c>
      <c r="D201" s="122" t="s">
        <v>2570</v>
      </c>
      <c r="E201" s="122" t="s">
        <v>430</v>
      </c>
      <c r="F201" s="122" t="s">
        <v>2569</v>
      </c>
      <c r="G201" s="122" t="s">
        <v>2571</v>
      </c>
      <c r="H201" s="122" t="s">
        <v>76</v>
      </c>
      <c r="I201" s="122" t="s">
        <v>235</v>
      </c>
      <c r="J201" s="122" t="s">
        <v>61</v>
      </c>
      <c r="K201" s="122" t="s">
        <v>314</v>
      </c>
      <c r="L201" s="122" t="s">
        <v>479</v>
      </c>
      <c r="M201" s="122" t="s">
        <v>1051</v>
      </c>
      <c r="N201" s="122" t="s">
        <v>62</v>
      </c>
      <c r="O201" s="122" t="s">
        <v>1217</v>
      </c>
      <c r="P201" s="123">
        <v>170240</v>
      </c>
      <c r="Q201" s="123">
        <v>3.306</v>
      </c>
      <c r="R201" s="123">
        <v>9668</v>
      </c>
      <c r="S201" s="122"/>
      <c r="T201" s="123">
        <v>54412.803</v>
      </c>
      <c r="U201" s="125">
        <v>4.5300000000000002E-3</v>
      </c>
      <c r="V201" s="125">
        <v>1.102E-2</v>
      </c>
      <c r="W201" s="126">
        <v>1.99E-3</v>
      </c>
      <c r="X201" s="159"/>
    </row>
    <row r="202" spans="1:24" x14ac:dyDescent="0.2">
      <c r="A202" s="121" t="s">
        <v>1223</v>
      </c>
      <c r="B202" s="122" t="s">
        <v>1223</v>
      </c>
      <c r="C202" s="122" t="s">
        <v>2572</v>
      </c>
      <c r="D202" s="122" t="s">
        <v>2573</v>
      </c>
      <c r="E202" s="122" t="s">
        <v>430</v>
      </c>
      <c r="F202" s="122" t="s">
        <v>2572</v>
      </c>
      <c r="G202" s="122" t="s">
        <v>2574</v>
      </c>
      <c r="H202" s="122" t="s">
        <v>76</v>
      </c>
      <c r="I202" s="122" t="s">
        <v>235</v>
      </c>
      <c r="J202" s="122" t="s">
        <v>61</v>
      </c>
      <c r="K202" s="122" t="s">
        <v>314</v>
      </c>
      <c r="L202" s="122" t="s">
        <v>476</v>
      </c>
      <c r="M202" s="122" t="s">
        <v>1108</v>
      </c>
      <c r="N202" s="122" t="s">
        <v>62</v>
      </c>
      <c r="O202" s="122" t="s">
        <v>1217</v>
      </c>
      <c r="P202" s="123">
        <v>141129</v>
      </c>
      <c r="Q202" s="123">
        <v>3.306</v>
      </c>
      <c r="R202" s="123">
        <v>11080</v>
      </c>
      <c r="S202" s="122"/>
      <c r="T202" s="123">
        <v>51696.23</v>
      </c>
      <c r="U202" s="125">
        <v>8.0000000000000002E-3</v>
      </c>
      <c r="V202" s="125">
        <v>1.047E-2</v>
      </c>
      <c r="W202" s="126">
        <v>1.89E-3</v>
      </c>
      <c r="X202" s="159"/>
    </row>
    <row r="203" spans="1:24" x14ac:dyDescent="0.2">
      <c r="A203" s="121" t="s">
        <v>1223</v>
      </c>
      <c r="B203" s="122" t="s">
        <v>1223</v>
      </c>
      <c r="C203" s="122" t="s">
        <v>2493</v>
      </c>
      <c r="D203" s="122" t="s">
        <v>2494</v>
      </c>
      <c r="E203" s="122" t="s">
        <v>430</v>
      </c>
      <c r="F203" s="122" t="s">
        <v>2493</v>
      </c>
      <c r="G203" s="122" t="s">
        <v>2495</v>
      </c>
      <c r="H203" s="122" t="s">
        <v>76</v>
      </c>
      <c r="I203" s="122" t="s">
        <v>235</v>
      </c>
      <c r="J203" s="122" t="s">
        <v>61</v>
      </c>
      <c r="K203" s="122" t="s">
        <v>314</v>
      </c>
      <c r="L203" s="122" t="s">
        <v>479</v>
      </c>
      <c r="M203" s="122" t="s">
        <v>1067</v>
      </c>
      <c r="N203" s="122" t="s">
        <v>62</v>
      </c>
      <c r="O203" s="122" t="s">
        <v>1217</v>
      </c>
      <c r="P203" s="123">
        <v>101869</v>
      </c>
      <c r="Q203" s="123">
        <v>3.306</v>
      </c>
      <c r="R203" s="123">
        <v>15108</v>
      </c>
      <c r="S203" s="123">
        <v>24.010999999999999</v>
      </c>
      <c r="T203" s="123">
        <v>50959.936999999998</v>
      </c>
      <c r="U203" s="125">
        <v>5.96E-3</v>
      </c>
      <c r="V203" s="125">
        <v>1.0330000000000001E-2</v>
      </c>
      <c r="W203" s="126">
        <v>1.8699999999999999E-3</v>
      </c>
      <c r="X203" s="159"/>
    </row>
    <row r="204" spans="1:24" x14ac:dyDescent="0.2">
      <c r="A204" s="121" t="s">
        <v>1223</v>
      </c>
      <c r="B204" s="122" t="s">
        <v>1223</v>
      </c>
      <c r="C204" s="122" t="s">
        <v>2575</v>
      </c>
      <c r="D204" s="122" t="s">
        <v>2576</v>
      </c>
      <c r="E204" s="122" t="s">
        <v>430</v>
      </c>
      <c r="F204" s="122" t="s">
        <v>2575</v>
      </c>
      <c r="G204" s="122" t="s">
        <v>2577</v>
      </c>
      <c r="H204" s="122" t="s">
        <v>76</v>
      </c>
      <c r="I204" s="122" t="s">
        <v>235</v>
      </c>
      <c r="J204" s="122" t="s">
        <v>61</v>
      </c>
      <c r="K204" s="122" t="s">
        <v>314</v>
      </c>
      <c r="L204" s="122" t="s">
        <v>476</v>
      </c>
      <c r="M204" s="122" t="s">
        <v>1108</v>
      </c>
      <c r="N204" s="122" t="s">
        <v>62</v>
      </c>
      <c r="O204" s="122" t="s">
        <v>1217</v>
      </c>
      <c r="P204" s="123">
        <v>169960</v>
      </c>
      <c r="Q204" s="123">
        <v>3.306</v>
      </c>
      <c r="R204" s="123">
        <v>8721</v>
      </c>
      <c r="S204" s="122"/>
      <c r="T204" s="123">
        <v>49002.232000000004</v>
      </c>
      <c r="U204" s="125">
        <v>7.7999999999999999E-4</v>
      </c>
      <c r="V204" s="125">
        <v>9.9299999999999996E-3</v>
      </c>
      <c r="W204" s="126">
        <v>1.8E-3</v>
      </c>
      <c r="X204" s="159"/>
    </row>
    <row r="205" spans="1:24" x14ac:dyDescent="0.2">
      <c r="A205" s="121" t="s">
        <v>1223</v>
      </c>
      <c r="B205" s="122" t="s">
        <v>1223</v>
      </c>
      <c r="C205" s="122" t="s">
        <v>2499</v>
      </c>
      <c r="D205" s="122" t="s">
        <v>2500</v>
      </c>
      <c r="E205" s="122" t="s">
        <v>430</v>
      </c>
      <c r="F205" s="122" t="s">
        <v>2501</v>
      </c>
      <c r="G205" s="122" t="s">
        <v>2502</v>
      </c>
      <c r="H205" s="122" t="s">
        <v>76</v>
      </c>
      <c r="I205" s="122" t="s">
        <v>235</v>
      </c>
      <c r="J205" s="122" t="s">
        <v>61</v>
      </c>
      <c r="K205" s="122" t="s">
        <v>314</v>
      </c>
      <c r="L205" s="122" t="s">
        <v>476</v>
      </c>
      <c r="M205" s="122" t="s">
        <v>1107</v>
      </c>
      <c r="N205" s="122" t="s">
        <v>62</v>
      </c>
      <c r="O205" s="122" t="s">
        <v>1217</v>
      </c>
      <c r="P205" s="123">
        <v>225697</v>
      </c>
      <c r="Q205" s="123">
        <v>3.306</v>
      </c>
      <c r="R205" s="123">
        <v>6362</v>
      </c>
      <c r="S205" s="122"/>
      <c r="T205" s="123">
        <v>47470.334999999999</v>
      </c>
      <c r="U205" s="125">
        <v>2.2300000000000002E-3</v>
      </c>
      <c r="V205" s="125">
        <v>9.6200000000000001E-3</v>
      </c>
      <c r="W205" s="126">
        <v>1.74E-3</v>
      </c>
      <c r="X205" s="159"/>
    </row>
    <row r="206" spans="1:24" x14ac:dyDescent="0.2">
      <c r="A206" s="121" t="s">
        <v>1223</v>
      </c>
      <c r="B206" s="122" t="s">
        <v>1223</v>
      </c>
      <c r="C206" s="122" t="s">
        <v>2382</v>
      </c>
      <c r="D206" s="122" t="s">
        <v>2383</v>
      </c>
      <c r="E206" s="122" t="s">
        <v>429</v>
      </c>
      <c r="F206" s="122" t="s">
        <v>2578</v>
      </c>
      <c r="G206" s="122" t="s">
        <v>2579</v>
      </c>
      <c r="H206" s="122" t="s">
        <v>76</v>
      </c>
      <c r="I206" s="122" t="s">
        <v>235</v>
      </c>
      <c r="J206" s="122" t="s">
        <v>61</v>
      </c>
      <c r="K206" s="122" t="s">
        <v>314</v>
      </c>
      <c r="L206" s="122" t="s">
        <v>311</v>
      </c>
      <c r="M206" s="122" t="s">
        <v>1108</v>
      </c>
      <c r="N206" s="122" t="s">
        <v>62</v>
      </c>
      <c r="O206" s="122" t="s">
        <v>1216</v>
      </c>
      <c r="P206" s="123">
        <v>1503760</v>
      </c>
      <c r="Q206" s="123">
        <v>1</v>
      </c>
      <c r="R206" s="123">
        <v>2651</v>
      </c>
      <c r="S206" s="122"/>
      <c r="T206" s="123">
        <v>39864.678</v>
      </c>
      <c r="U206" s="125">
        <v>0.23135</v>
      </c>
      <c r="V206" s="125">
        <v>8.0800000000000004E-3</v>
      </c>
      <c r="W206" s="126">
        <v>1.4599999999999999E-3</v>
      </c>
      <c r="X206" s="159"/>
    </row>
    <row r="207" spans="1:24" x14ac:dyDescent="0.2">
      <c r="A207" s="121" t="s">
        <v>1223</v>
      </c>
      <c r="B207" s="122" t="s">
        <v>1223</v>
      </c>
      <c r="C207" s="122" t="s">
        <v>2580</v>
      </c>
      <c r="D207" s="122" t="s">
        <v>2581</v>
      </c>
      <c r="E207" s="122" t="s">
        <v>430</v>
      </c>
      <c r="F207" s="122" t="s">
        <v>2580</v>
      </c>
      <c r="G207" s="122" t="s">
        <v>2582</v>
      </c>
      <c r="H207" s="122" t="s">
        <v>76</v>
      </c>
      <c r="I207" s="122" t="s">
        <v>235</v>
      </c>
      <c r="J207" s="122" t="s">
        <v>61</v>
      </c>
      <c r="K207" s="122" t="s">
        <v>314</v>
      </c>
      <c r="L207" s="122" t="s">
        <v>476</v>
      </c>
      <c r="M207" s="122" t="s">
        <v>759</v>
      </c>
      <c r="N207" s="122" t="s">
        <v>62</v>
      </c>
      <c r="O207" s="122" t="s">
        <v>1217</v>
      </c>
      <c r="P207" s="123">
        <v>474078</v>
      </c>
      <c r="Q207" s="123">
        <v>3.306</v>
      </c>
      <c r="R207" s="123">
        <v>2499</v>
      </c>
      <c r="S207" s="122"/>
      <c r="T207" s="123">
        <v>39166.874000000003</v>
      </c>
      <c r="U207" s="125">
        <v>1.7760000000000001E-2</v>
      </c>
      <c r="V207" s="125">
        <v>7.9299999999999995E-3</v>
      </c>
      <c r="W207" s="126">
        <v>1.4300000000000001E-3</v>
      </c>
      <c r="X207" s="159"/>
    </row>
    <row r="208" spans="1:24" x14ac:dyDescent="0.2">
      <c r="A208" s="121" t="s">
        <v>1223</v>
      </c>
      <c r="B208" s="122" t="s">
        <v>1223</v>
      </c>
      <c r="C208" s="122" t="s">
        <v>2506</v>
      </c>
      <c r="D208" s="122" t="s">
        <v>2507</v>
      </c>
      <c r="E208" s="122" t="s">
        <v>430</v>
      </c>
      <c r="F208" s="122" t="s">
        <v>2508</v>
      </c>
      <c r="G208" s="122" t="s">
        <v>2509</v>
      </c>
      <c r="H208" s="122" t="s">
        <v>76</v>
      </c>
      <c r="I208" s="122" t="s">
        <v>235</v>
      </c>
      <c r="J208" s="122" t="s">
        <v>61</v>
      </c>
      <c r="K208" s="122" t="s">
        <v>314</v>
      </c>
      <c r="L208" s="122" t="s">
        <v>476</v>
      </c>
      <c r="M208" s="122" t="s">
        <v>1108</v>
      </c>
      <c r="N208" s="122" t="s">
        <v>62</v>
      </c>
      <c r="O208" s="122" t="s">
        <v>1217</v>
      </c>
      <c r="P208" s="123">
        <v>279279</v>
      </c>
      <c r="Q208" s="123">
        <v>3.306</v>
      </c>
      <c r="R208" s="123">
        <v>4213</v>
      </c>
      <c r="S208" s="122"/>
      <c r="T208" s="123">
        <v>38898.476000000002</v>
      </c>
      <c r="U208" s="125">
        <v>1.64E-3</v>
      </c>
      <c r="V208" s="125">
        <v>7.8799999999999999E-3</v>
      </c>
      <c r="W208" s="126">
        <v>1.42E-3</v>
      </c>
      <c r="X208" s="159"/>
    </row>
    <row r="209" spans="1:24" x14ac:dyDescent="0.2">
      <c r="A209" s="127" t="s">
        <v>1223</v>
      </c>
      <c r="B209" s="128" t="s">
        <v>1223</v>
      </c>
      <c r="C209" s="128" t="s">
        <v>2499</v>
      </c>
      <c r="D209" s="128" t="s">
        <v>2500</v>
      </c>
      <c r="E209" s="128" t="s">
        <v>430</v>
      </c>
      <c r="F209" s="128" t="s">
        <v>2510</v>
      </c>
      <c r="G209" s="128" t="s">
        <v>2511</v>
      </c>
      <c r="H209" s="128" t="s">
        <v>76</v>
      </c>
      <c r="I209" s="128" t="s">
        <v>235</v>
      </c>
      <c r="J209" s="128" t="s">
        <v>61</v>
      </c>
      <c r="K209" s="128" t="s">
        <v>314</v>
      </c>
      <c r="L209" s="128" t="s">
        <v>476</v>
      </c>
      <c r="M209" s="128" t="s">
        <v>1108</v>
      </c>
      <c r="N209" s="128" t="s">
        <v>62</v>
      </c>
      <c r="O209" s="128" t="s">
        <v>1217</v>
      </c>
      <c r="P209" s="129">
        <v>115981</v>
      </c>
      <c r="Q209" s="129">
        <v>3.306</v>
      </c>
      <c r="R209" s="129">
        <v>6008</v>
      </c>
      <c r="S209" s="128"/>
      <c r="T209" s="129">
        <v>23036.666000000001</v>
      </c>
      <c r="U209" s="130">
        <v>1.5399999999999999E-3</v>
      </c>
      <c r="V209" s="130">
        <v>4.6699999999999997E-3</v>
      </c>
      <c r="W209" s="131">
        <v>8.4000000000000003E-4</v>
      </c>
      <c r="X209" s="159"/>
    </row>
    <row r="210" spans="1:24" x14ac:dyDescent="0.2">
      <c r="A210" s="159" t="s">
        <v>3483</v>
      </c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</row>
    <row r="211" spans="1:24" x14ac:dyDescent="0.2">
      <c r="A211" t="s">
        <v>3482</v>
      </c>
    </row>
    <row r="212" spans="1:24" x14ac:dyDescent="0.2">
      <c r="A212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210:W210"/>
    <mergeCell ref="X2:X209"/>
  </mergeCells>
  <dataValidations count="8">
    <dataValidation type="list" allowBlank="1" showInputMessage="1" showErrorMessage="1" sqref="J3:J21" xr:uid="{00000000-0002-0000-0800-000000000000}">
      <formula1>israel_abroad</formula1>
    </dataValidation>
    <dataValidation type="list" allowBlank="1" showInputMessage="1" showErrorMessage="1" sqref="N3:N21" xr:uid="{00000000-0002-0000-0800-000001000000}">
      <formula1>Holding_interest</formula1>
    </dataValidation>
    <dataValidation type="list" allowBlank="1" showInputMessage="1" showErrorMessage="1" sqref="K4:K21" xr:uid="{00000000-0002-0000-0800-000002000000}">
      <formula1>Country_list</formula1>
    </dataValidation>
    <dataValidation type="list" allowBlank="1" showInputMessage="1" showErrorMessage="1" sqref="M3:M21" xr:uid="{00000000-0002-0000-0800-000003000000}">
      <formula1>Fund_type</formula1>
    </dataValidation>
    <dataValidation type="list" allowBlank="1" showInputMessage="1" showErrorMessage="1" sqref="E3:E21" xr:uid="{00000000-0002-0000-0800-000004000000}">
      <formula1>Issuer_Type_TFunds</formula1>
    </dataValidation>
    <dataValidation type="list" allowBlank="1" showInputMessage="1" showErrorMessage="1" sqref="H3:H21" xr:uid="{00000000-0002-0000-0800-000005000000}">
      <formula1>Security_ID_Number_Type</formula1>
    </dataValidation>
    <dataValidation type="list" allowBlank="1" showInputMessage="1" showErrorMessage="1" sqref="K3" xr:uid="{00000000-0002-0000-0800-000006000000}">
      <formula1>Country_list_funds</formula1>
    </dataValidation>
    <dataValidation type="list" allowBlank="1" showInputMessage="1" showErrorMessage="1" sqref="L3:L21" xr:uid="{00000000-0002-0000-0800-000007000000}">
      <formula1>Stock_Exchange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בחירה'!$C$891:$C$896</xm:f>
          </x14:formula1>
          <xm:sqref>I3:I21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X39"/>
  <sheetViews>
    <sheetView rightToLeft="1" workbookViewId="0"/>
  </sheetViews>
  <sheetFormatPr defaultColWidth="0" defaultRowHeight="14.25" x14ac:dyDescent="0.2"/>
  <cols>
    <col min="1" max="1" width="29.375" style="3" customWidth="1"/>
    <col min="2" max="4" width="11.625" style="3" customWidth="1"/>
    <col min="5" max="5" width="18.125" style="3" customWidth="1"/>
    <col min="6" max="6" width="11.625" style="3" customWidth="1"/>
    <col min="7" max="7" width="12.75" style="3" customWidth="1"/>
    <col min="8" max="8" width="15.5" style="3" customWidth="1"/>
    <col min="9" max="10" width="11.625" style="3" customWidth="1"/>
    <col min="11" max="11" width="19.875" style="3" customWidth="1"/>
    <col min="12" max="12" width="13.75" style="3" customWidth="1"/>
    <col min="13" max="13" width="11.625" customWidth="1"/>
    <col min="14" max="14" width="11.625" style="3" customWidth="1"/>
    <col min="15" max="15" width="15.125" style="3" customWidth="1"/>
    <col min="16" max="16" width="11.75" style="3" customWidth="1"/>
    <col min="17" max="17" width="14.875" style="3" customWidth="1"/>
    <col min="18" max="18" width="11.625" style="3" customWidth="1"/>
    <col min="19" max="19" width="12.875" style="3" customWidth="1"/>
    <col min="20" max="20" width="17.875" style="3" customWidth="1"/>
    <col min="21" max="21" width="19" style="3" customWidth="1"/>
    <col min="22" max="22" width="21.75" style="3" customWidth="1"/>
    <col min="23" max="23" width="20.125" style="3" customWidth="1"/>
    <col min="24" max="24" width="11.625" style="3" hidden="1" customWidth="1"/>
    <col min="25" max="16384" width="9" style="3" hidden="1"/>
  </cols>
  <sheetData>
    <row r="1" spans="1:24" x14ac:dyDescent="0.2">
      <c r="A1" s="3" t="s">
        <v>3493</v>
      </c>
    </row>
    <row r="2" spans="1:24" x14ac:dyDescent="0.2">
      <c r="A2" s="118" t="s">
        <v>651</v>
      </c>
      <c r="B2" s="119" t="s">
        <v>0</v>
      </c>
      <c r="C2" s="119" t="s">
        <v>724</v>
      </c>
      <c r="D2" s="119" t="s">
        <v>2</v>
      </c>
      <c r="E2" s="119" t="s">
        <v>740</v>
      </c>
      <c r="F2" s="119" t="s">
        <v>3</v>
      </c>
      <c r="G2" s="119" t="s">
        <v>29</v>
      </c>
      <c r="H2" s="119" t="s">
        <v>28</v>
      </c>
      <c r="I2" s="119" t="s">
        <v>1</v>
      </c>
      <c r="J2" s="119" t="s">
        <v>604</v>
      </c>
      <c r="K2" s="119" t="s">
        <v>605</v>
      </c>
      <c r="L2" s="119" t="s">
        <v>609</v>
      </c>
      <c r="M2" s="119" t="s">
        <v>5</v>
      </c>
      <c r="N2" s="119" t="s">
        <v>300</v>
      </c>
      <c r="O2" s="119" t="s">
        <v>606</v>
      </c>
      <c r="P2" s="119" t="s">
        <v>396</v>
      </c>
      <c r="Q2" s="119" t="s">
        <v>773</v>
      </c>
      <c r="R2" s="119" t="s">
        <v>11</v>
      </c>
      <c r="S2" s="119" t="s">
        <v>15</v>
      </c>
      <c r="T2" s="119" t="s">
        <v>1153</v>
      </c>
      <c r="U2" s="119" t="s">
        <v>18</v>
      </c>
      <c r="V2" s="119" t="s">
        <v>19</v>
      </c>
      <c r="W2" s="120" t="s">
        <v>30</v>
      </c>
      <c r="X2" s="161" t="s">
        <v>3484</v>
      </c>
    </row>
    <row r="3" spans="1:24" x14ac:dyDescent="0.2">
      <c r="A3" s="121" t="s">
        <v>1211</v>
      </c>
      <c r="B3" s="122" t="s">
        <v>1212</v>
      </c>
      <c r="C3" s="122" t="s">
        <v>2597</v>
      </c>
      <c r="D3" s="122" t="s">
        <v>2598</v>
      </c>
      <c r="E3" s="122" t="s">
        <v>430</v>
      </c>
      <c r="F3" s="122" t="s">
        <v>2599</v>
      </c>
      <c r="G3" s="122" t="s">
        <v>2600</v>
      </c>
      <c r="H3" s="122" t="s">
        <v>76</v>
      </c>
      <c r="I3" s="122" t="s">
        <v>211</v>
      </c>
      <c r="J3" s="122" t="s">
        <v>61</v>
      </c>
      <c r="K3" s="122" t="s">
        <v>930</v>
      </c>
      <c r="L3" s="122" t="s">
        <v>805</v>
      </c>
      <c r="M3" s="122" t="s">
        <v>102</v>
      </c>
      <c r="N3" s="122" t="s">
        <v>1086</v>
      </c>
      <c r="O3" s="122" t="s">
        <v>62</v>
      </c>
      <c r="P3" s="122" t="s">
        <v>1217</v>
      </c>
      <c r="Q3" s="123">
        <v>27.05</v>
      </c>
      <c r="R3" s="123">
        <v>3.306</v>
      </c>
      <c r="S3" s="123">
        <v>144630.70000000001</v>
      </c>
      <c r="T3" s="123">
        <v>129.339</v>
      </c>
      <c r="U3" s="132"/>
      <c r="V3" s="125">
        <v>0.41888999999999998</v>
      </c>
      <c r="W3" s="126">
        <v>3.6800000000000001E-3</v>
      </c>
      <c r="X3" s="161"/>
    </row>
    <row r="4" spans="1:24" x14ac:dyDescent="0.2">
      <c r="A4" s="121" t="s">
        <v>1211</v>
      </c>
      <c r="B4" s="122" t="s">
        <v>1212</v>
      </c>
      <c r="C4" s="122" t="s">
        <v>2601</v>
      </c>
      <c r="D4" s="122" t="s">
        <v>2602</v>
      </c>
      <c r="E4" s="122" t="s">
        <v>430</v>
      </c>
      <c r="F4" s="122" t="s">
        <v>2601</v>
      </c>
      <c r="G4" s="122" t="s">
        <v>2603</v>
      </c>
      <c r="H4" s="122" t="s">
        <v>76</v>
      </c>
      <c r="I4" s="122" t="s">
        <v>73</v>
      </c>
      <c r="J4" s="122" t="s">
        <v>61</v>
      </c>
      <c r="K4" s="122" t="s">
        <v>157</v>
      </c>
      <c r="L4" s="122" t="s">
        <v>805</v>
      </c>
      <c r="M4" s="122" t="s">
        <v>102</v>
      </c>
      <c r="N4" s="122" t="s">
        <v>1048</v>
      </c>
      <c r="O4" s="122" t="s">
        <v>62</v>
      </c>
      <c r="P4" s="122" t="s">
        <v>1217</v>
      </c>
      <c r="Q4" s="123">
        <v>1997</v>
      </c>
      <c r="R4" s="123">
        <v>3.306</v>
      </c>
      <c r="S4" s="123">
        <v>1433.42</v>
      </c>
      <c r="T4" s="123">
        <v>94.635999999999996</v>
      </c>
      <c r="U4" s="125">
        <v>2.3000000000000001E-4</v>
      </c>
      <c r="V4" s="125">
        <v>0.30649999999999999</v>
      </c>
      <c r="W4" s="126">
        <v>2.7000000000000001E-3</v>
      </c>
      <c r="X4" s="161"/>
    </row>
    <row r="5" spans="1:24" x14ac:dyDescent="0.2">
      <c r="A5" s="121" t="s">
        <v>1211</v>
      </c>
      <c r="B5" s="122" t="s">
        <v>1212</v>
      </c>
      <c r="C5" s="122" t="s">
        <v>2604</v>
      </c>
      <c r="D5" s="122" t="s">
        <v>2605</v>
      </c>
      <c r="E5" s="122" t="s">
        <v>430</v>
      </c>
      <c r="F5" s="122" t="s">
        <v>2604</v>
      </c>
      <c r="G5" s="122" t="s">
        <v>2606</v>
      </c>
      <c r="H5" s="122" t="s">
        <v>76</v>
      </c>
      <c r="I5" s="122" t="s">
        <v>73</v>
      </c>
      <c r="J5" s="122" t="s">
        <v>61</v>
      </c>
      <c r="K5" s="122" t="s">
        <v>153</v>
      </c>
      <c r="L5" s="122" t="s">
        <v>805</v>
      </c>
      <c r="M5" s="122" t="s">
        <v>102</v>
      </c>
      <c r="N5" s="122" t="s">
        <v>1106</v>
      </c>
      <c r="O5" s="122" t="s">
        <v>62</v>
      </c>
      <c r="P5" s="122" t="s">
        <v>1218</v>
      </c>
      <c r="Q5" s="123">
        <v>57.75</v>
      </c>
      <c r="R5" s="123">
        <v>3.8809999999999998</v>
      </c>
      <c r="S5" s="123">
        <v>24269</v>
      </c>
      <c r="T5" s="123">
        <v>54.389000000000003</v>
      </c>
      <c r="U5" s="125">
        <v>1.0499999999999999E-3</v>
      </c>
      <c r="V5" s="125">
        <v>0.17615</v>
      </c>
      <c r="W5" s="126">
        <v>1.5499999999999999E-3</v>
      </c>
      <c r="X5" s="161"/>
    </row>
    <row r="6" spans="1:24" x14ac:dyDescent="0.2">
      <c r="A6" s="121" t="s">
        <v>1211</v>
      </c>
      <c r="B6" s="122" t="s">
        <v>1212</v>
      </c>
      <c r="C6" s="122" t="s">
        <v>2607</v>
      </c>
      <c r="D6" s="122" t="s">
        <v>2608</v>
      </c>
      <c r="E6" s="122" t="s">
        <v>430</v>
      </c>
      <c r="F6" s="122" t="s">
        <v>2607</v>
      </c>
      <c r="G6" s="122" t="s">
        <v>2609</v>
      </c>
      <c r="H6" s="122" t="s">
        <v>76</v>
      </c>
      <c r="I6" s="122" t="s">
        <v>73</v>
      </c>
      <c r="J6" s="122" t="s">
        <v>61</v>
      </c>
      <c r="K6" s="122" t="s">
        <v>166</v>
      </c>
      <c r="L6" s="122" t="s">
        <v>805</v>
      </c>
      <c r="M6" s="122" t="s">
        <v>102</v>
      </c>
      <c r="N6" s="122" t="s">
        <v>1069</v>
      </c>
      <c r="O6" s="122" t="s">
        <v>62</v>
      </c>
      <c r="P6" s="122" t="s">
        <v>1217</v>
      </c>
      <c r="Q6" s="123">
        <v>32.46</v>
      </c>
      <c r="R6" s="123">
        <v>3.306</v>
      </c>
      <c r="S6" s="123">
        <v>28328.15</v>
      </c>
      <c r="T6" s="123">
        <v>30.4</v>
      </c>
      <c r="U6" s="132"/>
      <c r="V6" s="125">
        <v>9.8460000000000006E-2</v>
      </c>
      <c r="W6" s="126">
        <v>8.7000000000000001E-4</v>
      </c>
      <c r="X6" s="161"/>
    </row>
    <row r="7" spans="1:24" x14ac:dyDescent="0.2">
      <c r="A7" s="121" t="s">
        <v>1211</v>
      </c>
      <c r="B7" s="122" t="s">
        <v>1220</v>
      </c>
      <c r="C7" s="122" t="s">
        <v>2597</v>
      </c>
      <c r="D7" s="122" t="s">
        <v>2598</v>
      </c>
      <c r="E7" s="122" t="s">
        <v>430</v>
      </c>
      <c r="F7" s="122" t="s">
        <v>2599</v>
      </c>
      <c r="G7" s="122" t="s">
        <v>2600</v>
      </c>
      <c r="H7" s="122" t="s">
        <v>76</v>
      </c>
      <c r="I7" s="122" t="s">
        <v>211</v>
      </c>
      <c r="J7" s="122" t="s">
        <v>61</v>
      </c>
      <c r="K7" s="122" t="s">
        <v>930</v>
      </c>
      <c r="L7" s="122" t="s">
        <v>805</v>
      </c>
      <c r="M7" s="122" t="s">
        <v>102</v>
      </c>
      <c r="N7" s="122" t="s">
        <v>1086</v>
      </c>
      <c r="O7" s="122" t="s">
        <v>62</v>
      </c>
      <c r="P7" s="122" t="s">
        <v>1217</v>
      </c>
      <c r="Q7" s="123">
        <v>4.57</v>
      </c>
      <c r="R7" s="123">
        <v>3.306</v>
      </c>
      <c r="S7" s="123">
        <v>144630.70000000001</v>
      </c>
      <c r="T7" s="123">
        <v>21.850999999999999</v>
      </c>
      <c r="U7" s="132"/>
      <c r="V7" s="125">
        <v>1</v>
      </c>
      <c r="W7" s="126">
        <v>9.8600000000000007E-3</v>
      </c>
      <c r="X7" s="161"/>
    </row>
    <row r="8" spans="1:24" x14ac:dyDescent="0.2">
      <c r="A8" s="121" t="s">
        <v>1211</v>
      </c>
      <c r="B8" s="122" t="s">
        <v>1211</v>
      </c>
      <c r="C8" s="122" t="s">
        <v>2610</v>
      </c>
      <c r="D8" s="122" t="s">
        <v>2611</v>
      </c>
      <c r="E8" s="122" t="s">
        <v>429</v>
      </c>
      <c r="F8" s="122" t="s">
        <v>2612</v>
      </c>
      <c r="G8" s="122" t="s">
        <v>2613</v>
      </c>
      <c r="H8" s="122" t="s">
        <v>76</v>
      </c>
      <c r="I8" s="122" t="s">
        <v>73</v>
      </c>
      <c r="J8" s="122" t="s">
        <v>53</v>
      </c>
      <c r="K8" s="122" t="s">
        <v>930</v>
      </c>
      <c r="L8" s="122" t="s">
        <v>805</v>
      </c>
      <c r="M8" s="122" t="s">
        <v>311</v>
      </c>
      <c r="N8" s="122" t="s">
        <v>1098</v>
      </c>
      <c r="O8" s="122" t="s">
        <v>62</v>
      </c>
      <c r="P8" s="122" t="s">
        <v>1216</v>
      </c>
      <c r="Q8" s="123">
        <v>1157463.47</v>
      </c>
      <c r="R8" s="123">
        <v>1</v>
      </c>
      <c r="S8" s="123">
        <v>84.7</v>
      </c>
      <c r="T8" s="123">
        <v>980.37199999999996</v>
      </c>
      <c r="U8" s="125">
        <v>3.16E-3</v>
      </c>
      <c r="V8" s="125">
        <v>2.4840000000000001E-2</v>
      </c>
      <c r="W8" s="126">
        <v>8.4000000000000003E-4</v>
      </c>
      <c r="X8" s="161"/>
    </row>
    <row r="9" spans="1:24" x14ac:dyDescent="0.2">
      <c r="A9" s="121" t="s">
        <v>1211</v>
      </c>
      <c r="B9" s="122" t="s">
        <v>1211</v>
      </c>
      <c r="C9" s="122" t="s">
        <v>2597</v>
      </c>
      <c r="D9" s="122" t="s">
        <v>2598</v>
      </c>
      <c r="E9" s="122" t="s">
        <v>430</v>
      </c>
      <c r="F9" s="122" t="s">
        <v>2599</v>
      </c>
      <c r="G9" s="122" t="s">
        <v>2600</v>
      </c>
      <c r="H9" s="122" t="s">
        <v>76</v>
      </c>
      <c r="I9" s="122" t="s">
        <v>211</v>
      </c>
      <c r="J9" s="122" t="s">
        <v>61</v>
      </c>
      <c r="K9" s="122" t="s">
        <v>930</v>
      </c>
      <c r="L9" s="122" t="s">
        <v>805</v>
      </c>
      <c r="M9" s="122" t="s">
        <v>102</v>
      </c>
      <c r="N9" s="122" t="s">
        <v>1086</v>
      </c>
      <c r="O9" s="122" t="s">
        <v>62</v>
      </c>
      <c r="P9" s="122" t="s">
        <v>1217</v>
      </c>
      <c r="Q9" s="123">
        <v>1459.7</v>
      </c>
      <c r="R9" s="123">
        <v>3.306</v>
      </c>
      <c r="S9" s="123">
        <v>144630.70000000001</v>
      </c>
      <c r="T9" s="123">
        <v>6979.5420000000004</v>
      </c>
      <c r="U9" s="132"/>
      <c r="V9" s="125">
        <v>0.17685000000000001</v>
      </c>
      <c r="W9" s="126">
        <v>5.9500000000000004E-3</v>
      </c>
      <c r="X9" s="161"/>
    </row>
    <row r="10" spans="1:24" x14ac:dyDescent="0.2">
      <c r="A10" s="121" t="s">
        <v>1211</v>
      </c>
      <c r="B10" s="122" t="s">
        <v>1211</v>
      </c>
      <c r="C10" s="122" t="s">
        <v>2601</v>
      </c>
      <c r="D10" s="122" t="s">
        <v>2602</v>
      </c>
      <c r="E10" s="122" t="s">
        <v>430</v>
      </c>
      <c r="F10" s="122" t="s">
        <v>2601</v>
      </c>
      <c r="G10" s="122" t="s">
        <v>2603</v>
      </c>
      <c r="H10" s="122" t="s">
        <v>76</v>
      </c>
      <c r="I10" s="122" t="s">
        <v>73</v>
      </c>
      <c r="J10" s="122" t="s">
        <v>61</v>
      </c>
      <c r="K10" s="122" t="s">
        <v>157</v>
      </c>
      <c r="L10" s="122" t="s">
        <v>805</v>
      </c>
      <c r="M10" s="122" t="s">
        <v>102</v>
      </c>
      <c r="N10" s="122" t="s">
        <v>1048</v>
      </c>
      <c r="O10" s="122" t="s">
        <v>62</v>
      </c>
      <c r="P10" s="122" t="s">
        <v>1217</v>
      </c>
      <c r="Q10" s="123">
        <v>139686.32999999999</v>
      </c>
      <c r="R10" s="123">
        <v>3.306</v>
      </c>
      <c r="S10" s="123">
        <v>1433.42</v>
      </c>
      <c r="T10" s="123">
        <v>6619.5770000000002</v>
      </c>
      <c r="U10" s="125">
        <v>1.5779999999999999E-2</v>
      </c>
      <c r="V10" s="125">
        <v>0.16772999999999999</v>
      </c>
      <c r="W10" s="126">
        <v>5.64E-3</v>
      </c>
      <c r="X10" s="161"/>
    </row>
    <row r="11" spans="1:24" x14ac:dyDescent="0.2">
      <c r="A11" s="121" t="s">
        <v>1211</v>
      </c>
      <c r="B11" s="122" t="s">
        <v>1211</v>
      </c>
      <c r="C11" s="122" t="s">
        <v>2614</v>
      </c>
      <c r="D11" s="122" t="s">
        <v>2615</v>
      </c>
      <c r="E11" s="122" t="s">
        <v>430</v>
      </c>
      <c r="F11" s="122" t="s">
        <v>2614</v>
      </c>
      <c r="G11" s="122" t="s">
        <v>2616</v>
      </c>
      <c r="H11" s="122" t="s">
        <v>76</v>
      </c>
      <c r="I11" s="122" t="s">
        <v>73</v>
      </c>
      <c r="J11" s="122" t="s">
        <v>61</v>
      </c>
      <c r="K11" s="122" t="s">
        <v>315</v>
      </c>
      <c r="L11" s="122" t="s">
        <v>805</v>
      </c>
      <c r="M11" s="122" t="s">
        <v>494</v>
      </c>
      <c r="N11" s="122" t="s">
        <v>1057</v>
      </c>
      <c r="O11" s="122" t="s">
        <v>62</v>
      </c>
      <c r="P11" s="122" t="s">
        <v>1221</v>
      </c>
      <c r="Q11" s="123">
        <v>83412.479999999996</v>
      </c>
      <c r="R11" s="123">
        <v>4.4409999999999998</v>
      </c>
      <c r="S11" s="123">
        <v>1310.29</v>
      </c>
      <c r="T11" s="123">
        <v>4853.6610000000001</v>
      </c>
      <c r="U11" s="125">
        <v>5.0000000000000001E-4</v>
      </c>
      <c r="V11" s="125">
        <v>0.12298000000000001</v>
      </c>
      <c r="W11" s="126">
        <v>4.1399999999999996E-3</v>
      </c>
      <c r="X11" s="161"/>
    </row>
    <row r="12" spans="1:24" x14ac:dyDescent="0.2">
      <c r="A12" s="121" t="s">
        <v>1211</v>
      </c>
      <c r="B12" s="122" t="s">
        <v>1211</v>
      </c>
      <c r="C12" s="122" t="s">
        <v>2617</v>
      </c>
      <c r="D12" s="122" t="s">
        <v>2618</v>
      </c>
      <c r="E12" s="122" t="s">
        <v>102</v>
      </c>
      <c r="F12" s="122" t="s">
        <v>2619</v>
      </c>
      <c r="G12" s="122" t="s">
        <v>2620</v>
      </c>
      <c r="H12" s="122" t="s">
        <v>76</v>
      </c>
      <c r="I12" s="122" t="s">
        <v>73</v>
      </c>
      <c r="J12" s="122" t="s">
        <v>61</v>
      </c>
      <c r="K12" s="132"/>
      <c r="L12" s="122"/>
      <c r="M12" s="132"/>
      <c r="N12" s="135"/>
      <c r="O12" s="122" t="s">
        <v>62</v>
      </c>
      <c r="P12" s="122" t="s">
        <v>1217</v>
      </c>
      <c r="Q12" s="123">
        <v>6248.13</v>
      </c>
      <c r="R12" s="123">
        <v>3.306</v>
      </c>
      <c r="S12" s="123">
        <v>17075.78</v>
      </c>
      <c r="T12" s="123">
        <v>3527.2269999999999</v>
      </c>
      <c r="U12" s="125">
        <v>2.5819999999999999E-2</v>
      </c>
      <c r="V12" s="125">
        <v>8.9370000000000005E-2</v>
      </c>
      <c r="W12" s="126">
        <v>3.0100000000000001E-3</v>
      </c>
      <c r="X12" s="161"/>
    </row>
    <row r="13" spans="1:24" x14ac:dyDescent="0.2">
      <c r="A13" s="121" t="s">
        <v>1211</v>
      </c>
      <c r="B13" s="122" t="s">
        <v>1211</v>
      </c>
      <c r="C13" s="122" t="s">
        <v>2621</v>
      </c>
      <c r="D13" s="122" t="s">
        <v>2622</v>
      </c>
      <c r="E13" s="122" t="s">
        <v>430</v>
      </c>
      <c r="F13" s="122" t="s">
        <v>2623</v>
      </c>
      <c r="G13" s="122" t="s">
        <v>2624</v>
      </c>
      <c r="H13" s="122" t="s">
        <v>76</v>
      </c>
      <c r="I13" s="122" t="s">
        <v>73</v>
      </c>
      <c r="J13" s="122" t="s">
        <v>61</v>
      </c>
      <c r="K13" s="122" t="s">
        <v>314</v>
      </c>
      <c r="L13" s="122" t="s">
        <v>805</v>
      </c>
      <c r="M13" s="122" t="s">
        <v>494</v>
      </c>
      <c r="N13" s="122" t="s">
        <v>759</v>
      </c>
      <c r="O13" s="122" t="s">
        <v>62</v>
      </c>
      <c r="P13" s="122" t="s">
        <v>1217</v>
      </c>
      <c r="Q13" s="123">
        <v>21377.1</v>
      </c>
      <c r="R13" s="123">
        <v>3.306</v>
      </c>
      <c r="S13" s="123">
        <v>4800</v>
      </c>
      <c r="T13" s="123">
        <v>3392.2890000000002</v>
      </c>
      <c r="U13" s="132"/>
      <c r="V13" s="125">
        <v>8.5959999999999995E-2</v>
      </c>
      <c r="W13" s="126">
        <v>2.8900000000000002E-3</v>
      </c>
      <c r="X13" s="161"/>
    </row>
    <row r="14" spans="1:24" x14ac:dyDescent="0.2">
      <c r="A14" s="121" t="s">
        <v>1211</v>
      </c>
      <c r="B14" s="122" t="s">
        <v>1211</v>
      </c>
      <c r="C14" s="122" t="s">
        <v>2604</v>
      </c>
      <c r="D14" s="122" t="s">
        <v>2605</v>
      </c>
      <c r="E14" s="122" t="s">
        <v>430</v>
      </c>
      <c r="F14" s="122" t="s">
        <v>2604</v>
      </c>
      <c r="G14" s="122" t="s">
        <v>2606</v>
      </c>
      <c r="H14" s="122" t="s">
        <v>76</v>
      </c>
      <c r="I14" s="122" t="s">
        <v>73</v>
      </c>
      <c r="J14" s="122" t="s">
        <v>61</v>
      </c>
      <c r="K14" s="122" t="s">
        <v>153</v>
      </c>
      <c r="L14" s="122" t="s">
        <v>805</v>
      </c>
      <c r="M14" s="122" t="s">
        <v>102</v>
      </c>
      <c r="N14" s="122" t="s">
        <v>1106</v>
      </c>
      <c r="O14" s="122" t="s">
        <v>62</v>
      </c>
      <c r="P14" s="122" t="s">
        <v>1218</v>
      </c>
      <c r="Q14" s="123">
        <v>3449.26</v>
      </c>
      <c r="R14" s="123">
        <v>3.8809999999999998</v>
      </c>
      <c r="S14" s="123">
        <v>24269</v>
      </c>
      <c r="T14" s="123">
        <v>3248.5369999999998</v>
      </c>
      <c r="U14" s="125">
        <v>6.2710000000000002E-2</v>
      </c>
      <c r="V14" s="125">
        <v>8.2309999999999994E-2</v>
      </c>
      <c r="W14" s="126">
        <v>2.7699999999999999E-3</v>
      </c>
      <c r="X14" s="161"/>
    </row>
    <row r="15" spans="1:24" x14ac:dyDescent="0.2">
      <c r="A15" s="121" t="s">
        <v>1211</v>
      </c>
      <c r="B15" s="122" t="s">
        <v>1211</v>
      </c>
      <c r="C15" s="122" t="s">
        <v>2625</v>
      </c>
      <c r="D15" s="122" t="s">
        <v>2626</v>
      </c>
      <c r="E15" s="122" t="s">
        <v>430</v>
      </c>
      <c r="F15" s="122" t="s">
        <v>2625</v>
      </c>
      <c r="G15" s="122" t="s">
        <v>2627</v>
      </c>
      <c r="H15" s="122" t="s">
        <v>76</v>
      </c>
      <c r="I15" s="122" t="s">
        <v>73</v>
      </c>
      <c r="J15" s="122" t="s">
        <v>61</v>
      </c>
      <c r="K15" s="122" t="s">
        <v>203</v>
      </c>
      <c r="L15" s="122" t="s">
        <v>805</v>
      </c>
      <c r="M15" s="122" t="s">
        <v>102</v>
      </c>
      <c r="N15" s="122" t="s">
        <v>1108</v>
      </c>
      <c r="O15" s="122" t="s">
        <v>62</v>
      </c>
      <c r="P15" s="122" t="s">
        <v>1217</v>
      </c>
      <c r="Q15" s="123">
        <v>77164.47</v>
      </c>
      <c r="R15" s="123">
        <v>3.306</v>
      </c>
      <c r="S15" s="123">
        <v>1118.5999999999999</v>
      </c>
      <c r="T15" s="123">
        <v>2853.6129999999998</v>
      </c>
      <c r="U15" s="125">
        <v>3.15E-3</v>
      </c>
      <c r="V15" s="125">
        <v>7.2309999999999999E-2</v>
      </c>
      <c r="W15" s="126">
        <v>2.4299999999999999E-3</v>
      </c>
      <c r="X15" s="161"/>
    </row>
    <row r="16" spans="1:24" x14ac:dyDescent="0.2">
      <c r="A16" s="121" t="s">
        <v>1211</v>
      </c>
      <c r="B16" s="122" t="s">
        <v>1211</v>
      </c>
      <c r="C16" s="122" t="s">
        <v>2628</v>
      </c>
      <c r="D16" s="122" t="s">
        <v>2629</v>
      </c>
      <c r="E16" s="122" t="s">
        <v>430</v>
      </c>
      <c r="F16" s="122" t="s">
        <v>2628</v>
      </c>
      <c r="G16" s="122" t="s">
        <v>2630</v>
      </c>
      <c r="H16" s="122" t="s">
        <v>76</v>
      </c>
      <c r="I16" s="122" t="s">
        <v>211</v>
      </c>
      <c r="J16" s="122" t="s">
        <v>61</v>
      </c>
      <c r="K16" s="122" t="s">
        <v>173</v>
      </c>
      <c r="L16" s="122" t="s">
        <v>805</v>
      </c>
      <c r="M16" s="122" t="s">
        <v>102</v>
      </c>
      <c r="N16" s="122" t="s">
        <v>1086</v>
      </c>
      <c r="O16" s="122" t="s">
        <v>62</v>
      </c>
      <c r="P16" s="122" t="s">
        <v>1217</v>
      </c>
      <c r="Q16" s="123">
        <v>3034.82</v>
      </c>
      <c r="R16" s="123">
        <v>3.306</v>
      </c>
      <c r="S16" s="123">
        <v>19478</v>
      </c>
      <c r="T16" s="123">
        <v>1954.25</v>
      </c>
      <c r="U16" s="125">
        <v>3.6000000000000002E-4</v>
      </c>
      <c r="V16" s="125">
        <v>4.9520000000000002E-2</v>
      </c>
      <c r="W16" s="126">
        <v>1.67E-3</v>
      </c>
      <c r="X16" s="161"/>
    </row>
    <row r="17" spans="1:24" x14ac:dyDescent="0.2">
      <c r="A17" s="121" t="s">
        <v>1211</v>
      </c>
      <c r="B17" s="122" t="s">
        <v>1211</v>
      </c>
      <c r="C17" s="122" t="s">
        <v>2631</v>
      </c>
      <c r="D17" s="122" t="s">
        <v>2632</v>
      </c>
      <c r="E17" s="122" t="s">
        <v>430</v>
      </c>
      <c r="F17" s="122" t="s">
        <v>2631</v>
      </c>
      <c r="G17" s="122" t="s">
        <v>2633</v>
      </c>
      <c r="H17" s="122" t="s">
        <v>76</v>
      </c>
      <c r="I17" s="122" t="s">
        <v>73</v>
      </c>
      <c r="J17" s="122" t="s">
        <v>61</v>
      </c>
      <c r="K17" s="122" t="s">
        <v>314</v>
      </c>
      <c r="L17" s="122" t="s">
        <v>805</v>
      </c>
      <c r="M17" s="122" t="s">
        <v>494</v>
      </c>
      <c r="N17" s="122" t="s">
        <v>759</v>
      </c>
      <c r="O17" s="122" t="s">
        <v>62</v>
      </c>
      <c r="P17" s="122" t="s">
        <v>1217</v>
      </c>
      <c r="Q17" s="123">
        <v>287903</v>
      </c>
      <c r="R17" s="123">
        <v>3.306</v>
      </c>
      <c r="S17" s="123">
        <v>201.88</v>
      </c>
      <c r="T17" s="123">
        <v>1921.509</v>
      </c>
      <c r="U17" s="125">
        <v>9.5E-4</v>
      </c>
      <c r="V17" s="125">
        <v>4.8689999999999997E-2</v>
      </c>
      <c r="W17" s="126">
        <v>1.64E-3</v>
      </c>
      <c r="X17" s="161"/>
    </row>
    <row r="18" spans="1:24" x14ac:dyDescent="0.2">
      <c r="A18" s="121" t="s">
        <v>1211</v>
      </c>
      <c r="B18" s="122" t="s">
        <v>1211</v>
      </c>
      <c r="C18" s="122" t="s">
        <v>2607</v>
      </c>
      <c r="D18" s="122" t="s">
        <v>2608</v>
      </c>
      <c r="E18" s="122" t="s">
        <v>430</v>
      </c>
      <c r="F18" s="122" t="s">
        <v>2607</v>
      </c>
      <c r="G18" s="122" t="s">
        <v>2609</v>
      </c>
      <c r="H18" s="122" t="s">
        <v>76</v>
      </c>
      <c r="I18" s="122" t="s">
        <v>73</v>
      </c>
      <c r="J18" s="122" t="s">
        <v>61</v>
      </c>
      <c r="K18" s="122" t="s">
        <v>166</v>
      </c>
      <c r="L18" s="122" t="s">
        <v>805</v>
      </c>
      <c r="M18" s="122" t="s">
        <v>102</v>
      </c>
      <c r="N18" s="122" t="s">
        <v>1069</v>
      </c>
      <c r="O18" s="122" t="s">
        <v>62</v>
      </c>
      <c r="P18" s="122" t="s">
        <v>1217</v>
      </c>
      <c r="Q18" s="123">
        <v>1686.01</v>
      </c>
      <c r="R18" s="123">
        <v>3.306</v>
      </c>
      <c r="S18" s="123">
        <v>28328.15</v>
      </c>
      <c r="T18" s="123">
        <v>1578.9970000000001</v>
      </c>
      <c r="U18" s="132"/>
      <c r="V18" s="125">
        <v>4.0009999999999997E-2</v>
      </c>
      <c r="W18" s="126">
        <v>1.3500000000000001E-3</v>
      </c>
      <c r="X18" s="161"/>
    </row>
    <row r="19" spans="1:24" x14ac:dyDescent="0.2">
      <c r="A19" s="121" t="s">
        <v>1211</v>
      </c>
      <c r="B19" s="122" t="s">
        <v>1211</v>
      </c>
      <c r="C19" s="122" t="s">
        <v>2634</v>
      </c>
      <c r="D19" s="122" t="s">
        <v>2635</v>
      </c>
      <c r="E19" s="122" t="s">
        <v>430</v>
      </c>
      <c r="F19" s="122" t="s">
        <v>2634</v>
      </c>
      <c r="G19" s="122" t="s">
        <v>2636</v>
      </c>
      <c r="H19" s="122" t="s">
        <v>76</v>
      </c>
      <c r="I19" s="122" t="s">
        <v>73</v>
      </c>
      <c r="J19" s="122" t="s">
        <v>61</v>
      </c>
      <c r="K19" s="122" t="s">
        <v>188</v>
      </c>
      <c r="L19" s="122" t="s">
        <v>805</v>
      </c>
      <c r="M19" s="122" t="s">
        <v>102</v>
      </c>
      <c r="N19" s="122" t="s">
        <v>1058</v>
      </c>
      <c r="O19" s="122" t="s">
        <v>62</v>
      </c>
      <c r="P19" s="122" t="s">
        <v>1217</v>
      </c>
      <c r="Q19" s="123">
        <v>3424</v>
      </c>
      <c r="R19" s="123">
        <v>3.306</v>
      </c>
      <c r="S19" s="123">
        <v>13747.52</v>
      </c>
      <c r="T19" s="123">
        <v>1556.184</v>
      </c>
      <c r="U19" s="125">
        <v>1.39E-3</v>
      </c>
      <c r="V19" s="125">
        <v>3.943E-2</v>
      </c>
      <c r="W19" s="126">
        <v>1.33E-3</v>
      </c>
      <c r="X19" s="161"/>
    </row>
    <row r="20" spans="1:24" x14ac:dyDescent="0.2">
      <c r="A20" s="121" t="s">
        <v>1223</v>
      </c>
      <c r="B20" s="122" t="s">
        <v>1224</v>
      </c>
      <c r="C20" s="122" t="s">
        <v>2597</v>
      </c>
      <c r="D20" s="122" t="s">
        <v>2598</v>
      </c>
      <c r="E20" s="122" t="s">
        <v>430</v>
      </c>
      <c r="F20" s="122" t="s">
        <v>2599</v>
      </c>
      <c r="G20" s="122" t="s">
        <v>2600</v>
      </c>
      <c r="H20" s="122" t="s">
        <v>76</v>
      </c>
      <c r="I20" s="122" t="s">
        <v>211</v>
      </c>
      <c r="J20" s="122" t="s">
        <v>61</v>
      </c>
      <c r="K20" s="122" t="s">
        <v>930</v>
      </c>
      <c r="L20" s="122" t="s">
        <v>805</v>
      </c>
      <c r="M20" s="122" t="s">
        <v>102</v>
      </c>
      <c r="N20" s="122" t="s">
        <v>1086</v>
      </c>
      <c r="O20" s="122" t="s">
        <v>62</v>
      </c>
      <c r="P20" s="122" t="s">
        <v>1217</v>
      </c>
      <c r="Q20" s="123">
        <v>856.51</v>
      </c>
      <c r="R20" s="123">
        <v>3.306</v>
      </c>
      <c r="S20" s="123">
        <v>144630.70000000001</v>
      </c>
      <c r="T20" s="123">
        <v>4095.395</v>
      </c>
      <c r="U20" s="132"/>
      <c r="V20" s="125">
        <v>0.40495999999999999</v>
      </c>
      <c r="W20" s="126">
        <v>2.7799999999999999E-3</v>
      </c>
      <c r="X20" s="161"/>
    </row>
    <row r="21" spans="1:24" x14ac:dyDescent="0.2">
      <c r="A21" s="121" t="s">
        <v>1223</v>
      </c>
      <c r="B21" s="122" t="s">
        <v>1224</v>
      </c>
      <c r="C21" s="122" t="s">
        <v>2601</v>
      </c>
      <c r="D21" s="122" t="s">
        <v>2602</v>
      </c>
      <c r="E21" s="122" t="s">
        <v>430</v>
      </c>
      <c r="F21" s="122" t="s">
        <v>2601</v>
      </c>
      <c r="G21" s="122" t="s">
        <v>2603</v>
      </c>
      <c r="H21" s="122" t="s">
        <v>76</v>
      </c>
      <c r="I21" s="122" t="s">
        <v>73</v>
      </c>
      <c r="J21" s="122" t="s">
        <v>61</v>
      </c>
      <c r="K21" s="122" t="s">
        <v>157</v>
      </c>
      <c r="L21" s="122" t="s">
        <v>805</v>
      </c>
      <c r="M21" s="122" t="s">
        <v>102</v>
      </c>
      <c r="N21" s="122" t="s">
        <v>1048</v>
      </c>
      <c r="O21" s="122" t="s">
        <v>62</v>
      </c>
      <c r="P21" s="122" t="s">
        <v>1217</v>
      </c>
      <c r="Q21" s="123">
        <v>72619.98</v>
      </c>
      <c r="R21" s="123">
        <v>3.306</v>
      </c>
      <c r="S21" s="123">
        <v>1433.42</v>
      </c>
      <c r="T21" s="123">
        <v>3441.3780000000002</v>
      </c>
      <c r="U21" s="125">
        <v>8.2000000000000007E-3</v>
      </c>
      <c r="V21" s="125">
        <v>0.34028999999999998</v>
      </c>
      <c r="W21" s="126">
        <v>2.3400000000000001E-3</v>
      </c>
      <c r="X21" s="161"/>
    </row>
    <row r="22" spans="1:24" x14ac:dyDescent="0.2">
      <c r="A22" s="121" t="s">
        <v>1223</v>
      </c>
      <c r="B22" s="122" t="s">
        <v>1224</v>
      </c>
      <c r="C22" s="122" t="s">
        <v>2604</v>
      </c>
      <c r="D22" s="122" t="s">
        <v>2605</v>
      </c>
      <c r="E22" s="122" t="s">
        <v>430</v>
      </c>
      <c r="F22" s="122" t="s">
        <v>2604</v>
      </c>
      <c r="G22" s="122" t="s">
        <v>2606</v>
      </c>
      <c r="H22" s="122" t="s">
        <v>76</v>
      </c>
      <c r="I22" s="122" t="s">
        <v>73</v>
      </c>
      <c r="J22" s="122" t="s">
        <v>61</v>
      </c>
      <c r="K22" s="122" t="s">
        <v>153</v>
      </c>
      <c r="L22" s="122" t="s">
        <v>805</v>
      </c>
      <c r="M22" s="122" t="s">
        <v>102</v>
      </c>
      <c r="N22" s="122" t="s">
        <v>1106</v>
      </c>
      <c r="O22" s="122" t="s">
        <v>62</v>
      </c>
      <c r="P22" s="122" t="s">
        <v>1218</v>
      </c>
      <c r="Q22" s="123">
        <v>1727.73</v>
      </c>
      <c r="R22" s="123">
        <v>3.8809999999999998</v>
      </c>
      <c r="S22" s="123">
        <v>24269</v>
      </c>
      <c r="T22" s="123">
        <v>1627.1880000000001</v>
      </c>
      <c r="U22" s="125">
        <v>3.141E-2</v>
      </c>
      <c r="V22" s="125">
        <v>0.16089999999999999</v>
      </c>
      <c r="W22" s="126">
        <v>1.1000000000000001E-3</v>
      </c>
      <c r="X22" s="161"/>
    </row>
    <row r="23" spans="1:24" x14ac:dyDescent="0.2">
      <c r="A23" s="121" t="s">
        <v>1223</v>
      </c>
      <c r="B23" s="122" t="s">
        <v>1224</v>
      </c>
      <c r="C23" s="122" t="s">
        <v>2607</v>
      </c>
      <c r="D23" s="122" t="s">
        <v>2608</v>
      </c>
      <c r="E23" s="122" t="s">
        <v>430</v>
      </c>
      <c r="F23" s="122" t="s">
        <v>2607</v>
      </c>
      <c r="G23" s="122" t="s">
        <v>2609</v>
      </c>
      <c r="H23" s="122" t="s">
        <v>76</v>
      </c>
      <c r="I23" s="122" t="s">
        <v>73</v>
      </c>
      <c r="J23" s="122" t="s">
        <v>61</v>
      </c>
      <c r="K23" s="122" t="s">
        <v>166</v>
      </c>
      <c r="L23" s="122" t="s">
        <v>805</v>
      </c>
      <c r="M23" s="122" t="s">
        <v>102</v>
      </c>
      <c r="N23" s="122" t="s">
        <v>1069</v>
      </c>
      <c r="O23" s="122" t="s">
        <v>62</v>
      </c>
      <c r="P23" s="122" t="s">
        <v>1217</v>
      </c>
      <c r="Q23" s="123">
        <v>1013.35</v>
      </c>
      <c r="R23" s="123">
        <v>3.306</v>
      </c>
      <c r="S23" s="123">
        <v>28328.15</v>
      </c>
      <c r="T23" s="123">
        <v>949.03099999999995</v>
      </c>
      <c r="U23" s="133"/>
      <c r="V23" s="125">
        <v>9.3840000000000007E-2</v>
      </c>
      <c r="W23" s="126">
        <v>6.4000000000000005E-4</v>
      </c>
      <c r="X23" s="161"/>
    </row>
    <row r="24" spans="1:24" x14ac:dyDescent="0.2">
      <c r="A24" s="121" t="s">
        <v>1223</v>
      </c>
      <c r="B24" s="122" t="s">
        <v>1225</v>
      </c>
      <c r="C24" s="122" t="s">
        <v>2597</v>
      </c>
      <c r="D24" s="122" t="s">
        <v>2598</v>
      </c>
      <c r="E24" s="122" t="s">
        <v>430</v>
      </c>
      <c r="F24" s="122" t="s">
        <v>2599</v>
      </c>
      <c r="G24" s="122" t="s">
        <v>2600</v>
      </c>
      <c r="H24" s="122" t="s">
        <v>76</v>
      </c>
      <c r="I24" s="122" t="s">
        <v>211</v>
      </c>
      <c r="J24" s="122" t="s">
        <v>61</v>
      </c>
      <c r="K24" s="122" t="s">
        <v>930</v>
      </c>
      <c r="L24" s="122" t="s">
        <v>805</v>
      </c>
      <c r="M24" s="122" t="s">
        <v>102</v>
      </c>
      <c r="N24" s="122" t="s">
        <v>1086</v>
      </c>
      <c r="O24" s="122" t="s">
        <v>62</v>
      </c>
      <c r="P24" s="122" t="s">
        <v>1217</v>
      </c>
      <c r="Q24" s="123">
        <v>28.31</v>
      </c>
      <c r="R24" s="123">
        <v>3.306</v>
      </c>
      <c r="S24" s="123">
        <v>144630.70000000001</v>
      </c>
      <c r="T24" s="123">
        <v>135.364</v>
      </c>
      <c r="U24" s="133"/>
      <c r="V24" s="125">
        <v>1</v>
      </c>
      <c r="W24" s="126">
        <v>1.341E-2</v>
      </c>
      <c r="X24" s="161"/>
    </row>
    <row r="25" spans="1:24" x14ac:dyDescent="0.2">
      <c r="A25" s="121" t="s">
        <v>1223</v>
      </c>
      <c r="B25" s="122" t="s">
        <v>1223</v>
      </c>
      <c r="C25" s="122" t="s">
        <v>2610</v>
      </c>
      <c r="D25" s="122" t="s">
        <v>2611</v>
      </c>
      <c r="E25" s="122" t="s">
        <v>429</v>
      </c>
      <c r="F25" s="122" t="s">
        <v>2612</v>
      </c>
      <c r="G25" s="122" t="s">
        <v>2613</v>
      </c>
      <c r="H25" s="122" t="s">
        <v>76</v>
      </c>
      <c r="I25" s="122" t="s">
        <v>73</v>
      </c>
      <c r="J25" s="122" t="s">
        <v>53</v>
      </c>
      <c r="K25" s="122" t="s">
        <v>930</v>
      </c>
      <c r="L25" s="122" t="s">
        <v>805</v>
      </c>
      <c r="M25" s="122" t="s">
        <v>311</v>
      </c>
      <c r="N25" s="122" t="s">
        <v>1098</v>
      </c>
      <c r="O25" s="122" t="s">
        <v>62</v>
      </c>
      <c r="P25" s="122" t="s">
        <v>1216</v>
      </c>
      <c r="Q25" s="123">
        <v>27322427.710000001</v>
      </c>
      <c r="R25" s="123">
        <v>1</v>
      </c>
      <c r="S25" s="123">
        <v>84.7</v>
      </c>
      <c r="T25" s="123">
        <v>23142.096000000001</v>
      </c>
      <c r="U25" s="125">
        <v>7.46E-2</v>
      </c>
      <c r="V25" s="125">
        <v>2.5569999999999999E-2</v>
      </c>
      <c r="W25" s="126">
        <v>8.4999999999999995E-4</v>
      </c>
      <c r="X25" s="161"/>
    </row>
    <row r="26" spans="1:24" x14ac:dyDescent="0.2">
      <c r="A26" s="121" t="s">
        <v>1223</v>
      </c>
      <c r="B26" s="122" t="s">
        <v>1223</v>
      </c>
      <c r="C26" s="122" t="s">
        <v>2597</v>
      </c>
      <c r="D26" s="122" t="s">
        <v>2598</v>
      </c>
      <c r="E26" s="122" t="s">
        <v>430</v>
      </c>
      <c r="F26" s="122" t="s">
        <v>2599</v>
      </c>
      <c r="G26" s="122" t="s">
        <v>2600</v>
      </c>
      <c r="H26" s="122" t="s">
        <v>76</v>
      </c>
      <c r="I26" s="122" t="s">
        <v>211</v>
      </c>
      <c r="J26" s="122" t="s">
        <v>61</v>
      </c>
      <c r="K26" s="122" t="s">
        <v>930</v>
      </c>
      <c r="L26" s="122" t="s">
        <v>805</v>
      </c>
      <c r="M26" s="122" t="s">
        <v>102</v>
      </c>
      <c r="N26" s="122" t="s">
        <v>1086</v>
      </c>
      <c r="O26" s="122" t="s">
        <v>62</v>
      </c>
      <c r="P26" s="122" t="s">
        <v>1217</v>
      </c>
      <c r="Q26" s="123">
        <v>33385.51</v>
      </c>
      <c r="R26" s="123">
        <v>3.306</v>
      </c>
      <c r="S26" s="123">
        <v>144630.70000000001</v>
      </c>
      <c r="T26" s="123">
        <v>159632.514</v>
      </c>
      <c r="U26" s="133"/>
      <c r="V26" s="125">
        <v>0.17637</v>
      </c>
      <c r="W26" s="126">
        <v>5.8500000000000002E-3</v>
      </c>
      <c r="X26" s="161"/>
    </row>
    <row r="27" spans="1:24" x14ac:dyDescent="0.2">
      <c r="A27" s="121" t="s">
        <v>1223</v>
      </c>
      <c r="B27" s="122" t="s">
        <v>1223</v>
      </c>
      <c r="C27" s="122" t="s">
        <v>2601</v>
      </c>
      <c r="D27" s="122" t="s">
        <v>2602</v>
      </c>
      <c r="E27" s="122" t="s">
        <v>430</v>
      </c>
      <c r="F27" s="122" t="s">
        <v>2601</v>
      </c>
      <c r="G27" s="122" t="s">
        <v>2603</v>
      </c>
      <c r="H27" s="122" t="s">
        <v>76</v>
      </c>
      <c r="I27" s="122" t="s">
        <v>73</v>
      </c>
      <c r="J27" s="122" t="s">
        <v>61</v>
      </c>
      <c r="K27" s="122" t="s">
        <v>157</v>
      </c>
      <c r="L27" s="122" t="s">
        <v>805</v>
      </c>
      <c r="M27" s="122" t="s">
        <v>102</v>
      </c>
      <c r="N27" s="122" t="s">
        <v>1048</v>
      </c>
      <c r="O27" s="122" t="s">
        <v>62</v>
      </c>
      <c r="P27" s="122" t="s">
        <v>1217</v>
      </c>
      <c r="Q27" s="123">
        <v>3211361.55</v>
      </c>
      <c r="R27" s="123">
        <v>3.306</v>
      </c>
      <c r="S27" s="123">
        <v>1433.42</v>
      </c>
      <c r="T27" s="123">
        <v>152182.78</v>
      </c>
      <c r="U27" s="125">
        <v>0.36270000000000002</v>
      </c>
      <c r="V27" s="125">
        <v>0.16814000000000001</v>
      </c>
      <c r="W27" s="126">
        <v>5.5700000000000003E-3</v>
      </c>
      <c r="X27" s="161"/>
    </row>
    <row r="28" spans="1:24" x14ac:dyDescent="0.2">
      <c r="A28" s="121" t="s">
        <v>1223</v>
      </c>
      <c r="B28" s="122" t="s">
        <v>1223</v>
      </c>
      <c r="C28" s="122" t="s">
        <v>2614</v>
      </c>
      <c r="D28" s="122" t="s">
        <v>2615</v>
      </c>
      <c r="E28" s="122" t="s">
        <v>430</v>
      </c>
      <c r="F28" s="122" t="s">
        <v>2614</v>
      </c>
      <c r="G28" s="122" t="s">
        <v>2616</v>
      </c>
      <c r="H28" s="122" t="s">
        <v>76</v>
      </c>
      <c r="I28" s="122" t="s">
        <v>73</v>
      </c>
      <c r="J28" s="122" t="s">
        <v>61</v>
      </c>
      <c r="K28" s="122" t="s">
        <v>315</v>
      </c>
      <c r="L28" s="122" t="s">
        <v>805</v>
      </c>
      <c r="M28" s="122" t="s">
        <v>494</v>
      </c>
      <c r="N28" s="122" t="s">
        <v>1057</v>
      </c>
      <c r="O28" s="122" t="s">
        <v>62</v>
      </c>
      <c r="P28" s="122" t="s">
        <v>1221</v>
      </c>
      <c r="Q28" s="123">
        <v>1861370.01</v>
      </c>
      <c r="R28" s="123">
        <v>4.4409999999999998</v>
      </c>
      <c r="S28" s="123">
        <v>1310.29</v>
      </c>
      <c r="T28" s="123">
        <v>108310.643</v>
      </c>
      <c r="U28" s="125">
        <v>1.1270000000000001E-2</v>
      </c>
      <c r="V28" s="125">
        <v>0.11967</v>
      </c>
      <c r="W28" s="126">
        <v>3.9699999999999996E-3</v>
      </c>
      <c r="X28" s="161"/>
    </row>
    <row r="29" spans="1:24" x14ac:dyDescent="0.2">
      <c r="A29" s="121" t="s">
        <v>1223</v>
      </c>
      <c r="B29" s="122" t="s">
        <v>1223</v>
      </c>
      <c r="C29" s="122" t="s">
        <v>2617</v>
      </c>
      <c r="D29" s="122" t="s">
        <v>2618</v>
      </c>
      <c r="E29" s="122" t="s">
        <v>102</v>
      </c>
      <c r="F29" s="122" t="s">
        <v>2619</v>
      </c>
      <c r="G29" s="122" t="s">
        <v>2620</v>
      </c>
      <c r="H29" s="122" t="s">
        <v>76</v>
      </c>
      <c r="I29" s="122" t="s">
        <v>73</v>
      </c>
      <c r="J29" s="122" t="s">
        <v>61</v>
      </c>
      <c r="K29" s="133"/>
      <c r="L29" s="133"/>
      <c r="M29" s="122"/>
      <c r="N29" s="133"/>
      <c r="O29" s="122" t="s">
        <v>62</v>
      </c>
      <c r="P29" s="122" t="s">
        <v>1217</v>
      </c>
      <c r="Q29" s="123">
        <v>149955.1</v>
      </c>
      <c r="R29" s="123">
        <v>3.306</v>
      </c>
      <c r="S29" s="123">
        <v>17075.78</v>
      </c>
      <c r="T29" s="123">
        <v>84653.445999999996</v>
      </c>
      <c r="U29" s="125">
        <v>0.61965000000000003</v>
      </c>
      <c r="V29" s="125">
        <v>9.3530000000000002E-2</v>
      </c>
      <c r="W29" s="126">
        <v>3.0999999999999999E-3</v>
      </c>
      <c r="X29" s="161"/>
    </row>
    <row r="30" spans="1:24" x14ac:dyDescent="0.2">
      <c r="A30" s="121" t="s">
        <v>1223</v>
      </c>
      <c r="B30" s="122" t="s">
        <v>1223</v>
      </c>
      <c r="C30" s="122" t="s">
        <v>2621</v>
      </c>
      <c r="D30" s="122" t="s">
        <v>2622</v>
      </c>
      <c r="E30" s="122" t="s">
        <v>430</v>
      </c>
      <c r="F30" s="122" t="s">
        <v>2623</v>
      </c>
      <c r="G30" s="122" t="s">
        <v>2624</v>
      </c>
      <c r="H30" s="122" t="s">
        <v>76</v>
      </c>
      <c r="I30" s="122" t="s">
        <v>73</v>
      </c>
      <c r="J30" s="122" t="s">
        <v>61</v>
      </c>
      <c r="K30" s="122" t="s">
        <v>314</v>
      </c>
      <c r="L30" s="122" t="s">
        <v>805</v>
      </c>
      <c r="M30" s="122" t="s">
        <v>494</v>
      </c>
      <c r="N30" s="122" t="s">
        <v>759</v>
      </c>
      <c r="O30" s="122" t="s">
        <v>62</v>
      </c>
      <c r="P30" s="122" t="s">
        <v>1217</v>
      </c>
      <c r="Q30" s="123">
        <v>491318.42</v>
      </c>
      <c r="R30" s="123">
        <v>3.306</v>
      </c>
      <c r="S30" s="123">
        <v>4800</v>
      </c>
      <c r="T30" s="123">
        <v>77966.337</v>
      </c>
      <c r="U30" s="133"/>
      <c r="V30" s="125">
        <v>8.6139999999999994E-2</v>
      </c>
      <c r="W30" s="126">
        <v>2.8600000000000001E-3</v>
      </c>
      <c r="X30" s="161"/>
    </row>
    <row r="31" spans="1:24" x14ac:dyDescent="0.2">
      <c r="A31" s="121" t="s">
        <v>1223</v>
      </c>
      <c r="B31" s="122" t="s">
        <v>1223</v>
      </c>
      <c r="C31" s="122" t="s">
        <v>2604</v>
      </c>
      <c r="D31" s="122" t="s">
        <v>2605</v>
      </c>
      <c r="E31" s="122" t="s">
        <v>430</v>
      </c>
      <c r="F31" s="122" t="s">
        <v>2604</v>
      </c>
      <c r="G31" s="122" t="s">
        <v>2606</v>
      </c>
      <c r="H31" s="122" t="s">
        <v>76</v>
      </c>
      <c r="I31" s="122" t="s">
        <v>73</v>
      </c>
      <c r="J31" s="122" t="s">
        <v>61</v>
      </c>
      <c r="K31" s="122" t="s">
        <v>153</v>
      </c>
      <c r="L31" s="122" t="s">
        <v>805</v>
      </c>
      <c r="M31" s="122" t="s">
        <v>102</v>
      </c>
      <c r="N31" s="122" t="s">
        <v>1106</v>
      </c>
      <c r="O31" s="122" t="s">
        <v>62</v>
      </c>
      <c r="P31" s="122" t="s">
        <v>1218</v>
      </c>
      <c r="Q31" s="123">
        <v>79049.22</v>
      </c>
      <c r="R31" s="123">
        <v>3.8809999999999998</v>
      </c>
      <c r="S31" s="123">
        <v>24269</v>
      </c>
      <c r="T31" s="123">
        <v>74449.115000000005</v>
      </c>
      <c r="U31" s="125">
        <v>1.43726</v>
      </c>
      <c r="V31" s="125">
        <v>8.226E-2</v>
      </c>
      <c r="W31" s="126">
        <v>2.7299999999999998E-3</v>
      </c>
      <c r="X31" s="161"/>
    </row>
    <row r="32" spans="1:24" x14ac:dyDescent="0.2">
      <c r="A32" s="121" t="s">
        <v>1223</v>
      </c>
      <c r="B32" s="122" t="s">
        <v>1223</v>
      </c>
      <c r="C32" s="122" t="s">
        <v>2625</v>
      </c>
      <c r="D32" s="122" t="s">
        <v>2626</v>
      </c>
      <c r="E32" s="122" t="s">
        <v>430</v>
      </c>
      <c r="F32" s="122" t="s">
        <v>2625</v>
      </c>
      <c r="G32" s="122" t="s">
        <v>2627</v>
      </c>
      <c r="H32" s="122" t="s">
        <v>76</v>
      </c>
      <c r="I32" s="122" t="s">
        <v>73</v>
      </c>
      <c r="J32" s="122" t="s">
        <v>61</v>
      </c>
      <c r="K32" s="122" t="s">
        <v>203</v>
      </c>
      <c r="L32" s="122" t="s">
        <v>805</v>
      </c>
      <c r="M32" s="122" t="s">
        <v>102</v>
      </c>
      <c r="N32" s="122" t="s">
        <v>1108</v>
      </c>
      <c r="O32" s="122" t="s">
        <v>62</v>
      </c>
      <c r="P32" s="122" t="s">
        <v>1217</v>
      </c>
      <c r="Q32" s="123">
        <v>1737968.54</v>
      </c>
      <c r="R32" s="123">
        <v>3.306</v>
      </c>
      <c r="S32" s="123">
        <v>1118.5999999999999</v>
      </c>
      <c r="T32" s="123">
        <v>64271.669000000002</v>
      </c>
      <c r="U32" s="125">
        <v>7.0879999999999999E-2</v>
      </c>
      <c r="V32" s="125">
        <v>7.1010000000000004E-2</v>
      </c>
      <c r="W32" s="126">
        <v>2.3500000000000001E-3</v>
      </c>
      <c r="X32" s="161"/>
    </row>
    <row r="33" spans="1:24" x14ac:dyDescent="0.2">
      <c r="A33" s="121" t="s">
        <v>1223</v>
      </c>
      <c r="B33" s="122" t="s">
        <v>1223</v>
      </c>
      <c r="C33" s="122" t="s">
        <v>2628</v>
      </c>
      <c r="D33" s="122" t="s">
        <v>2629</v>
      </c>
      <c r="E33" s="122" t="s">
        <v>430</v>
      </c>
      <c r="F33" s="122" t="s">
        <v>2628</v>
      </c>
      <c r="G33" s="122" t="s">
        <v>2630</v>
      </c>
      <c r="H33" s="122" t="s">
        <v>76</v>
      </c>
      <c r="I33" s="122" t="s">
        <v>211</v>
      </c>
      <c r="J33" s="122" t="s">
        <v>61</v>
      </c>
      <c r="K33" s="122" t="s">
        <v>173</v>
      </c>
      <c r="L33" s="122" t="s">
        <v>805</v>
      </c>
      <c r="M33" s="122" t="s">
        <v>102</v>
      </c>
      <c r="N33" s="122" t="s">
        <v>1086</v>
      </c>
      <c r="O33" s="122" t="s">
        <v>62</v>
      </c>
      <c r="P33" s="122" t="s">
        <v>1217</v>
      </c>
      <c r="Q33" s="123">
        <v>69524.91</v>
      </c>
      <c r="R33" s="123">
        <v>3.306</v>
      </c>
      <c r="S33" s="123">
        <v>19478</v>
      </c>
      <c r="T33" s="123">
        <v>44770.057000000001</v>
      </c>
      <c r="U33" s="125">
        <v>8.3499999999999998E-3</v>
      </c>
      <c r="V33" s="125">
        <v>4.9459999999999997E-2</v>
      </c>
      <c r="W33" s="126">
        <v>1.64E-3</v>
      </c>
      <c r="X33" s="161"/>
    </row>
    <row r="34" spans="1:24" x14ac:dyDescent="0.2">
      <c r="A34" s="121" t="s">
        <v>1223</v>
      </c>
      <c r="B34" s="122" t="s">
        <v>1223</v>
      </c>
      <c r="C34" s="122" t="s">
        <v>2631</v>
      </c>
      <c r="D34" s="122" t="s">
        <v>2632</v>
      </c>
      <c r="E34" s="122" t="s">
        <v>430</v>
      </c>
      <c r="F34" s="122" t="s">
        <v>2631</v>
      </c>
      <c r="G34" s="122" t="s">
        <v>2633</v>
      </c>
      <c r="H34" s="122" t="s">
        <v>76</v>
      </c>
      <c r="I34" s="122" t="s">
        <v>73</v>
      </c>
      <c r="J34" s="122" t="s">
        <v>61</v>
      </c>
      <c r="K34" s="122" t="s">
        <v>314</v>
      </c>
      <c r="L34" s="122" t="s">
        <v>805</v>
      </c>
      <c r="M34" s="122" t="s">
        <v>494</v>
      </c>
      <c r="N34" s="122" t="s">
        <v>759</v>
      </c>
      <c r="O34" s="122" t="s">
        <v>62</v>
      </c>
      <c r="P34" s="122" t="s">
        <v>1217</v>
      </c>
      <c r="Q34" s="123">
        <v>6580632.8399999999</v>
      </c>
      <c r="R34" s="123">
        <v>3.306</v>
      </c>
      <c r="S34" s="123">
        <v>201.88</v>
      </c>
      <c r="T34" s="123">
        <v>43920.148999999998</v>
      </c>
      <c r="U34" s="125">
        <v>2.162E-2</v>
      </c>
      <c r="V34" s="125">
        <v>4.8529999999999997E-2</v>
      </c>
      <c r="W34" s="126">
        <v>1.6100000000000001E-3</v>
      </c>
      <c r="X34" s="161"/>
    </row>
    <row r="35" spans="1:24" x14ac:dyDescent="0.2">
      <c r="A35" s="121" t="s">
        <v>1223</v>
      </c>
      <c r="B35" s="122" t="s">
        <v>1223</v>
      </c>
      <c r="C35" s="122" t="s">
        <v>2607</v>
      </c>
      <c r="D35" s="122" t="s">
        <v>2608</v>
      </c>
      <c r="E35" s="122" t="s">
        <v>430</v>
      </c>
      <c r="F35" s="122" t="s">
        <v>2607</v>
      </c>
      <c r="G35" s="122" t="s">
        <v>2609</v>
      </c>
      <c r="H35" s="122" t="s">
        <v>76</v>
      </c>
      <c r="I35" s="122" t="s">
        <v>73</v>
      </c>
      <c r="J35" s="122" t="s">
        <v>61</v>
      </c>
      <c r="K35" s="122" t="s">
        <v>166</v>
      </c>
      <c r="L35" s="122" t="s">
        <v>805</v>
      </c>
      <c r="M35" s="122" t="s">
        <v>102</v>
      </c>
      <c r="N35" s="122" t="s">
        <v>1069</v>
      </c>
      <c r="O35" s="122" t="s">
        <v>62</v>
      </c>
      <c r="P35" s="122" t="s">
        <v>1217</v>
      </c>
      <c r="Q35" s="123">
        <v>39679.07</v>
      </c>
      <c r="R35" s="123">
        <v>3.306</v>
      </c>
      <c r="S35" s="123">
        <v>28328.15</v>
      </c>
      <c r="T35" s="123">
        <v>37160.584999999999</v>
      </c>
      <c r="U35" s="133"/>
      <c r="V35" s="125">
        <v>4.1059999999999999E-2</v>
      </c>
      <c r="W35" s="126">
        <v>1.3600000000000001E-3</v>
      </c>
      <c r="X35" s="161"/>
    </row>
    <row r="36" spans="1:24" x14ac:dyDescent="0.2">
      <c r="A36" s="127" t="s">
        <v>1223</v>
      </c>
      <c r="B36" s="128" t="s">
        <v>1223</v>
      </c>
      <c r="C36" s="128" t="s">
        <v>2634</v>
      </c>
      <c r="D36" s="128" t="s">
        <v>2635</v>
      </c>
      <c r="E36" s="128" t="s">
        <v>430</v>
      </c>
      <c r="F36" s="128" t="s">
        <v>2634</v>
      </c>
      <c r="G36" s="128" t="s">
        <v>2636</v>
      </c>
      <c r="H36" s="128" t="s">
        <v>76</v>
      </c>
      <c r="I36" s="128" t="s">
        <v>73</v>
      </c>
      <c r="J36" s="128" t="s">
        <v>61</v>
      </c>
      <c r="K36" s="128" t="s">
        <v>188</v>
      </c>
      <c r="L36" s="128" t="s">
        <v>805</v>
      </c>
      <c r="M36" s="128" t="s">
        <v>102</v>
      </c>
      <c r="N36" s="128" t="s">
        <v>1058</v>
      </c>
      <c r="O36" s="128" t="s">
        <v>62</v>
      </c>
      <c r="P36" s="128" t="s">
        <v>1217</v>
      </c>
      <c r="Q36" s="129">
        <v>76204</v>
      </c>
      <c r="R36" s="129">
        <v>3.306</v>
      </c>
      <c r="S36" s="129">
        <v>13747.52</v>
      </c>
      <c r="T36" s="129">
        <v>34634.184999999998</v>
      </c>
      <c r="U36" s="130">
        <v>3.099E-2</v>
      </c>
      <c r="V36" s="130">
        <v>3.8269999999999998E-2</v>
      </c>
      <c r="W36" s="131">
        <v>1.2700000000000001E-3</v>
      </c>
      <c r="X36" s="161"/>
    </row>
    <row r="37" spans="1:24" x14ac:dyDescent="0.2">
      <c r="A37" s="161" t="s">
        <v>3483</v>
      </c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spans="1:24" x14ac:dyDescent="0.2">
      <c r="A38" s="3" t="s">
        <v>3482</v>
      </c>
    </row>
    <row r="39" spans="1:24" x14ac:dyDescent="0.2">
      <c r="A39" s="15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37:W37"/>
    <mergeCell ref="X2:X36"/>
  </mergeCells>
  <dataValidations count="8">
    <dataValidation type="list" allowBlank="1" showInputMessage="1" showErrorMessage="1" sqref="J3:J21" xr:uid="{00000000-0002-0000-0900-000000000000}">
      <formula1>israel_abroad</formula1>
    </dataValidation>
    <dataValidation type="list" allowBlank="1" showInputMessage="1" showErrorMessage="1" sqref="O3:O21" xr:uid="{00000000-0002-0000-0900-000001000000}">
      <formula1>Holding_interest</formula1>
    </dataValidation>
    <dataValidation type="list" allowBlank="1" showInputMessage="1" showErrorMessage="1" sqref="N3:N21" xr:uid="{00000000-0002-0000-0900-000002000000}">
      <formula1>Fund_type</formula1>
    </dataValidation>
    <dataValidation type="list" allowBlank="1" showInputMessage="1" showErrorMessage="1" sqref="E3:E21" xr:uid="{00000000-0002-0000-0900-000003000000}">
      <formula1>Issuer_Type_TFunds</formula1>
    </dataValidation>
    <dataValidation type="list" allowBlank="1" showInputMessage="1" showErrorMessage="1" sqref="H3:H21" xr:uid="{00000000-0002-0000-0900-000004000000}">
      <formula1>Security_ID_Number_Type</formula1>
    </dataValidation>
    <dataValidation type="list" allowBlank="1" showInputMessage="1" showErrorMessage="1" sqref="L3:L21" xr:uid="{00000000-0002-0000-0900-000005000000}">
      <formula1>tradeable_status_funds</formula1>
    </dataValidation>
    <dataValidation type="list" allowBlank="1" showInputMessage="1" showErrorMessage="1" sqref="K3:K21" xr:uid="{00000000-0002-0000-0900-000006000000}">
      <formula1>Country_list_funds</formula1>
    </dataValidation>
    <dataValidation type="list" allowBlank="1" showInputMessage="1" showErrorMessage="1" sqref="M3:M21" xr:uid="{00000000-0002-0000-0900-000007000000}">
      <formula1>Stock_Exchange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8000000}">
          <x14:formula1>
            <xm:f>'אפשרויות בחירה'!$C$897:$C$900</xm:f>
          </x14:formula1>
          <xm:sqref>I3:I21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A2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9" width="11.625" customWidth="1"/>
    <col min="10" max="10" width="19.875" customWidth="1"/>
    <col min="11" max="11" width="13.75" customWidth="1"/>
    <col min="12" max="12" width="11.625" customWidth="1"/>
    <col min="13" max="13" width="18.625" customWidth="1"/>
    <col min="14" max="14" width="11.625" customWidth="1"/>
    <col min="15" max="15" width="12" customWidth="1"/>
    <col min="16" max="16" width="15.125" customWidth="1"/>
    <col min="17" max="17" width="11.75" customWidth="1"/>
    <col min="18" max="19" width="11.625" customWidth="1"/>
    <col min="20" max="20" width="14.875" customWidth="1"/>
    <col min="21" max="21" width="11.625" customWidth="1"/>
    <col min="22" max="22" width="12.875" customWidth="1"/>
    <col min="23" max="23" width="17.875" customWidth="1"/>
    <col min="24" max="24" width="21.75" customWidth="1"/>
    <col min="25" max="25" width="20.125" customWidth="1"/>
    <col min="26" max="27" width="11.625" hidden="1" customWidth="1"/>
    <col min="28" max="16384" width="9" hidden="1"/>
  </cols>
  <sheetData>
    <row r="1" spans="1:26" x14ac:dyDescent="0.2">
      <c r="A1" t="s">
        <v>3494</v>
      </c>
    </row>
    <row r="2" spans="1:26" x14ac:dyDescent="0.2">
      <c r="A2" s="118" t="s">
        <v>651</v>
      </c>
      <c r="B2" s="119" t="s">
        <v>0</v>
      </c>
      <c r="C2" s="119" t="s">
        <v>724</v>
      </c>
      <c r="D2" s="119" t="s">
        <v>2</v>
      </c>
      <c r="E2" s="119" t="s">
        <v>740</v>
      </c>
      <c r="F2" s="119" t="s">
        <v>1145</v>
      </c>
      <c r="G2" s="119" t="s">
        <v>29</v>
      </c>
      <c r="H2" s="119" t="s">
        <v>28</v>
      </c>
      <c r="I2" s="119" t="s">
        <v>604</v>
      </c>
      <c r="J2" s="119" t="s">
        <v>605</v>
      </c>
      <c r="K2" s="119" t="s">
        <v>609</v>
      </c>
      <c r="L2" s="119" t="s">
        <v>5</v>
      </c>
      <c r="M2" s="119" t="s">
        <v>738</v>
      </c>
      <c r="N2" s="119" t="s">
        <v>9</v>
      </c>
      <c r="O2" s="119" t="s">
        <v>666</v>
      </c>
      <c r="P2" s="119" t="s">
        <v>606</v>
      </c>
      <c r="Q2" s="119" t="s">
        <v>396</v>
      </c>
      <c r="R2" s="119" t="s">
        <v>23</v>
      </c>
      <c r="S2" s="119" t="s">
        <v>613</v>
      </c>
      <c r="T2" s="119" t="s">
        <v>773</v>
      </c>
      <c r="U2" s="119" t="s">
        <v>11</v>
      </c>
      <c r="V2" s="119" t="s">
        <v>15</v>
      </c>
      <c r="W2" s="119" t="s">
        <v>1153</v>
      </c>
      <c r="X2" s="119" t="s">
        <v>19</v>
      </c>
      <c r="Y2" s="120" t="s">
        <v>30</v>
      </c>
      <c r="Z2" s="159" t="s">
        <v>3484</v>
      </c>
    </row>
    <row r="3" spans="1:26" x14ac:dyDescent="0.2">
      <c r="A3" s="121" t="s">
        <v>1211</v>
      </c>
      <c r="B3" s="122" t="s">
        <v>1211</v>
      </c>
      <c r="C3" s="122" t="s">
        <v>1575</v>
      </c>
      <c r="D3" s="122" t="s">
        <v>1576</v>
      </c>
      <c r="E3" s="122" t="s">
        <v>429</v>
      </c>
      <c r="F3" s="122" t="s">
        <v>2637</v>
      </c>
      <c r="G3" s="122" t="s">
        <v>2638</v>
      </c>
      <c r="H3" s="122" t="s">
        <v>76</v>
      </c>
      <c r="I3" s="122" t="s">
        <v>53</v>
      </c>
      <c r="J3" s="122" t="s">
        <v>53</v>
      </c>
      <c r="K3" s="122" t="s">
        <v>805</v>
      </c>
      <c r="L3" s="122" t="s">
        <v>311</v>
      </c>
      <c r="M3" s="122" t="s">
        <v>1966</v>
      </c>
      <c r="N3" s="122" t="s">
        <v>635</v>
      </c>
      <c r="O3" s="122" t="s">
        <v>2639</v>
      </c>
      <c r="P3" s="122" t="s">
        <v>62</v>
      </c>
      <c r="Q3" s="122" t="s">
        <v>1216</v>
      </c>
      <c r="R3" s="123">
        <v>58000</v>
      </c>
      <c r="S3" s="123">
        <v>1</v>
      </c>
      <c r="T3" s="123">
        <v>2533</v>
      </c>
      <c r="U3" s="123">
        <v>1</v>
      </c>
      <c r="V3" s="123">
        <v>12600</v>
      </c>
      <c r="W3" s="123">
        <v>319.15800000000002</v>
      </c>
      <c r="X3" s="125">
        <v>0.93733999999999995</v>
      </c>
      <c r="Y3" s="126">
        <v>2.7E-4</v>
      </c>
      <c r="Z3" s="159"/>
    </row>
    <row r="4" spans="1:26" x14ac:dyDescent="0.2">
      <c r="A4" s="121" t="s">
        <v>1211</v>
      </c>
      <c r="B4" s="122" t="s">
        <v>1211</v>
      </c>
      <c r="C4" s="122" t="s">
        <v>1790</v>
      </c>
      <c r="D4" s="122" t="s">
        <v>1791</v>
      </c>
      <c r="E4" s="122" t="s">
        <v>429</v>
      </c>
      <c r="F4" s="122" t="s">
        <v>2640</v>
      </c>
      <c r="G4" s="122" t="s">
        <v>2641</v>
      </c>
      <c r="H4" s="122" t="s">
        <v>76</v>
      </c>
      <c r="I4" s="122" t="s">
        <v>53</v>
      </c>
      <c r="J4" s="122" t="s">
        <v>53</v>
      </c>
      <c r="K4" s="122" t="s">
        <v>805</v>
      </c>
      <c r="L4" s="122" t="s">
        <v>311</v>
      </c>
      <c r="M4" s="122" t="s">
        <v>2642</v>
      </c>
      <c r="N4" s="122" t="s">
        <v>267</v>
      </c>
      <c r="O4" s="122" t="s">
        <v>2643</v>
      </c>
      <c r="P4" s="122" t="s">
        <v>62</v>
      </c>
      <c r="Q4" s="122" t="s">
        <v>1216</v>
      </c>
      <c r="R4" s="123">
        <v>11971.28</v>
      </c>
      <c r="S4" s="123">
        <v>1</v>
      </c>
      <c r="T4" s="123">
        <v>1326</v>
      </c>
      <c r="U4" s="123">
        <v>1</v>
      </c>
      <c r="V4" s="123">
        <v>1609</v>
      </c>
      <c r="W4" s="123">
        <v>21.335000000000001</v>
      </c>
      <c r="X4" s="125">
        <v>6.2659999999999993E-2</v>
      </c>
      <c r="Y4" s="126">
        <v>2.0000000000000002E-5</v>
      </c>
      <c r="Z4" s="159"/>
    </row>
    <row r="5" spans="1:26" x14ac:dyDescent="0.2">
      <c r="A5" s="121" t="s">
        <v>1223</v>
      </c>
      <c r="B5" s="122" t="s">
        <v>1223</v>
      </c>
      <c r="C5" s="122" t="s">
        <v>1575</v>
      </c>
      <c r="D5" s="122" t="s">
        <v>1576</v>
      </c>
      <c r="E5" s="122" t="s">
        <v>429</v>
      </c>
      <c r="F5" s="122" t="s">
        <v>2637</v>
      </c>
      <c r="G5" s="122" t="s">
        <v>2638</v>
      </c>
      <c r="H5" s="122" t="s">
        <v>76</v>
      </c>
      <c r="I5" s="122" t="s">
        <v>53</v>
      </c>
      <c r="J5" s="122" t="s">
        <v>53</v>
      </c>
      <c r="K5" s="122" t="s">
        <v>805</v>
      </c>
      <c r="L5" s="122" t="s">
        <v>311</v>
      </c>
      <c r="M5" s="122" t="s">
        <v>1966</v>
      </c>
      <c r="N5" s="122" t="s">
        <v>635</v>
      </c>
      <c r="O5" s="122" t="s">
        <v>2639</v>
      </c>
      <c r="P5" s="122" t="s">
        <v>62</v>
      </c>
      <c r="Q5" s="122" t="s">
        <v>1216</v>
      </c>
      <c r="R5" s="123">
        <v>58000</v>
      </c>
      <c r="S5" s="123">
        <v>1</v>
      </c>
      <c r="T5" s="123">
        <v>57001</v>
      </c>
      <c r="U5" s="123">
        <v>1</v>
      </c>
      <c r="V5" s="123">
        <v>12600</v>
      </c>
      <c r="W5" s="123">
        <v>7182.1260000000002</v>
      </c>
      <c r="X5" s="125">
        <v>0.93537999999999999</v>
      </c>
      <c r="Y5" s="126">
        <v>2.5999999999999998E-4</v>
      </c>
      <c r="Z5" s="159"/>
    </row>
    <row r="6" spans="1:26" x14ac:dyDescent="0.2">
      <c r="A6" s="121" t="s">
        <v>1223</v>
      </c>
      <c r="B6" s="122" t="s">
        <v>1223</v>
      </c>
      <c r="C6" s="122" t="s">
        <v>1790</v>
      </c>
      <c r="D6" s="122" t="s">
        <v>1791</v>
      </c>
      <c r="E6" s="122" t="s">
        <v>429</v>
      </c>
      <c r="F6" s="122" t="s">
        <v>2640</v>
      </c>
      <c r="G6" s="122" t="s">
        <v>2641</v>
      </c>
      <c r="H6" s="122" t="s">
        <v>76</v>
      </c>
      <c r="I6" s="122" t="s">
        <v>53</v>
      </c>
      <c r="J6" s="122" t="s">
        <v>53</v>
      </c>
      <c r="K6" s="122" t="s">
        <v>805</v>
      </c>
      <c r="L6" s="122" t="s">
        <v>311</v>
      </c>
      <c r="M6" s="122" t="s">
        <v>2642</v>
      </c>
      <c r="N6" s="122" t="s">
        <v>267</v>
      </c>
      <c r="O6" s="122" t="s">
        <v>2643</v>
      </c>
      <c r="P6" s="122" t="s">
        <v>62</v>
      </c>
      <c r="Q6" s="122" t="s">
        <v>1216</v>
      </c>
      <c r="R6" s="123">
        <v>11971.28</v>
      </c>
      <c r="S6" s="123">
        <v>1</v>
      </c>
      <c r="T6" s="123">
        <v>30838</v>
      </c>
      <c r="U6" s="123">
        <v>1</v>
      </c>
      <c r="V6" s="123">
        <v>1609</v>
      </c>
      <c r="W6" s="123">
        <v>496.18299999999999</v>
      </c>
      <c r="X6" s="125">
        <v>6.4619999999999997E-2</v>
      </c>
      <c r="Y6" s="126">
        <v>2.0000000000000002E-5</v>
      </c>
      <c r="Z6" s="159"/>
    </row>
    <row r="7" spans="1:26" x14ac:dyDescent="0.2">
      <c r="A7" s="121" t="s">
        <v>1211</v>
      </c>
      <c r="B7" s="122" t="s">
        <v>1212</v>
      </c>
      <c r="C7" s="135"/>
      <c r="D7" s="135"/>
      <c r="E7" s="132"/>
      <c r="F7" s="135"/>
      <c r="G7" s="135"/>
      <c r="H7" s="132"/>
      <c r="I7" s="132"/>
      <c r="J7" s="132"/>
      <c r="K7" s="135"/>
      <c r="L7" s="132"/>
      <c r="M7" s="135"/>
      <c r="N7" s="135"/>
      <c r="O7" s="135"/>
      <c r="P7" s="135"/>
      <c r="Q7" s="132"/>
      <c r="R7" s="132"/>
      <c r="S7" s="132"/>
      <c r="T7" s="135"/>
      <c r="U7" s="135"/>
      <c r="V7" s="135"/>
      <c r="W7" s="135"/>
      <c r="X7" s="135"/>
      <c r="Y7" s="140"/>
      <c r="Z7" s="159"/>
    </row>
    <row r="8" spans="1:26" x14ac:dyDescent="0.2">
      <c r="A8" s="121" t="s">
        <v>1211</v>
      </c>
      <c r="B8" s="122" t="s">
        <v>1220</v>
      </c>
      <c r="C8" s="135"/>
      <c r="D8" s="135"/>
      <c r="E8" s="132"/>
      <c r="F8" s="135"/>
      <c r="G8" s="135"/>
      <c r="H8" s="132"/>
      <c r="I8" s="132"/>
      <c r="J8" s="132"/>
      <c r="K8" s="135"/>
      <c r="L8" s="132"/>
      <c r="M8" s="135"/>
      <c r="N8" s="135"/>
      <c r="O8" s="135"/>
      <c r="P8" s="135"/>
      <c r="Q8" s="132"/>
      <c r="R8" s="132"/>
      <c r="S8" s="132"/>
      <c r="T8" s="135"/>
      <c r="U8" s="135"/>
      <c r="V8" s="135"/>
      <c r="W8" s="135"/>
      <c r="X8" s="135"/>
      <c r="Y8" s="140"/>
      <c r="Z8" s="159"/>
    </row>
    <row r="9" spans="1:26" x14ac:dyDescent="0.2">
      <c r="A9" s="121" t="s">
        <v>1223</v>
      </c>
      <c r="B9" s="122" t="s">
        <v>1224</v>
      </c>
      <c r="C9" s="135"/>
      <c r="D9" s="135"/>
      <c r="E9" s="132"/>
      <c r="F9" s="135"/>
      <c r="G9" s="135"/>
      <c r="H9" s="132"/>
      <c r="I9" s="132"/>
      <c r="J9" s="132"/>
      <c r="K9" s="135"/>
      <c r="L9" s="132"/>
      <c r="M9" s="135"/>
      <c r="N9" s="135"/>
      <c r="O9" s="135"/>
      <c r="P9" s="135"/>
      <c r="Q9" s="132"/>
      <c r="R9" s="132"/>
      <c r="S9" s="132"/>
      <c r="T9" s="135"/>
      <c r="U9" s="135"/>
      <c r="V9" s="135"/>
      <c r="W9" s="135"/>
      <c r="X9" s="135"/>
      <c r="Y9" s="140"/>
      <c r="Z9" s="159"/>
    </row>
    <row r="10" spans="1:26" x14ac:dyDescent="0.2">
      <c r="A10" s="127" t="s">
        <v>1223</v>
      </c>
      <c r="B10" s="128" t="s">
        <v>1225</v>
      </c>
      <c r="C10" s="138"/>
      <c r="D10" s="138"/>
      <c r="E10" s="137"/>
      <c r="F10" s="138"/>
      <c r="G10" s="138"/>
      <c r="H10" s="137"/>
      <c r="I10" s="137"/>
      <c r="J10" s="137"/>
      <c r="K10" s="138"/>
      <c r="L10" s="137"/>
      <c r="M10" s="138"/>
      <c r="N10" s="138"/>
      <c r="O10" s="138"/>
      <c r="P10" s="138"/>
      <c r="Q10" s="137"/>
      <c r="R10" s="137"/>
      <c r="S10" s="137"/>
      <c r="T10" s="138"/>
      <c r="U10" s="138"/>
      <c r="V10" s="138"/>
      <c r="W10" s="138"/>
      <c r="X10" s="138"/>
      <c r="Y10" s="141"/>
      <c r="Z10" s="159"/>
    </row>
    <row r="11" spans="1:26" x14ac:dyDescent="0.2">
      <c r="A11" s="162" t="s">
        <v>3483</v>
      </c>
      <c r="B11" s="162"/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</row>
    <row r="12" spans="1:26" x14ac:dyDescent="0.2">
      <c r="A12" s="9" t="s">
        <v>3482</v>
      </c>
      <c r="B12" s="9"/>
      <c r="C12" s="9"/>
      <c r="D12" s="9"/>
      <c r="E12" s="11"/>
      <c r="F12" s="9"/>
      <c r="G12" s="9"/>
      <c r="H12" s="11"/>
      <c r="I12" s="11"/>
      <c r="J12" s="11"/>
      <c r="K12" s="9"/>
      <c r="L12" s="11"/>
      <c r="M12" s="9"/>
      <c r="N12" s="9"/>
      <c r="O12" s="9"/>
      <c r="P12" s="9"/>
      <c r="Q12" s="11"/>
      <c r="R12" s="11"/>
      <c r="S12" s="11"/>
      <c r="T12" s="9"/>
      <c r="U12" s="9"/>
      <c r="V12" s="9"/>
      <c r="W12" s="9"/>
      <c r="X12" s="9"/>
      <c r="Y12" s="9"/>
    </row>
    <row r="13" spans="1:26" x14ac:dyDescent="0.2">
      <c r="A13" s="157"/>
      <c r="B13" s="9"/>
      <c r="C13" s="9"/>
      <c r="D13" s="9"/>
      <c r="E13" s="11"/>
      <c r="F13" s="9"/>
      <c r="G13" s="9"/>
      <c r="H13" s="11"/>
      <c r="I13" s="11"/>
      <c r="J13" s="11"/>
      <c r="K13" s="9"/>
      <c r="L13" s="11"/>
      <c r="M13" s="9"/>
      <c r="N13" s="9"/>
      <c r="O13" s="9"/>
      <c r="P13" s="9"/>
      <c r="Q13" s="11"/>
      <c r="R13" s="11"/>
      <c r="S13" s="11"/>
      <c r="T13" s="9"/>
      <c r="U13" s="9"/>
      <c r="V13" s="9"/>
      <c r="W13" s="9"/>
      <c r="X13" s="9"/>
      <c r="Y13" s="9"/>
    </row>
    <row r="14" spans="1:26" x14ac:dyDescent="0.2">
      <c r="A14" s="9"/>
      <c r="B14" s="9"/>
      <c r="C14" s="9"/>
      <c r="D14" s="9"/>
      <c r="E14" s="11"/>
      <c r="F14" s="9"/>
      <c r="G14" s="9"/>
      <c r="H14" s="11"/>
      <c r="I14" s="11"/>
      <c r="J14" s="11"/>
      <c r="K14" s="9"/>
      <c r="L14" s="11"/>
      <c r="M14" s="9"/>
      <c r="N14" s="9"/>
      <c r="O14" s="9"/>
      <c r="P14" s="9"/>
      <c r="Q14" s="11"/>
      <c r="R14" s="11"/>
      <c r="S14" s="11"/>
      <c r="T14" s="9"/>
      <c r="U14" s="9"/>
      <c r="V14" s="9"/>
      <c r="W14" s="9"/>
      <c r="X14" s="9"/>
      <c r="Y14" s="9"/>
    </row>
    <row r="15" spans="1:26" x14ac:dyDescent="0.2">
      <c r="A15" s="9"/>
      <c r="B15" s="9"/>
      <c r="C15" s="9"/>
      <c r="D15" s="9"/>
      <c r="E15" s="11"/>
      <c r="F15" s="9"/>
      <c r="G15" s="9"/>
      <c r="H15" s="11"/>
      <c r="I15" s="11"/>
      <c r="J15" s="11"/>
      <c r="K15" s="9"/>
      <c r="L15" s="11"/>
      <c r="M15" s="9"/>
      <c r="N15" s="9"/>
      <c r="O15" s="9"/>
      <c r="P15" s="9"/>
      <c r="Q15" s="11"/>
      <c r="R15" s="11"/>
      <c r="S15" s="11"/>
      <c r="T15" s="9"/>
      <c r="U15" s="9"/>
      <c r="V15" s="9"/>
      <c r="W15" s="9"/>
      <c r="X15" s="9"/>
      <c r="Y15" s="9"/>
    </row>
    <row r="16" spans="1:26" x14ac:dyDescent="0.2">
      <c r="A16" s="9"/>
      <c r="B16" s="9"/>
      <c r="C16" s="9"/>
      <c r="D16" s="9"/>
      <c r="E16" s="11"/>
      <c r="F16" s="9"/>
      <c r="G16" s="9"/>
      <c r="H16" s="11"/>
      <c r="I16" s="11"/>
      <c r="J16" s="11"/>
      <c r="K16" s="9"/>
      <c r="L16" s="11"/>
      <c r="M16" s="9"/>
      <c r="N16" s="9"/>
      <c r="O16" s="9"/>
      <c r="P16" s="9"/>
      <c r="Q16" s="11"/>
      <c r="R16" s="11"/>
      <c r="S16" s="11"/>
      <c r="T16" s="9"/>
      <c r="U16" s="9"/>
      <c r="V16" s="9"/>
      <c r="W16" s="9"/>
      <c r="X16" s="9"/>
      <c r="Y16" s="9"/>
    </row>
    <row r="17" spans="1:25" x14ac:dyDescent="0.2">
      <c r="A17" s="9"/>
      <c r="B17" s="9"/>
      <c r="C17" s="9"/>
      <c r="D17" s="9"/>
      <c r="E17" s="11"/>
      <c r="F17" s="9"/>
      <c r="G17" s="9"/>
      <c r="H17" s="11"/>
      <c r="I17" s="11"/>
      <c r="J17" s="11"/>
      <c r="K17" s="9"/>
      <c r="L17" s="11"/>
      <c r="M17" s="9"/>
      <c r="N17" s="9"/>
      <c r="O17" s="9"/>
      <c r="P17" s="9"/>
      <c r="Q17" s="11"/>
      <c r="R17" s="11"/>
      <c r="S17" s="11"/>
      <c r="T17" s="9"/>
      <c r="U17" s="9"/>
      <c r="V17" s="9"/>
      <c r="W17" s="9"/>
      <c r="X17" s="9"/>
      <c r="Y17" s="9"/>
    </row>
    <row r="18" spans="1:25" x14ac:dyDescent="0.2">
      <c r="A18" s="9"/>
      <c r="B18" s="9"/>
      <c r="C18" s="9"/>
      <c r="D18" s="9"/>
      <c r="E18" s="11"/>
      <c r="F18" s="9"/>
      <c r="G18" s="9"/>
      <c r="H18" s="11"/>
      <c r="I18" s="11"/>
      <c r="J18" s="11"/>
      <c r="K18" s="9"/>
      <c r="L18" s="11"/>
      <c r="M18" s="9"/>
      <c r="N18" s="9"/>
      <c r="O18" s="9"/>
      <c r="P18" s="9"/>
      <c r="Q18" s="11"/>
      <c r="R18" s="11"/>
      <c r="S18" s="11"/>
      <c r="T18" s="9"/>
      <c r="U18" s="9"/>
      <c r="V18" s="9"/>
      <c r="W18" s="9"/>
      <c r="X18" s="9"/>
      <c r="Y18" s="9"/>
    </row>
    <row r="19" spans="1:25" x14ac:dyDescent="0.2">
      <c r="A19" s="9"/>
      <c r="B19" s="9"/>
      <c r="C19" s="9"/>
      <c r="D19" s="9"/>
      <c r="E19" s="11"/>
      <c r="F19" s="9"/>
      <c r="G19" s="9"/>
      <c r="H19" s="11"/>
      <c r="I19" s="11"/>
      <c r="J19" s="11"/>
      <c r="K19" s="9"/>
      <c r="L19" s="11"/>
      <c r="M19" s="9"/>
      <c r="N19" s="9"/>
      <c r="O19" s="9"/>
      <c r="P19" s="9"/>
      <c r="Q19" s="11"/>
      <c r="R19" s="11"/>
      <c r="S19" s="11"/>
      <c r="T19" s="9"/>
      <c r="U19" s="9"/>
      <c r="V19" s="9"/>
      <c r="W19" s="9"/>
      <c r="X19" s="9"/>
      <c r="Y19" s="9"/>
    </row>
    <row r="20" spans="1:25" x14ac:dyDescent="0.2">
      <c r="A20" s="9"/>
      <c r="B20" s="9"/>
      <c r="C20" s="9"/>
      <c r="D20" s="9"/>
      <c r="E20" s="11"/>
      <c r="F20" s="9"/>
      <c r="G20" s="9"/>
      <c r="H20" s="11"/>
      <c r="I20" s="11"/>
      <c r="J20" s="11"/>
      <c r="K20" s="9"/>
      <c r="L20" s="11"/>
      <c r="M20" s="9"/>
      <c r="N20" s="9"/>
      <c r="O20" s="9"/>
      <c r="P20" s="9"/>
      <c r="Q20" s="11"/>
      <c r="R20" s="11"/>
      <c r="S20" s="11"/>
      <c r="T20" s="9"/>
      <c r="U20" s="9"/>
      <c r="V20" s="9"/>
      <c r="W20" s="9"/>
      <c r="X20" s="9"/>
      <c r="Y20" s="9"/>
    </row>
    <row r="21" spans="1:25" x14ac:dyDescent="0.2">
      <c r="E21" s="11"/>
      <c r="H21" s="11"/>
      <c r="I21" s="11"/>
      <c r="J21" s="11"/>
      <c r="K21" s="9"/>
      <c r="L21" s="11"/>
      <c r="N21" s="9"/>
      <c r="P21" s="9"/>
    </row>
    <row r="22" spans="1:25" x14ac:dyDescent="0.2">
      <c r="E22"/>
      <c r="H22" s="3"/>
      <c r="L22" s="3"/>
    </row>
    <row r="23" spans="1:25" x14ac:dyDescent="0.2">
      <c r="L23" s="3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Y11"/>
    <mergeCell ref="Z2:Z10"/>
  </mergeCells>
  <dataValidations count="8">
    <dataValidation type="list" allowBlank="1" showInputMessage="1" showErrorMessage="1" sqref="I3:I10 I12:I21" xr:uid="{00000000-0002-0000-0A00-000000000000}">
      <formula1>israel_abroad</formula1>
    </dataValidation>
    <dataValidation type="list" allowBlank="1" showInputMessage="1" showErrorMessage="1" sqref="N3:N10 N12:N21" xr:uid="{00000000-0002-0000-0A00-000001000000}">
      <formula1>Industry_sectors</formula1>
    </dataValidation>
    <dataValidation type="list" allowBlank="1" showInputMessage="1" showErrorMessage="1" sqref="P3:P10 P12:P21" xr:uid="{00000000-0002-0000-0A00-000002000000}">
      <formula1>Holding_interest</formula1>
    </dataValidation>
    <dataValidation type="list" allowBlank="1" showInputMessage="1" showErrorMessage="1" sqref="J3:J10 J12:J21" xr:uid="{00000000-0002-0000-0A00-000003000000}">
      <formula1>Country_list</formula1>
    </dataValidation>
    <dataValidation type="list" allowBlank="1" showInputMessage="1" showErrorMessage="1" sqref="E3:E10 E12:E21" xr:uid="{00000000-0002-0000-0A00-000004000000}">
      <formula1>Issuer_Type_TFunds</formula1>
    </dataValidation>
    <dataValidation type="list" allowBlank="1" showInputMessage="1" showErrorMessage="1" sqref="H3:H10 H12:H21" xr:uid="{00000000-0002-0000-0A00-000005000000}">
      <formula1>Security_ID_Number_Type</formula1>
    </dataValidation>
    <dataValidation type="list" allowBlank="1" showInputMessage="1" showErrorMessage="1" sqref="K3:K10 K12:K21" xr:uid="{00000000-0002-0000-0A00-000006000000}">
      <formula1>tradeable_status_warrants</formula1>
    </dataValidation>
    <dataValidation type="list" allowBlank="1" showInputMessage="1" showErrorMessage="1" sqref="L3:L10 L12:L21" xr:uid="{00000000-0002-0000-0A00-000007000000}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Y2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4" width="11.625" customWidth="1"/>
    <col min="15" max="15" width="12" customWidth="1"/>
    <col min="16" max="16" width="15.125" customWidth="1"/>
    <col min="17" max="17" width="11.75" customWidth="1"/>
    <col min="18" max="18" width="11.625" customWidth="1"/>
    <col min="19" max="19" width="14.875" customWidth="1"/>
    <col min="20" max="20" width="11.625" customWidth="1"/>
    <col min="21" max="21" width="12.875" customWidth="1"/>
    <col min="22" max="22" width="17.875" customWidth="1"/>
    <col min="23" max="23" width="21.75" customWidth="1"/>
    <col min="24" max="24" width="20.125" customWidth="1"/>
    <col min="25" max="25" width="11.625" hidden="1" customWidth="1"/>
    <col min="26" max="16384" width="9" hidden="1"/>
  </cols>
  <sheetData>
    <row r="1" spans="1:25" x14ac:dyDescent="0.2">
      <c r="A1" t="s">
        <v>3495</v>
      </c>
    </row>
    <row r="2" spans="1:25" x14ac:dyDescent="0.2">
      <c r="A2" s="118" t="s">
        <v>651</v>
      </c>
      <c r="B2" s="119" t="s">
        <v>0</v>
      </c>
      <c r="C2" s="119" t="s">
        <v>724</v>
      </c>
      <c r="D2" s="119" t="s">
        <v>2</v>
      </c>
      <c r="E2" s="119" t="s">
        <v>740</v>
      </c>
      <c r="F2" s="119" t="s">
        <v>1145</v>
      </c>
      <c r="G2" s="119" t="s">
        <v>29</v>
      </c>
      <c r="H2" s="119" t="s">
        <v>28</v>
      </c>
      <c r="I2" s="119" t="s">
        <v>1</v>
      </c>
      <c r="J2" s="119" t="s">
        <v>604</v>
      </c>
      <c r="K2" s="119" t="s">
        <v>605</v>
      </c>
      <c r="L2" s="119" t="s">
        <v>5</v>
      </c>
      <c r="M2" s="119" t="s">
        <v>9</v>
      </c>
      <c r="N2" s="119" t="s">
        <v>10</v>
      </c>
      <c r="O2" s="119" t="s">
        <v>666</v>
      </c>
      <c r="P2" s="119" t="s">
        <v>606</v>
      </c>
      <c r="Q2" s="119" t="s">
        <v>396</v>
      </c>
      <c r="R2" s="119" t="s">
        <v>23</v>
      </c>
      <c r="S2" s="119" t="s">
        <v>773</v>
      </c>
      <c r="T2" s="119" t="s">
        <v>11</v>
      </c>
      <c r="U2" s="119" t="s">
        <v>15</v>
      </c>
      <c r="V2" s="119" t="s">
        <v>1153</v>
      </c>
      <c r="W2" s="119" t="s">
        <v>19</v>
      </c>
      <c r="X2" s="120" t="s">
        <v>30</v>
      </c>
      <c r="Y2" s="159" t="s">
        <v>3484</v>
      </c>
    </row>
    <row r="3" spans="1:25" x14ac:dyDescent="0.2">
      <c r="A3" s="121" t="s">
        <v>1211</v>
      </c>
      <c r="B3" s="122" t="s">
        <v>1211</v>
      </c>
      <c r="C3" s="122" t="s">
        <v>2644</v>
      </c>
      <c r="D3" s="122" t="s">
        <v>2645</v>
      </c>
      <c r="E3" s="122" t="s">
        <v>429</v>
      </c>
      <c r="F3" s="122" t="s">
        <v>2646</v>
      </c>
      <c r="G3" s="122" t="s">
        <v>2647</v>
      </c>
      <c r="H3" s="122" t="s">
        <v>76</v>
      </c>
      <c r="I3" s="122" t="s">
        <v>641</v>
      </c>
      <c r="J3" s="122" t="s">
        <v>53</v>
      </c>
      <c r="K3" s="122" t="s">
        <v>53</v>
      </c>
      <c r="L3" s="122" t="s">
        <v>311</v>
      </c>
      <c r="M3" s="122" t="s">
        <v>102</v>
      </c>
      <c r="N3" s="122" t="s">
        <v>97</v>
      </c>
      <c r="O3" s="122" t="s">
        <v>2648</v>
      </c>
      <c r="P3" s="122" t="s">
        <v>62</v>
      </c>
      <c r="Q3" s="122" t="s">
        <v>1216</v>
      </c>
      <c r="R3" s="123">
        <v>3000</v>
      </c>
      <c r="S3" s="123">
        <v>129</v>
      </c>
      <c r="T3" s="123">
        <v>1</v>
      </c>
      <c r="U3" s="123">
        <v>5000000</v>
      </c>
      <c r="V3" s="123">
        <v>64.5</v>
      </c>
      <c r="W3" s="125">
        <v>-4.9639999999999997E-2</v>
      </c>
      <c r="X3" s="126">
        <v>5.0000000000000002E-5</v>
      </c>
      <c r="Y3" s="159"/>
    </row>
    <row r="4" spans="1:25" x14ac:dyDescent="0.2">
      <c r="A4" s="121" t="s">
        <v>1211</v>
      </c>
      <c r="B4" s="122" t="s">
        <v>1211</v>
      </c>
      <c r="C4" s="122" t="s">
        <v>2644</v>
      </c>
      <c r="D4" s="122" t="s">
        <v>2645</v>
      </c>
      <c r="E4" s="122" t="s">
        <v>429</v>
      </c>
      <c r="F4" s="122" t="s">
        <v>2649</v>
      </c>
      <c r="G4" s="122" t="s">
        <v>2650</v>
      </c>
      <c r="H4" s="122" t="s">
        <v>76</v>
      </c>
      <c r="I4" s="122" t="s">
        <v>641</v>
      </c>
      <c r="J4" s="122" t="s">
        <v>53</v>
      </c>
      <c r="K4" s="122" t="s">
        <v>53</v>
      </c>
      <c r="L4" s="122" t="s">
        <v>311</v>
      </c>
      <c r="M4" s="122" t="s">
        <v>102</v>
      </c>
      <c r="N4" s="122" t="s">
        <v>97</v>
      </c>
      <c r="O4" s="122" t="s">
        <v>2648</v>
      </c>
      <c r="P4" s="122" t="s">
        <v>62</v>
      </c>
      <c r="Q4" s="122" t="s">
        <v>1216</v>
      </c>
      <c r="R4" s="123">
        <v>3000</v>
      </c>
      <c r="S4" s="123">
        <v>-129</v>
      </c>
      <c r="T4" s="123">
        <v>1</v>
      </c>
      <c r="U4" s="123">
        <v>105730000</v>
      </c>
      <c r="V4" s="123">
        <v>-1363.9169999999999</v>
      </c>
      <c r="W4" s="125">
        <v>1.0496399999999999</v>
      </c>
      <c r="X4" s="126">
        <v>-1.16E-3</v>
      </c>
      <c r="Y4" s="159"/>
    </row>
    <row r="5" spans="1:25" x14ac:dyDescent="0.2">
      <c r="A5" s="121" t="s">
        <v>1223</v>
      </c>
      <c r="B5" s="122" t="s">
        <v>1223</v>
      </c>
      <c r="C5" s="122" t="s">
        <v>2644</v>
      </c>
      <c r="D5" s="122" t="s">
        <v>2645</v>
      </c>
      <c r="E5" s="122" t="s">
        <v>429</v>
      </c>
      <c r="F5" s="122" t="s">
        <v>2646</v>
      </c>
      <c r="G5" s="122" t="s">
        <v>2647</v>
      </c>
      <c r="H5" s="122" t="s">
        <v>76</v>
      </c>
      <c r="I5" s="122" t="s">
        <v>641</v>
      </c>
      <c r="J5" s="122" t="s">
        <v>53</v>
      </c>
      <c r="K5" s="122" t="s">
        <v>53</v>
      </c>
      <c r="L5" s="122" t="s">
        <v>311</v>
      </c>
      <c r="M5" s="122" t="s">
        <v>102</v>
      </c>
      <c r="N5" s="122" t="s">
        <v>97</v>
      </c>
      <c r="O5" s="122" t="s">
        <v>2648</v>
      </c>
      <c r="P5" s="122" t="s">
        <v>62</v>
      </c>
      <c r="Q5" s="122" t="s">
        <v>1216</v>
      </c>
      <c r="R5" s="123">
        <v>3000</v>
      </c>
      <c r="S5" s="123">
        <v>2726</v>
      </c>
      <c r="T5" s="123">
        <v>1</v>
      </c>
      <c r="U5" s="123">
        <v>5000000</v>
      </c>
      <c r="V5" s="123">
        <v>1363</v>
      </c>
      <c r="W5" s="125">
        <v>-4.9639999999999997E-2</v>
      </c>
      <c r="X5" s="126">
        <v>5.0000000000000002E-5</v>
      </c>
      <c r="Y5" s="159"/>
    </row>
    <row r="6" spans="1:25" x14ac:dyDescent="0.2">
      <c r="A6" s="121" t="s">
        <v>1223</v>
      </c>
      <c r="B6" s="122" t="s">
        <v>1223</v>
      </c>
      <c r="C6" s="122" t="s">
        <v>2644</v>
      </c>
      <c r="D6" s="122" t="s">
        <v>2645</v>
      </c>
      <c r="E6" s="122" t="s">
        <v>429</v>
      </c>
      <c r="F6" s="122" t="s">
        <v>2649</v>
      </c>
      <c r="G6" s="122" t="s">
        <v>2650</v>
      </c>
      <c r="H6" s="122" t="s">
        <v>76</v>
      </c>
      <c r="I6" s="122" t="s">
        <v>641</v>
      </c>
      <c r="J6" s="122" t="s">
        <v>53</v>
      </c>
      <c r="K6" s="122" t="s">
        <v>53</v>
      </c>
      <c r="L6" s="122" t="s">
        <v>311</v>
      </c>
      <c r="M6" s="122" t="s">
        <v>102</v>
      </c>
      <c r="N6" s="122" t="s">
        <v>97</v>
      </c>
      <c r="O6" s="122" t="s">
        <v>2648</v>
      </c>
      <c r="P6" s="122" t="s">
        <v>62</v>
      </c>
      <c r="Q6" s="122" t="s">
        <v>1216</v>
      </c>
      <c r="R6" s="123">
        <v>3000</v>
      </c>
      <c r="S6" s="123">
        <v>-2726</v>
      </c>
      <c r="T6" s="123">
        <v>1</v>
      </c>
      <c r="U6" s="123">
        <v>105730000</v>
      </c>
      <c r="V6" s="123">
        <v>-28821.998</v>
      </c>
      <c r="W6" s="125">
        <v>1.0496399999999999</v>
      </c>
      <c r="X6" s="126">
        <v>-1.06E-3</v>
      </c>
      <c r="Y6" s="159"/>
    </row>
    <row r="7" spans="1:25" x14ac:dyDescent="0.2">
      <c r="A7" s="121" t="s">
        <v>1211</v>
      </c>
      <c r="B7" s="122" t="s">
        <v>1212</v>
      </c>
      <c r="C7" s="135"/>
      <c r="D7" s="135"/>
      <c r="E7" s="132"/>
      <c r="F7" s="135"/>
      <c r="G7" s="135"/>
      <c r="H7" s="132"/>
      <c r="I7" s="135"/>
      <c r="J7" s="132"/>
      <c r="K7" s="132"/>
      <c r="L7" s="132"/>
      <c r="M7" s="135"/>
      <c r="N7" s="135"/>
      <c r="O7" s="135"/>
      <c r="P7" s="135"/>
      <c r="Q7" s="132"/>
      <c r="R7" s="132"/>
      <c r="S7" s="135"/>
      <c r="T7" s="135"/>
      <c r="U7" s="135"/>
      <c r="V7" s="135"/>
      <c r="W7" s="135"/>
      <c r="X7" s="140"/>
      <c r="Y7" s="159"/>
    </row>
    <row r="8" spans="1:25" x14ac:dyDescent="0.2">
      <c r="A8" s="121" t="s">
        <v>1211</v>
      </c>
      <c r="B8" s="122" t="s">
        <v>1220</v>
      </c>
      <c r="C8" s="135"/>
      <c r="D8" s="135"/>
      <c r="E8" s="132"/>
      <c r="F8" s="135"/>
      <c r="G8" s="135"/>
      <c r="H8" s="132"/>
      <c r="I8" s="135"/>
      <c r="J8" s="132"/>
      <c r="K8" s="132"/>
      <c r="L8" s="132"/>
      <c r="M8" s="135"/>
      <c r="N8" s="135"/>
      <c r="O8" s="135"/>
      <c r="P8" s="135"/>
      <c r="Q8" s="132"/>
      <c r="R8" s="132"/>
      <c r="S8" s="135"/>
      <c r="T8" s="135"/>
      <c r="U8" s="135"/>
      <c r="V8" s="135"/>
      <c r="W8" s="135"/>
      <c r="X8" s="140"/>
      <c r="Y8" s="159"/>
    </row>
    <row r="9" spans="1:25" x14ac:dyDescent="0.2">
      <c r="A9" s="121" t="s">
        <v>1223</v>
      </c>
      <c r="B9" s="122" t="s">
        <v>1224</v>
      </c>
      <c r="C9" s="135"/>
      <c r="D9" s="135"/>
      <c r="E9" s="132"/>
      <c r="F9" s="135"/>
      <c r="G9" s="135"/>
      <c r="H9" s="132"/>
      <c r="I9" s="135"/>
      <c r="J9" s="132"/>
      <c r="K9" s="132"/>
      <c r="L9" s="132"/>
      <c r="M9" s="135"/>
      <c r="N9" s="135"/>
      <c r="O9" s="135"/>
      <c r="P9" s="135"/>
      <c r="Q9" s="132"/>
      <c r="R9" s="132"/>
      <c r="S9" s="135"/>
      <c r="T9" s="135"/>
      <c r="U9" s="135"/>
      <c r="V9" s="135"/>
      <c r="W9" s="135"/>
      <c r="X9" s="140"/>
      <c r="Y9" s="159"/>
    </row>
    <row r="10" spans="1:25" x14ac:dyDescent="0.2">
      <c r="A10" s="127" t="s">
        <v>1223</v>
      </c>
      <c r="B10" s="128" t="s">
        <v>1225</v>
      </c>
      <c r="C10" s="138"/>
      <c r="D10" s="138"/>
      <c r="E10" s="137"/>
      <c r="F10" s="138"/>
      <c r="G10" s="138"/>
      <c r="H10" s="137"/>
      <c r="I10" s="138"/>
      <c r="J10" s="137"/>
      <c r="K10" s="137"/>
      <c r="L10" s="137"/>
      <c r="M10" s="138"/>
      <c r="N10" s="138"/>
      <c r="O10" s="138"/>
      <c r="P10" s="138"/>
      <c r="Q10" s="137"/>
      <c r="R10" s="137"/>
      <c r="S10" s="138"/>
      <c r="T10" s="138"/>
      <c r="U10" s="138"/>
      <c r="V10" s="138"/>
      <c r="W10" s="138"/>
      <c r="X10" s="141"/>
      <c r="Y10" s="159"/>
    </row>
    <row r="11" spans="1:25" x14ac:dyDescent="0.2">
      <c r="A11" s="162" t="s">
        <v>3483</v>
      </c>
      <c r="B11" s="162"/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</row>
    <row r="12" spans="1:25" x14ac:dyDescent="0.2">
      <c r="A12" s="9" t="s">
        <v>3482</v>
      </c>
      <c r="B12" s="9"/>
      <c r="C12" s="9"/>
      <c r="D12" s="9"/>
      <c r="E12" s="11"/>
      <c r="F12" s="9"/>
      <c r="G12" s="9"/>
      <c r="H12" s="11"/>
      <c r="I12" s="9"/>
      <c r="J12" s="11"/>
      <c r="K12" s="11"/>
      <c r="L12" s="11"/>
      <c r="M12" s="9"/>
      <c r="N12" s="9"/>
      <c r="O12" s="9"/>
      <c r="P12" s="9"/>
      <c r="Q12" s="11"/>
      <c r="R12" s="11"/>
      <c r="S12" s="9"/>
      <c r="T12" s="9"/>
      <c r="U12" s="9"/>
      <c r="V12" s="9"/>
      <c r="W12" s="9"/>
      <c r="X12" s="9"/>
    </row>
    <row r="13" spans="1:25" x14ac:dyDescent="0.2">
      <c r="A13" s="157"/>
      <c r="B13" s="9"/>
      <c r="C13" s="9"/>
      <c r="D13" s="9"/>
      <c r="E13" s="11"/>
      <c r="F13" s="9"/>
      <c r="G13" s="9"/>
      <c r="H13" s="11"/>
      <c r="I13" s="9"/>
      <c r="J13" s="11"/>
      <c r="K13" s="11"/>
      <c r="L13" s="11"/>
      <c r="M13" s="9"/>
      <c r="N13" s="9"/>
      <c r="O13" s="9"/>
      <c r="P13" s="9"/>
      <c r="Q13" s="11"/>
      <c r="R13" s="11"/>
      <c r="S13" s="9"/>
      <c r="T13" s="9"/>
      <c r="U13" s="9"/>
      <c r="V13" s="9"/>
      <c r="W13" s="9"/>
      <c r="X13" s="9"/>
    </row>
    <row r="14" spans="1:25" x14ac:dyDescent="0.2">
      <c r="A14" s="9"/>
      <c r="B14" s="9"/>
      <c r="C14" s="9"/>
      <c r="D14" s="9"/>
      <c r="E14" s="11"/>
      <c r="F14" s="9"/>
      <c r="G14" s="9"/>
      <c r="H14" s="11"/>
      <c r="I14" s="9"/>
      <c r="J14" s="11"/>
      <c r="K14" s="11"/>
      <c r="L14" s="11"/>
      <c r="M14" s="9"/>
      <c r="N14" s="9"/>
      <c r="O14" s="9"/>
      <c r="P14" s="9"/>
      <c r="Q14" s="11"/>
      <c r="R14" s="11"/>
      <c r="S14" s="9"/>
      <c r="T14" s="9"/>
      <c r="U14" s="9"/>
      <c r="V14" s="9"/>
      <c r="W14" s="9"/>
      <c r="X14" s="9"/>
    </row>
    <row r="15" spans="1:25" x14ac:dyDescent="0.2">
      <c r="A15" s="9"/>
      <c r="B15" s="9"/>
      <c r="C15" s="9"/>
      <c r="D15" s="9"/>
      <c r="E15" s="11"/>
      <c r="F15" s="9"/>
      <c r="G15" s="9"/>
      <c r="H15" s="11"/>
      <c r="I15" s="9"/>
      <c r="J15" s="11"/>
      <c r="K15" s="11"/>
      <c r="L15" s="11"/>
      <c r="M15" s="9"/>
      <c r="N15" s="9"/>
      <c r="O15" s="9"/>
      <c r="P15" s="9"/>
      <c r="Q15" s="11"/>
      <c r="R15" s="11"/>
      <c r="S15" s="9"/>
      <c r="T15" s="9"/>
      <c r="U15" s="9"/>
      <c r="V15" s="9"/>
      <c r="W15" s="9"/>
      <c r="X15" s="9"/>
    </row>
    <row r="16" spans="1:25" x14ac:dyDescent="0.2">
      <c r="A16" s="9"/>
      <c r="B16" s="9"/>
      <c r="C16" s="9"/>
      <c r="D16" s="9"/>
      <c r="E16" s="11"/>
      <c r="F16" s="9"/>
      <c r="G16" s="9"/>
      <c r="H16" s="11"/>
      <c r="I16" s="9"/>
      <c r="J16" s="11"/>
      <c r="K16" s="11"/>
      <c r="L16" s="11"/>
      <c r="M16" s="9"/>
      <c r="N16" s="9"/>
      <c r="O16" s="9"/>
      <c r="P16" s="9"/>
      <c r="Q16" s="11"/>
      <c r="R16" s="11"/>
      <c r="S16" s="9"/>
      <c r="T16" s="9"/>
      <c r="U16" s="9"/>
      <c r="V16" s="9"/>
      <c r="W16" s="9"/>
      <c r="X16" s="9"/>
    </row>
    <row r="17" spans="1:24" x14ac:dyDescent="0.2">
      <c r="A17" s="9"/>
      <c r="B17" s="9"/>
      <c r="C17" s="9"/>
      <c r="D17" s="9"/>
      <c r="E17" s="11"/>
      <c r="F17" s="9"/>
      <c r="G17" s="9"/>
      <c r="H17" s="11"/>
      <c r="I17" s="9"/>
      <c r="J17" s="11"/>
      <c r="K17" s="11"/>
      <c r="L17" s="11"/>
      <c r="M17" s="9"/>
      <c r="N17" s="9"/>
      <c r="O17" s="9"/>
      <c r="P17" s="9"/>
      <c r="Q17" s="11"/>
      <c r="R17" s="11"/>
      <c r="S17" s="9"/>
      <c r="T17" s="9"/>
      <c r="U17" s="9"/>
      <c r="V17" s="9"/>
      <c r="W17" s="9"/>
      <c r="X17" s="9"/>
    </row>
    <row r="18" spans="1:24" x14ac:dyDescent="0.2">
      <c r="A18" s="9"/>
      <c r="B18" s="9"/>
      <c r="C18" s="9"/>
      <c r="D18" s="9"/>
      <c r="E18" s="11"/>
      <c r="F18" s="9"/>
      <c r="G18" s="9"/>
      <c r="H18" s="11"/>
      <c r="I18" s="9"/>
      <c r="J18" s="11"/>
      <c r="K18" s="11"/>
      <c r="L18" s="11"/>
      <c r="M18" s="9"/>
      <c r="N18" s="9"/>
      <c r="O18" s="9"/>
      <c r="P18" s="9"/>
      <c r="Q18" s="11"/>
      <c r="R18" s="11"/>
      <c r="S18" s="9"/>
      <c r="T18" s="9"/>
      <c r="U18" s="9"/>
      <c r="V18" s="9"/>
      <c r="W18" s="9"/>
      <c r="X18" s="9"/>
    </row>
    <row r="19" spans="1:24" x14ac:dyDescent="0.2">
      <c r="A19" s="9"/>
      <c r="B19" s="9"/>
      <c r="C19" s="9"/>
      <c r="D19" s="9"/>
      <c r="E19" s="11"/>
      <c r="F19" s="9"/>
      <c r="G19" s="9"/>
      <c r="H19" s="11"/>
      <c r="I19" s="9"/>
      <c r="J19" s="11"/>
      <c r="K19" s="11"/>
      <c r="L19" s="11"/>
      <c r="M19" s="9"/>
      <c r="N19" s="9"/>
      <c r="O19" s="9"/>
      <c r="P19" s="9"/>
      <c r="Q19" s="11"/>
      <c r="R19" s="11"/>
      <c r="S19" s="9"/>
      <c r="T19" s="9"/>
      <c r="U19" s="9"/>
      <c r="V19" s="9"/>
      <c r="W19" s="9"/>
      <c r="X19" s="9"/>
    </row>
    <row r="20" spans="1:24" x14ac:dyDescent="0.2">
      <c r="A20" s="9"/>
      <c r="B20" s="9"/>
      <c r="C20" s="9"/>
      <c r="D20" s="9"/>
      <c r="E20" s="11"/>
      <c r="F20" s="9"/>
      <c r="G20" s="9"/>
      <c r="H20" s="11"/>
      <c r="I20" s="9"/>
      <c r="J20" s="11"/>
      <c r="K20" s="11"/>
      <c r="L20" s="11"/>
      <c r="M20" s="9"/>
      <c r="N20" s="9"/>
      <c r="O20" s="9"/>
      <c r="P20" s="9"/>
      <c r="Q20" s="11"/>
      <c r="R20" s="11"/>
      <c r="S20" s="9"/>
      <c r="T20" s="9"/>
      <c r="U20" s="9"/>
      <c r="V20" s="9"/>
      <c r="W20" s="9"/>
      <c r="X20" s="9"/>
    </row>
    <row r="21" spans="1:24" x14ac:dyDescent="0.2">
      <c r="E21" s="11"/>
      <c r="H21" s="11"/>
      <c r="I21" s="9"/>
      <c r="J21" s="11"/>
      <c r="K21" s="11"/>
      <c r="L21" s="11"/>
      <c r="M21" s="9"/>
      <c r="P21" s="9"/>
    </row>
    <row r="22" spans="1:24" x14ac:dyDescent="0.2">
      <c r="E22"/>
      <c r="H22" s="3"/>
      <c r="L22" s="3"/>
    </row>
    <row r="23" spans="1:24" x14ac:dyDescent="0.2">
      <c r="L23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X11"/>
    <mergeCell ref="Y2:Y10"/>
  </mergeCells>
  <dataValidations count="8">
    <dataValidation type="list" allowBlank="1" showInputMessage="1" showErrorMessage="1" sqref="J3:J10 J12:J21" xr:uid="{00000000-0002-0000-0B00-000000000000}">
      <formula1>israel_abroad</formula1>
    </dataValidation>
    <dataValidation type="list" allowBlank="1" showInputMessage="1" showErrorMessage="1" sqref="P3:P10 P12:P21" xr:uid="{00000000-0002-0000-0B00-000001000000}">
      <formula1>Holding_interest</formula1>
    </dataValidation>
    <dataValidation type="list" allowBlank="1" showInputMessage="1" showErrorMessage="1" sqref="N3:N10 N12:N20" xr:uid="{00000000-0002-0000-0B00-000002000000}">
      <formula1>Underlying_Asset</formula1>
    </dataValidation>
    <dataValidation type="list" allowBlank="1" showInputMessage="1" showErrorMessage="1" sqref="K3:K10 K12:K21" xr:uid="{00000000-0002-0000-0B00-000003000000}">
      <formula1>Country_list</formula1>
    </dataValidation>
    <dataValidation type="list" allowBlank="1" showInputMessage="1" showErrorMessage="1" sqref="E3:E10 E12:E21" xr:uid="{00000000-0002-0000-0B00-000004000000}">
      <formula1>Issuer_Type_TFunds</formula1>
    </dataValidation>
    <dataValidation type="list" allowBlank="1" showInputMessage="1" showErrorMessage="1" sqref="H3:H10 H12:H21" xr:uid="{00000000-0002-0000-0B00-000005000000}">
      <formula1>Security_ID_Number_Type</formula1>
    </dataValidation>
    <dataValidation type="list" allowBlank="1" showInputMessage="1" showErrorMessage="1" sqref="M3:M10 M12:M21" xr:uid="{00000000-0002-0000-0B00-000006000000}">
      <formula1>Industry_Sector</formula1>
    </dataValidation>
    <dataValidation type="list" allowBlank="1" showInputMessage="1" showErrorMessage="1" sqref="L3:L10 L12:L21" xr:uid="{00000000-0002-0000-0B00-000007000000}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8000000}">
          <x14:formula1>
            <xm:f>'אפשרויות בחירה'!$C$901:$C$905</xm:f>
          </x14:formula1>
          <xm:sqref>I3:I10 I12:I21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U2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9" width="11.625" customWidth="1"/>
    <col min="10" max="10" width="19.875" customWidth="1"/>
    <col min="11" max="12" width="11.625" customWidth="1"/>
    <col min="13" max="13" width="15.125" customWidth="1"/>
    <col min="14" max="14" width="11.75" customWidth="1"/>
    <col min="15" max="15" width="14.875" customWidth="1"/>
    <col min="16" max="16" width="11.625" customWidth="1"/>
    <col min="17" max="17" width="12.875" customWidth="1"/>
    <col min="18" max="18" width="17.875" customWidth="1"/>
    <col min="19" max="19" width="21.75" customWidth="1"/>
    <col min="20" max="20" width="20.125" customWidth="1"/>
    <col min="21" max="16384" width="9" hidden="1"/>
  </cols>
  <sheetData>
    <row r="1" spans="1:21" x14ac:dyDescent="0.2">
      <c r="A1" t="s">
        <v>3496</v>
      </c>
    </row>
    <row r="2" spans="1:21" x14ac:dyDescent="0.2">
      <c r="A2" s="118" t="s">
        <v>651</v>
      </c>
      <c r="B2" s="119" t="s">
        <v>0</v>
      </c>
      <c r="C2" s="119" t="s">
        <v>724</v>
      </c>
      <c r="D2" s="119" t="s">
        <v>2</v>
      </c>
      <c r="E2" s="119" t="s">
        <v>740</v>
      </c>
      <c r="F2" s="119" t="s">
        <v>1145</v>
      </c>
      <c r="G2" s="119" t="s">
        <v>29</v>
      </c>
      <c r="H2" s="119" t="s">
        <v>28</v>
      </c>
      <c r="I2" s="119" t="s">
        <v>604</v>
      </c>
      <c r="J2" s="119" t="s">
        <v>605</v>
      </c>
      <c r="K2" s="119" t="s">
        <v>5</v>
      </c>
      <c r="L2" s="119" t="s">
        <v>10</v>
      </c>
      <c r="M2" s="119" t="s">
        <v>606</v>
      </c>
      <c r="N2" s="119" t="s">
        <v>396</v>
      </c>
      <c r="O2" s="119" t="s">
        <v>773</v>
      </c>
      <c r="P2" s="119" t="s">
        <v>11</v>
      </c>
      <c r="Q2" s="119" t="s">
        <v>15</v>
      </c>
      <c r="R2" s="119" t="s">
        <v>1153</v>
      </c>
      <c r="S2" s="119" t="s">
        <v>19</v>
      </c>
      <c r="T2" s="120" t="s">
        <v>30</v>
      </c>
      <c r="U2" s="159" t="s">
        <v>3484</v>
      </c>
    </row>
    <row r="3" spans="1:21" x14ac:dyDescent="0.2">
      <c r="A3" s="121" t="s">
        <v>1211</v>
      </c>
      <c r="B3" s="122" t="s">
        <v>1211</v>
      </c>
      <c r="C3" s="122" t="s">
        <v>1913</v>
      </c>
      <c r="D3" s="122" t="s">
        <v>1914</v>
      </c>
      <c r="E3" s="122" t="s">
        <v>429</v>
      </c>
      <c r="F3" s="122" t="s">
        <v>2651</v>
      </c>
      <c r="G3" s="122" t="s">
        <v>2652</v>
      </c>
      <c r="H3" s="122" t="s">
        <v>78</v>
      </c>
      <c r="I3" s="122" t="s">
        <v>53</v>
      </c>
      <c r="J3" s="122" t="s">
        <v>53</v>
      </c>
      <c r="K3" s="122" t="s">
        <v>102</v>
      </c>
      <c r="L3" s="122" t="s">
        <v>102</v>
      </c>
      <c r="M3" s="122" t="s">
        <v>62</v>
      </c>
      <c r="N3" s="122" t="s">
        <v>1217</v>
      </c>
      <c r="O3" s="123">
        <v>-1823874.99</v>
      </c>
      <c r="P3" s="123">
        <v>3.306</v>
      </c>
      <c r="Q3" s="123">
        <v>100</v>
      </c>
      <c r="R3" s="123">
        <v>-6029.7309999999998</v>
      </c>
      <c r="S3" s="125">
        <v>-5.7512999999999996</v>
      </c>
      <c r="T3" s="126">
        <v>-5.1399999999999996E-3</v>
      </c>
      <c r="U3" s="159"/>
    </row>
    <row r="4" spans="1:21" x14ac:dyDescent="0.2">
      <c r="A4" s="121" t="s">
        <v>1211</v>
      </c>
      <c r="B4" s="122" t="s">
        <v>1211</v>
      </c>
      <c r="C4" s="122" t="s">
        <v>1913</v>
      </c>
      <c r="D4" s="122" t="s">
        <v>1914</v>
      </c>
      <c r="E4" s="122" t="s">
        <v>429</v>
      </c>
      <c r="F4" s="122" t="s">
        <v>2653</v>
      </c>
      <c r="G4" s="122" t="s">
        <v>2654</v>
      </c>
      <c r="H4" s="122" t="s">
        <v>78</v>
      </c>
      <c r="I4" s="122" t="s">
        <v>53</v>
      </c>
      <c r="J4" s="122" t="s">
        <v>53</v>
      </c>
      <c r="K4" s="122" t="s">
        <v>102</v>
      </c>
      <c r="L4" s="122" t="s">
        <v>102</v>
      </c>
      <c r="M4" s="122" t="s">
        <v>62</v>
      </c>
      <c r="N4" s="122" t="s">
        <v>1217</v>
      </c>
      <c r="O4" s="123">
        <v>-7309995</v>
      </c>
      <c r="P4" s="123">
        <v>3.306</v>
      </c>
      <c r="Q4" s="123">
        <v>100</v>
      </c>
      <c r="R4" s="123">
        <v>-24166.843000000001</v>
      </c>
      <c r="S4" s="125">
        <v>-23.050899999999999</v>
      </c>
      <c r="T4" s="126">
        <v>-2.06E-2</v>
      </c>
      <c r="U4" s="159"/>
    </row>
    <row r="5" spans="1:21" x14ac:dyDescent="0.2">
      <c r="A5" s="121" t="s">
        <v>1211</v>
      </c>
      <c r="B5" s="122" t="s">
        <v>1211</v>
      </c>
      <c r="C5" s="122" t="s">
        <v>1913</v>
      </c>
      <c r="D5" s="122" t="s">
        <v>1914</v>
      </c>
      <c r="E5" s="122" t="s">
        <v>429</v>
      </c>
      <c r="F5" s="122" t="s">
        <v>2655</v>
      </c>
      <c r="G5" s="122" t="s">
        <v>2656</v>
      </c>
      <c r="H5" s="122" t="s">
        <v>78</v>
      </c>
      <c r="I5" s="122" t="s">
        <v>53</v>
      </c>
      <c r="J5" s="122" t="s">
        <v>53</v>
      </c>
      <c r="K5" s="122" t="s">
        <v>102</v>
      </c>
      <c r="L5" s="122" t="s">
        <v>102</v>
      </c>
      <c r="M5" s="122" t="s">
        <v>62</v>
      </c>
      <c r="N5" s="122" t="s">
        <v>1217</v>
      </c>
      <c r="O5" s="123">
        <v>-8767511</v>
      </c>
      <c r="P5" s="123">
        <v>3.306</v>
      </c>
      <c r="Q5" s="123">
        <v>100</v>
      </c>
      <c r="R5" s="123">
        <v>-28985.391</v>
      </c>
      <c r="S5" s="125">
        <v>-27.64695</v>
      </c>
      <c r="T5" s="126">
        <v>-2.4709999999999999E-2</v>
      </c>
      <c r="U5" s="159"/>
    </row>
    <row r="6" spans="1:21" x14ac:dyDescent="0.2">
      <c r="A6" s="121" t="s">
        <v>1211</v>
      </c>
      <c r="B6" s="122" t="s">
        <v>1211</v>
      </c>
      <c r="C6" s="122" t="s">
        <v>2657</v>
      </c>
      <c r="D6" s="122" t="s">
        <v>2658</v>
      </c>
      <c r="E6" s="122" t="s">
        <v>102</v>
      </c>
      <c r="F6" s="122" t="s">
        <v>2659</v>
      </c>
      <c r="G6" s="122" t="s">
        <v>2660</v>
      </c>
      <c r="H6" s="122" t="s">
        <v>78</v>
      </c>
      <c r="I6" s="122" t="s">
        <v>61</v>
      </c>
      <c r="J6" s="122" t="s">
        <v>314</v>
      </c>
      <c r="K6" s="122" t="s">
        <v>484</v>
      </c>
      <c r="L6" s="122" t="s">
        <v>97</v>
      </c>
      <c r="M6" s="122" t="s">
        <v>62</v>
      </c>
      <c r="N6" s="122" t="s">
        <v>1217</v>
      </c>
      <c r="O6" s="123">
        <v>18</v>
      </c>
      <c r="P6" s="123">
        <v>3.306</v>
      </c>
      <c r="Q6" s="123">
        <v>49803500</v>
      </c>
      <c r="R6" s="123">
        <v>29637.066999999999</v>
      </c>
      <c r="S6" s="125">
        <v>28.268529999999998</v>
      </c>
      <c r="T6" s="126">
        <v>2.5270000000000001E-2</v>
      </c>
      <c r="U6" s="159"/>
    </row>
    <row r="7" spans="1:21" x14ac:dyDescent="0.2">
      <c r="A7" s="121" t="s">
        <v>1211</v>
      </c>
      <c r="B7" s="122" t="s">
        <v>1211</v>
      </c>
      <c r="C7" s="122" t="s">
        <v>2661</v>
      </c>
      <c r="D7" s="122" t="s">
        <v>2662</v>
      </c>
      <c r="E7" s="122" t="s">
        <v>102</v>
      </c>
      <c r="F7" s="122" t="s">
        <v>2663</v>
      </c>
      <c r="G7" s="122" t="s">
        <v>2664</v>
      </c>
      <c r="H7" s="122" t="s">
        <v>78</v>
      </c>
      <c r="I7" s="122" t="s">
        <v>61</v>
      </c>
      <c r="J7" s="122" t="s">
        <v>314</v>
      </c>
      <c r="K7" s="122" t="s">
        <v>484</v>
      </c>
      <c r="L7" s="122" t="s">
        <v>97</v>
      </c>
      <c r="M7" s="122" t="s">
        <v>62</v>
      </c>
      <c r="N7" s="122" t="s">
        <v>1217</v>
      </c>
      <c r="O7" s="123">
        <v>22</v>
      </c>
      <c r="P7" s="123">
        <v>3.306</v>
      </c>
      <c r="Q7" s="123">
        <v>33693750</v>
      </c>
      <c r="R7" s="123">
        <v>24506.137999999999</v>
      </c>
      <c r="S7" s="125">
        <v>23.37453</v>
      </c>
      <c r="T7" s="126">
        <v>2.0889999999999999E-2</v>
      </c>
      <c r="U7" s="159"/>
    </row>
    <row r="8" spans="1:21" x14ac:dyDescent="0.2">
      <c r="A8" s="121" t="s">
        <v>1211</v>
      </c>
      <c r="B8" s="122" t="s">
        <v>1211</v>
      </c>
      <c r="C8" s="122" t="s">
        <v>2665</v>
      </c>
      <c r="D8" s="122" t="s">
        <v>2666</v>
      </c>
      <c r="E8" s="122" t="s">
        <v>102</v>
      </c>
      <c r="F8" s="122" t="s">
        <v>2667</v>
      </c>
      <c r="G8" s="122" t="s">
        <v>2668</v>
      </c>
      <c r="H8" s="122" t="s">
        <v>78</v>
      </c>
      <c r="I8" s="122" t="s">
        <v>61</v>
      </c>
      <c r="J8" s="122" t="s">
        <v>314</v>
      </c>
      <c r="K8" s="122" t="s">
        <v>484</v>
      </c>
      <c r="L8" s="122" t="s">
        <v>382</v>
      </c>
      <c r="M8" s="122" t="s">
        <v>62</v>
      </c>
      <c r="N8" s="122" t="s">
        <v>1217</v>
      </c>
      <c r="O8" s="123">
        <v>16</v>
      </c>
      <c r="P8" s="123">
        <v>3.306</v>
      </c>
      <c r="Q8" s="123">
        <v>11507812.483999999</v>
      </c>
      <c r="R8" s="123">
        <v>6087.1729999999998</v>
      </c>
      <c r="S8" s="125">
        <v>5.8060900000000002</v>
      </c>
      <c r="T8" s="126">
        <v>5.1900000000000002E-3</v>
      </c>
      <c r="U8" s="159"/>
    </row>
    <row r="9" spans="1:21" x14ac:dyDescent="0.2">
      <c r="A9" s="121" t="s">
        <v>1223</v>
      </c>
      <c r="B9" s="122" t="s">
        <v>1223</v>
      </c>
      <c r="C9" s="122" t="s">
        <v>1913</v>
      </c>
      <c r="D9" s="122" t="s">
        <v>1914</v>
      </c>
      <c r="E9" s="122" t="s">
        <v>429</v>
      </c>
      <c r="F9" s="122" t="s">
        <v>2651</v>
      </c>
      <c r="G9" s="122" t="s">
        <v>2652</v>
      </c>
      <c r="H9" s="122" t="s">
        <v>78</v>
      </c>
      <c r="I9" s="122" t="s">
        <v>53</v>
      </c>
      <c r="J9" s="122" t="s">
        <v>53</v>
      </c>
      <c r="K9" s="122" t="s">
        <v>102</v>
      </c>
      <c r="L9" s="122" t="s">
        <v>102</v>
      </c>
      <c r="M9" s="122" t="s">
        <v>62</v>
      </c>
      <c r="N9" s="122" t="s">
        <v>1217</v>
      </c>
      <c r="O9" s="123">
        <v>-41149492.07</v>
      </c>
      <c r="P9" s="123">
        <v>3.306</v>
      </c>
      <c r="Q9" s="123">
        <v>100</v>
      </c>
      <c r="R9" s="123">
        <v>-136040.22099999999</v>
      </c>
      <c r="S9" s="125">
        <v>-4.9987300000000001</v>
      </c>
      <c r="T9" s="126">
        <v>-4.9800000000000001E-3</v>
      </c>
      <c r="U9" s="159"/>
    </row>
    <row r="10" spans="1:21" x14ac:dyDescent="0.2">
      <c r="A10" s="121" t="s">
        <v>1223</v>
      </c>
      <c r="B10" s="122" t="s">
        <v>1223</v>
      </c>
      <c r="C10" s="122" t="s">
        <v>1913</v>
      </c>
      <c r="D10" s="122" t="s">
        <v>1914</v>
      </c>
      <c r="E10" s="122" t="s">
        <v>429</v>
      </c>
      <c r="F10" s="122" t="s">
        <v>2655</v>
      </c>
      <c r="G10" s="122" t="s">
        <v>2656</v>
      </c>
      <c r="H10" s="122" t="s">
        <v>78</v>
      </c>
      <c r="I10" s="122" t="s">
        <v>53</v>
      </c>
      <c r="J10" s="122" t="s">
        <v>53</v>
      </c>
      <c r="K10" s="122" t="s">
        <v>102</v>
      </c>
      <c r="L10" s="122" t="s">
        <v>102</v>
      </c>
      <c r="M10" s="122" t="s">
        <v>62</v>
      </c>
      <c r="N10" s="122" t="s">
        <v>1217</v>
      </c>
      <c r="O10" s="123">
        <v>-210908428.99000001</v>
      </c>
      <c r="P10" s="123">
        <v>3.306</v>
      </c>
      <c r="Q10" s="123">
        <v>100</v>
      </c>
      <c r="R10" s="123">
        <v>-697263.26599999995</v>
      </c>
      <c r="S10" s="125">
        <v>-25.620570000000001</v>
      </c>
      <c r="T10" s="126">
        <v>-2.554E-2</v>
      </c>
      <c r="U10" s="159"/>
    </row>
    <row r="11" spans="1:21" x14ac:dyDescent="0.2">
      <c r="A11" s="121" t="s">
        <v>1223</v>
      </c>
      <c r="B11" s="122" t="s">
        <v>1223</v>
      </c>
      <c r="C11" s="122" t="s">
        <v>1913</v>
      </c>
      <c r="D11" s="122" t="s">
        <v>1914</v>
      </c>
      <c r="E11" s="122" t="s">
        <v>429</v>
      </c>
      <c r="F11" s="122" t="s">
        <v>2653</v>
      </c>
      <c r="G11" s="122" t="s">
        <v>2654</v>
      </c>
      <c r="H11" s="122" t="s">
        <v>78</v>
      </c>
      <c r="I11" s="122" t="s">
        <v>53</v>
      </c>
      <c r="J11" s="122" t="s">
        <v>53</v>
      </c>
      <c r="K11" s="122" t="s">
        <v>102</v>
      </c>
      <c r="L11" s="122" t="s">
        <v>102</v>
      </c>
      <c r="M11" s="122" t="s">
        <v>62</v>
      </c>
      <c r="N11" s="122" t="s">
        <v>1217</v>
      </c>
      <c r="O11" s="123">
        <v>-220628940</v>
      </c>
      <c r="P11" s="123">
        <v>3.306</v>
      </c>
      <c r="Q11" s="123">
        <v>100</v>
      </c>
      <c r="R11" s="123">
        <v>-729399.27599999995</v>
      </c>
      <c r="S11" s="125">
        <v>-26.801390000000001</v>
      </c>
      <c r="T11" s="126">
        <v>-2.6720000000000001E-2</v>
      </c>
      <c r="U11" s="159"/>
    </row>
    <row r="12" spans="1:21" x14ac:dyDescent="0.2">
      <c r="A12" s="121" t="s">
        <v>1223</v>
      </c>
      <c r="B12" s="122" t="s">
        <v>1223</v>
      </c>
      <c r="C12" s="122" t="s">
        <v>2661</v>
      </c>
      <c r="D12" s="122" t="s">
        <v>2662</v>
      </c>
      <c r="E12" s="122" t="s">
        <v>102</v>
      </c>
      <c r="F12" s="122" t="s">
        <v>2663</v>
      </c>
      <c r="G12" s="122" t="s">
        <v>2664</v>
      </c>
      <c r="H12" s="122" t="s">
        <v>78</v>
      </c>
      <c r="I12" s="122" t="s">
        <v>61</v>
      </c>
      <c r="J12" s="122" t="s">
        <v>314</v>
      </c>
      <c r="K12" s="122" t="s">
        <v>484</v>
      </c>
      <c r="L12" s="122" t="s">
        <v>97</v>
      </c>
      <c r="M12" s="122" t="s">
        <v>62</v>
      </c>
      <c r="N12" s="122" t="s">
        <v>1217</v>
      </c>
      <c r="O12" s="123">
        <v>664</v>
      </c>
      <c r="P12" s="123">
        <v>3.306</v>
      </c>
      <c r="Q12" s="123">
        <v>33693750</v>
      </c>
      <c r="R12" s="123">
        <v>739639.80900000001</v>
      </c>
      <c r="S12" s="125">
        <v>27.177669999999999</v>
      </c>
      <c r="T12" s="126">
        <v>2.7099999999999999E-2</v>
      </c>
      <c r="U12" s="159"/>
    </row>
    <row r="13" spans="1:21" x14ac:dyDescent="0.2">
      <c r="A13" s="121" t="s">
        <v>1223</v>
      </c>
      <c r="B13" s="122" t="s">
        <v>1223</v>
      </c>
      <c r="C13" s="122" t="s">
        <v>2657</v>
      </c>
      <c r="D13" s="122" t="s">
        <v>2658</v>
      </c>
      <c r="E13" s="122" t="s">
        <v>102</v>
      </c>
      <c r="F13" s="122" t="s">
        <v>2659</v>
      </c>
      <c r="G13" s="122" t="s">
        <v>2660</v>
      </c>
      <c r="H13" s="122" t="s">
        <v>78</v>
      </c>
      <c r="I13" s="122" t="s">
        <v>61</v>
      </c>
      <c r="J13" s="122" t="s">
        <v>314</v>
      </c>
      <c r="K13" s="122" t="s">
        <v>484</v>
      </c>
      <c r="L13" s="122" t="s">
        <v>97</v>
      </c>
      <c r="M13" s="122" t="s">
        <v>62</v>
      </c>
      <c r="N13" s="122" t="s">
        <v>1217</v>
      </c>
      <c r="O13" s="123">
        <v>433</v>
      </c>
      <c r="P13" s="123">
        <v>3.306</v>
      </c>
      <c r="Q13" s="123">
        <v>49803500</v>
      </c>
      <c r="R13" s="123">
        <v>712936.10600000003</v>
      </c>
      <c r="S13" s="125">
        <v>26.196459999999998</v>
      </c>
      <c r="T13" s="126">
        <v>2.6120000000000001E-2</v>
      </c>
      <c r="U13" s="159"/>
    </row>
    <row r="14" spans="1:21" x14ac:dyDescent="0.2">
      <c r="A14" s="121" t="s">
        <v>1223</v>
      </c>
      <c r="B14" s="122" t="s">
        <v>1223</v>
      </c>
      <c r="C14" s="122" t="s">
        <v>2665</v>
      </c>
      <c r="D14" s="122" t="s">
        <v>2666</v>
      </c>
      <c r="E14" s="122" t="s">
        <v>102</v>
      </c>
      <c r="F14" s="122" t="s">
        <v>2667</v>
      </c>
      <c r="G14" s="122" t="s">
        <v>2668</v>
      </c>
      <c r="H14" s="122" t="s">
        <v>78</v>
      </c>
      <c r="I14" s="122" t="s">
        <v>61</v>
      </c>
      <c r="J14" s="122" t="s">
        <v>314</v>
      </c>
      <c r="K14" s="122" t="s">
        <v>484</v>
      </c>
      <c r="L14" s="122" t="s">
        <v>382</v>
      </c>
      <c r="M14" s="122" t="s">
        <v>62</v>
      </c>
      <c r="N14" s="122" t="s">
        <v>1217</v>
      </c>
      <c r="O14" s="123">
        <v>361</v>
      </c>
      <c r="P14" s="123">
        <v>3.306</v>
      </c>
      <c r="Q14" s="123">
        <v>11507812.483999999</v>
      </c>
      <c r="R14" s="123">
        <v>137341.82999999999</v>
      </c>
      <c r="S14" s="125">
        <v>5.0465499999999999</v>
      </c>
      <c r="T14" s="126">
        <v>5.0299999999999997E-3</v>
      </c>
      <c r="U14" s="159"/>
    </row>
    <row r="15" spans="1:21" x14ac:dyDescent="0.2">
      <c r="A15" s="121" t="s">
        <v>1211</v>
      </c>
      <c r="B15" s="122" t="s">
        <v>1212</v>
      </c>
      <c r="C15" s="122"/>
      <c r="D15" s="122"/>
      <c r="E15" s="132"/>
      <c r="F15" s="135"/>
      <c r="G15" s="135"/>
      <c r="H15" s="132"/>
      <c r="I15" s="132"/>
      <c r="J15" s="132"/>
      <c r="K15" s="132"/>
      <c r="L15" s="135"/>
      <c r="M15" s="135"/>
      <c r="N15" s="132"/>
      <c r="O15" s="135"/>
      <c r="P15" s="135"/>
      <c r="Q15" s="135"/>
      <c r="R15" s="135"/>
      <c r="S15" s="135"/>
      <c r="T15" s="140"/>
      <c r="U15" s="159"/>
    </row>
    <row r="16" spans="1:21" x14ac:dyDescent="0.2">
      <c r="A16" s="121" t="s">
        <v>1211</v>
      </c>
      <c r="B16" s="122" t="s">
        <v>1220</v>
      </c>
      <c r="C16" s="122"/>
      <c r="D16" s="122"/>
      <c r="E16" s="132"/>
      <c r="F16" s="135"/>
      <c r="G16" s="135"/>
      <c r="H16" s="132"/>
      <c r="I16" s="132"/>
      <c r="J16" s="132"/>
      <c r="K16" s="132"/>
      <c r="L16" s="135"/>
      <c r="M16" s="135"/>
      <c r="N16" s="132"/>
      <c r="O16" s="135"/>
      <c r="P16" s="135"/>
      <c r="Q16" s="135"/>
      <c r="R16" s="135"/>
      <c r="S16" s="135"/>
      <c r="T16" s="140"/>
      <c r="U16" s="159"/>
    </row>
    <row r="17" spans="1:21" x14ac:dyDescent="0.2">
      <c r="A17" s="121" t="s">
        <v>1223</v>
      </c>
      <c r="B17" s="122" t="s">
        <v>1224</v>
      </c>
      <c r="C17" s="122"/>
      <c r="D17" s="122"/>
      <c r="E17" s="132"/>
      <c r="F17" s="135"/>
      <c r="G17" s="135"/>
      <c r="H17" s="132"/>
      <c r="I17" s="132"/>
      <c r="J17" s="132"/>
      <c r="K17" s="132"/>
      <c r="L17" s="135"/>
      <c r="M17" s="135"/>
      <c r="N17" s="132"/>
      <c r="O17" s="135"/>
      <c r="P17" s="135"/>
      <c r="Q17" s="135"/>
      <c r="R17" s="135"/>
      <c r="S17" s="135"/>
      <c r="T17" s="140"/>
      <c r="U17" s="159"/>
    </row>
    <row r="18" spans="1:21" x14ac:dyDescent="0.2">
      <c r="A18" s="127" t="s">
        <v>1223</v>
      </c>
      <c r="B18" s="128" t="s">
        <v>1225</v>
      </c>
      <c r="C18" s="128"/>
      <c r="D18" s="128"/>
      <c r="E18" s="137"/>
      <c r="F18" s="138"/>
      <c r="G18" s="138"/>
      <c r="H18" s="137"/>
      <c r="I18" s="137"/>
      <c r="J18" s="137"/>
      <c r="K18" s="137"/>
      <c r="L18" s="138"/>
      <c r="M18" s="138"/>
      <c r="N18" s="137"/>
      <c r="O18" s="138"/>
      <c r="P18" s="138"/>
      <c r="Q18" s="138"/>
      <c r="R18" s="138"/>
      <c r="S18" s="138"/>
      <c r="T18" s="141"/>
      <c r="U18" s="159"/>
    </row>
    <row r="19" spans="1:21" x14ac:dyDescent="0.2">
      <c r="A19" s="162" t="s">
        <v>3483</v>
      </c>
      <c r="B19" s="162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</row>
    <row r="20" spans="1:21" x14ac:dyDescent="0.2">
      <c r="A20" s="9" t="s">
        <v>3482</v>
      </c>
      <c r="B20" s="9"/>
      <c r="E20" s="11"/>
      <c r="F20" s="9"/>
      <c r="G20" s="9"/>
      <c r="H20" s="11"/>
      <c r="I20" s="11"/>
      <c r="J20" s="11"/>
      <c r="K20" s="11"/>
      <c r="L20" s="9"/>
      <c r="M20" s="9"/>
      <c r="N20" s="11"/>
      <c r="O20" s="9"/>
      <c r="P20" s="9"/>
      <c r="Q20" s="9"/>
      <c r="R20" s="9"/>
      <c r="S20" s="9"/>
      <c r="T20" s="9"/>
    </row>
    <row r="21" spans="1:21" x14ac:dyDescent="0.2">
      <c r="A21" s="1"/>
      <c r="E21" s="11"/>
      <c r="H21" s="11"/>
      <c r="J21" s="11"/>
      <c r="K21" s="11"/>
      <c r="L21" s="9"/>
      <c r="M21" s="9"/>
    </row>
    <row r="22" spans="1:21" x14ac:dyDescent="0.2">
      <c r="E22"/>
      <c r="H22" s="3"/>
      <c r="K22" s="3"/>
    </row>
    <row r="23" spans="1:21" x14ac:dyDescent="0.2">
      <c r="K23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9:T19"/>
    <mergeCell ref="U2:U18"/>
  </mergeCells>
  <dataValidations count="7">
    <dataValidation type="list" allowBlank="1" showInputMessage="1" showErrorMessage="1" sqref="I3:I18 I20" xr:uid="{00000000-0002-0000-0C00-000000000000}">
      <formula1>israel_abroad</formula1>
    </dataValidation>
    <dataValidation type="list" allowBlank="1" showInputMessage="1" showErrorMessage="1" sqref="M3:M18 M20:M21" xr:uid="{00000000-0002-0000-0C00-000001000000}">
      <formula1>Holding_interest</formula1>
    </dataValidation>
    <dataValidation type="list" allowBlank="1" showInputMessage="1" showErrorMessage="1" sqref="L3:L18 L20:L21" xr:uid="{00000000-0002-0000-0C00-000002000000}">
      <formula1>Underlying_Asset</formula1>
    </dataValidation>
    <dataValidation type="list" allowBlank="1" showInputMessage="1" showErrorMessage="1" sqref="J3:J18 J20:J21" xr:uid="{00000000-0002-0000-0C00-000003000000}">
      <formula1>Country_list</formula1>
    </dataValidation>
    <dataValidation type="list" allowBlank="1" showInputMessage="1" showErrorMessage="1" sqref="E3:E18 E20:E21" xr:uid="{00000000-0002-0000-0C00-000004000000}">
      <formula1>Issuer_Type_TFunds</formula1>
    </dataValidation>
    <dataValidation type="list" allowBlank="1" showInputMessage="1" showErrorMessage="1" sqref="H3:H18 H20:H21" xr:uid="{00000000-0002-0000-0C00-000005000000}">
      <formula1>Security_ID_Number_Type</formula1>
    </dataValidation>
    <dataValidation type="list" allowBlank="1" showInputMessage="1" showErrorMessage="1" sqref="K3:K18 K20:K21" xr:uid="{00000000-0002-0000-0C00-000006000000}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C2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7" width="11.625" customWidth="1"/>
    <col min="18" max="18" width="12.25" customWidth="1"/>
    <col min="19" max="20" width="11.625" customWidth="1"/>
    <col min="21" max="21" width="19" customWidth="1"/>
    <col min="22" max="22" width="11.75" customWidth="1"/>
    <col min="23" max="23" width="14.875" customWidth="1"/>
    <col min="24" max="24" width="11.625" customWidth="1"/>
    <col min="25" max="25" width="12.875" customWidth="1"/>
    <col min="26" max="26" width="17.875" customWidth="1"/>
    <col min="27" max="27" width="21.75" customWidth="1"/>
    <col min="28" max="28" width="20.125" customWidth="1"/>
    <col min="29" max="16384" width="9" hidden="1"/>
  </cols>
  <sheetData>
    <row r="1" spans="1:29" x14ac:dyDescent="0.2">
      <c r="A1" t="s">
        <v>3497</v>
      </c>
    </row>
    <row r="2" spans="1:29" x14ac:dyDescent="0.2">
      <c r="A2" s="118" t="s">
        <v>651</v>
      </c>
      <c r="B2" s="119" t="s">
        <v>0</v>
      </c>
      <c r="C2" s="119" t="s">
        <v>724</v>
      </c>
      <c r="D2" s="119" t="s">
        <v>2</v>
      </c>
      <c r="E2" s="119" t="s">
        <v>740</v>
      </c>
      <c r="F2" s="119" t="s">
        <v>1145</v>
      </c>
      <c r="G2" s="119" t="s">
        <v>29</v>
      </c>
      <c r="H2" s="119" t="s">
        <v>28</v>
      </c>
      <c r="I2" s="119" t="s">
        <v>1</v>
      </c>
      <c r="J2" s="119" t="s">
        <v>604</v>
      </c>
      <c r="K2" s="119" t="s">
        <v>605</v>
      </c>
      <c r="L2" s="119" t="s">
        <v>609</v>
      </c>
      <c r="M2" s="119" t="s">
        <v>5</v>
      </c>
      <c r="N2" s="119" t="s">
        <v>10</v>
      </c>
      <c r="O2" s="119" t="s">
        <v>606</v>
      </c>
      <c r="P2" s="119" t="s">
        <v>13</v>
      </c>
      <c r="Q2" s="119" t="s">
        <v>14</v>
      </c>
      <c r="R2" s="119" t="s">
        <v>621</v>
      </c>
      <c r="S2" s="119" t="s">
        <v>6</v>
      </c>
      <c r="T2" s="119" t="s">
        <v>8</v>
      </c>
      <c r="U2" s="119" t="s">
        <v>1146</v>
      </c>
      <c r="V2" s="119" t="s">
        <v>396</v>
      </c>
      <c r="W2" s="119" t="s">
        <v>773</v>
      </c>
      <c r="X2" s="119" t="s">
        <v>11</v>
      </c>
      <c r="Y2" s="119" t="s">
        <v>15</v>
      </c>
      <c r="Z2" s="119" t="s">
        <v>1153</v>
      </c>
      <c r="AA2" s="119" t="s">
        <v>19</v>
      </c>
      <c r="AB2" s="120" t="s">
        <v>30</v>
      </c>
      <c r="AC2" s="159" t="s">
        <v>3484</v>
      </c>
    </row>
    <row r="3" spans="1:29" x14ac:dyDescent="0.2">
      <c r="A3" s="121" t="s">
        <v>1211</v>
      </c>
      <c r="B3" s="122" t="s">
        <v>1212</v>
      </c>
      <c r="C3" s="122" t="s">
        <v>2669</v>
      </c>
      <c r="D3" s="122" t="s">
        <v>2670</v>
      </c>
      <c r="E3" s="122" t="s">
        <v>429</v>
      </c>
      <c r="F3" s="122" t="s">
        <v>2671</v>
      </c>
      <c r="G3" s="122" t="s">
        <v>2672</v>
      </c>
      <c r="H3" s="122" t="s">
        <v>76</v>
      </c>
      <c r="I3" s="122" t="s">
        <v>239</v>
      </c>
      <c r="J3" s="122" t="s">
        <v>53</v>
      </c>
      <c r="K3" s="122" t="s">
        <v>53</v>
      </c>
      <c r="L3" s="122" t="s">
        <v>805</v>
      </c>
      <c r="M3" s="122" t="s">
        <v>311</v>
      </c>
      <c r="N3" s="122" t="s">
        <v>102</v>
      </c>
      <c r="O3" s="122" t="s">
        <v>62</v>
      </c>
      <c r="P3" s="123">
        <v>2.79</v>
      </c>
      <c r="Q3" s="125">
        <v>5.0000000000000001E-4</v>
      </c>
      <c r="R3" s="125">
        <v>2.6339999999999999E-2</v>
      </c>
      <c r="S3" s="122" t="s">
        <v>1330</v>
      </c>
      <c r="T3" s="122" t="s">
        <v>65</v>
      </c>
      <c r="U3" s="122" t="s">
        <v>57</v>
      </c>
      <c r="V3" s="122" t="s">
        <v>1216</v>
      </c>
      <c r="W3" s="123">
        <v>71685.53</v>
      </c>
      <c r="X3" s="123">
        <v>1</v>
      </c>
      <c r="Y3" s="123">
        <v>109.77</v>
      </c>
      <c r="Z3" s="123">
        <v>78.688999999999993</v>
      </c>
      <c r="AA3" s="125">
        <v>1</v>
      </c>
      <c r="AB3" s="126">
        <v>2.2399999999999998E-3</v>
      </c>
      <c r="AC3" s="159"/>
    </row>
    <row r="4" spans="1:29" x14ac:dyDescent="0.2">
      <c r="A4" s="121" t="s">
        <v>1211</v>
      </c>
      <c r="B4" s="122" t="s">
        <v>1220</v>
      </c>
      <c r="C4" s="122" t="s">
        <v>2669</v>
      </c>
      <c r="D4" s="122" t="s">
        <v>2670</v>
      </c>
      <c r="E4" s="122" t="s">
        <v>429</v>
      </c>
      <c r="F4" s="122" t="s">
        <v>2671</v>
      </c>
      <c r="G4" s="122" t="s">
        <v>2672</v>
      </c>
      <c r="H4" s="122" t="s">
        <v>76</v>
      </c>
      <c r="I4" s="122" t="s">
        <v>239</v>
      </c>
      <c r="J4" s="122" t="s">
        <v>53</v>
      </c>
      <c r="K4" s="122" t="s">
        <v>53</v>
      </c>
      <c r="L4" s="122" t="s">
        <v>805</v>
      </c>
      <c r="M4" s="122" t="s">
        <v>311</v>
      </c>
      <c r="N4" s="122" t="s">
        <v>102</v>
      </c>
      <c r="O4" s="122" t="s">
        <v>62</v>
      </c>
      <c r="P4" s="123">
        <v>2.79</v>
      </c>
      <c r="Q4" s="125">
        <v>5.0000000000000001E-4</v>
      </c>
      <c r="R4" s="125">
        <v>2.6339999999999999E-2</v>
      </c>
      <c r="S4" s="122" t="s">
        <v>1330</v>
      </c>
      <c r="T4" s="122" t="s">
        <v>65</v>
      </c>
      <c r="U4" s="122" t="s">
        <v>57</v>
      </c>
      <c r="V4" s="122" t="s">
        <v>1216</v>
      </c>
      <c r="W4" s="123">
        <v>11375.49</v>
      </c>
      <c r="X4" s="123">
        <v>1</v>
      </c>
      <c r="Y4" s="123">
        <v>109.77</v>
      </c>
      <c r="Z4" s="123">
        <v>12.487</v>
      </c>
      <c r="AA4" s="125">
        <v>1</v>
      </c>
      <c r="AB4" s="126">
        <v>5.6299999999999996E-3</v>
      </c>
      <c r="AC4" s="159"/>
    </row>
    <row r="5" spans="1:29" x14ac:dyDescent="0.2">
      <c r="A5" s="121" t="s">
        <v>1211</v>
      </c>
      <c r="B5" s="122" t="s">
        <v>1211</v>
      </c>
      <c r="C5" s="122" t="s">
        <v>2669</v>
      </c>
      <c r="D5" s="122" t="s">
        <v>2670</v>
      </c>
      <c r="E5" s="122" t="s">
        <v>429</v>
      </c>
      <c r="F5" s="122" t="s">
        <v>2671</v>
      </c>
      <c r="G5" s="122" t="s">
        <v>2672</v>
      </c>
      <c r="H5" s="122" t="s">
        <v>76</v>
      </c>
      <c r="I5" s="122" t="s">
        <v>239</v>
      </c>
      <c r="J5" s="122" t="s">
        <v>53</v>
      </c>
      <c r="K5" s="122" t="s">
        <v>53</v>
      </c>
      <c r="L5" s="122" t="s">
        <v>805</v>
      </c>
      <c r="M5" s="122" t="s">
        <v>311</v>
      </c>
      <c r="N5" s="122" t="s">
        <v>102</v>
      </c>
      <c r="O5" s="122" t="s">
        <v>62</v>
      </c>
      <c r="P5" s="123">
        <v>2.79</v>
      </c>
      <c r="Q5" s="125">
        <v>5.0000000000000001E-4</v>
      </c>
      <c r="R5" s="125">
        <v>2.6339999999999999E-2</v>
      </c>
      <c r="S5" s="122" t="s">
        <v>1330</v>
      </c>
      <c r="T5" s="122" t="s">
        <v>65</v>
      </c>
      <c r="U5" s="122" t="s">
        <v>57</v>
      </c>
      <c r="V5" s="122" t="s">
        <v>1216</v>
      </c>
      <c r="W5" s="123">
        <v>4223357.8899999997</v>
      </c>
      <c r="X5" s="123">
        <v>1</v>
      </c>
      <c r="Y5" s="123">
        <v>109.77</v>
      </c>
      <c r="Z5" s="123">
        <v>4635.9799999999996</v>
      </c>
      <c r="AA5" s="125">
        <v>0.81452999999999998</v>
      </c>
      <c r="AB5" s="126">
        <v>3.9500000000000004E-3</v>
      </c>
      <c r="AC5" s="159"/>
    </row>
    <row r="6" spans="1:29" x14ac:dyDescent="0.2">
      <c r="A6" s="121" t="s">
        <v>1211</v>
      </c>
      <c r="B6" s="122" t="s">
        <v>1211</v>
      </c>
      <c r="C6" s="122" t="s">
        <v>2673</v>
      </c>
      <c r="D6" s="122" t="s">
        <v>2674</v>
      </c>
      <c r="E6" s="122" t="s">
        <v>429</v>
      </c>
      <c r="F6" s="122" t="s">
        <v>2675</v>
      </c>
      <c r="G6" s="122" t="s">
        <v>2676</v>
      </c>
      <c r="H6" s="122" t="s">
        <v>76</v>
      </c>
      <c r="I6" s="122" t="s">
        <v>239</v>
      </c>
      <c r="J6" s="122" t="s">
        <v>53</v>
      </c>
      <c r="K6" s="122" t="s">
        <v>53</v>
      </c>
      <c r="L6" s="122" t="s">
        <v>805</v>
      </c>
      <c r="M6" s="122" t="s">
        <v>311</v>
      </c>
      <c r="N6" s="122" t="s">
        <v>98</v>
      </c>
      <c r="O6" s="122" t="s">
        <v>62</v>
      </c>
      <c r="P6" s="123">
        <v>8.7899999999999991</v>
      </c>
      <c r="Q6" s="125">
        <v>7.2999999999999995E-2</v>
      </c>
      <c r="R6" s="125">
        <v>5.6059999999999999E-2</v>
      </c>
      <c r="S6" s="122" t="s">
        <v>1330</v>
      </c>
      <c r="T6" s="122" t="s">
        <v>65</v>
      </c>
      <c r="U6" s="122" t="s">
        <v>57</v>
      </c>
      <c r="V6" s="122" t="s">
        <v>1216</v>
      </c>
      <c r="W6" s="123">
        <v>675368.92</v>
      </c>
      <c r="X6" s="123">
        <v>1</v>
      </c>
      <c r="Y6" s="123">
        <v>116.95</v>
      </c>
      <c r="Z6" s="123">
        <v>789.84400000000005</v>
      </c>
      <c r="AA6" s="125">
        <v>0.13877</v>
      </c>
      <c r="AB6" s="126">
        <v>6.7000000000000002E-4</v>
      </c>
      <c r="AC6" s="159"/>
    </row>
    <row r="7" spans="1:29" x14ac:dyDescent="0.2">
      <c r="A7" s="121" t="s">
        <v>1211</v>
      </c>
      <c r="B7" s="122" t="s">
        <v>1211</v>
      </c>
      <c r="C7" s="122" t="s">
        <v>2669</v>
      </c>
      <c r="D7" s="122" t="s">
        <v>2670</v>
      </c>
      <c r="E7" s="122" t="s">
        <v>429</v>
      </c>
      <c r="F7" s="122" t="s">
        <v>2677</v>
      </c>
      <c r="G7" s="122" t="s">
        <v>2678</v>
      </c>
      <c r="H7" s="122" t="s">
        <v>76</v>
      </c>
      <c r="I7" s="122" t="s">
        <v>239</v>
      </c>
      <c r="J7" s="122" t="s">
        <v>53</v>
      </c>
      <c r="K7" s="122" t="s">
        <v>53</v>
      </c>
      <c r="L7" s="122" t="s">
        <v>805</v>
      </c>
      <c r="M7" s="122" t="s">
        <v>311</v>
      </c>
      <c r="N7" s="122" t="s">
        <v>102</v>
      </c>
      <c r="O7" s="122" t="s">
        <v>62</v>
      </c>
      <c r="P7" s="123">
        <v>0.53</v>
      </c>
      <c r="Q7" s="125">
        <v>5.5449999999999999E-2</v>
      </c>
      <c r="R7" s="125">
        <v>4.607E-2</v>
      </c>
      <c r="S7" s="122" t="s">
        <v>1330</v>
      </c>
      <c r="T7" s="122" t="s">
        <v>65</v>
      </c>
      <c r="U7" s="122" t="s">
        <v>57</v>
      </c>
      <c r="V7" s="122" t="s">
        <v>1216</v>
      </c>
      <c r="W7" s="123">
        <v>274108</v>
      </c>
      <c r="X7" s="123">
        <v>1</v>
      </c>
      <c r="Y7" s="123">
        <v>96.95</v>
      </c>
      <c r="Z7" s="123">
        <v>265.74799999999999</v>
      </c>
      <c r="AA7" s="125">
        <v>4.6690000000000002E-2</v>
      </c>
      <c r="AB7" s="126">
        <v>2.3000000000000001E-4</v>
      </c>
      <c r="AC7" s="159"/>
    </row>
    <row r="8" spans="1:29" x14ac:dyDescent="0.2">
      <c r="A8" s="121" t="s">
        <v>1223</v>
      </c>
      <c r="B8" s="122" t="s">
        <v>1224</v>
      </c>
      <c r="C8" s="122" t="s">
        <v>2669</v>
      </c>
      <c r="D8" s="122" t="s">
        <v>2670</v>
      </c>
      <c r="E8" s="122" t="s">
        <v>429</v>
      </c>
      <c r="F8" s="122" t="s">
        <v>2671</v>
      </c>
      <c r="G8" s="122" t="s">
        <v>2672</v>
      </c>
      <c r="H8" s="122" t="s">
        <v>76</v>
      </c>
      <c r="I8" s="122" t="s">
        <v>239</v>
      </c>
      <c r="J8" s="122" t="s">
        <v>53</v>
      </c>
      <c r="K8" s="122" t="s">
        <v>53</v>
      </c>
      <c r="L8" s="122" t="s">
        <v>805</v>
      </c>
      <c r="M8" s="122" t="s">
        <v>311</v>
      </c>
      <c r="N8" s="122" t="s">
        <v>102</v>
      </c>
      <c r="O8" s="122" t="s">
        <v>62</v>
      </c>
      <c r="P8" s="123">
        <v>2.79</v>
      </c>
      <c r="Q8" s="125">
        <v>5.0000000000000001E-4</v>
      </c>
      <c r="R8" s="125">
        <v>2.6339999999999999E-2</v>
      </c>
      <c r="S8" s="122" t="s">
        <v>1330</v>
      </c>
      <c r="T8" s="122" t="s">
        <v>65</v>
      </c>
      <c r="U8" s="122" t="s">
        <v>57</v>
      </c>
      <c r="V8" s="122" t="s">
        <v>1216</v>
      </c>
      <c r="W8" s="123">
        <v>3145557.28</v>
      </c>
      <c r="X8" s="123">
        <v>1</v>
      </c>
      <c r="Y8" s="123">
        <v>109.77</v>
      </c>
      <c r="Z8" s="123">
        <v>3452.8780000000002</v>
      </c>
      <c r="AA8" s="125">
        <v>1</v>
      </c>
      <c r="AB8" s="126">
        <v>2.3400000000000001E-3</v>
      </c>
      <c r="AC8" s="159"/>
    </row>
    <row r="9" spans="1:29" x14ac:dyDescent="0.2">
      <c r="A9" s="121" t="s">
        <v>1223</v>
      </c>
      <c r="B9" s="122" t="s">
        <v>1225</v>
      </c>
      <c r="C9" s="122" t="s">
        <v>2669</v>
      </c>
      <c r="D9" s="122" t="s">
        <v>2670</v>
      </c>
      <c r="E9" s="122" t="s">
        <v>429</v>
      </c>
      <c r="F9" s="122" t="s">
        <v>2671</v>
      </c>
      <c r="G9" s="122" t="s">
        <v>2672</v>
      </c>
      <c r="H9" s="122" t="s">
        <v>76</v>
      </c>
      <c r="I9" s="122" t="s">
        <v>239</v>
      </c>
      <c r="J9" s="122" t="s">
        <v>53</v>
      </c>
      <c r="K9" s="122" t="s">
        <v>53</v>
      </c>
      <c r="L9" s="122" t="s">
        <v>805</v>
      </c>
      <c r="M9" s="122" t="s">
        <v>311</v>
      </c>
      <c r="N9" s="122" t="s">
        <v>102</v>
      </c>
      <c r="O9" s="122" t="s">
        <v>62</v>
      </c>
      <c r="P9" s="123">
        <v>2.79</v>
      </c>
      <c r="Q9" s="125">
        <v>5.0000000000000001E-4</v>
      </c>
      <c r="R9" s="125">
        <v>2.6339999999999999E-2</v>
      </c>
      <c r="S9" s="122" t="s">
        <v>1330</v>
      </c>
      <c r="T9" s="122" t="s">
        <v>65</v>
      </c>
      <c r="U9" s="122" t="s">
        <v>57</v>
      </c>
      <c r="V9" s="122" t="s">
        <v>1216</v>
      </c>
      <c r="W9" s="123">
        <v>102278.47</v>
      </c>
      <c r="X9" s="123">
        <v>1</v>
      </c>
      <c r="Y9" s="123">
        <v>109.77</v>
      </c>
      <c r="Z9" s="123">
        <v>112.271</v>
      </c>
      <c r="AA9" s="125">
        <v>1</v>
      </c>
      <c r="AB9" s="126">
        <v>1.112E-2</v>
      </c>
      <c r="AC9" s="159"/>
    </row>
    <row r="10" spans="1:29" x14ac:dyDescent="0.2">
      <c r="A10" s="121" t="s">
        <v>1223</v>
      </c>
      <c r="B10" s="122" t="s">
        <v>1223</v>
      </c>
      <c r="C10" s="122" t="s">
        <v>2669</v>
      </c>
      <c r="D10" s="122" t="s">
        <v>2670</v>
      </c>
      <c r="E10" s="122" t="s">
        <v>429</v>
      </c>
      <c r="F10" s="122" t="s">
        <v>2671</v>
      </c>
      <c r="G10" s="122" t="s">
        <v>2672</v>
      </c>
      <c r="H10" s="122" t="s">
        <v>76</v>
      </c>
      <c r="I10" s="122" t="s">
        <v>239</v>
      </c>
      <c r="J10" s="122" t="s">
        <v>53</v>
      </c>
      <c r="K10" s="122" t="s">
        <v>53</v>
      </c>
      <c r="L10" s="122" t="s">
        <v>805</v>
      </c>
      <c r="M10" s="122" t="s">
        <v>311</v>
      </c>
      <c r="N10" s="122" t="s">
        <v>102</v>
      </c>
      <c r="O10" s="122" t="s">
        <v>62</v>
      </c>
      <c r="P10" s="123">
        <v>2.79</v>
      </c>
      <c r="Q10" s="125">
        <v>5.0000000000000001E-4</v>
      </c>
      <c r="R10" s="125">
        <v>2.6339999999999999E-2</v>
      </c>
      <c r="S10" s="122" t="s">
        <v>1330</v>
      </c>
      <c r="T10" s="122" t="s">
        <v>65</v>
      </c>
      <c r="U10" s="122" t="s">
        <v>57</v>
      </c>
      <c r="V10" s="122" t="s">
        <v>1216</v>
      </c>
      <c r="W10" s="123">
        <v>97641466.609999999</v>
      </c>
      <c r="X10" s="123">
        <v>1</v>
      </c>
      <c r="Y10" s="123">
        <v>109.77</v>
      </c>
      <c r="Z10" s="123">
        <v>107181.038</v>
      </c>
      <c r="AA10" s="125">
        <v>0.81725000000000003</v>
      </c>
      <c r="AB10" s="126">
        <v>3.9300000000000003E-3</v>
      </c>
      <c r="AC10" s="159"/>
    </row>
    <row r="11" spans="1:29" x14ac:dyDescent="0.2">
      <c r="A11" s="121" t="s">
        <v>1223</v>
      </c>
      <c r="B11" s="122" t="s">
        <v>1223</v>
      </c>
      <c r="C11" s="122" t="s">
        <v>2673</v>
      </c>
      <c r="D11" s="122" t="s">
        <v>2674</v>
      </c>
      <c r="E11" s="122" t="s">
        <v>429</v>
      </c>
      <c r="F11" s="122" t="s">
        <v>2675</v>
      </c>
      <c r="G11" s="122" t="s">
        <v>2676</v>
      </c>
      <c r="H11" s="122" t="s">
        <v>76</v>
      </c>
      <c r="I11" s="122" t="s">
        <v>239</v>
      </c>
      <c r="J11" s="122" t="s">
        <v>53</v>
      </c>
      <c r="K11" s="122" t="s">
        <v>53</v>
      </c>
      <c r="L11" s="122" t="s">
        <v>805</v>
      </c>
      <c r="M11" s="122" t="s">
        <v>311</v>
      </c>
      <c r="N11" s="122" t="s">
        <v>98</v>
      </c>
      <c r="O11" s="122" t="s">
        <v>62</v>
      </c>
      <c r="P11" s="123">
        <v>8.7899999999999991</v>
      </c>
      <c r="Q11" s="125">
        <v>7.2999999999999995E-2</v>
      </c>
      <c r="R11" s="125">
        <v>5.6059999999999999E-2</v>
      </c>
      <c r="S11" s="122" t="s">
        <v>1330</v>
      </c>
      <c r="T11" s="122" t="s">
        <v>65</v>
      </c>
      <c r="U11" s="122" t="s">
        <v>57</v>
      </c>
      <c r="V11" s="122" t="s">
        <v>1216</v>
      </c>
      <c r="W11" s="123">
        <v>15470360.390000001</v>
      </c>
      <c r="X11" s="123">
        <v>1</v>
      </c>
      <c r="Y11" s="123">
        <v>116.95</v>
      </c>
      <c r="Z11" s="123">
        <v>18092.585999999999</v>
      </c>
      <c r="AA11" s="125">
        <v>0.13794999999999999</v>
      </c>
      <c r="AB11" s="126">
        <v>6.6E-4</v>
      </c>
      <c r="AC11" s="159"/>
    </row>
    <row r="12" spans="1:29" x14ac:dyDescent="0.2">
      <c r="A12" s="127" t="s">
        <v>1223</v>
      </c>
      <c r="B12" s="128" t="s">
        <v>1223</v>
      </c>
      <c r="C12" s="128" t="s">
        <v>2669</v>
      </c>
      <c r="D12" s="128" t="s">
        <v>2670</v>
      </c>
      <c r="E12" s="128" t="s">
        <v>429</v>
      </c>
      <c r="F12" s="128" t="s">
        <v>2677</v>
      </c>
      <c r="G12" s="128" t="s">
        <v>2678</v>
      </c>
      <c r="H12" s="128" t="s">
        <v>76</v>
      </c>
      <c r="I12" s="128" t="s">
        <v>239</v>
      </c>
      <c r="J12" s="128" t="s">
        <v>53</v>
      </c>
      <c r="K12" s="128" t="s">
        <v>53</v>
      </c>
      <c r="L12" s="128" t="s">
        <v>805</v>
      </c>
      <c r="M12" s="128" t="s">
        <v>311</v>
      </c>
      <c r="N12" s="128" t="s">
        <v>102</v>
      </c>
      <c r="O12" s="128" t="s">
        <v>62</v>
      </c>
      <c r="P12" s="129">
        <v>0.53</v>
      </c>
      <c r="Q12" s="130">
        <v>5.5449999999999999E-2</v>
      </c>
      <c r="R12" s="130">
        <v>4.607E-2</v>
      </c>
      <c r="S12" s="128" t="s">
        <v>1330</v>
      </c>
      <c r="T12" s="128" t="s">
        <v>65</v>
      </c>
      <c r="U12" s="128" t="s">
        <v>57</v>
      </c>
      <c r="V12" s="128" t="s">
        <v>1216</v>
      </c>
      <c r="W12" s="129">
        <v>6060110</v>
      </c>
      <c r="X12" s="129">
        <v>1</v>
      </c>
      <c r="Y12" s="129">
        <v>96.95</v>
      </c>
      <c r="Z12" s="129">
        <v>5875.277</v>
      </c>
      <c r="AA12" s="130">
        <v>4.48E-2</v>
      </c>
      <c r="AB12" s="131">
        <v>2.2000000000000001E-4</v>
      </c>
      <c r="AC12" s="159"/>
    </row>
    <row r="13" spans="1:29" x14ac:dyDescent="0.2">
      <c r="A13" s="162" t="s">
        <v>3483</v>
      </c>
      <c r="B13" s="162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</row>
    <row r="14" spans="1:29" x14ac:dyDescent="0.2">
      <c r="A14" s="9" t="s">
        <v>3482</v>
      </c>
      <c r="B14" s="9"/>
      <c r="C14" s="9"/>
      <c r="D14" s="9"/>
      <c r="E14" s="11"/>
      <c r="F14" s="9"/>
      <c r="G14" s="9"/>
      <c r="H14" s="11"/>
      <c r="I14" s="9"/>
      <c r="J14" s="11"/>
      <c r="K14" s="11"/>
      <c r="L14" s="9"/>
      <c r="M14" s="11"/>
      <c r="N14" s="9"/>
      <c r="O14" s="9"/>
      <c r="P14" s="9"/>
      <c r="Q14" s="9"/>
      <c r="R14" s="9"/>
      <c r="S14" s="9"/>
      <c r="T14" s="9"/>
      <c r="U14" s="9"/>
      <c r="V14" s="11"/>
      <c r="W14" s="9"/>
      <c r="X14" s="9"/>
      <c r="Y14" s="9"/>
      <c r="Z14" s="9"/>
      <c r="AA14" s="9"/>
      <c r="AB14" s="9"/>
    </row>
    <row r="15" spans="1:29" x14ac:dyDescent="0.2">
      <c r="A15" s="157"/>
      <c r="B15" s="9"/>
      <c r="C15" s="9"/>
      <c r="D15" s="9"/>
      <c r="E15" s="11"/>
      <c r="F15" s="9"/>
      <c r="G15" s="9"/>
      <c r="H15" s="11"/>
      <c r="I15" s="9"/>
      <c r="J15" s="11"/>
      <c r="K15" s="11"/>
      <c r="L15" s="9"/>
      <c r="M15" s="11"/>
      <c r="N15" s="9"/>
      <c r="O15" s="9"/>
      <c r="P15" s="9"/>
      <c r="Q15" s="9"/>
      <c r="R15" s="9"/>
      <c r="S15" s="9"/>
      <c r="T15" s="9"/>
      <c r="U15" s="9"/>
      <c r="V15" s="11"/>
      <c r="W15" s="9"/>
      <c r="X15" s="9"/>
      <c r="Y15" s="9"/>
      <c r="Z15" s="9"/>
      <c r="AA15" s="9"/>
      <c r="AB15" s="9"/>
    </row>
    <row r="16" spans="1:29" x14ac:dyDescent="0.2">
      <c r="A16" s="9"/>
      <c r="B16" s="9"/>
      <c r="C16" s="9"/>
      <c r="D16" s="9"/>
      <c r="E16" s="11"/>
      <c r="F16" s="9"/>
      <c r="G16" s="9"/>
      <c r="H16" s="11"/>
      <c r="I16" s="9"/>
      <c r="J16" s="11"/>
      <c r="K16" s="11"/>
      <c r="L16" s="9"/>
      <c r="M16" s="11"/>
      <c r="N16" s="9"/>
      <c r="O16" s="9"/>
      <c r="P16" s="9"/>
      <c r="Q16" s="9"/>
      <c r="R16" s="9"/>
      <c r="S16" s="9"/>
      <c r="T16" s="9"/>
      <c r="U16" s="9"/>
      <c r="V16" s="11"/>
      <c r="W16" s="9"/>
      <c r="X16" s="9"/>
      <c r="Y16" s="9"/>
      <c r="Z16" s="9"/>
      <c r="AA16" s="9"/>
      <c r="AB16" s="9"/>
    </row>
    <row r="17" spans="1:28" x14ac:dyDescent="0.2">
      <c r="A17" s="9"/>
      <c r="B17" s="9"/>
      <c r="C17" s="9"/>
      <c r="D17" s="9"/>
      <c r="E17" s="11"/>
      <c r="F17" s="9"/>
      <c r="G17" s="9"/>
      <c r="H17" s="11"/>
      <c r="I17" s="9"/>
      <c r="J17" s="11"/>
      <c r="K17" s="11"/>
      <c r="L17" s="9"/>
      <c r="M17" s="11"/>
      <c r="N17" s="9"/>
      <c r="O17" s="9"/>
      <c r="P17" s="9"/>
      <c r="Q17" s="9"/>
      <c r="R17" s="9"/>
      <c r="S17" s="9"/>
      <c r="T17" s="9"/>
      <c r="U17" s="9"/>
      <c r="V17" s="11"/>
      <c r="W17" s="9"/>
      <c r="X17" s="9"/>
      <c r="Y17" s="9"/>
      <c r="Z17" s="9"/>
      <c r="AA17" s="9"/>
      <c r="AB17" s="9"/>
    </row>
    <row r="18" spans="1:28" x14ac:dyDescent="0.2">
      <c r="A18" s="9"/>
      <c r="B18" s="9"/>
      <c r="C18" s="9"/>
      <c r="D18" s="9"/>
      <c r="E18" s="11"/>
      <c r="F18" s="9"/>
      <c r="G18" s="9"/>
      <c r="H18" s="11"/>
      <c r="I18" s="9"/>
      <c r="J18" s="11"/>
      <c r="K18" s="11"/>
      <c r="L18" s="9"/>
      <c r="M18" s="11"/>
      <c r="N18" s="9"/>
      <c r="O18" s="9"/>
      <c r="P18" s="9"/>
      <c r="Q18" s="9"/>
      <c r="R18" s="9"/>
      <c r="S18" s="9"/>
      <c r="T18" s="9"/>
      <c r="U18" s="9"/>
      <c r="V18" s="11"/>
      <c r="W18" s="9"/>
      <c r="X18" s="9"/>
      <c r="Y18" s="9"/>
      <c r="Z18" s="9"/>
      <c r="AA18" s="9"/>
      <c r="AB18" s="9"/>
    </row>
    <row r="19" spans="1:28" x14ac:dyDescent="0.2">
      <c r="A19" s="9"/>
      <c r="B19" s="9"/>
      <c r="C19" s="9"/>
      <c r="D19" s="9"/>
      <c r="E19" s="11"/>
      <c r="F19" s="9"/>
      <c r="G19" s="9"/>
      <c r="H19" s="11"/>
      <c r="I19" s="9"/>
      <c r="J19" s="11"/>
      <c r="K19" s="11"/>
      <c r="L19" s="9"/>
      <c r="M19" s="11"/>
      <c r="N19" s="9"/>
      <c r="O19" s="9"/>
      <c r="P19" s="9"/>
      <c r="Q19" s="9"/>
      <c r="R19" s="9"/>
      <c r="S19" s="9"/>
      <c r="T19" s="9"/>
      <c r="U19" s="9"/>
      <c r="V19" s="11"/>
      <c r="W19" s="9"/>
      <c r="X19" s="9"/>
      <c r="Y19" s="9"/>
      <c r="Z19" s="9"/>
      <c r="AA19" s="9"/>
      <c r="AB19" s="9"/>
    </row>
    <row r="20" spans="1:28" x14ac:dyDescent="0.2">
      <c r="A20" s="9"/>
      <c r="B20" s="9"/>
      <c r="C20" s="9"/>
      <c r="D20" s="9"/>
      <c r="E20" s="11"/>
      <c r="F20" s="9"/>
      <c r="G20" s="9"/>
      <c r="H20" s="11"/>
      <c r="I20" s="9"/>
      <c r="J20" s="11"/>
      <c r="K20" s="11"/>
      <c r="L20" s="9"/>
      <c r="M20" s="11"/>
      <c r="N20" s="9"/>
      <c r="O20" s="9"/>
      <c r="P20" s="9"/>
      <c r="Q20" s="9"/>
      <c r="R20" s="9"/>
      <c r="S20" s="9"/>
      <c r="T20" s="9"/>
      <c r="U20" s="9"/>
      <c r="V20" s="11"/>
      <c r="W20" s="9"/>
      <c r="X20" s="9"/>
      <c r="Y20" s="9"/>
      <c r="Z20" s="9"/>
      <c r="AA20" s="9"/>
      <c r="AB20" s="9"/>
    </row>
    <row r="21" spans="1:28" x14ac:dyDescent="0.2">
      <c r="E21" s="11"/>
      <c r="H21" s="11"/>
      <c r="I21" s="9"/>
      <c r="J21" s="11"/>
      <c r="K21" s="11"/>
      <c r="L21" s="9"/>
      <c r="M21" s="11"/>
      <c r="N21" s="9"/>
      <c r="O21" s="9"/>
      <c r="T21" s="9"/>
      <c r="U21" s="9"/>
    </row>
    <row r="22" spans="1:28" x14ac:dyDescent="0.2">
      <c r="E22"/>
      <c r="H22" s="3"/>
      <c r="M22" s="3"/>
      <c r="N22" s="9"/>
    </row>
    <row r="23" spans="1:28" x14ac:dyDescent="0.2">
      <c r="M23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J3:J12 J14:J21" xr:uid="{00000000-0002-0000-0D00-000000000000}">
      <formula1>israel_abroad</formula1>
    </dataValidation>
    <dataValidation type="list" allowBlank="1" showInputMessage="1" showErrorMessage="1" sqref="O3:O12 O14:O21" xr:uid="{00000000-0002-0000-0D00-000001000000}">
      <formula1>Holding_interest</formula1>
    </dataValidation>
    <dataValidation type="list" allowBlank="1" showInputMessage="1" showErrorMessage="1" sqref="U3:U12 U14:U21" xr:uid="{00000000-0002-0000-0D00-000002000000}">
      <formula1>What_is_rated</formula1>
    </dataValidation>
    <dataValidation type="list" allowBlank="1" showInputMessage="1" showErrorMessage="1" sqref="T3:T12 T14:T21" xr:uid="{00000000-0002-0000-0D00-000003000000}">
      <formula1>Rating_Agency</formula1>
    </dataValidation>
    <dataValidation type="list" allowBlank="1" showInputMessage="1" showErrorMessage="1" sqref="K3:K12 K14:K21" xr:uid="{00000000-0002-0000-0D00-000004000000}">
      <formula1>Country_list</formula1>
    </dataValidation>
    <dataValidation type="list" allowBlank="1" showInputMessage="1" showErrorMessage="1" sqref="E3:E12 E14:E21" xr:uid="{00000000-0002-0000-0D00-000005000000}">
      <formula1>Issuer_Type_TFunds</formula1>
    </dataValidation>
    <dataValidation type="list" allowBlank="1" showInputMessage="1" showErrorMessage="1" sqref="N3:N12 N14:N22" xr:uid="{00000000-0002-0000-0D00-000006000000}">
      <formula1>Underlying_Asset_Structured</formula1>
    </dataValidation>
    <dataValidation type="list" allowBlank="1" showInputMessage="1" showErrorMessage="1" sqref="H3:H12 H14:H21" xr:uid="{00000000-0002-0000-0D00-000007000000}">
      <formula1>Security_ID_Number_Type</formula1>
    </dataValidation>
    <dataValidation type="list" allowBlank="1" showInputMessage="1" showErrorMessage="1" sqref="L3:L12 L14:L21" xr:uid="{00000000-0002-0000-0D00-000008000000}">
      <formula1>Tradeable_Status</formula1>
    </dataValidation>
    <dataValidation type="list" allowBlank="1" showInputMessage="1" showErrorMessage="1" sqref="M3:M12 M14:M21" xr:uid="{00000000-0002-0000-0D00-000009000000}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A000000}">
          <x14:formula1>
            <xm:f>'אפשרויות בחירה'!$C$906:$C$911</xm:f>
          </x14:formula1>
          <xm:sqref>I3:I12 I14:I21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2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2.75" customWidth="1"/>
    <col min="6" max="6" width="15.5" customWidth="1"/>
    <col min="7" max="8" width="11.625" customWidth="1"/>
    <col min="9" max="9" width="19.875" customWidth="1"/>
    <col min="10" max="10" width="12" customWidth="1"/>
    <col min="11" max="12" width="11.625" customWidth="1"/>
    <col min="13" max="13" width="11.75" customWidth="1"/>
    <col min="14" max="16" width="11.625" customWidth="1"/>
    <col min="17" max="17" width="1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customWidth="1"/>
    <col min="25" max="25" width="20.125" customWidth="1"/>
    <col min="26" max="16384" width="9" hidden="1"/>
  </cols>
  <sheetData>
    <row r="1" spans="1:26" x14ac:dyDescent="0.2">
      <c r="A1" t="s">
        <v>3498</v>
      </c>
    </row>
    <row r="2" spans="1:26" x14ac:dyDescent="0.2">
      <c r="A2" s="118" t="s">
        <v>651</v>
      </c>
      <c r="B2" s="119" t="s">
        <v>0</v>
      </c>
      <c r="C2" s="119" t="s">
        <v>724</v>
      </c>
      <c r="D2" s="119" t="s">
        <v>1145</v>
      </c>
      <c r="E2" s="119" t="s">
        <v>29</v>
      </c>
      <c r="F2" s="119" t="s">
        <v>28</v>
      </c>
      <c r="G2" s="119" t="s">
        <v>1</v>
      </c>
      <c r="H2" s="119" t="s">
        <v>604</v>
      </c>
      <c r="I2" s="119" t="s">
        <v>605</v>
      </c>
      <c r="J2" s="119" t="s">
        <v>12</v>
      </c>
      <c r="K2" s="119" t="s">
        <v>6</v>
      </c>
      <c r="L2" s="119" t="s">
        <v>8</v>
      </c>
      <c r="M2" s="119" t="s">
        <v>396</v>
      </c>
      <c r="N2" s="119" t="s">
        <v>13</v>
      </c>
      <c r="O2" s="119" t="s">
        <v>421</v>
      </c>
      <c r="P2" s="119" t="s">
        <v>14</v>
      </c>
      <c r="Q2" s="119" t="s">
        <v>621</v>
      </c>
      <c r="R2" s="119" t="s">
        <v>773</v>
      </c>
      <c r="S2" s="119" t="s">
        <v>11</v>
      </c>
      <c r="T2" s="119" t="s">
        <v>15</v>
      </c>
      <c r="U2" s="119" t="s">
        <v>1153</v>
      </c>
      <c r="V2" s="119" t="s">
        <v>1154</v>
      </c>
      <c r="W2" s="119" t="s">
        <v>26</v>
      </c>
      <c r="X2" s="119" t="s">
        <v>19</v>
      </c>
      <c r="Y2" s="120" t="s">
        <v>30</v>
      </c>
      <c r="Z2" s="159" t="s">
        <v>3484</v>
      </c>
    </row>
    <row r="3" spans="1:26" x14ac:dyDescent="0.2">
      <c r="A3" s="121" t="s">
        <v>1211</v>
      </c>
      <c r="B3" s="122" t="s">
        <v>1212</v>
      </c>
      <c r="C3" s="135"/>
      <c r="D3" s="135"/>
      <c r="E3" s="135"/>
      <c r="F3" s="135"/>
      <c r="G3" s="135"/>
      <c r="H3" s="132"/>
      <c r="I3" s="132"/>
      <c r="J3" s="135"/>
      <c r="K3" s="135"/>
      <c r="L3" s="135"/>
      <c r="M3" s="132"/>
      <c r="N3" s="135"/>
      <c r="O3" s="135"/>
      <c r="P3" s="135"/>
      <c r="Q3" s="135"/>
      <c r="R3" s="135"/>
      <c r="S3" s="135"/>
      <c r="T3" s="135"/>
      <c r="U3" s="135"/>
      <c r="V3" s="135"/>
      <c r="W3" s="132"/>
      <c r="X3" s="135"/>
      <c r="Y3" s="140"/>
      <c r="Z3" s="159"/>
    </row>
    <row r="4" spans="1:26" x14ac:dyDescent="0.2">
      <c r="A4" s="121" t="s">
        <v>1211</v>
      </c>
      <c r="B4" s="122" t="s">
        <v>1220</v>
      </c>
      <c r="C4" s="135"/>
      <c r="D4" s="135"/>
      <c r="E4" s="135"/>
      <c r="F4" s="135"/>
      <c r="G4" s="135"/>
      <c r="H4" s="132"/>
      <c r="I4" s="132"/>
      <c r="J4" s="135"/>
      <c r="K4" s="135"/>
      <c r="L4" s="135"/>
      <c r="M4" s="132"/>
      <c r="N4" s="135"/>
      <c r="O4" s="135"/>
      <c r="P4" s="135"/>
      <c r="Q4" s="135"/>
      <c r="R4" s="135"/>
      <c r="S4" s="135"/>
      <c r="T4" s="135"/>
      <c r="U4" s="135"/>
      <c r="V4" s="135"/>
      <c r="W4" s="132"/>
      <c r="X4" s="135"/>
      <c r="Y4" s="140"/>
      <c r="Z4" s="159"/>
    </row>
    <row r="5" spans="1:26" x14ac:dyDescent="0.2">
      <c r="A5" s="121" t="s">
        <v>1211</v>
      </c>
      <c r="B5" s="122" t="s">
        <v>1211</v>
      </c>
      <c r="C5" s="135"/>
      <c r="D5" s="135"/>
      <c r="E5" s="135"/>
      <c r="F5" s="135"/>
      <c r="G5" s="135"/>
      <c r="H5" s="132"/>
      <c r="I5" s="132"/>
      <c r="J5" s="135"/>
      <c r="K5" s="135"/>
      <c r="L5" s="135"/>
      <c r="M5" s="132"/>
      <c r="N5" s="135"/>
      <c r="O5" s="135"/>
      <c r="P5" s="135"/>
      <c r="Q5" s="135"/>
      <c r="R5" s="135"/>
      <c r="S5" s="135"/>
      <c r="T5" s="135"/>
      <c r="U5" s="135"/>
      <c r="V5" s="135"/>
      <c r="W5" s="132"/>
      <c r="X5" s="135"/>
      <c r="Y5" s="140"/>
      <c r="Z5" s="159"/>
    </row>
    <row r="6" spans="1:26" x14ac:dyDescent="0.2">
      <c r="A6" s="121" t="s">
        <v>1223</v>
      </c>
      <c r="B6" s="122" t="s">
        <v>1224</v>
      </c>
      <c r="C6" s="135"/>
      <c r="D6" s="135"/>
      <c r="E6" s="135"/>
      <c r="F6" s="135"/>
      <c r="G6" s="135"/>
      <c r="H6" s="132"/>
      <c r="I6" s="132"/>
      <c r="J6" s="135"/>
      <c r="K6" s="132"/>
      <c r="L6" s="135"/>
      <c r="M6" s="122"/>
      <c r="N6" s="135"/>
      <c r="O6" s="135"/>
      <c r="P6" s="132"/>
      <c r="Q6" s="132"/>
      <c r="R6" s="135"/>
      <c r="S6" s="122"/>
      <c r="T6" s="135"/>
      <c r="U6" s="135"/>
      <c r="V6" s="135"/>
      <c r="W6" s="135"/>
      <c r="X6" s="135"/>
      <c r="Y6" s="140"/>
      <c r="Z6" s="159"/>
    </row>
    <row r="7" spans="1:26" x14ac:dyDescent="0.2">
      <c r="A7" s="121" t="s">
        <v>1223</v>
      </c>
      <c r="B7" s="122" t="s">
        <v>1225</v>
      </c>
      <c r="C7" s="135"/>
      <c r="D7" s="135"/>
      <c r="E7" s="135"/>
      <c r="F7" s="135"/>
      <c r="G7" s="135"/>
      <c r="H7" s="132"/>
      <c r="I7" s="132"/>
      <c r="J7" s="135"/>
      <c r="K7" s="135"/>
      <c r="L7" s="135"/>
      <c r="M7" s="132"/>
      <c r="N7" s="135"/>
      <c r="O7" s="135"/>
      <c r="P7" s="135"/>
      <c r="Q7" s="135"/>
      <c r="R7" s="135"/>
      <c r="S7" s="135"/>
      <c r="T7" s="135"/>
      <c r="U7" s="135"/>
      <c r="V7" s="135"/>
      <c r="W7" s="132"/>
      <c r="X7" s="135"/>
      <c r="Y7" s="140"/>
      <c r="Z7" s="159"/>
    </row>
    <row r="8" spans="1:26" x14ac:dyDescent="0.2">
      <c r="A8" s="127" t="s">
        <v>1223</v>
      </c>
      <c r="B8" s="128" t="s">
        <v>1223</v>
      </c>
      <c r="C8" s="138"/>
      <c r="D8" s="138"/>
      <c r="E8" s="138"/>
      <c r="F8" s="138"/>
      <c r="G8" s="138"/>
      <c r="H8" s="137"/>
      <c r="I8" s="137"/>
      <c r="J8" s="138"/>
      <c r="K8" s="138"/>
      <c r="L8" s="138"/>
      <c r="M8" s="137"/>
      <c r="N8" s="138"/>
      <c r="O8" s="138"/>
      <c r="P8" s="138"/>
      <c r="Q8" s="138"/>
      <c r="R8" s="138"/>
      <c r="S8" s="138"/>
      <c r="T8" s="138"/>
      <c r="U8" s="138"/>
      <c r="V8" s="138"/>
      <c r="W8" s="137"/>
      <c r="X8" s="138"/>
      <c r="Y8" s="141"/>
      <c r="Z8" s="159"/>
    </row>
    <row r="9" spans="1:26" x14ac:dyDescent="0.2">
      <c r="A9" s="162" t="s">
        <v>3483</v>
      </c>
      <c r="B9" s="162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</row>
    <row r="10" spans="1:26" x14ac:dyDescent="0.2">
      <c r="A10" s="9" t="s">
        <v>3482</v>
      </c>
      <c r="B10" s="9"/>
      <c r="C10" s="9"/>
      <c r="D10" s="9"/>
      <c r="E10" s="9"/>
      <c r="F10" s="9"/>
      <c r="G10" s="9"/>
      <c r="H10" s="11"/>
      <c r="I10" s="11"/>
      <c r="J10" s="9"/>
      <c r="K10" s="9"/>
      <c r="L10" s="9"/>
      <c r="M10" s="11"/>
      <c r="N10" s="9"/>
      <c r="O10" s="9"/>
      <c r="P10" s="9"/>
      <c r="Q10" s="9"/>
      <c r="R10" s="9"/>
      <c r="S10" s="9"/>
      <c r="T10" s="9"/>
      <c r="U10" s="9"/>
      <c r="V10" s="9"/>
      <c r="W10" s="11"/>
      <c r="X10" s="9"/>
      <c r="Y10" s="9"/>
    </row>
    <row r="11" spans="1:26" x14ac:dyDescent="0.2">
      <c r="A11" s="157"/>
      <c r="B11" s="9"/>
      <c r="C11" s="9"/>
      <c r="D11" s="9"/>
      <c r="E11" s="9"/>
      <c r="F11" s="9"/>
      <c r="G11" s="9"/>
      <c r="H11" s="11"/>
      <c r="I11" s="11"/>
      <c r="J11" s="9"/>
      <c r="K11" s="9"/>
      <c r="L11" s="9"/>
      <c r="M11" s="11"/>
      <c r="N11" s="9"/>
      <c r="O11" s="9"/>
      <c r="P11" s="9"/>
      <c r="Q11" s="9"/>
      <c r="R11" s="9"/>
      <c r="S11" s="9"/>
      <c r="T11" s="9"/>
      <c r="U11" s="9"/>
      <c r="V11" s="9"/>
      <c r="W11" s="11"/>
      <c r="X11" s="9"/>
      <c r="Y11" s="9"/>
    </row>
    <row r="12" spans="1:26" x14ac:dyDescent="0.2">
      <c r="A12" s="9"/>
      <c r="B12" s="9"/>
      <c r="C12" s="9"/>
      <c r="D12" s="9"/>
      <c r="E12" s="9"/>
      <c r="F12" s="9"/>
      <c r="G12" s="9"/>
      <c r="H12" s="11"/>
      <c r="I12" s="11"/>
      <c r="J12" s="9"/>
      <c r="K12" s="9"/>
      <c r="L12" s="9"/>
      <c r="M12" s="11"/>
      <c r="N12" s="9"/>
      <c r="O12" s="9"/>
      <c r="P12" s="9"/>
      <c r="Q12" s="9"/>
      <c r="R12" s="9"/>
      <c r="S12" s="9"/>
      <c r="T12" s="9"/>
      <c r="U12" s="9"/>
      <c r="V12" s="9"/>
      <c r="W12" s="11"/>
      <c r="X12" s="9"/>
      <c r="Y12" s="9"/>
    </row>
    <row r="13" spans="1:26" x14ac:dyDescent="0.2">
      <c r="A13" s="9"/>
      <c r="B13" s="9"/>
      <c r="C13" s="9"/>
      <c r="D13" s="9"/>
      <c r="E13" s="9"/>
      <c r="F13" s="9"/>
      <c r="G13" s="9"/>
      <c r="H13" s="11"/>
      <c r="I13" s="11"/>
      <c r="J13" s="9"/>
      <c r="K13" s="9"/>
      <c r="L13" s="9"/>
      <c r="M13" s="11"/>
      <c r="N13" s="9"/>
      <c r="O13" s="9"/>
      <c r="P13" s="9"/>
      <c r="Q13" s="9"/>
      <c r="R13" s="9"/>
      <c r="S13" s="9"/>
      <c r="T13" s="9"/>
      <c r="U13" s="9"/>
      <c r="V13" s="9"/>
      <c r="W13" s="11"/>
      <c r="X13" s="9"/>
      <c r="Y13" s="9"/>
    </row>
    <row r="14" spans="1:26" x14ac:dyDescent="0.2">
      <c r="A14" s="9"/>
      <c r="B14" s="9"/>
      <c r="C14" s="9"/>
      <c r="D14" s="9"/>
      <c r="E14" s="9"/>
      <c r="F14" s="9"/>
      <c r="G14" s="9"/>
      <c r="H14" s="11"/>
      <c r="I14" s="11"/>
      <c r="J14" s="9"/>
      <c r="K14" s="9"/>
      <c r="L14" s="9"/>
      <c r="M14" s="11"/>
      <c r="N14" s="9"/>
      <c r="O14" s="9"/>
      <c r="P14" s="9"/>
      <c r="Q14" s="9"/>
      <c r="R14" s="9"/>
      <c r="S14" s="9"/>
      <c r="T14" s="9"/>
      <c r="U14" s="9"/>
      <c r="V14" s="9"/>
      <c r="W14" s="11"/>
      <c r="X14" s="9"/>
      <c r="Y14" s="9"/>
    </row>
    <row r="15" spans="1:26" x14ac:dyDescent="0.2">
      <c r="A15" s="9"/>
      <c r="B15" s="9"/>
      <c r="C15" s="9"/>
      <c r="D15" s="9"/>
      <c r="E15" s="9"/>
      <c r="F15" s="9"/>
      <c r="G15" s="9"/>
      <c r="H15" s="11"/>
      <c r="I15" s="11"/>
      <c r="J15" s="9"/>
      <c r="K15" s="9"/>
      <c r="L15" s="9"/>
      <c r="M15" s="11"/>
      <c r="N15" s="9"/>
      <c r="O15" s="9"/>
      <c r="P15" s="9"/>
      <c r="Q15" s="9"/>
      <c r="R15" s="9"/>
      <c r="S15" s="9"/>
      <c r="T15" s="9"/>
      <c r="U15" s="9"/>
      <c r="V15" s="9"/>
      <c r="W15" s="11"/>
      <c r="X15" s="9"/>
      <c r="Y15" s="9"/>
    </row>
    <row r="16" spans="1:26" x14ac:dyDescent="0.2">
      <c r="A16" s="9"/>
      <c r="B16" s="9"/>
      <c r="C16" s="9"/>
      <c r="D16" s="9"/>
      <c r="E16" s="9"/>
      <c r="F16" s="9"/>
      <c r="G16" s="9"/>
      <c r="H16" s="11"/>
      <c r="I16" s="11"/>
      <c r="J16" s="9"/>
      <c r="K16" s="9"/>
      <c r="L16" s="9"/>
      <c r="M16" s="11"/>
      <c r="N16" s="9"/>
      <c r="O16" s="9"/>
      <c r="P16" s="9"/>
      <c r="Q16" s="9"/>
      <c r="R16" s="9"/>
      <c r="S16" s="9"/>
      <c r="T16" s="9"/>
      <c r="U16" s="9"/>
      <c r="V16" s="9"/>
      <c r="W16" s="11"/>
      <c r="X16" s="9"/>
      <c r="Y16" s="9"/>
    </row>
    <row r="17" spans="1:25" x14ac:dyDescent="0.2">
      <c r="A17" s="9"/>
      <c r="B17" s="9"/>
      <c r="C17" s="9"/>
      <c r="D17" s="9"/>
      <c r="E17" s="9"/>
      <c r="F17" s="9"/>
      <c r="G17" s="9"/>
      <c r="H17" s="11"/>
      <c r="I17" s="11"/>
      <c r="J17" s="9"/>
      <c r="K17" s="9"/>
      <c r="L17" s="9"/>
      <c r="M17" s="11"/>
      <c r="N17" s="9"/>
      <c r="O17" s="9"/>
      <c r="P17" s="9"/>
      <c r="Q17" s="9"/>
      <c r="R17" s="9"/>
      <c r="S17" s="9"/>
      <c r="T17" s="9"/>
      <c r="U17" s="9"/>
      <c r="V17" s="9"/>
      <c r="W17" s="11"/>
      <c r="X17" s="9"/>
      <c r="Y17" s="9"/>
    </row>
    <row r="18" spans="1:25" x14ac:dyDescent="0.2">
      <c r="A18" s="9"/>
      <c r="B18" s="9"/>
      <c r="C18" s="9"/>
      <c r="D18" s="9"/>
      <c r="E18" s="9"/>
      <c r="F18" s="9"/>
      <c r="G18" s="9"/>
      <c r="H18" s="11"/>
      <c r="I18" s="11"/>
      <c r="J18" s="9"/>
      <c r="K18" s="9"/>
      <c r="L18" s="9"/>
      <c r="M18" s="11"/>
      <c r="N18" s="9"/>
      <c r="O18" s="9"/>
      <c r="P18" s="9"/>
      <c r="Q18" s="9"/>
      <c r="R18" s="9"/>
      <c r="S18" s="9"/>
      <c r="T18" s="9"/>
      <c r="U18" s="9"/>
      <c r="V18" s="9"/>
      <c r="W18" s="11"/>
      <c r="X18" s="9"/>
      <c r="Y18" s="9"/>
    </row>
    <row r="19" spans="1:25" x14ac:dyDescent="0.2">
      <c r="A19" s="9"/>
      <c r="B19" s="9"/>
      <c r="C19" s="9"/>
      <c r="D19" s="9"/>
      <c r="E19" s="9"/>
      <c r="F19" s="9"/>
      <c r="G19" s="9"/>
      <c r="H19" s="11"/>
      <c r="I19" s="11"/>
      <c r="J19" s="9"/>
      <c r="K19" s="9"/>
      <c r="L19" s="9"/>
      <c r="M19" s="11"/>
      <c r="N19" s="9"/>
      <c r="O19" s="9"/>
      <c r="P19" s="9"/>
      <c r="Q19" s="9"/>
      <c r="R19" s="9"/>
      <c r="S19" s="9"/>
      <c r="T19" s="9"/>
      <c r="U19" s="9"/>
      <c r="V19" s="9"/>
      <c r="W19" s="11"/>
      <c r="X19" s="9"/>
      <c r="Y19" s="9"/>
    </row>
    <row r="20" spans="1:25" x14ac:dyDescent="0.2">
      <c r="A20" s="9"/>
      <c r="B20" s="9"/>
      <c r="C20" s="9"/>
      <c r="D20" s="9"/>
      <c r="E20" s="9"/>
      <c r="F20" s="9"/>
      <c r="G20" s="9"/>
      <c r="H20" s="11"/>
      <c r="I20" s="11"/>
      <c r="J20" s="9"/>
      <c r="K20" s="9"/>
      <c r="L20" s="9"/>
      <c r="M20" s="11"/>
      <c r="N20" s="9"/>
      <c r="O20" s="9"/>
      <c r="P20" s="9"/>
      <c r="Q20" s="9"/>
      <c r="R20" s="9"/>
      <c r="S20" s="9"/>
      <c r="T20" s="9"/>
      <c r="U20" s="9"/>
      <c r="V20" s="9"/>
      <c r="W20" s="11"/>
      <c r="X20" s="9"/>
      <c r="Y20" s="9"/>
    </row>
    <row r="21" spans="1:25" x14ac:dyDescent="0.2">
      <c r="F21" s="9"/>
      <c r="G21" s="9"/>
      <c r="H21" s="11"/>
      <c r="I21" s="11"/>
      <c r="L21" s="9"/>
      <c r="W21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Y9"/>
    <mergeCell ref="Z2:Z8"/>
  </mergeCells>
  <dataValidations count="9">
    <dataValidation type="list" allowBlank="1" showInputMessage="1" showErrorMessage="1" sqref="W3:W5 W7:W8 W10:W21" xr:uid="{00000000-0002-0000-0E00-000000000000}">
      <formula1>In_the_books</formula1>
    </dataValidation>
    <dataValidation type="list" allowBlank="1" showInputMessage="1" showErrorMessage="1" sqref="Y6" xr:uid="{00000000-0002-0000-0E00-000001000000}">
      <formula1>Info_Provider</formula1>
    </dataValidation>
    <dataValidation type="list" allowBlank="1" showInputMessage="1" showErrorMessage="1" sqref="K6 H3:H8 H10:H21" xr:uid="{00000000-0002-0000-0E00-000002000000}">
      <formula1>israel_abroad</formula1>
    </dataValidation>
    <dataValidation type="list" allowBlank="1" showInputMessage="1" showErrorMessage="1" sqref="O6 L3:L8 L10:L21" xr:uid="{00000000-0002-0000-0E00-000003000000}">
      <formula1>Rating_Agency</formula1>
    </dataValidation>
    <dataValidation type="list" allowBlank="1" showInputMessage="1" showErrorMessage="1" sqref="P6" xr:uid="{00000000-0002-0000-0E00-000004000000}">
      <formula1>Currency</formula1>
    </dataValidation>
    <dataValidation type="list" allowBlank="1" showInputMessage="1" showErrorMessage="1" sqref="Q6" xr:uid="{00000000-0002-0000-0E00-000005000000}">
      <formula1>Currency_Abbreviation</formula1>
    </dataValidation>
    <dataValidation type="list" allowBlank="1" showInputMessage="1" showErrorMessage="1" sqref="I3:I8 I10:I21" xr:uid="{00000000-0002-0000-0E00-000006000000}">
      <formula1>Country_list</formula1>
    </dataValidation>
    <dataValidation type="list" allowBlank="1" showInputMessage="1" showErrorMessage="1" sqref="F3:F8 F10:F21" xr:uid="{00000000-0002-0000-0E00-000007000000}">
      <formula1>Type_of_Security_ID_Fund</formula1>
    </dataValidation>
    <dataValidation type="list" allowBlank="1" showInputMessage="1" showErrorMessage="1" sqref="J6" xr:uid="{00000000-0002-0000-0E00-000008000000}">
      <formula1>#REF!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9000000}">
          <x14:formula1>
            <xm:f>'אפשרויות בחירה'!$C$912:$C$919</xm:f>
          </x14:formula1>
          <xm:sqref>G3:G8 G10:G21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S2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2.75" customWidth="1"/>
    <col min="6" max="6" width="12" customWidth="1"/>
    <col min="7" max="10" width="11.625" customWidth="1"/>
    <col min="11" max="11" width="12.25" customWidth="1"/>
    <col min="12" max="12" width="14.875" customWidth="1"/>
    <col min="13" max="13" width="12.875" customWidth="1"/>
    <col min="14" max="14" width="17.875" customWidth="1"/>
    <col min="15" max="15" width="21.375" customWidth="1"/>
    <col min="16" max="16" width="22" customWidth="1"/>
    <col min="17" max="17" width="21.75" customWidth="1"/>
    <col min="18" max="18" width="20.125" customWidth="1"/>
    <col min="19" max="16384" width="9" hidden="1"/>
  </cols>
  <sheetData>
    <row r="1" spans="1:19" x14ac:dyDescent="0.2">
      <c r="A1" t="s">
        <v>3499</v>
      </c>
    </row>
    <row r="2" spans="1:19" x14ac:dyDescent="0.2">
      <c r="A2" s="118" t="s">
        <v>651</v>
      </c>
      <c r="B2" s="119" t="s">
        <v>0</v>
      </c>
      <c r="C2" s="119" t="s">
        <v>1</v>
      </c>
      <c r="D2" s="119" t="s">
        <v>1145</v>
      </c>
      <c r="E2" s="119" t="s">
        <v>29</v>
      </c>
      <c r="F2" s="119" t="s">
        <v>12</v>
      </c>
      <c r="G2" s="119" t="s">
        <v>13</v>
      </c>
      <c r="H2" s="119" t="s">
        <v>282</v>
      </c>
      <c r="I2" s="119" t="s">
        <v>421</v>
      </c>
      <c r="J2" s="119" t="s">
        <v>14</v>
      </c>
      <c r="K2" s="119" t="s">
        <v>621</v>
      </c>
      <c r="L2" s="119" t="s">
        <v>773</v>
      </c>
      <c r="M2" s="119" t="s">
        <v>15</v>
      </c>
      <c r="N2" s="119" t="s">
        <v>1153</v>
      </c>
      <c r="O2" s="119" t="s">
        <v>1154</v>
      </c>
      <c r="P2" s="119" t="s">
        <v>26</v>
      </c>
      <c r="Q2" s="119" t="s">
        <v>19</v>
      </c>
      <c r="R2" s="120" t="s">
        <v>30</v>
      </c>
      <c r="S2" s="159" t="s">
        <v>3484</v>
      </c>
    </row>
    <row r="3" spans="1:19" x14ac:dyDescent="0.2">
      <c r="A3" s="121" t="s">
        <v>1211</v>
      </c>
      <c r="B3" s="122" t="s">
        <v>1212</v>
      </c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2"/>
      <c r="Q3" s="135"/>
      <c r="R3" s="140"/>
      <c r="S3" s="159"/>
    </row>
    <row r="4" spans="1:19" x14ac:dyDescent="0.2">
      <c r="A4" s="121" t="s">
        <v>1211</v>
      </c>
      <c r="B4" s="122" t="s">
        <v>1220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2"/>
      <c r="Q4" s="135"/>
      <c r="R4" s="140"/>
      <c r="S4" s="159"/>
    </row>
    <row r="5" spans="1:19" x14ac:dyDescent="0.2">
      <c r="A5" s="121" t="s">
        <v>1211</v>
      </c>
      <c r="B5" s="122" t="s">
        <v>1211</v>
      </c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2"/>
      <c r="Q5" s="135"/>
      <c r="R5" s="140"/>
      <c r="S5" s="159"/>
    </row>
    <row r="6" spans="1:19" x14ac:dyDescent="0.2">
      <c r="A6" s="121" t="s">
        <v>1223</v>
      </c>
      <c r="B6" s="122" t="s">
        <v>1224</v>
      </c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40"/>
      <c r="S6" s="159"/>
    </row>
    <row r="7" spans="1:19" x14ac:dyDescent="0.2">
      <c r="A7" s="121" t="s">
        <v>1223</v>
      </c>
      <c r="B7" s="122" t="s">
        <v>1225</v>
      </c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2"/>
      <c r="Q7" s="135"/>
      <c r="R7" s="140"/>
      <c r="S7" s="159"/>
    </row>
    <row r="8" spans="1:19" x14ac:dyDescent="0.2">
      <c r="A8" s="127" t="s">
        <v>1223</v>
      </c>
      <c r="B8" s="128" t="s">
        <v>1223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7"/>
      <c r="Q8" s="138"/>
      <c r="R8" s="141"/>
      <c r="S8" s="159"/>
    </row>
    <row r="9" spans="1:19" x14ac:dyDescent="0.2">
      <c r="A9" s="162" t="s">
        <v>3483</v>
      </c>
      <c r="B9" s="162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</row>
    <row r="10" spans="1:19" x14ac:dyDescent="0.2">
      <c r="A10" s="9" t="s">
        <v>3482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11"/>
      <c r="Q10" s="9"/>
      <c r="R10" s="9"/>
    </row>
    <row r="11" spans="1:19" x14ac:dyDescent="0.2">
      <c r="A11" s="157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1"/>
      <c r="Q11" s="9"/>
      <c r="R11" s="9"/>
    </row>
    <row r="12" spans="1:19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11"/>
      <c r="Q12" s="9"/>
      <c r="R12" s="9"/>
    </row>
    <row r="13" spans="1:19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1"/>
      <c r="Q13" s="9"/>
      <c r="R13" s="9"/>
    </row>
    <row r="14" spans="1:19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11"/>
      <c r="Q14" s="9"/>
      <c r="R14" s="9"/>
    </row>
    <row r="15" spans="1:19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1"/>
      <c r="Q15" s="9"/>
      <c r="R15" s="9"/>
    </row>
    <row r="16" spans="1:19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11"/>
      <c r="Q16" s="9"/>
      <c r="R16" s="9"/>
    </row>
    <row r="17" spans="1:18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1"/>
      <c r="Q17" s="9"/>
      <c r="R17" s="9"/>
    </row>
    <row r="18" spans="1:18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11"/>
      <c r="Q18" s="9"/>
      <c r="R18" s="9"/>
    </row>
    <row r="19" spans="1:18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1"/>
      <c r="Q19" s="9"/>
      <c r="R19" s="9"/>
    </row>
    <row r="20" spans="1:18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1"/>
      <c r="Q20" s="9"/>
      <c r="R20" s="9"/>
    </row>
    <row r="21" spans="1:18" x14ac:dyDescent="0.2">
      <c r="C21" s="9"/>
      <c r="H21" s="9"/>
      <c r="P21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R9"/>
    <mergeCell ref="S2:S8"/>
  </mergeCells>
  <dataValidations count="2">
    <dataValidation type="list" allowBlank="1" showInputMessage="1" showErrorMessage="1" sqref="P3:P5 P7:P8 P10:P21" xr:uid="{00000000-0002-0000-0F00-000000000000}">
      <formula1>In_the_books</formula1>
    </dataValidation>
    <dataValidation type="list" allowBlank="1" showInputMessage="1" showErrorMessage="1" sqref="H3:H8 H10:H21" xr:uid="{00000000-0002-0000-0F00-000001000000}">
      <formula1>Linked_Type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2000000}">
          <x14:formula1>
            <xm:f>'אפשרויות בחירה'!$C$920:$C$925</xm:f>
          </x14:formula1>
          <xm:sqref>C3:C8 C10:C21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"/>
  <dimension ref="A1:H21"/>
  <sheetViews>
    <sheetView rightToLeft="1" workbookViewId="0"/>
  </sheetViews>
  <sheetFormatPr defaultColWidth="0" defaultRowHeight="14.25" x14ac:dyDescent="0.2"/>
  <cols>
    <col min="1" max="3" width="11.625" customWidth="1"/>
    <col min="4" max="4" width="16" customWidth="1"/>
    <col min="5" max="5" width="12.125" customWidth="1"/>
    <col min="6" max="6" width="24.875" customWidth="1"/>
    <col min="7" max="7" width="20.125" customWidth="1"/>
    <col min="8" max="16384" width="9" hidden="1"/>
  </cols>
  <sheetData>
    <row r="1" spans="1:8" x14ac:dyDescent="0.2">
      <c r="A1" t="s">
        <v>3500</v>
      </c>
    </row>
    <row r="2" spans="1:8" x14ac:dyDescent="0.2">
      <c r="A2" s="118" t="s">
        <v>784</v>
      </c>
      <c r="B2" s="119" t="s">
        <v>0</v>
      </c>
      <c r="C2" s="119" t="s">
        <v>1</v>
      </c>
      <c r="D2" s="119" t="s">
        <v>758</v>
      </c>
      <c r="E2" s="119" t="s">
        <v>757</v>
      </c>
      <c r="F2" s="119" t="s">
        <v>1161</v>
      </c>
      <c r="G2" s="120" t="s">
        <v>30</v>
      </c>
      <c r="H2" s="159" t="s">
        <v>3484</v>
      </c>
    </row>
    <row r="3" spans="1:8" x14ac:dyDescent="0.2">
      <c r="A3" s="121" t="s">
        <v>1211</v>
      </c>
      <c r="B3" s="122" t="s">
        <v>1212</v>
      </c>
      <c r="C3" s="135"/>
      <c r="D3" s="142"/>
      <c r="E3" s="122"/>
      <c r="F3" s="122"/>
      <c r="G3" s="140"/>
      <c r="H3" s="159"/>
    </row>
    <row r="4" spans="1:8" x14ac:dyDescent="0.2">
      <c r="A4" s="121" t="s">
        <v>1211</v>
      </c>
      <c r="B4" s="122" t="s">
        <v>1220</v>
      </c>
      <c r="C4" s="135"/>
      <c r="D4" s="122"/>
      <c r="E4" s="122"/>
      <c r="F4" s="122"/>
      <c r="G4" s="140"/>
      <c r="H4" s="159"/>
    </row>
    <row r="5" spans="1:8" x14ac:dyDescent="0.2">
      <c r="A5" s="121" t="s">
        <v>1211</v>
      </c>
      <c r="B5" s="122" t="s">
        <v>1211</v>
      </c>
      <c r="C5" s="135"/>
      <c r="D5" s="122"/>
      <c r="E5" s="122"/>
      <c r="F5" s="122"/>
      <c r="G5" s="140"/>
      <c r="H5" s="159"/>
    </row>
    <row r="6" spans="1:8" x14ac:dyDescent="0.2">
      <c r="A6" s="121" t="s">
        <v>1223</v>
      </c>
      <c r="B6" s="122" t="s">
        <v>1224</v>
      </c>
      <c r="C6" s="135"/>
      <c r="D6" s="122"/>
      <c r="E6" s="122"/>
      <c r="F6" s="122"/>
      <c r="G6" s="140"/>
      <c r="H6" s="159"/>
    </row>
    <row r="7" spans="1:8" x14ac:dyDescent="0.2">
      <c r="A7" s="121" t="s">
        <v>1223</v>
      </c>
      <c r="B7" s="122" t="s">
        <v>1225</v>
      </c>
      <c r="C7" s="135"/>
      <c r="D7" s="122"/>
      <c r="E7" s="122"/>
      <c r="F7" s="122"/>
      <c r="G7" s="140"/>
      <c r="H7" s="159"/>
    </row>
    <row r="8" spans="1:8" x14ac:dyDescent="0.2">
      <c r="A8" s="127" t="s">
        <v>1223</v>
      </c>
      <c r="B8" s="128" t="s">
        <v>1223</v>
      </c>
      <c r="C8" s="138"/>
      <c r="D8" s="128"/>
      <c r="E8" s="128"/>
      <c r="F8" s="128"/>
      <c r="G8" s="141"/>
      <c r="H8" s="159"/>
    </row>
    <row r="9" spans="1:8" x14ac:dyDescent="0.2">
      <c r="A9" s="162" t="s">
        <v>3483</v>
      </c>
      <c r="B9" s="162"/>
      <c r="C9" s="162"/>
      <c r="D9" s="162"/>
      <c r="E9" s="162"/>
      <c r="F9" s="162"/>
      <c r="G9" s="162"/>
    </row>
    <row r="10" spans="1:8" x14ac:dyDescent="0.2">
      <c r="A10" s="9" t="s">
        <v>3482</v>
      </c>
      <c r="B10" s="9"/>
      <c r="C10" s="9"/>
      <c r="G10" s="9"/>
    </row>
    <row r="11" spans="1:8" x14ac:dyDescent="0.2">
      <c r="A11" s="157"/>
      <c r="B11" s="9"/>
      <c r="C11" s="9"/>
      <c r="G11" s="9"/>
    </row>
    <row r="12" spans="1:8" x14ac:dyDescent="0.2">
      <c r="A12" s="9"/>
      <c r="B12" s="9"/>
      <c r="C12" s="9"/>
      <c r="G12" s="9"/>
    </row>
    <row r="13" spans="1:8" x14ac:dyDescent="0.2">
      <c r="A13" s="9"/>
      <c r="B13" s="9"/>
      <c r="C13" s="9"/>
      <c r="G13" s="9"/>
    </row>
    <row r="14" spans="1:8" x14ac:dyDescent="0.2">
      <c r="A14" s="9"/>
      <c r="B14" s="9"/>
      <c r="C14" s="9"/>
      <c r="G14" s="9"/>
    </row>
    <row r="15" spans="1:8" x14ac:dyDescent="0.2">
      <c r="A15" s="9"/>
      <c r="B15" s="9"/>
      <c r="C15" s="9"/>
      <c r="G15" s="9"/>
    </row>
    <row r="16" spans="1:8" x14ac:dyDescent="0.2">
      <c r="A16" s="9"/>
      <c r="B16" s="9"/>
      <c r="C16" s="9"/>
      <c r="G16" s="9"/>
    </row>
    <row r="17" spans="1:7" x14ac:dyDescent="0.2">
      <c r="A17" s="9"/>
      <c r="B17" s="9"/>
      <c r="C17" s="9"/>
      <c r="G17" s="9"/>
    </row>
    <row r="18" spans="1:7" x14ac:dyDescent="0.2">
      <c r="A18" s="9"/>
      <c r="B18" s="9"/>
      <c r="C18" s="9"/>
      <c r="G18" s="9"/>
    </row>
    <row r="19" spans="1:7" x14ac:dyDescent="0.2">
      <c r="A19" s="9"/>
      <c r="B19" s="9"/>
      <c r="C19" s="9"/>
      <c r="G19" s="9"/>
    </row>
    <row r="20" spans="1:7" x14ac:dyDescent="0.2">
      <c r="A20" s="9"/>
      <c r="B20" s="9"/>
      <c r="C20" s="9"/>
      <c r="G20" s="9"/>
    </row>
    <row r="21" spans="1:7" x14ac:dyDescent="0.2">
      <c r="C21" s="9"/>
    </row>
  </sheetData>
  <sheetProtection formatColumns="0"/>
  <mergeCells count="2">
    <mergeCell ref="A9:G9"/>
    <mergeCell ref="H2:H8"/>
  </mergeCells>
  <dataValidations count="1">
    <dataValidation type="list" allowBlank="1" showInputMessage="1" showErrorMessage="1" sqref="C3:C8 C10:C21" xr:uid="{00000000-0002-0000-1000-000000000000}">
      <formula1>Capsule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AO22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customWidth="1"/>
    <col min="13" max="13" width="15.125" customWidth="1"/>
    <col min="14" max="14" width="12" customWidth="1"/>
    <col min="15" max="16" width="11.625" customWidth="1"/>
    <col min="17" max="17" width="19" customWidth="1"/>
    <col min="18" max="18" width="11.75" customWidth="1"/>
    <col min="19" max="23" width="11.625" customWidth="1"/>
    <col min="24" max="24" width="12.25" customWidth="1"/>
    <col min="25" max="25" width="11.875" style="3" customWidth="1"/>
    <col min="26" max="26" width="17.5" style="3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1.62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  <col min="41" max="16384" width="9" hidden="1"/>
  </cols>
  <sheetData>
    <row r="1" spans="1:41" x14ac:dyDescent="0.2">
      <c r="A1" t="s">
        <v>3501</v>
      </c>
    </row>
    <row r="2" spans="1:41" x14ac:dyDescent="0.2">
      <c r="A2" s="118" t="s">
        <v>651</v>
      </c>
      <c r="B2" s="119" t="s">
        <v>0</v>
      </c>
      <c r="C2" s="119" t="s">
        <v>724</v>
      </c>
      <c r="D2" s="119" t="s">
        <v>2</v>
      </c>
      <c r="E2" s="119" t="s">
        <v>740</v>
      </c>
      <c r="F2" s="119" t="s">
        <v>1145</v>
      </c>
      <c r="G2" s="119" t="s">
        <v>29</v>
      </c>
      <c r="H2" s="119" t="s">
        <v>28</v>
      </c>
      <c r="I2" s="119" t="s">
        <v>1</v>
      </c>
      <c r="J2" s="119" t="s">
        <v>604</v>
      </c>
      <c r="K2" s="119" t="s">
        <v>605</v>
      </c>
      <c r="L2" s="119" t="s">
        <v>9</v>
      </c>
      <c r="M2" s="119" t="s">
        <v>606</v>
      </c>
      <c r="N2" s="119" t="s">
        <v>12</v>
      </c>
      <c r="O2" s="119" t="s">
        <v>6</v>
      </c>
      <c r="P2" s="119" t="s">
        <v>8</v>
      </c>
      <c r="Q2" s="119" t="s">
        <v>1146</v>
      </c>
      <c r="R2" s="119" t="s">
        <v>396</v>
      </c>
      <c r="S2" s="119" t="s">
        <v>13</v>
      </c>
      <c r="T2" s="119" t="s">
        <v>282</v>
      </c>
      <c r="U2" s="119" t="s">
        <v>309</v>
      </c>
      <c r="V2" s="119" t="s">
        <v>421</v>
      </c>
      <c r="W2" s="119" t="s">
        <v>14</v>
      </c>
      <c r="X2" s="119" t="s">
        <v>621</v>
      </c>
      <c r="Y2" s="119" t="s">
        <v>925</v>
      </c>
      <c r="Z2" s="119" t="s">
        <v>669</v>
      </c>
      <c r="AA2" s="119" t="s">
        <v>917</v>
      </c>
      <c r="AB2" s="119" t="s">
        <v>372</v>
      </c>
      <c r="AC2" s="119" t="s">
        <v>731</v>
      </c>
      <c r="AD2" s="119" t="s">
        <v>16</v>
      </c>
      <c r="AE2" s="119" t="s">
        <v>1147</v>
      </c>
      <c r="AF2" s="119" t="s">
        <v>773</v>
      </c>
      <c r="AG2" s="119" t="s">
        <v>11</v>
      </c>
      <c r="AH2" s="119" t="s">
        <v>15</v>
      </c>
      <c r="AI2" s="119" t="s">
        <v>1153</v>
      </c>
      <c r="AJ2" s="119" t="s">
        <v>1154</v>
      </c>
      <c r="AK2" s="119" t="s">
        <v>788</v>
      </c>
      <c r="AL2" s="119" t="s">
        <v>26</v>
      </c>
      <c r="AM2" s="119" t="s">
        <v>19</v>
      </c>
      <c r="AN2" s="120" t="s">
        <v>30</v>
      </c>
      <c r="AO2" s="159" t="s">
        <v>3484</v>
      </c>
    </row>
    <row r="3" spans="1:41" x14ac:dyDescent="0.2">
      <c r="A3" s="121" t="s">
        <v>1211</v>
      </c>
      <c r="B3" s="122" t="s">
        <v>1212</v>
      </c>
      <c r="C3" s="135"/>
      <c r="D3" s="135"/>
      <c r="E3" s="132"/>
      <c r="F3" s="135"/>
      <c r="G3" s="135"/>
      <c r="H3" s="132"/>
      <c r="I3" s="135"/>
      <c r="J3" s="132"/>
      <c r="K3" s="132"/>
      <c r="L3" s="135"/>
      <c r="M3" s="135"/>
      <c r="N3" s="135"/>
      <c r="O3" s="135"/>
      <c r="P3" s="135"/>
      <c r="Q3" s="135"/>
      <c r="R3" s="132"/>
      <c r="S3" s="135"/>
      <c r="T3" s="135"/>
      <c r="U3" s="135"/>
      <c r="V3" s="135"/>
      <c r="W3" s="135"/>
      <c r="X3" s="135"/>
      <c r="Y3" s="132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22"/>
      <c r="AK3" s="135"/>
      <c r="AL3" s="135"/>
      <c r="AM3" s="122"/>
      <c r="AN3" s="143"/>
      <c r="AO3" s="159"/>
    </row>
    <row r="4" spans="1:41" x14ac:dyDescent="0.2">
      <c r="A4" s="121" t="s">
        <v>1211</v>
      </c>
      <c r="B4" s="122" t="s">
        <v>1220</v>
      </c>
      <c r="C4" s="135"/>
      <c r="D4" s="135"/>
      <c r="E4" s="132"/>
      <c r="F4" s="135"/>
      <c r="G4" s="135"/>
      <c r="H4" s="132"/>
      <c r="I4" s="135"/>
      <c r="J4" s="132"/>
      <c r="K4" s="132"/>
      <c r="L4" s="135"/>
      <c r="M4" s="135"/>
      <c r="N4" s="135"/>
      <c r="O4" s="135"/>
      <c r="P4" s="135"/>
      <c r="Q4" s="135"/>
      <c r="R4" s="132"/>
      <c r="S4" s="135"/>
      <c r="T4" s="135"/>
      <c r="U4" s="135"/>
      <c r="V4" s="135"/>
      <c r="W4" s="135"/>
      <c r="X4" s="135"/>
      <c r="Y4" s="132"/>
      <c r="Z4" s="132"/>
      <c r="AA4" s="135"/>
      <c r="AB4" s="135"/>
      <c r="AC4" s="122"/>
      <c r="AD4" s="122"/>
      <c r="AE4" s="122"/>
      <c r="AF4" s="135"/>
      <c r="AG4" s="135"/>
      <c r="AH4" s="135"/>
      <c r="AI4" s="135"/>
      <c r="AJ4" s="122"/>
      <c r="AK4" s="135"/>
      <c r="AL4" s="135"/>
      <c r="AM4" s="122"/>
      <c r="AN4" s="143"/>
      <c r="AO4" s="159"/>
    </row>
    <row r="5" spans="1:41" x14ac:dyDescent="0.2">
      <c r="A5" s="121" t="s">
        <v>1211</v>
      </c>
      <c r="B5" s="122" t="s">
        <v>1211</v>
      </c>
      <c r="C5" s="135"/>
      <c r="D5" s="135"/>
      <c r="E5" s="132"/>
      <c r="F5" s="135"/>
      <c r="G5" s="135"/>
      <c r="H5" s="132"/>
      <c r="I5" s="135"/>
      <c r="J5" s="132"/>
      <c r="K5" s="132"/>
      <c r="L5" s="135"/>
      <c r="M5" s="135"/>
      <c r="N5" s="135"/>
      <c r="O5" s="135"/>
      <c r="P5" s="135"/>
      <c r="Q5" s="135"/>
      <c r="R5" s="132"/>
      <c r="S5" s="135"/>
      <c r="T5" s="135"/>
      <c r="U5" s="135"/>
      <c r="V5" s="135"/>
      <c r="W5" s="135"/>
      <c r="X5" s="135"/>
      <c r="Y5" s="132"/>
      <c r="Z5" s="132"/>
      <c r="AA5" s="135"/>
      <c r="AB5" s="135"/>
      <c r="AC5" s="122"/>
      <c r="AD5" s="135"/>
      <c r="AE5" s="135"/>
      <c r="AF5" s="135"/>
      <c r="AG5" s="135"/>
      <c r="AH5" s="135"/>
      <c r="AI5" s="135"/>
      <c r="AJ5" s="122"/>
      <c r="AK5" s="135"/>
      <c r="AL5" s="135"/>
      <c r="AM5" s="122"/>
      <c r="AN5" s="143"/>
      <c r="AO5" s="159"/>
    </row>
    <row r="6" spans="1:41" x14ac:dyDescent="0.2">
      <c r="A6" s="121" t="s">
        <v>1223</v>
      </c>
      <c r="B6" s="122" t="s">
        <v>1224</v>
      </c>
      <c r="C6" s="135"/>
      <c r="D6" s="135"/>
      <c r="E6" s="132"/>
      <c r="F6" s="135"/>
      <c r="G6" s="135"/>
      <c r="H6" s="132"/>
      <c r="I6" s="135"/>
      <c r="J6" s="132"/>
      <c r="K6" s="132"/>
      <c r="L6" s="135"/>
      <c r="M6" s="135"/>
      <c r="N6" s="135"/>
      <c r="O6" s="135"/>
      <c r="P6" s="135"/>
      <c r="Q6" s="135"/>
      <c r="R6" s="132"/>
      <c r="S6" s="135"/>
      <c r="T6" s="135"/>
      <c r="U6" s="135"/>
      <c r="V6" s="135"/>
      <c r="W6" s="135"/>
      <c r="X6" s="135"/>
      <c r="Y6" s="132"/>
      <c r="Z6" s="132"/>
      <c r="AA6" s="135"/>
      <c r="AB6" s="135"/>
      <c r="AC6" s="122"/>
      <c r="AD6" s="135"/>
      <c r="AE6" s="135"/>
      <c r="AF6" s="135"/>
      <c r="AG6" s="135"/>
      <c r="AH6" s="135"/>
      <c r="AI6" s="135"/>
      <c r="AJ6" s="122"/>
      <c r="AK6" s="135"/>
      <c r="AL6" s="135"/>
      <c r="AM6" s="122"/>
      <c r="AN6" s="143"/>
      <c r="AO6" s="159"/>
    </row>
    <row r="7" spans="1:41" x14ac:dyDescent="0.2">
      <c r="A7" s="121" t="s">
        <v>1223</v>
      </c>
      <c r="B7" s="122" t="s">
        <v>1225</v>
      </c>
      <c r="C7" s="135"/>
      <c r="D7" s="135"/>
      <c r="E7" s="132"/>
      <c r="F7" s="135"/>
      <c r="G7" s="135"/>
      <c r="H7" s="132"/>
      <c r="I7" s="135"/>
      <c r="J7" s="132"/>
      <c r="K7" s="132"/>
      <c r="L7" s="135"/>
      <c r="M7" s="135"/>
      <c r="N7" s="135"/>
      <c r="O7" s="135"/>
      <c r="P7" s="135"/>
      <c r="Q7" s="135"/>
      <c r="R7" s="132"/>
      <c r="S7" s="135"/>
      <c r="T7" s="135"/>
      <c r="U7" s="135"/>
      <c r="V7" s="135"/>
      <c r="W7" s="135"/>
      <c r="X7" s="135"/>
      <c r="Y7" s="132"/>
      <c r="Z7" s="132"/>
      <c r="AA7" s="135"/>
      <c r="AB7" s="135"/>
      <c r="AC7" s="122"/>
      <c r="AD7" s="135"/>
      <c r="AE7" s="135"/>
      <c r="AF7" s="135"/>
      <c r="AG7" s="135"/>
      <c r="AH7" s="135"/>
      <c r="AI7" s="135"/>
      <c r="AJ7" s="122"/>
      <c r="AK7" s="135"/>
      <c r="AL7" s="135"/>
      <c r="AM7" s="122"/>
      <c r="AN7" s="143"/>
      <c r="AO7" s="159"/>
    </row>
    <row r="8" spans="1:41" x14ac:dyDescent="0.2">
      <c r="A8" s="127" t="s">
        <v>1223</v>
      </c>
      <c r="B8" s="128" t="s">
        <v>1223</v>
      </c>
      <c r="C8" s="138"/>
      <c r="D8" s="138"/>
      <c r="E8" s="137"/>
      <c r="F8" s="138"/>
      <c r="G8" s="138"/>
      <c r="H8" s="137"/>
      <c r="I8" s="138"/>
      <c r="J8" s="137"/>
      <c r="K8" s="137"/>
      <c r="L8" s="138"/>
      <c r="M8" s="138"/>
      <c r="N8" s="138"/>
      <c r="O8" s="138"/>
      <c r="P8" s="138"/>
      <c r="Q8" s="138"/>
      <c r="R8" s="137"/>
      <c r="S8" s="138"/>
      <c r="T8" s="138"/>
      <c r="U8" s="138"/>
      <c r="V8" s="138"/>
      <c r="W8" s="138"/>
      <c r="X8" s="138"/>
      <c r="Y8" s="137"/>
      <c r="Z8" s="137"/>
      <c r="AA8" s="138"/>
      <c r="AB8" s="138"/>
      <c r="AC8" s="128"/>
      <c r="AD8" s="138"/>
      <c r="AE8" s="138"/>
      <c r="AF8" s="138"/>
      <c r="AG8" s="138"/>
      <c r="AH8" s="138"/>
      <c r="AI8" s="138"/>
      <c r="AJ8" s="128"/>
      <c r="AK8" s="138"/>
      <c r="AL8" s="138"/>
      <c r="AM8" s="128"/>
      <c r="AN8" s="144"/>
      <c r="AO8" s="159"/>
    </row>
    <row r="9" spans="1:41" x14ac:dyDescent="0.2">
      <c r="A9" s="162" t="s">
        <v>3483</v>
      </c>
      <c r="B9" s="162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162"/>
      <c r="AJ9" s="162"/>
      <c r="AK9" s="162"/>
      <c r="AL9" s="162"/>
      <c r="AM9" s="162"/>
      <c r="AN9" s="162"/>
    </row>
    <row r="10" spans="1:41" x14ac:dyDescent="0.2">
      <c r="A10" s="9" t="s">
        <v>3482</v>
      </c>
      <c r="B10" s="9"/>
      <c r="C10" s="9"/>
      <c r="D10" s="9"/>
      <c r="E10" s="11"/>
      <c r="F10" s="9"/>
      <c r="G10" s="9"/>
      <c r="H10" s="11"/>
      <c r="I10" s="9"/>
      <c r="J10" s="11"/>
      <c r="K10" s="11"/>
      <c r="L10" s="9"/>
      <c r="M10" s="9"/>
      <c r="N10" s="9"/>
      <c r="O10" s="9"/>
      <c r="P10" s="9"/>
      <c r="Q10" s="9"/>
      <c r="R10" s="11"/>
      <c r="S10" s="9"/>
      <c r="T10" s="9"/>
      <c r="U10" s="9"/>
      <c r="V10" s="9"/>
      <c r="W10" s="9"/>
      <c r="X10" s="9"/>
      <c r="Y10" s="11"/>
      <c r="Z10" s="11"/>
      <c r="AA10" s="9"/>
      <c r="AB10" s="9"/>
      <c r="AD10" s="9"/>
      <c r="AE10" s="9"/>
      <c r="AF10" s="9"/>
      <c r="AG10" s="9"/>
      <c r="AH10" s="9"/>
      <c r="AL10" s="9"/>
    </row>
    <row r="11" spans="1:41" x14ac:dyDescent="0.2">
      <c r="A11" s="157"/>
      <c r="B11" s="9"/>
      <c r="C11" s="9"/>
      <c r="D11" s="9"/>
      <c r="E11" s="11"/>
      <c r="F11" s="9"/>
      <c r="G11" s="9"/>
      <c r="H11" s="11"/>
      <c r="I11" s="9"/>
      <c r="J11" s="11"/>
      <c r="K11" s="11"/>
      <c r="L11" s="9"/>
      <c r="M11" s="9"/>
      <c r="N11" s="9"/>
      <c r="O11" s="9"/>
      <c r="P11" s="9"/>
      <c r="Q11" s="9"/>
      <c r="R11" s="11"/>
      <c r="S11" s="9"/>
      <c r="T11" s="9"/>
      <c r="U11" s="9"/>
      <c r="V11" s="9"/>
      <c r="W11" s="9"/>
      <c r="X11" s="9"/>
      <c r="Y11" s="11"/>
      <c r="Z11" s="11"/>
      <c r="AA11" s="9"/>
      <c r="AB11" s="9"/>
      <c r="AD11" s="9"/>
      <c r="AE11" s="9"/>
      <c r="AF11" s="9"/>
      <c r="AG11" s="9"/>
      <c r="AH11" s="9"/>
      <c r="AL11" s="9"/>
    </row>
    <row r="12" spans="1:41" x14ac:dyDescent="0.2">
      <c r="A12" s="9"/>
      <c r="B12" s="9"/>
      <c r="C12" s="9"/>
      <c r="D12" s="9"/>
      <c r="E12" s="11"/>
      <c r="F12" s="9"/>
      <c r="G12" s="9"/>
      <c r="H12" s="11"/>
      <c r="I12" s="9"/>
      <c r="J12" s="11"/>
      <c r="K12" s="11"/>
      <c r="L12" s="9"/>
      <c r="M12" s="9"/>
      <c r="N12" s="9"/>
      <c r="O12" s="9"/>
      <c r="P12" s="9"/>
      <c r="Q12" s="9"/>
      <c r="R12" s="11"/>
      <c r="S12" s="9"/>
      <c r="T12" s="9"/>
      <c r="U12" s="9"/>
      <c r="V12" s="9"/>
      <c r="W12" s="9"/>
      <c r="X12" s="9"/>
      <c r="Y12" s="11"/>
      <c r="Z12" s="11"/>
      <c r="AA12" s="9"/>
      <c r="AB12" s="9"/>
      <c r="AD12" s="9"/>
      <c r="AE12" s="9"/>
      <c r="AF12" s="9"/>
      <c r="AG12" s="9"/>
      <c r="AH12" s="9"/>
      <c r="AI12" s="9"/>
      <c r="AK12" s="9"/>
      <c r="AL12" s="9"/>
    </row>
    <row r="13" spans="1:41" x14ac:dyDescent="0.2">
      <c r="A13" s="9"/>
      <c r="B13" s="9"/>
      <c r="C13" s="9"/>
      <c r="D13" s="9"/>
      <c r="E13" s="11"/>
      <c r="F13" s="9"/>
      <c r="G13" s="9"/>
      <c r="H13" s="11"/>
      <c r="I13" s="9"/>
      <c r="J13" s="11"/>
      <c r="K13" s="11"/>
      <c r="L13" s="9"/>
      <c r="M13" s="9"/>
      <c r="N13" s="9"/>
      <c r="O13" s="9"/>
      <c r="P13" s="9"/>
      <c r="Q13" s="9"/>
      <c r="R13" s="11"/>
      <c r="S13" s="9"/>
      <c r="T13" s="9"/>
      <c r="U13" s="9"/>
      <c r="V13" s="9"/>
      <c r="W13" s="9"/>
      <c r="X13" s="9"/>
      <c r="Y13" s="11"/>
      <c r="Z13" s="11"/>
      <c r="AA13" s="9"/>
      <c r="AB13" s="9"/>
      <c r="AD13" s="9"/>
      <c r="AE13" s="9"/>
      <c r="AF13" s="9"/>
      <c r="AG13" s="9"/>
      <c r="AH13" s="9"/>
      <c r="AI13" s="9"/>
      <c r="AK13" s="9"/>
      <c r="AL13" s="9"/>
    </row>
    <row r="14" spans="1:41" x14ac:dyDescent="0.2">
      <c r="A14" s="9"/>
      <c r="B14" s="9"/>
      <c r="C14" s="9"/>
      <c r="D14" s="9"/>
      <c r="E14" s="11"/>
      <c r="F14" s="9"/>
      <c r="G14" s="9"/>
      <c r="H14" s="11"/>
      <c r="I14" s="9"/>
      <c r="J14" s="11"/>
      <c r="K14" s="11"/>
      <c r="L14" s="9"/>
      <c r="M14" s="9"/>
      <c r="N14" s="9"/>
      <c r="O14" s="9"/>
      <c r="P14" s="9"/>
      <c r="Q14" s="9"/>
      <c r="R14" s="11"/>
      <c r="S14" s="9"/>
      <c r="T14" s="9"/>
      <c r="U14" s="9"/>
      <c r="V14" s="9"/>
      <c r="W14" s="9"/>
      <c r="X14" s="9"/>
      <c r="Y14" s="11"/>
      <c r="Z14" s="11"/>
      <c r="AA14" s="9"/>
      <c r="AB14" s="9"/>
      <c r="AD14" s="9"/>
      <c r="AE14" s="9"/>
      <c r="AF14" s="9"/>
      <c r="AG14" s="9"/>
      <c r="AH14" s="9"/>
      <c r="AI14" s="9"/>
      <c r="AK14" s="9"/>
      <c r="AL14" s="9"/>
    </row>
    <row r="15" spans="1:41" x14ac:dyDescent="0.2">
      <c r="A15" s="9"/>
      <c r="B15" s="9"/>
      <c r="C15" s="9"/>
      <c r="D15" s="9"/>
      <c r="E15" s="11"/>
      <c r="F15" s="9"/>
      <c r="G15" s="9"/>
      <c r="H15" s="11"/>
      <c r="I15" s="9"/>
      <c r="J15" s="11"/>
      <c r="K15" s="11"/>
      <c r="L15" s="9"/>
      <c r="M15" s="9"/>
      <c r="N15" s="9"/>
      <c r="O15" s="9"/>
      <c r="P15" s="9"/>
      <c r="Q15" s="9"/>
      <c r="R15" s="11"/>
      <c r="S15" s="9"/>
      <c r="T15" s="9"/>
      <c r="U15" s="9"/>
      <c r="V15" s="9"/>
      <c r="W15" s="9"/>
      <c r="X15" s="9"/>
      <c r="Y15" s="11"/>
      <c r="Z15" s="11"/>
      <c r="AA15" s="9"/>
      <c r="AB15" s="9"/>
      <c r="AD15" s="9"/>
      <c r="AE15" s="9"/>
      <c r="AF15" s="9"/>
      <c r="AG15" s="9"/>
      <c r="AH15" s="9"/>
      <c r="AI15" s="9"/>
      <c r="AK15" s="9"/>
      <c r="AL15" s="9"/>
    </row>
    <row r="16" spans="1:41" x14ac:dyDescent="0.2">
      <c r="A16" s="9"/>
      <c r="B16" s="9"/>
      <c r="C16" s="9"/>
      <c r="D16" s="9"/>
      <c r="E16" s="11"/>
      <c r="F16" s="9"/>
      <c r="G16" s="9"/>
      <c r="H16" s="11"/>
      <c r="I16" s="9"/>
      <c r="J16" s="11"/>
      <c r="K16" s="11"/>
      <c r="L16" s="9"/>
      <c r="M16" s="9"/>
      <c r="N16" s="9"/>
      <c r="O16" s="9"/>
      <c r="P16" s="9"/>
      <c r="Q16" s="9"/>
      <c r="R16" s="11"/>
      <c r="S16" s="9"/>
      <c r="T16" s="9"/>
      <c r="U16" s="9"/>
      <c r="V16" s="9"/>
      <c r="W16" s="9"/>
      <c r="X16" s="9"/>
      <c r="Y16" s="11"/>
      <c r="Z16" s="11"/>
      <c r="AA16" s="9"/>
      <c r="AB16" s="9"/>
      <c r="AD16" s="9"/>
      <c r="AE16" s="9"/>
      <c r="AF16" s="9"/>
      <c r="AG16" s="9"/>
      <c r="AH16" s="9"/>
      <c r="AI16" s="9"/>
      <c r="AK16" s="9"/>
      <c r="AL16" s="9"/>
    </row>
    <row r="17" spans="1:38" x14ac:dyDescent="0.2">
      <c r="A17" s="9"/>
      <c r="B17" s="9"/>
      <c r="C17" s="9"/>
      <c r="D17" s="9"/>
      <c r="E17" s="11"/>
      <c r="F17" s="9"/>
      <c r="G17" s="9"/>
      <c r="H17" s="11"/>
      <c r="I17" s="9"/>
      <c r="J17" s="11"/>
      <c r="K17" s="11"/>
      <c r="L17" s="9"/>
      <c r="M17" s="9"/>
      <c r="N17" s="9"/>
      <c r="O17" s="9"/>
      <c r="P17" s="9"/>
      <c r="Q17" s="9"/>
      <c r="R17" s="11"/>
      <c r="S17" s="9"/>
      <c r="T17" s="9"/>
      <c r="U17" s="9"/>
      <c r="V17" s="9"/>
      <c r="W17" s="9"/>
      <c r="X17" s="9"/>
      <c r="Y17" s="11"/>
      <c r="Z17" s="11"/>
      <c r="AA17" s="9"/>
      <c r="AB17" s="9"/>
      <c r="AD17" s="9"/>
      <c r="AE17" s="9"/>
      <c r="AF17" s="9"/>
      <c r="AG17" s="9"/>
      <c r="AH17" s="9"/>
      <c r="AI17" s="9"/>
      <c r="AK17" s="9"/>
      <c r="AL17" s="9"/>
    </row>
    <row r="18" spans="1:38" x14ac:dyDescent="0.2">
      <c r="A18" s="9"/>
      <c r="B18" s="9"/>
      <c r="C18" s="9"/>
      <c r="D18" s="9"/>
      <c r="E18" s="11"/>
      <c r="F18" s="9"/>
      <c r="G18" s="9"/>
      <c r="H18" s="11"/>
      <c r="I18" s="9"/>
      <c r="J18" s="11"/>
      <c r="K18" s="11"/>
      <c r="L18" s="9"/>
      <c r="M18" s="9"/>
      <c r="N18" s="9"/>
      <c r="O18" s="9"/>
      <c r="P18" s="9"/>
      <c r="Q18" s="9"/>
      <c r="R18" s="11"/>
      <c r="S18" s="9"/>
      <c r="T18" s="9"/>
      <c r="U18" s="9"/>
      <c r="V18" s="9"/>
      <c r="W18" s="9"/>
      <c r="X18" s="9"/>
      <c r="Y18" s="11"/>
      <c r="Z18" s="11"/>
      <c r="AA18" s="9"/>
      <c r="AB18" s="9"/>
      <c r="AD18" s="9"/>
      <c r="AE18" s="9"/>
      <c r="AF18" s="9"/>
      <c r="AG18" s="9"/>
      <c r="AH18" s="9"/>
      <c r="AI18" s="9"/>
      <c r="AK18" s="9"/>
      <c r="AL18" s="9"/>
    </row>
    <row r="19" spans="1:38" x14ac:dyDescent="0.2">
      <c r="A19" s="9"/>
      <c r="B19" s="9"/>
      <c r="C19" s="9"/>
      <c r="D19" s="9"/>
      <c r="E19" s="11"/>
      <c r="F19" s="9"/>
      <c r="G19" s="9"/>
      <c r="H19" s="11"/>
      <c r="I19" s="9"/>
      <c r="J19" s="11"/>
      <c r="K19" s="11"/>
      <c r="L19" s="9"/>
      <c r="M19" s="9"/>
      <c r="N19" s="9"/>
      <c r="O19" s="9"/>
      <c r="P19" s="9"/>
      <c r="Q19" s="9"/>
      <c r="R19" s="11"/>
      <c r="S19" s="9"/>
      <c r="T19" s="9"/>
      <c r="U19" s="9"/>
      <c r="V19" s="9"/>
      <c r="W19" s="9"/>
      <c r="X19" s="9"/>
      <c r="Y19" s="11"/>
      <c r="Z19" s="11"/>
      <c r="AA19" s="9"/>
      <c r="AB19" s="9"/>
      <c r="AD19" s="9"/>
      <c r="AE19" s="9"/>
      <c r="AF19" s="9"/>
      <c r="AG19" s="9"/>
      <c r="AH19" s="9"/>
      <c r="AI19" s="9"/>
      <c r="AK19" s="9"/>
      <c r="AL19" s="9"/>
    </row>
    <row r="20" spans="1:38" x14ac:dyDescent="0.2">
      <c r="A20" s="9"/>
      <c r="B20" s="9"/>
      <c r="C20" s="9"/>
      <c r="D20" s="9"/>
      <c r="E20" s="11"/>
      <c r="F20" s="9"/>
      <c r="G20" s="9"/>
      <c r="H20" s="11"/>
      <c r="I20" s="9"/>
      <c r="J20" s="11"/>
      <c r="K20" s="11"/>
      <c r="L20" s="9"/>
      <c r="M20" s="9"/>
      <c r="N20" s="9"/>
      <c r="O20" s="9"/>
      <c r="P20" s="9"/>
      <c r="Q20" s="9"/>
      <c r="R20" s="11"/>
      <c r="S20" s="9"/>
      <c r="T20" s="9"/>
      <c r="U20" s="9"/>
      <c r="V20" s="9"/>
      <c r="W20" s="9"/>
      <c r="X20" s="9"/>
      <c r="Y20" s="11"/>
      <c r="Z20" s="11"/>
      <c r="AA20" s="9"/>
      <c r="AB20" s="9"/>
      <c r="AD20" s="9"/>
      <c r="AE20" s="9"/>
      <c r="AF20" s="9"/>
      <c r="AG20" s="9"/>
      <c r="AH20" s="9"/>
      <c r="AI20" s="9"/>
      <c r="AK20" s="9"/>
      <c r="AL20" s="9"/>
    </row>
    <row r="21" spans="1:38" x14ac:dyDescent="0.2">
      <c r="E21" s="11"/>
      <c r="H21" s="11"/>
      <c r="I21" s="9"/>
      <c r="J21" s="11"/>
      <c r="K21" s="11"/>
      <c r="L21" s="9"/>
      <c r="M21" s="9"/>
      <c r="P21" s="9"/>
      <c r="Q21" s="9"/>
      <c r="T21" s="9"/>
      <c r="U21" s="9"/>
      <c r="Y21" s="11"/>
      <c r="Z21" s="11"/>
      <c r="AA21" s="9"/>
      <c r="AB21" s="9"/>
      <c r="AL21" s="9"/>
    </row>
    <row r="22" spans="1:38" x14ac:dyDescent="0.2">
      <c r="E22"/>
      <c r="Z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N9"/>
    <mergeCell ref="AO2:AO8"/>
  </mergeCells>
  <dataValidations count="16">
    <dataValidation type="list" allowBlank="1" showInputMessage="1" showErrorMessage="1" sqref="J3:J8 J10:J21" xr:uid="{00000000-0002-0000-1100-000000000000}">
      <formula1>israel_abroad</formula1>
    </dataValidation>
    <dataValidation type="list" allowBlank="1" showInputMessage="1" showErrorMessage="1" sqref="Q3:Q8 Q10:Q21" xr:uid="{00000000-0002-0000-1100-000001000000}">
      <formula1>What_is_rated</formula1>
    </dataValidation>
    <dataValidation type="list" allowBlank="1" showInputMessage="1" showErrorMessage="1" sqref="P3:P8 P10:P21" xr:uid="{00000000-0002-0000-1100-000002000000}">
      <formula1>Rating_Agency</formula1>
    </dataValidation>
    <dataValidation type="list" allowBlank="1" showInputMessage="1" showErrorMessage="1" sqref="M3:M8 M10:M21" xr:uid="{00000000-0002-0000-1100-000003000000}">
      <formula1>Holding_interest</formula1>
    </dataValidation>
    <dataValidation type="list" allowBlank="1" showInputMessage="1" showErrorMessage="1" sqref="K3:K8 K10:K21" xr:uid="{00000000-0002-0000-1100-000004000000}">
      <formula1>Country_list</formula1>
    </dataValidation>
    <dataValidation type="list" allowBlank="1" showInputMessage="1" showErrorMessage="1" sqref="AF4 AA3:AA8 AA10:AA21" xr:uid="{00000000-0002-0000-1100-000005000000}">
      <formula1>Valuation</formula1>
    </dataValidation>
    <dataValidation type="list" allowBlank="1" showInputMessage="1" showErrorMessage="1" sqref="AB3:AB8 AB10:AB21" xr:uid="{00000000-0002-0000-1100-000006000000}">
      <formula1>Dependence_Independence</formula1>
    </dataValidation>
    <dataValidation type="list" allowBlank="1" showInputMessage="1" showErrorMessage="1" sqref="U3:U8 U10:U21" xr:uid="{00000000-0002-0000-1100-000007000000}">
      <formula1>Underlying_Interest_Rates</formula1>
    </dataValidation>
    <dataValidation type="list" allowBlank="1" showInputMessage="1" showErrorMessage="1" sqref="T3:T8 T10:T21" xr:uid="{00000000-0002-0000-1100-000008000000}">
      <formula1>Linked_Type</formula1>
    </dataValidation>
    <dataValidation type="list" allowBlank="1" showInputMessage="1" showErrorMessage="1" sqref="Z3:Z8 Z10:Z21" xr:uid="{00000000-0002-0000-1100-000009000000}">
      <formula1>Yes_No_Bad_Debt</formula1>
    </dataValidation>
    <dataValidation type="list" allowBlank="1" showInputMessage="1" showErrorMessage="1" sqref="E4:E8 E10:E21" xr:uid="{00000000-0002-0000-1100-00000A000000}">
      <formula1>Issuer_Number_Type_2</formula1>
    </dataValidation>
    <dataValidation type="list" allowBlank="1" showInputMessage="1" showErrorMessage="1" sqref="H3:H8 H10:H21" xr:uid="{00000000-0002-0000-1100-00000B000000}">
      <formula1>Type_of_Security_ID_Fund</formula1>
    </dataValidation>
    <dataValidation type="list" allowBlank="1" showInputMessage="1" showErrorMessage="1" sqref="E3" xr:uid="{00000000-0002-0000-1100-00000C000000}">
      <formula1>Issuer_Number_Type_3</formula1>
    </dataValidation>
    <dataValidation type="list" allowBlank="1" showInputMessage="1" showErrorMessage="1" sqref="Y3:Y8 Y10:Y21" xr:uid="{00000000-0002-0000-1100-00000D000000}">
      <formula1>Subordination_Risk</formula1>
    </dataValidation>
    <dataValidation type="list" allowBlank="1" showInputMessage="1" showErrorMessage="1" sqref="AL3:AL8 AL10:AL21" xr:uid="{00000000-0002-0000-1100-00000E000000}">
      <formula1>In_the_books</formula1>
    </dataValidation>
    <dataValidation type="list" allowBlank="1" showInputMessage="1" showErrorMessage="1" sqref="L3:L8 L10:L21" xr:uid="{00000000-0002-0000-1100-00000F000000}">
      <formula1>Industry_Sector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בחירה'!$C$870:$C$873</xm:f>
          </x14:formula1>
          <xm:sqref>I3:I8 I10:I21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AM26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style="3" customWidth="1"/>
    <col min="13" max="13" width="11.625" customWidth="1"/>
    <col min="14" max="14" width="15.125" customWidth="1"/>
    <col min="15" max="15" width="12" customWidth="1"/>
    <col min="16" max="17" width="11.625" customWidth="1"/>
    <col min="18" max="18" width="19" customWidth="1"/>
    <col min="19" max="19" width="11.75" customWidth="1"/>
    <col min="20" max="21" width="11.625" customWidth="1"/>
    <col min="22" max="22" width="12.25" customWidth="1"/>
    <col min="23" max="23" width="11.625" customWidth="1"/>
    <col min="24" max="24" width="11.875" style="3" customWidth="1"/>
    <col min="25" max="25" width="17.5" style="3" customWidth="1"/>
    <col min="26" max="26" width="14" customWidth="1"/>
    <col min="27" max="27" width="18.625" customWidth="1"/>
    <col min="28" max="28" width="16.375" customWidth="1"/>
    <col min="29" max="29" width="30" customWidth="1"/>
    <col min="30" max="30" width="14.875" customWidth="1"/>
    <col min="31" max="31" width="11.625" customWidth="1"/>
    <col min="32" max="32" width="12.875" customWidth="1"/>
    <col min="33" max="33" width="17.875" customWidth="1"/>
    <col min="34" max="34" width="21.375" customWidth="1"/>
    <col min="35" max="35" width="24.625" customWidth="1"/>
    <col min="36" max="36" width="22" customWidth="1"/>
    <col min="37" max="37" width="21.75" customWidth="1"/>
    <col min="38" max="38" width="20.125" customWidth="1"/>
    <col min="39" max="16384" width="9" hidden="1"/>
  </cols>
  <sheetData>
    <row r="1" spans="1:39" x14ac:dyDescent="0.2">
      <c r="A1" t="s">
        <v>3502</v>
      </c>
    </row>
    <row r="2" spans="1:39" x14ac:dyDescent="0.2">
      <c r="A2" s="118" t="s">
        <v>651</v>
      </c>
      <c r="B2" s="119" t="s">
        <v>0</v>
      </c>
      <c r="C2" s="119" t="s">
        <v>724</v>
      </c>
      <c r="D2" s="119" t="s">
        <v>2</v>
      </c>
      <c r="E2" s="119" t="s">
        <v>740</v>
      </c>
      <c r="F2" s="119" t="s">
        <v>1145</v>
      </c>
      <c r="G2" s="119" t="s">
        <v>29</v>
      </c>
      <c r="H2" s="119" t="s">
        <v>28</v>
      </c>
      <c r="I2" s="119" t="s">
        <v>1</v>
      </c>
      <c r="J2" s="119" t="s">
        <v>604</v>
      </c>
      <c r="K2" s="119" t="s">
        <v>605</v>
      </c>
      <c r="L2" s="119" t="s">
        <v>609</v>
      </c>
      <c r="M2" s="119" t="s">
        <v>9</v>
      </c>
      <c r="N2" s="119" t="s">
        <v>606</v>
      </c>
      <c r="O2" s="119" t="s">
        <v>12</v>
      </c>
      <c r="P2" s="119" t="s">
        <v>6</v>
      </c>
      <c r="Q2" s="119" t="s">
        <v>8</v>
      </c>
      <c r="R2" s="119" t="s">
        <v>1146</v>
      </c>
      <c r="S2" s="119" t="s">
        <v>396</v>
      </c>
      <c r="T2" s="119" t="s">
        <v>13</v>
      </c>
      <c r="U2" s="119" t="s">
        <v>421</v>
      </c>
      <c r="V2" s="119" t="s">
        <v>621</v>
      </c>
      <c r="W2" s="119" t="s">
        <v>14</v>
      </c>
      <c r="X2" s="119" t="s">
        <v>925</v>
      </c>
      <c r="Y2" s="119" t="s">
        <v>669</v>
      </c>
      <c r="Z2" s="119" t="s">
        <v>917</v>
      </c>
      <c r="AA2" s="119" t="s">
        <v>372</v>
      </c>
      <c r="AB2" s="119" t="s">
        <v>16</v>
      </c>
      <c r="AC2" s="119" t="s">
        <v>1147</v>
      </c>
      <c r="AD2" s="119" t="s">
        <v>773</v>
      </c>
      <c r="AE2" s="119" t="s">
        <v>11</v>
      </c>
      <c r="AF2" s="119" t="s">
        <v>15</v>
      </c>
      <c r="AG2" s="119" t="s">
        <v>1153</v>
      </c>
      <c r="AH2" s="119" t="s">
        <v>1154</v>
      </c>
      <c r="AI2" s="119" t="s">
        <v>788</v>
      </c>
      <c r="AJ2" s="119" t="s">
        <v>26</v>
      </c>
      <c r="AK2" s="119" t="s">
        <v>19</v>
      </c>
      <c r="AL2" s="120" t="s">
        <v>30</v>
      </c>
      <c r="AM2" s="159" t="s">
        <v>3484</v>
      </c>
    </row>
    <row r="3" spans="1:39" x14ac:dyDescent="0.2">
      <c r="A3" s="121" t="s">
        <v>1211</v>
      </c>
      <c r="B3" s="122" t="s">
        <v>1220</v>
      </c>
      <c r="C3" s="122" t="s">
        <v>2679</v>
      </c>
      <c r="D3" s="122" t="s">
        <v>2680</v>
      </c>
      <c r="E3" s="122" t="s">
        <v>429</v>
      </c>
      <c r="F3" s="122" t="s">
        <v>2681</v>
      </c>
      <c r="G3" s="122" t="s">
        <v>2682</v>
      </c>
      <c r="H3" s="122" t="s">
        <v>76</v>
      </c>
      <c r="I3" s="122" t="s">
        <v>228</v>
      </c>
      <c r="J3" s="122" t="s">
        <v>53</v>
      </c>
      <c r="K3" s="122" t="s">
        <v>53</v>
      </c>
      <c r="L3" s="122" t="s">
        <v>102</v>
      </c>
      <c r="M3" s="122" t="s">
        <v>636</v>
      </c>
      <c r="N3" s="122" t="s">
        <v>62</v>
      </c>
      <c r="O3" s="122" t="s">
        <v>2683</v>
      </c>
      <c r="P3" s="135" t="s">
        <v>298</v>
      </c>
      <c r="Q3" s="122" t="s">
        <v>298</v>
      </c>
      <c r="R3" s="122" t="s">
        <v>298</v>
      </c>
      <c r="S3" s="122" t="s">
        <v>1216</v>
      </c>
      <c r="T3" s="123">
        <v>0</v>
      </c>
      <c r="U3" s="122" t="s">
        <v>2684</v>
      </c>
      <c r="V3" s="125">
        <v>0</v>
      </c>
      <c r="W3" s="125">
        <v>0</v>
      </c>
      <c r="X3" s="122" t="s">
        <v>620</v>
      </c>
      <c r="Y3" s="132"/>
      <c r="Z3" s="122" t="s">
        <v>302</v>
      </c>
      <c r="AA3" s="122" t="s">
        <v>304</v>
      </c>
      <c r="AB3" s="145">
        <v>45657</v>
      </c>
      <c r="AC3" s="146">
        <v>45657</v>
      </c>
      <c r="AD3" s="123">
        <v>264.3</v>
      </c>
      <c r="AE3" s="123">
        <v>1</v>
      </c>
      <c r="AF3" s="123">
        <v>0.01</v>
      </c>
      <c r="AG3" s="123">
        <v>0</v>
      </c>
      <c r="AH3" s="135"/>
      <c r="AI3" s="135"/>
      <c r="AJ3" s="135"/>
      <c r="AK3" s="125">
        <v>1</v>
      </c>
      <c r="AL3" s="126">
        <v>0</v>
      </c>
      <c r="AM3" s="159"/>
    </row>
    <row r="4" spans="1:39" x14ac:dyDescent="0.2">
      <c r="A4" s="121" t="s">
        <v>1211</v>
      </c>
      <c r="B4" s="122" t="s">
        <v>1211</v>
      </c>
      <c r="C4" s="122" t="s">
        <v>2685</v>
      </c>
      <c r="D4" s="122" t="s">
        <v>2686</v>
      </c>
      <c r="E4" s="122" t="s">
        <v>429</v>
      </c>
      <c r="F4" s="122" t="s">
        <v>2687</v>
      </c>
      <c r="G4" s="122" t="s">
        <v>2688</v>
      </c>
      <c r="H4" s="122" t="s">
        <v>76</v>
      </c>
      <c r="I4" s="122" t="s">
        <v>229</v>
      </c>
      <c r="J4" s="122" t="s">
        <v>53</v>
      </c>
      <c r="K4" s="122" t="s">
        <v>53</v>
      </c>
      <c r="L4" s="122" t="s">
        <v>958</v>
      </c>
      <c r="M4" s="122" t="s">
        <v>635</v>
      </c>
      <c r="N4" s="122" t="s">
        <v>62</v>
      </c>
      <c r="O4" s="122" t="s">
        <v>2689</v>
      </c>
      <c r="P4" s="122" t="s">
        <v>1324</v>
      </c>
      <c r="Q4" s="122" t="s">
        <v>65</v>
      </c>
      <c r="R4" s="122" t="s">
        <v>57</v>
      </c>
      <c r="S4" s="122" t="s">
        <v>1216</v>
      </c>
      <c r="T4" s="123">
        <v>5.24</v>
      </c>
      <c r="U4" s="122" t="s">
        <v>1392</v>
      </c>
      <c r="V4" s="125">
        <v>3.4799999999999998E-2</v>
      </c>
      <c r="W4" s="125">
        <v>3.4000000000000002E-2</v>
      </c>
      <c r="X4" s="122" t="s">
        <v>620</v>
      </c>
      <c r="Y4" s="132"/>
      <c r="Z4" s="122" t="s">
        <v>775</v>
      </c>
      <c r="AA4" s="122" t="s">
        <v>305</v>
      </c>
      <c r="AB4" s="145">
        <v>45930</v>
      </c>
      <c r="AC4" s="146">
        <v>45930</v>
      </c>
      <c r="AD4" s="123">
        <v>996000</v>
      </c>
      <c r="AE4" s="123">
        <v>1</v>
      </c>
      <c r="AF4" s="123">
        <v>102.03</v>
      </c>
      <c r="AG4" s="123">
        <v>1016.2190000000001</v>
      </c>
      <c r="AH4" s="135"/>
      <c r="AI4" s="135"/>
      <c r="AJ4" s="135"/>
      <c r="AK4" s="125">
        <v>0.55586000000000002</v>
      </c>
      <c r="AL4" s="126">
        <v>8.7000000000000001E-4</v>
      </c>
      <c r="AM4" s="159"/>
    </row>
    <row r="5" spans="1:39" x14ac:dyDescent="0.2">
      <c r="A5" s="121" t="s">
        <v>1211</v>
      </c>
      <c r="B5" s="122" t="s">
        <v>1211</v>
      </c>
      <c r="C5" s="122" t="s">
        <v>1743</v>
      </c>
      <c r="D5" s="122" t="s">
        <v>1744</v>
      </c>
      <c r="E5" s="122" t="s">
        <v>429</v>
      </c>
      <c r="F5" s="122" t="s">
        <v>2690</v>
      </c>
      <c r="G5" s="122" t="s">
        <v>2691</v>
      </c>
      <c r="H5" s="122" t="s">
        <v>76</v>
      </c>
      <c r="I5" s="122" t="s">
        <v>229</v>
      </c>
      <c r="J5" s="122" t="s">
        <v>53</v>
      </c>
      <c r="K5" s="122" t="s">
        <v>53</v>
      </c>
      <c r="L5" s="122" t="s">
        <v>958</v>
      </c>
      <c r="M5" s="122" t="s">
        <v>258</v>
      </c>
      <c r="N5" s="122" t="s">
        <v>62</v>
      </c>
      <c r="O5" s="122" t="s">
        <v>2692</v>
      </c>
      <c r="P5" s="122" t="s">
        <v>1330</v>
      </c>
      <c r="Q5" s="122" t="s">
        <v>65</v>
      </c>
      <c r="R5" s="122" t="s">
        <v>57</v>
      </c>
      <c r="S5" s="122" t="s">
        <v>1216</v>
      </c>
      <c r="T5" s="123">
        <v>9.4499999999999993</v>
      </c>
      <c r="U5" s="122" t="s">
        <v>2693</v>
      </c>
      <c r="V5" s="125">
        <v>2.7699999999999999E-2</v>
      </c>
      <c r="W5" s="125">
        <v>4.1000000000000002E-2</v>
      </c>
      <c r="X5" s="122" t="s">
        <v>620</v>
      </c>
      <c r="Y5" s="132"/>
      <c r="Z5" s="122" t="s">
        <v>775</v>
      </c>
      <c r="AA5" s="122" t="s">
        <v>305</v>
      </c>
      <c r="AB5" s="145">
        <v>45930</v>
      </c>
      <c r="AC5" s="145">
        <v>45930</v>
      </c>
      <c r="AD5" s="123">
        <v>344303.32</v>
      </c>
      <c r="AE5" s="123">
        <v>1</v>
      </c>
      <c r="AF5" s="123">
        <v>139.55000000000001</v>
      </c>
      <c r="AG5" s="123">
        <v>480.47500000000002</v>
      </c>
      <c r="AH5" s="135"/>
      <c r="AI5" s="135"/>
      <c r="AJ5" s="135"/>
      <c r="AK5" s="125">
        <v>0.26282</v>
      </c>
      <c r="AL5" s="126">
        <v>4.0999999999999999E-4</v>
      </c>
      <c r="AM5" s="159"/>
    </row>
    <row r="6" spans="1:39" x14ac:dyDescent="0.2">
      <c r="A6" s="121" t="s">
        <v>1211</v>
      </c>
      <c r="B6" s="122" t="s">
        <v>1211</v>
      </c>
      <c r="C6" s="122" t="s">
        <v>2685</v>
      </c>
      <c r="D6" s="122" t="s">
        <v>2686</v>
      </c>
      <c r="E6" s="122" t="s">
        <v>429</v>
      </c>
      <c r="F6" s="122" t="s">
        <v>2694</v>
      </c>
      <c r="G6" s="122" t="s">
        <v>2695</v>
      </c>
      <c r="H6" s="122" t="s">
        <v>76</v>
      </c>
      <c r="I6" s="122" t="s">
        <v>228</v>
      </c>
      <c r="J6" s="122" t="s">
        <v>53</v>
      </c>
      <c r="K6" s="122" t="s">
        <v>53</v>
      </c>
      <c r="L6" s="122" t="s">
        <v>958</v>
      </c>
      <c r="M6" s="122" t="s">
        <v>635</v>
      </c>
      <c r="N6" s="122" t="s">
        <v>62</v>
      </c>
      <c r="O6" s="122" t="s">
        <v>2696</v>
      </c>
      <c r="P6" s="122" t="s">
        <v>1454</v>
      </c>
      <c r="Q6" s="122" t="s">
        <v>70</v>
      </c>
      <c r="R6" s="122" t="s">
        <v>57</v>
      </c>
      <c r="S6" s="122" t="s">
        <v>1216</v>
      </c>
      <c r="T6" s="123">
        <v>1.22</v>
      </c>
      <c r="U6" s="122" t="s">
        <v>1403</v>
      </c>
      <c r="V6" s="125">
        <v>4.6399999999999997E-2</v>
      </c>
      <c r="W6" s="125">
        <v>3.1E-2</v>
      </c>
      <c r="X6" s="122" t="s">
        <v>620</v>
      </c>
      <c r="Y6" s="132"/>
      <c r="Z6" s="122" t="s">
        <v>775</v>
      </c>
      <c r="AA6" s="122" t="s">
        <v>305</v>
      </c>
      <c r="AB6" s="145">
        <v>45930</v>
      </c>
      <c r="AC6" s="146">
        <v>45930</v>
      </c>
      <c r="AD6" s="123">
        <v>337385.9</v>
      </c>
      <c r="AE6" s="123">
        <v>1</v>
      </c>
      <c r="AF6" s="123">
        <v>98.25</v>
      </c>
      <c r="AG6" s="123">
        <v>331.48200000000003</v>
      </c>
      <c r="AH6" s="122"/>
      <c r="AI6" s="122"/>
      <c r="AJ6" s="135"/>
      <c r="AK6" s="125">
        <v>0.18132000000000001</v>
      </c>
      <c r="AL6" s="126">
        <v>2.7999999999999998E-4</v>
      </c>
      <c r="AM6" s="159"/>
    </row>
    <row r="7" spans="1:39" x14ac:dyDescent="0.2">
      <c r="A7" s="121" t="s">
        <v>1211</v>
      </c>
      <c r="B7" s="122" t="s">
        <v>1211</v>
      </c>
      <c r="C7" s="122" t="s">
        <v>2679</v>
      </c>
      <c r="D7" s="122" t="s">
        <v>2680</v>
      </c>
      <c r="E7" s="122" t="s">
        <v>429</v>
      </c>
      <c r="F7" s="122" t="s">
        <v>2681</v>
      </c>
      <c r="G7" s="122" t="s">
        <v>2682</v>
      </c>
      <c r="H7" s="122" t="s">
        <v>76</v>
      </c>
      <c r="I7" s="122" t="s">
        <v>228</v>
      </c>
      <c r="J7" s="122" t="s">
        <v>53</v>
      </c>
      <c r="K7" s="122" t="s">
        <v>53</v>
      </c>
      <c r="L7" s="122" t="s">
        <v>102</v>
      </c>
      <c r="M7" s="122" t="s">
        <v>636</v>
      </c>
      <c r="N7" s="122" t="s">
        <v>62</v>
      </c>
      <c r="O7" s="122" t="s">
        <v>2683</v>
      </c>
      <c r="P7" s="135" t="s">
        <v>298</v>
      </c>
      <c r="Q7" s="122" t="s">
        <v>298</v>
      </c>
      <c r="R7" s="122" t="s">
        <v>298</v>
      </c>
      <c r="S7" s="122" t="s">
        <v>1216</v>
      </c>
      <c r="T7" s="123">
        <v>0</v>
      </c>
      <c r="U7" s="122" t="s">
        <v>2684</v>
      </c>
      <c r="V7" s="125">
        <v>0</v>
      </c>
      <c r="W7" s="125">
        <v>0</v>
      </c>
      <c r="X7" s="122" t="s">
        <v>620</v>
      </c>
      <c r="Y7" s="132"/>
      <c r="Z7" s="122" t="s">
        <v>302</v>
      </c>
      <c r="AA7" s="122" t="s">
        <v>304</v>
      </c>
      <c r="AB7" s="145">
        <v>45657</v>
      </c>
      <c r="AC7" s="146">
        <v>45657</v>
      </c>
      <c r="AD7" s="123">
        <v>68679</v>
      </c>
      <c r="AE7" s="123">
        <v>1</v>
      </c>
      <c r="AF7" s="123">
        <v>0.01</v>
      </c>
      <c r="AG7" s="123">
        <v>7.0000000000000001E-3</v>
      </c>
      <c r="AH7" s="122"/>
      <c r="AI7" s="122"/>
      <c r="AJ7" s="135"/>
      <c r="AK7" s="125">
        <v>0</v>
      </c>
      <c r="AL7" s="126">
        <v>0</v>
      </c>
      <c r="AM7" s="159"/>
    </row>
    <row r="8" spans="1:39" x14ac:dyDescent="0.2">
      <c r="A8" s="121" t="s">
        <v>1211</v>
      </c>
      <c r="B8" s="122" t="s">
        <v>1211</v>
      </c>
      <c r="C8" s="122" t="s">
        <v>2697</v>
      </c>
      <c r="D8" s="122" t="s">
        <v>2698</v>
      </c>
      <c r="E8" s="122" t="s">
        <v>429</v>
      </c>
      <c r="F8" s="122" t="s">
        <v>2699</v>
      </c>
      <c r="G8" s="122" t="s">
        <v>2700</v>
      </c>
      <c r="H8" s="122" t="s">
        <v>76</v>
      </c>
      <c r="I8" s="122" t="s">
        <v>229</v>
      </c>
      <c r="J8" s="122" t="s">
        <v>53</v>
      </c>
      <c r="K8" s="122" t="s">
        <v>53</v>
      </c>
      <c r="L8" s="122" t="s">
        <v>102</v>
      </c>
      <c r="M8" s="122" t="s">
        <v>692</v>
      </c>
      <c r="N8" s="122" t="s">
        <v>62</v>
      </c>
      <c r="O8" s="122" t="s">
        <v>2701</v>
      </c>
      <c r="P8" s="135" t="s">
        <v>298</v>
      </c>
      <c r="Q8" s="122" t="s">
        <v>298</v>
      </c>
      <c r="R8" s="122" t="s">
        <v>298</v>
      </c>
      <c r="S8" s="122" t="s">
        <v>1216</v>
      </c>
      <c r="T8" s="123">
        <v>0</v>
      </c>
      <c r="U8" s="122" t="s">
        <v>2702</v>
      </c>
      <c r="V8" s="125">
        <v>0</v>
      </c>
      <c r="W8" s="125">
        <v>0</v>
      </c>
      <c r="X8" s="122" t="s">
        <v>620</v>
      </c>
      <c r="Y8" s="132"/>
      <c r="Z8" s="122" t="s">
        <v>302</v>
      </c>
      <c r="AA8" s="122" t="s">
        <v>304</v>
      </c>
      <c r="AB8" s="145">
        <v>45657</v>
      </c>
      <c r="AC8" s="146">
        <v>45657</v>
      </c>
      <c r="AD8" s="123">
        <v>93803.81</v>
      </c>
      <c r="AE8" s="123">
        <v>1</v>
      </c>
      <c r="AF8" s="123">
        <v>0</v>
      </c>
      <c r="AG8" s="123">
        <v>0</v>
      </c>
      <c r="AH8" s="135"/>
      <c r="AI8" s="135"/>
      <c r="AJ8" s="135"/>
      <c r="AK8" s="125">
        <v>0</v>
      </c>
      <c r="AL8" s="126">
        <v>0</v>
      </c>
      <c r="AM8" s="159"/>
    </row>
    <row r="9" spans="1:39" x14ac:dyDescent="0.2">
      <c r="A9" s="121" t="s">
        <v>1211</v>
      </c>
      <c r="B9" s="122" t="s">
        <v>1211</v>
      </c>
      <c r="C9" s="122" t="s">
        <v>2703</v>
      </c>
      <c r="D9" s="122" t="s">
        <v>2704</v>
      </c>
      <c r="E9" s="122" t="s">
        <v>429</v>
      </c>
      <c r="F9" s="122" t="s">
        <v>2705</v>
      </c>
      <c r="G9" s="122" t="s">
        <v>2706</v>
      </c>
      <c r="H9" s="122" t="s">
        <v>76</v>
      </c>
      <c r="I9" s="122" t="s">
        <v>229</v>
      </c>
      <c r="J9" s="122" t="s">
        <v>53</v>
      </c>
      <c r="K9" s="122" t="s">
        <v>53</v>
      </c>
      <c r="L9" s="122" t="s">
        <v>102</v>
      </c>
      <c r="M9" s="122" t="s">
        <v>263</v>
      </c>
      <c r="N9" s="122" t="s">
        <v>62</v>
      </c>
      <c r="O9" s="122" t="s">
        <v>2707</v>
      </c>
      <c r="P9" s="135" t="s">
        <v>298</v>
      </c>
      <c r="Q9" s="122" t="s">
        <v>298</v>
      </c>
      <c r="R9" s="122" t="s">
        <v>298</v>
      </c>
      <c r="S9" s="122" t="s">
        <v>1216</v>
      </c>
      <c r="T9" s="123">
        <v>0</v>
      </c>
      <c r="U9" s="122" t="s">
        <v>2708</v>
      </c>
      <c r="V9" s="125">
        <v>0</v>
      </c>
      <c r="W9" s="125">
        <v>0</v>
      </c>
      <c r="X9" s="122" t="s">
        <v>620</v>
      </c>
      <c r="Y9" s="132"/>
      <c r="Z9" s="122" t="s">
        <v>302</v>
      </c>
      <c r="AA9" s="122" t="s">
        <v>304</v>
      </c>
      <c r="AB9" s="145">
        <v>45657</v>
      </c>
      <c r="AC9" s="146">
        <v>45657</v>
      </c>
      <c r="AD9" s="123">
        <v>6646.11</v>
      </c>
      <c r="AE9" s="123">
        <v>1</v>
      </c>
      <c r="AF9" s="123">
        <v>0</v>
      </c>
      <c r="AG9" s="123">
        <v>0</v>
      </c>
      <c r="AH9" s="135"/>
      <c r="AI9" s="135"/>
      <c r="AJ9" s="135"/>
      <c r="AK9" s="122"/>
      <c r="AL9" s="143"/>
      <c r="AM9" s="159"/>
    </row>
    <row r="10" spans="1:39" x14ac:dyDescent="0.2">
      <c r="A10" s="121" t="s">
        <v>1211</v>
      </c>
      <c r="B10" s="122" t="s">
        <v>1211</v>
      </c>
      <c r="C10" s="122" t="s">
        <v>2703</v>
      </c>
      <c r="D10" s="122" t="s">
        <v>2704</v>
      </c>
      <c r="E10" s="122" t="s">
        <v>429</v>
      </c>
      <c r="F10" s="122" t="s">
        <v>2709</v>
      </c>
      <c r="G10" s="122" t="s">
        <v>2710</v>
      </c>
      <c r="H10" s="122" t="s">
        <v>78</v>
      </c>
      <c r="I10" s="122" t="s">
        <v>229</v>
      </c>
      <c r="J10" s="122" t="s">
        <v>53</v>
      </c>
      <c r="K10" s="122" t="s">
        <v>53</v>
      </c>
      <c r="L10" s="122" t="s">
        <v>102</v>
      </c>
      <c r="M10" s="122" t="s">
        <v>263</v>
      </c>
      <c r="N10" s="122" t="s">
        <v>62</v>
      </c>
      <c r="O10" s="122" t="s">
        <v>2711</v>
      </c>
      <c r="P10" s="135" t="s">
        <v>298</v>
      </c>
      <c r="Q10" s="122" t="s">
        <v>298</v>
      </c>
      <c r="R10" s="122" t="s">
        <v>298</v>
      </c>
      <c r="S10" s="122" t="s">
        <v>1216</v>
      </c>
      <c r="T10" s="123">
        <v>0</v>
      </c>
      <c r="U10" s="122" t="s">
        <v>2708</v>
      </c>
      <c r="V10" s="125">
        <v>0</v>
      </c>
      <c r="W10" s="125">
        <v>0</v>
      </c>
      <c r="X10" s="122" t="s">
        <v>620</v>
      </c>
      <c r="Y10" s="132"/>
      <c r="Z10" s="122" t="s">
        <v>302</v>
      </c>
      <c r="AA10" s="122" t="s">
        <v>304</v>
      </c>
      <c r="AB10" s="145">
        <v>45657</v>
      </c>
      <c r="AC10" s="146">
        <v>45657</v>
      </c>
      <c r="AD10" s="123">
        <v>6687.23</v>
      </c>
      <c r="AE10" s="123">
        <v>1</v>
      </c>
      <c r="AF10" s="123">
        <v>0</v>
      </c>
      <c r="AG10" s="123">
        <v>0</v>
      </c>
      <c r="AH10" s="135"/>
      <c r="AI10" s="135"/>
      <c r="AJ10" s="135"/>
      <c r="AK10" s="122"/>
      <c r="AL10" s="143"/>
      <c r="AM10" s="159"/>
    </row>
    <row r="11" spans="1:39" x14ac:dyDescent="0.2">
      <c r="A11" s="121" t="s">
        <v>1211</v>
      </c>
      <c r="B11" s="122" t="s">
        <v>1211</v>
      </c>
      <c r="C11" s="122" t="s">
        <v>2712</v>
      </c>
      <c r="D11" s="122" t="s">
        <v>2713</v>
      </c>
      <c r="E11" s="122" t="s">
        <v>430</v>
      </c>
      <c r="F11" s="122" t="s">
        <v>2714</v>
      </c>
      <c r="G11" s="122" t="s">
        <v>2715</v>
      </c>
      <c r="H11" s="122" t="s">
        <v>76</v>
      </c>
      <c r="I11" s="122" t="s">
        <v>230</v>
      </c>
      <c r="J11" s="122" t="s">
        <v>61</v>
      </c>
      <c r="K11" s="122" t="s">
        <v>314</v>
      </c>
      <c r="L11" s="122" t="s">
        <v>102</v>
      </c>
      <c r="M11" s="122" t="s">
        <v>896</v>
      </c>
      <c r="N11" s="122" t="s">
        <v>62</v>
      </c>
      <c r="O11" s="122" t="s">
        <v>2716</v>
      </c>
      <c r="P11" s="135" t="s">
        <v>298</v>
      </c>
      <c r="Q11" s="122" t="s">
        <v>298</v>
      </c>
      <c r="R11" s="122" t="s">
        <v>298</v>
      </c>
      <c r="S11" s="122" t="s">
        <v>1217</v>
      </c>
      <c r="T11" s="123">
        <v>0</v>
      </c>
      <c r="U11" s="122" t="s">
        <v>2717</v>
      </c>
      <c r="V11" s="125">
        <v>0</v>
      </c>
      <c r="W11" s="125">
        <v>0</v>
      </c>
      <c r="X11" s="122" t="s">
        <v>620</v>
      </c>
      <c r="Y11" s="132"/>
      <c r="Z11" s="122" t="s">
        <v>302</v>
      </c>
      <c r="AA11" s="122" t="s">
        <v>304</v>
      </c>
      <c r="AB11" s="145">
        <v>45657</v>
      </c>
      <c r="AC11" s="146">
        <v>45657</v>
      </c>
      <c r="AD11" s="123">
        <v>133500</v>
      </c>
      <c r="AE11" s="123">
        <v>3.306</v>
      </c>
      <c r="AF11" s="123">
        <v>0</v>
      </c>
      <c r="AG11" s="123">
        <v>0</v>
      </c>
      <c r="AH11" s="135"/>
      <c r="AI11" s="135"/>
      <c r="AJ11" s="135"/>
      <c r="AK11" s="125">
        <v>0</v>
      </c>
      <c r="AL11" s="126">
        <v>0</v>
      </c>
      <c r="AM11" s="159"/>
    </row>
    <row r="12" spans="1:39" x14ac:dyDescent="0.2">
      <c r="A12" s="121" t="s">
        <v>1223</v>
      </c>
      <c r="B12" s="122" t="s">
        <v>1225</v>
      </c>
      <c r="C12" s="122" t="s">
        <v>2679</v>
      </c>
      <c r="D12" s="122" t="s">
        <v>2680</v>
      </c>
      <c r="E12" s="122" t="s">
        <v>429</v>
      </c>
      <c r="F12" s="122" t="s">
        <v>2681</v>
      </c>
      <c r="G12" s="122" t="s">
        <v>2682</v>
      </c>
      <c r="H12" s="122" t="s">
        <v>76</v>
      </c>
      <c r="I12" s="122" t="s">
        <v>228</v>
      </c>
      <c r="J12" s="122" t="s">
        <v>53</v>
      </c>
      <c r="K12" s="122" t="s">
        <v>53</v>
      </c>
      <c r="L12" s="122" t="s">
        <v>102</v>
      </c>
      <c r="M12" s="122" t="s">
        <v>636</v>
      </c>
      <c r="N12" s="122" t="s">
        <v>62</v>
      </c>
      <c r="O12" s="122" t="s">
        <v>2683</v>
      </c>
      <c r="P12" s="135" t="s">
        <v>298</v>
      </c>
      <c r="Q12" s="122" t="s">
        <v>298</v>
      </c>
      <c r="R12" s="122" t="s">
        <v>298</v>
      </c>
      <c r="S12" s="122" t="s">
        <v>1216</v>
      </c>
      <c r="T12" s="123">
        <v>0</v>
      </c>
      <c r="U12" s="122" t="s">
        <v>2684</v>
      </c>
      <c r="V12" s="125">
        <v>0</v>
      </c>
      <c r="W12" s="125">
        <v>0</v>
      </c>
      <c r="X12" s="122" t="s">
        <v>620</v>
      </c>
      <c r="Y12" s="132"/>
      <c r="Z12" s="122" t="s">
        <v>302</v>
      </c>
      <c r="AA12" s="122" t="s">
        <v>304</v>
      </c>
      <c r="AB12" s="145">
        <v>45657</v>
      </c>
      <c r="AC12" s="146">
        <v>45657</v>
      </c>
      <c r="AD12" s="123">
        <v>1704.6</v>
      </c>
      <c r="AE12" s="123">
        <v>1</v>
      </c>
      <c r="AF12" s="123">
        <v>0.01</v>
      </c>
      <c r="AG12" s="123">
        <v>0</v>
      </c>
      <c r="AH12" s="135"/>
      <c r="AI12" s="135"/>
      <c r="AJ12" s="135"/>
      <c r="AK12" s="125">
        <v>1</v>
      </c>
      <c r="AL12" s="126">
        <v>0</v>
      </c>
      <c r="AM12" s="159"/>
    </row>
    <row r="13" spans="1:39" x14ac:dyDescent="0.2">
      <c r="A13" s="121" t="s">
        <v>1223</v>
      </c>
      <c r="B13" s="122" t="s">
        <v>1223</v>
      </c>
      <c r="C13" s="122" t="s">
        <v>2685</v>
      </c>
      <c r="D13" s="122" t="s">
        <v>2686</v>
      </c>
      <c r="E13" s="122" t="s">
        <v>429</v>
      </c>
      <c r="F13" s="122" t="s">
        <v>2687</v>
      </c>
      <c r="G13" s="122" t="s">
        <v>2688</v>
      </c>
      <c r="H13" s="122" t="s">
        <v>76</v>
      </c>
      <c r="I13" s="122" t="s">
        <v>229</v>
      </c>
      <c r="J13" s="122" t="s">
        <v>53</v>
      </c>
      <c r="K13" s="122" t="s">
        <v>53</v>
      </c>
      <c r="L13" s="122" t="s">
        <v>958</v>
      </c>
      <c r="M13" s="122" t="s">
        <v>635</v>
      </c>
      <c r="N13" s="122" t="s">
        <v>62</v>
      </c>
      <c r="O13" s="122" t="s">
        <v>2689</v>
      </c>
      <c r="P13" s="122" t="s">
        <v>1324</v>
      </c>
      <c r="Q13" s="122" t="s">
        <v>65</v>
      </c>
      <c r="R13" s="122" t="s">
        <v>57</v>
      </c>
      <c r="S13" s="122" t="s">
        <v>1216</v>
      </c>
      <c r="T13" s="123">
        <v>5.24</v>
      </c>
      <c r="U13" s="122" t="s">
        <v>1392</v>
      </c>
      <c r="V13" s="125">
        <v>3.4799999999999998E-2</v>
      </c>
      <c r="W13" s="125">
        <v>3.4000000000000002E-2</v>
      </c>
      <c r="X13" s="122" t="s">
        <v>620</v>
      </c>
      <c r="Y13" s="132"/>
      <c r="Z13" s="122" t="s">
        <v>775</v>
      </c>
      <c r="AA13" s="122" t="s">
        <v>305</v>
      </c>
      <c r="AB13" s="145">
        <v>45930</v>
      </c>
      <c r="AC13" s="146">
        <v>45930</v>
      </c>
      <c r="AD13" s="123">
        <v>23191000</v>
      </c>
      <c r="AE13" s="123">
        <v>1</v>
      </c>
      <c r="AF13" s="123">
        <v>102.03</v>
      </c>
      <c r="AG13" s="123">
        <v>23661.776999999998</v>
      </c>
      <c r="AH13" s="135"/>
      <c r="AI13" s="135"/>
      <c r="AJ13" s="135"/>
      <c r="AK13" s="125">
        <v>0.52951999999999999</v>
      </c>
      <c r="AL13" s="126">
        <v>8.7000000000000001E-4</v>
      </c>
      <c r="AM13" s="159"/>
    </row>
    <row r="14" spans="1:39" x14ac:dyDescent="0.2">
      <c r="A14" s="121" t="s">
        <v>1223</v>
      </c>
      <c r="B14" s="122" t="s">
        <v>1223</v>
      </c>
      <c r="C14" s="122" t="s">
        <v>1743</v>
      </c>
      <c r="D14" s="122" t="s">
        <v>1744</v>
      </c>
      <c r="E14" s="122" t="s">
        <v>429</v>
      </c>
      <c r="F14" s="122" t="s">
        <v>2690</v>
      </c>
      <c r="G14" s="122" t="s">
        <v>2691</v>
      </c>
      <c r="H14" s="122" t="s">
        <v>76</v>
      </c>
      <c r="I14" s="122" t="s">
        <v>229</v>
      </c>
      <c r="J14" s="122" t="s">
        <v>53</v>
      </c>
      <c r="K14" s="122" t="s">
        <v>53</v>
      </c>
      <c r="L14" s="122" t="s">
        <v>958</v>
      </c>
      <c r="M14" s="122" t="s">
        <v>258</v>
      </c>
      <c r="N14" s="122" t="s">
        <v>62</v>
      </c>
      <c r="O14" s="122" t="s">
        <v>2692</v>
      </c>
      <c r="P14" s="122" t="s">
        <v>1330</v>
      </c>
      <c r="Q14" s="122" t="s">
        <v>65</v>
      </c>
      <c r="R14" s="122" t="s">
        <v>57</v>
      </c>
      <c r="S14" s="122" t="s">
        <v>1216</v>
      </c>
      <c r="T14" s="123">
        <v>9.4499999999999993</v>
      </c>
      <c r="U14" s="122" t="s">
        <v>2693</v>
      </c>
      <c r="V14" s="125">
        <v>2.7699999999999999E-2</v>
      </c>
      <c r="W14" s="125">
        <v>4.1000000000000002E-2</v>
      </c>
      <c r="X14" s="122" t="s">
        <v>620</v>
      </c>
      <c r="Y14" s="132"/>
      <c r="Z14" s="122" t="s">
        <v>775</v>
      </c>
      <c r="AA14" s="122" t="s">
        <v>305</v>
      </c>
      <c r="AB14" s="145">
        <v>45930</v>
      </c>
      <c r="AC14" s="146">
        <v>45930</v>
      </c>
      <c r="AD14" s="123">
        <v>9283644.2100000009</v>
      </c>
      <c r="AE14" s="123">
        <v>1</v>
      </c>
      <c r="AF14" s="123">
        <v>139.55000000000001</v>
      </c>
      <c r="AG14" s="123">
        <v>12955.325000000001</v>
      </c>
      <c r="AH14" s="135"/>
      <c r="AI14" s="135"/>
      <c r="AJ14" s="135"/>
      <c r="AK14" s="125">
        <v>0.28992000000000001</v>
      </c>
      <c r="AL14" s="126">
        <v>4.6999999999999999E-4</v>
      </c>
      <c r="AM14" s="159"/>
    </row>
    <row r="15" spans="1:39" x14ac:dyDescent="0.2">
      <c r="A15" s="121" t="s">
        <v>1223</v>
      </c>
      <c r="B15" s="122" t="s">
        <v>1223</v>
      </c>
      <c r="C15" s="122" t="s">
        <v>2685</v>
      </c>
      <c r="D15" s="122" t="s">
        <v>2686</v>
      </c>
      <c r="E15" s="122" t="s">
        <v>429</v>
      </c>
      <c r="F15" s="122" t="s">
        <v>2694</v>
      </c>
      <c r="G15" s="122" t="s">
        <v>2695</v>
      </c>
      <c r="H15" s="122" t="s">
        <v>76</v>
      </c>
      <c r="I15" s="122" t="s">
        <v>228</v>
      </c>
      <c r="J15" s="122" t="s">
        <v>53</v>
      </c>
      <c r="K15" s="122" t="s">
        <v>53</v>
      </c>
      <c r="L15" s="122" t="s">
        <v>958</v>
      </c>
      <c r="M15" s="122" t="s">
        <v>635</v>
      </c>
      <c r="N15" s="122" t="s">
        <v>62</v>
      </c>
      <c r="O15" s="122" t="s">
        <v>2696</v>
      </c>
      <c r="P15" s="122" t="s">
        <v>1454</v>
      </c>
      <c r="Q15" s="122" t="s">
        <v>70</v>
      </c>
      <c r="R15" s="122" t="s">
        <v>57</v>
      </c>
      <c r="S15" s="122" t="s">
        <v>1216</v>
      </c>
      <c r="T15" s="123">
        <v>1.22</v>
      </c>
      <c r="U15" s="122" t="s">
        <v>1403</v>
      </c>
      <c r="V15" s="125">
        <v>4.6399999999999997E-2</v>
      </c>
      <c r="W15" s="125">
        <v>3.1E-2</v>
      </c>
      <c r="X15" s="122" t="s">
        <v>620</v>
      </c>
      <c r="Y15" s="132"/>
      <c r="Z15" s="122" t="s">
        <v>775</v>
      </c>
      <c r="AA15" s="122" t="s">
        <v>305</v>
      </c>
      <c r="AB15" s="145">
        <v>45930</v>
      </c>
      <c r="AC15" s="146">
        <v>45930</v>
      </c>
      <c r="AD15" s="123">
        <v>7745513.54</v>
      </c>
      <c r="AE15" s="123">
        <v>1</v>
      </c>
      <c r="AF15" s="123">
        <v>98.25</v>
      </c>
      <c r="AG15" s="123">
        <v>7609.9669999999996</v>
      </c>
      <c r="AH15" s="135"/>
      <c r="AI15" s="135"/>
      <c r="AJ15" s="135"/>
      <c r="AK15" s="125">
        <v>0.17030000000000001</v>
      </c>
      <c r="AL15" s="126">
        <v>2.7999999999999998E-4</v>
      </c>
      <c r="AM15" s="159"/>
    </row>
    <row r="16" spans="1:39" x14ac:dyDescent="0.2">
      <c r="A16" s="121" t="s">
        <v>1223</v>
      </c>
      <c r="B16" s="122" t="s">
        <v>1223</v>
      </c>
      <c r="C16" s="122" t="s">
        <v>2718</v>
      </c>
      <c r="D16" s="122" t="s">
        <v>2719</v>
      </c>
      <c r="E16" s="122" t="s">
        <v>429</v>
      </c>
      <c r="F16" s="122" t="s">
        <v>2720</v>
      </c>
      <c r="G16" s="122" t="s">
        <v>2721</v>
      </c>
      <c r="H16" s="122" t="s">
        <v>76</v>
      </c>
      <c r="I16" s="122" t="s">
        <v>230</v>
      </c>
      <c r="J16" s="122" t="s">
        <v>53</v>
      </c>
      <c r="K16" s="122" t="s">
        <v>53</v>
      </c>
      <c r="L16" s="122" t="s">
        <v>958</v>
      </c>
      <c r="M16" s="122" t="s">
        <v>414</v>
      </c>
      <c r="N16" s="122" t="s">
        <v>62</v>
      </c>
      <c r="O16" s="122" t="s">
        <v>2722</v>
      </c>
      <c r="P16" s="122" t="s">
        <v>1584</v>
      </c>
      <c r="Q16" s="122" t="s">
        <v>70</v>
      </c>
      <c r="R16" s="122" t="s">
        <v>57</v>
      </c>
      <c r="S16" s="122" t="s">
        <v>1217</v>
      </c>
      <c r="T16" s="123">
        <v>0.99</v>
      </c>
      <c r="U16" s="122" t="s">
        <v>2723</v>
      </c>
      <c r="V16" s="125">
        <v>4.58E-2</v>
      </c>
      <c r="W16" s="125">
        <v>7.9699999999999993E-2</v>
      </c>
      <c r="X16" s="122" t="s">
        <v>620</v>
      </c>
      <c r="Y16" s="132"/>
      <c r="Z16" s="122" t="s">
        <v>775</v>
      </c>
      <c r="AA16" s="122" t="s">
        <v>305</v>
      </c>
      <c r="AB16" s="145">
        <v>45930</v>
      </c>
      <c r="AC16" s="146">
        <v>45930</v>
      </c>
      <c r="AD16" s="123">
        <v>131627.53</v>
      </c>
      <c r="AE16" s="123">
        <v>3.306</v>
      </c>
      <c r="AF16" s="123">
        <v>105.33</v>
      </c>
      <c r="AG16" s="123">
        <v>458.35500000000002</v>
      </c>
      <c r="AH16" s="135"/>
      <c r="AI16" s="135"/>
      <c r="AJ16" s="135"/>
      <c r="AK16" s="125">
        <v>1.026E-2</v>
      </c>
      <c r="AL16" s="126">
        <v>2.0000000000000002E-5</v>
      </c>
      <c r="AM16" s="159"/>
    </row>
    <row r="17" spans="1:39" x14ac:dyDescent="0.2">
      <c r="A17" s="121" t="s">
        <v>1223</v>
      </c>
      <c r="B17" s="122" t="s">
        <v>1223</v>
      </c>
      <c r="C17" s="122" t="s">
        <v>2679</v>
      </c>
      <c r="D17" s="122" t="s">
        <v>2680</v>
      </c>
      <c r="E17" s="122" t="s">
        <v>429</v>
      </c>
      <c r="F17" s="122" t="s">
        <v>2681</v>
      </c>
      <c r="G17" s="122" t="s">
        <v>2682</v>
      </c>
      <c r="H17" s="122" t="s">
        <v>76</v>
      </c>
      <c r="I17" s="122" t="s">
        <v>228</v>
      </c>
      <c r="J17" s="122" t="s">
        <v>53</v>
      </c>
      <c r="K17" s="122" t="s">
        <v>53</v>
      </c>
      <c r="L17" s="122" t="s">
        <v>102</v>
      </c>
      <c r="M17" s="122" t="s">
        <v>636</v>
      </c>
      <c r="N17" s="122" t="s">
        <v>62</v>
      </c>
      <c r="O17" s="122" t="s">
        <v>2683</v>
      </c>
      <c r="P17" s="135" t="s">
        <v>298</v>
      </c>
      <c r="Q17" s="122" t="s">
        <v>298</v>
      </c>
      <c r="R17" s="122" t="s">
        <v>298</v>
      </c>
      <c r="S17" s="122" t="s">
        <v>1216</v>
      </c>
      <c r="T17" s="123">
        <v>0</v>
      </c>
      <c r="U17" s="122" t="s">
        <v>2684</v>
      </c>
      <c r="V17" s="125">
        <v>0</v>
      </c>
      <c r="W17" s="125">
        <v>0</v>
      </c>
      <c r="X17" s="122" t="s">
        <v>620</v>
      </c>
      <c r="Y17" s="132"/>
      <c r="Z17" s="122" t="s">
        <v>302</v>
      </c>
      <c r="AA17" s="122" t="s">
        <v>304</v>
      </c>
      <c r="AB17" s="145">
        <v>45657</v>
      </c>
      <c r="AC17" s="146">
        <v>45657</v>
      </c>
      <c r="AD17" s="123">
        <v>2364431.6</v>
      </c>
      <c r="AE17" s="123">
        <v>1</v>
      </c>
      <c r="AF17" s="123">
        <v>0.01</v>
      </c>
      <c r="AG17" s="123">
        <v>0.23599999999999999</v>
      </c>
      <c r="AH17" s="135"/>
      <c r="AI17" s="135"/>
      <c r="AJ17" s="135"/>
      <c r="AK17" s="125">
        <v>1.0000000000000001E-5</v>
      </c>
      <c r="AL17" s="126">
        <v>0</v>
      </c>
      <c r="AM17" s="159"/>
    </row>
    <row r="18" spans="1:39" x14ac:dyDescent="0.2">
      <c r="A18" s="121" t="s">
        <v>1223</v>
      </c>
      <c r="B18" s="122" t="s">
        <v>1223</v>
      </c>
      <c r="C18" s="122" t="s">
        <v>2697</v>
      </c>
      <c r="D18" s="122" t="s">
        <v>2698</v>
      </c>
      <c r="E18" s="122" t="s">
        <v>429</v>
      </c>
      <c r="F18" s="122" t="s">
        <v>2699</v>
      </c>
      <c r="G18" s="122" t="s">
        <v>2700</v>
      </c>
      <c r="H18" s="122" t="s">
        <v>76</v>
      </c>
      <c r="I18" s="122" t="s">
        <v>229</v>
      </c>
      <c r="J18" s="122" t="s">
        <v>53</v>
      </c>
      <c r="K18" s="122" t="s">
        <v>53</v>
      </c>
      <c r="L18" s="122" t="s">
        <v>102</v>
      </c>
      <c r="M18" s="122" t="s">
        <v>692</v>
      </c>
      <c r="N18" s="122" t="s">
        <v>62</v>
      </c>
      <c r="O18" s="122" t="s">
        <v>2701</v>
      </c>
      <c r="P18" s="135" t="s">
        <v>298</v>
      </c>
      <c r="Q18" s="122" t="s">
        <v>298</v>
      </c>
      <c r="R18" s="122" t="s">
        <v>298</v>
      </c>
      <c r="S18" s="122" t="s">
        <v>1216</v>
      </c>
      <c r="T18" s="123">
        <v>0</v>
      </c>
      <c r="U18" s="122" t="s">
        <v>2702</v>
      </c>
      <c r="V18" s="125">
        <v>0</v>
      </c>
      <c r="W18" s="125">
        <v>0</v>
      </c>
      <c r="X18" s="122" t="s">
        <v>620</v>
      </c>
      <c r="Y18" s="132"/>
      <c r="Z18" s="122" t="s">
        <v>302</v>
      </c>
      <c r="AA18" s="122" t="s">
        <v>304</v>
      </c>
      <c r="AB18" s="145">
        <v>45657</v>
      </c>
      <c r="AC18" s="146">
        <v>45657</v>
      </c>
      <c r="AD18" s="123">
        <v>4577619.6500000004</v>
      </c>
      <c r="AE18" s="123">
        <v>1</v>
      </c>
      <c r="AF18" s="123">
        <v>0</v>
      </c>
      <c r="AG18" s="123">
        <v>0</v>
      </c>
      <c r="AH18" s="135"/>
      <c r="AI18" s="135"/>
      <c r="AJ18" s="135"/>
      <c r="AK18" s="125">
        <v>0</v>
      </c>
      <c r="AL18" s="126">
        <v>0</v>
      </c>
      <c r="AM18" s="159"/>
    </row>
    <row r="19" spans="1:39" x14ac:dyDescent="0.2">
      <c r="A19" s="121" t="s">
        <v>1211</v>
      </c>
      <c r="B19" s="122" t="s">
        <v>1212</v>
      </c>
      <c r="C19" s="135"/>
      <c r="D19" s="135"/>
      <c r="E19" s="132"/>
      <c r="F19" s="135"/>
      <c r="G19" s="135"/>
      <c r="H19" s="135"/>
      <c r="I19" s="135"/>
      <c r="J19" s="132"/>
      <c r="K19" s="132"/>
      <c r="L19" s="135"/>
      <c r="M19" s="135"/>
      <c r="N19" s="135"/>
      <c r="O19" s="135"/>
      <c r="P19" s="135"/>
      <c r="Q19" s="135"/>
      <c r="R19" s="135"/>
      <c r="S19" s="132"/>
      <c r="T19" s="135"/>
      <c r="U19" s="135"/>
      <c r="V19" s="135"/>
      <c r="W19" s="122"/>
      <c r="X19" s="132"/>
      <c r="Y19" s="132"/>
      <c r="Z19" s="135"/>
      <c r="AA19" s="135"/>
      <c r="AB19" s="122"/>
      <c r="AC19" s="135"/>
      <c r="AD19" s="135"/>
      <c r="AE19" s="135"/>
      <c r="AF19" s="135"/>
      <c r="AG19" s="135"/>
      <c r="AH19" s="135"/>
      <c r="AI19" s="135"/>
      <c r="AJ19" s="135"/>
      <c r="AK19" s="122"/>
      <c r="AL19" s="143"/>
      <c r="AM19" s="159"/>
    </row>
    <row r="20" spans="1:39" x14ac:dyDescent="0.2">
      <c r="A20" s="127" t="s">
        <v>1223</v>
      </c>
      <c r="B20" s="128" t="s">
        <v>1224</v>
      </c>
      <c r="C20" s="138"/>
      <c r="D20" s="138"/>
      <c r="E20" s="137"/>
      <c r="F20" s="138"/>
      <c r="G20" s="138"/>
      <c r="H20" s="138"/>
      <c r="I20" s="138"/>
      <c r="J20" s="137"/>
      <c r="K20" s="137"/>
      <c r="L20" s="138"/>
      <c r="M20" s="138"/>
      <c r="N20" s="138"/>
      <c r="O20" s="138"/>
      <c r="P20" s="138"/>
      <c r="Q20" s="138"/>
      <c r="R20" s="138"/>
      <c r="S20" s="137"/>
      <c r="T20" s="138"/>
      <c r="U20" s="138"/>
      <c r="V20" s="138"/>
      <c r="W20" s="128"/>
      <c r="X20" s="137"/>
      <c r="Y20" s="137"/>
      <c r="Z20" s="138"/>
      <c r="AA20" s="138"/>
      <c r="AB20" s="128"/>
      <c r="AC20" s="138"/>
      <c r="AD20" s="138"/>
      <c r="AE20" s="138"/>
      <c r="AF20" s="138"/>
      <c r="AG20" s="138"/>
      <c r="AH20" s="138"/>
      <c r="AI20" s="138"/>
      <c r="AJ20" s="138"/>
      <c r="AK20" s="128"/>
      <c r="AL20" s="144"/>
      <c r="AM20" s="159"/>
    </row>
    <row r="21" spans="1:39" x14ac:dyDescent="0.2">
      <c r="A21" s="159" t="s">
        <v>3483</v>
      </c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</row>
    <row r="22" spans="1:39" x14ac:dyDescent="0.2">
      <c r="A22" t="s">
        <v>3482</v>
      </c>
      <c r="E22"/>
      <c r="L22"/>
      <c r="Y22"/>
    </row>
    <row r="23" spans="1:39" x14ac:dyDescent="0.2">
      <c r="A23" s="1"/>
      <c r="L23"/>
    </row>
    <row r="24" spans="1:39" x14ac:dyDescent="0.2">
      <c r="L24"/>
    </row>
    <row r="25" spans="1:39" x14ac:dyDescent="0.2">
      <c r="L25"/>
    </row>
    <row r="26" spans="1:39" x14ac:dyDescent="0.2">
      <c r="L2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21:AL21"/>
    <mergeCell ref="AM2:AM20"/>
  </mergeCells>
  <dataValidations count="16">
    <dataValidation type="list" allowBlank="1" showInputMessage="1" showErrorMessage="1" sqref="J3:J20" xr:uid="{00000000-0002-0000-1200-000000000000}">
      <formula1>israel_abroad</formula1>
    </dataValidation>
    <dataValidation type="list" allowBlank="1" showInputMessage="1" showErrorMessage="1" sqref="N3:N20" xr:uid="{00000000-0002-0000-1200-000001000000}">
      <formula1>Holding_interest</formula1>
    </dataValidation>
    <dataValidation type="list" allowBlank="1" showInputMessage="1" showErrorMessage="1" sqref="K3:K20" xr:uid="{00000000-0002-0000-1200-000002000000}">
      <formula1>Country_list</formula1>
    </dataValidation>
    <dataValidation type="list" allowBlank="1" showInputMessage="1" showErrorMessage="1" sqref="E4:E20" xr:uid="{00000000-0002-0000-1200-000003000000}">
      <formula1>Issuer_Number_Type_2</formula1>
    </dataValidation>
    <dataValidation type="list" allowBlank="1" showInputMessage="1" showErrorMessage="1" sqref="Q3:Q20" xr:uid="{00000000-0002-0000-1200-000004000000}">
      <formula1>Rating_Agency</formula1>
    </dataValidation>
    <dataValidation type="list" allowBlank="1" showInputMessage="1" showErrorMessage="1" sqref="P5 R3:R20" xr:uid="{00000000-0002-0000-1200-000005000000}">
      <formula1>What_is_rated</formula1>
    </dataValidation>
    <dataValidation type="list" allowBlank="1" showInputMessage="1" showErrorMessage="1" sqref="V5 X3:X20" xr:uid="{00000000-0002-0000-1200-000006000000}">
      <formula1>Subordination_Risk</formula1>
    </dataValidation>
    <dataValidation type="list" allowBlank="1" showInputMessage="1" showErrorMessage="1" sqref="Z3:Z20" xr:uid="{00000000-0002-0000-1200-000007000000}">
      <formula1>Valuation</formula1>
    </dataValidation>
    <dataValidation type="list" allowBlank="1" showInputMessage="1" showErrorMessage="1" sqref="AA3:AA20" xr:uid="{00000000-0002-0000-1200-000008000000}">
      <formula1>Dependence_Independence</formula1>
    </dataValidation>
    <dataValidation type="list" allowBlank="1" showInputMessage="1" showErrorMessage="1" sqref="AE5" xr:uid="{00000000-0002-0000-1200-000009000000}">
      <formula1>Info_Provider</formula1>
    </dataValidation>
    <dataValidation type="list" allowBlank="1" showInputMessage="1" showErrorMessage="1" sqref="Y3:Y20" xr:uid="{00000000-0002-0000-1200-00000A000000}">
      <formula1>Yes_No_Bad_Debt</formula1>
    </dataValidation>
    <dataValidation type="list" allowBlank="1" showInputMessage="1" showErrorMessage="1" sqref="H3:H20" xr:uid="{00000000-0002-0000-1200-00000B000000}">
      <formula1>Type_of_Security_ID_Fund</formula1>
    </dataValidation>
    <dataValidation type="list" allowBlank="1" showInputMessage="1" showErrorMessage="1" sqref="E3" xr:uid="{00000000-0002-0000-1200-00000C000000}">
      <formula1>Issuer_Number_Type_3</formula1>
    </dataValidation>
    <dataValidation type="list" allowBlank="1" showInputMessage="1" showErrorMessage="1" sqref="AJ3:AJ20" xr:uid="{00000000-0002-0000-1200-00000D000000}">
      <formula1>In_the_books</formula1>
    </dataValidation>
    <dataValidation type="list" allowBlank="1" showInputMessage="1" showErrorMessage="1" sqref="M3:M20" xr:uid="{00000000-0002-0000-1200-00000E000000}">
      <formula1>Industry_Sector</formula1>
    </dataValidation>
    <dataValidation type="list" allowBlank="1" showInputMessage="1" showErrorMessage="1" sqref="L3:L20" xr:uid="{00000000-0002-0000-1200-00000F000000}">
      <formula1>tradeable_status_bonds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10000000}">
          <x14:formula1>
            <xm:f>'אפשרויות בחירה'!$C$934:$C$945</xm:f>
          </x14:formula1>
          <xm:sqref>I3:I20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AA62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style="3" customWidth="1"/>
    <col min="13" max="13" width="11.625" customWidth="1"/>
    <col min="14" max="14" width="15.125" customWidth="1"/>
    <col min="15" max="15" width="12" customWidth="1"/>
    <col min="16" max="16" width="11.75" customWidth="1"/>
    <col min="17" max="17" width="14" customWidth="1"/>
    <col min="18" max="18" width="18.625" customWidth="1"/>
    <col min="19" max="19" width="16.375" customWidth="1"/>
    <col min="20" max="20" width="30" customWidth="1"/>
    <col min="21" max="21" width="14.875" customWidth="1"/>
    <col min="22" max="22" width="11.625" customWidth="1"/>
    <col min="23" max="23" width="12.875" customWidth="1"/>
    <col min="24" max="24" width="17.875" customWidth="1"/>
    <col min="25" max="25" width="21.75" customWidth="1"/>
    <col min="26" max="26" width="20.125" customWidth="1"/>
    <col min="27" max="16384" width="9" hidden="1"/>
  </cols>
  <sheetData>
    <row r="1" spans="1:27" x14ac:dyDescent="0.2">
      <c r="A1" t="s">
        <v>3503</v>
      </c>
    </row>
    <row r="2" spans="1:27" x14ac:dyDescent="0.2">
      <c r="A2" s="118" t="s">
        <v>651</v>
      </c>
      <c r="B2" s="119" t="s">
        <v>0</v>
      </c>
      <c r="C2" s="119" t="s">
        <v>724</v>
      </c>
      <c r="D2" s="119" t="s">
        <v>2</v>
      </c>
      <c r="E2" s="119" t="s">
        <v>740</v>
      </c>
      <c r="F2" s="119" t="s">
        <v>1145</v>
      </c>
      <c r="G2" s="119" t="s">
        <v>29</v>
      </c>
      <c r="H2" s="119" t="s">
        <v>28</v>
      </c>
      <c r="I2" s="119" t="s">
        <v>1</v>
      </c>
      <c r="J2" s="119" t="s">
        <v>604</v>
      </c>
      <c r="K2" s="119" t="s">
        <v>605</v>
      </c>
      <c r="L2" s="119" t="s">
        <v>609</v>
      </c>
      <c r="M2" s="119" t="s">
        <v>9</v>
      </c>
      <c r="N2" s="119" t="s">
        <v>606</v>
      </c>
      <c r="O2" s="119" t="s">
        <v>12</v>
      </c>
      <c r="P2" s="119" t="s">
        <v>396</v>
      </c>
      <c r="Q2" s="119" t="s">
        <v>917</v>
      </c>
      <c r="R2" s="119" t="s">
        <v>372</v>
      </c>
      <c r="S2" s="119" t="s">
        <v>16</v>
      </c>
      <c r="T2" s="119" t="s">
        <v>1147</v>
      </c>
      <c r="U2" s="119" t="s">
        <v>773</v>
      </c>
      <c r="V2" s="119" t="s">
        <v>11</v>
      </c>
      <c r="W2" s="119" t="s">
        <v>15</v>
      </c>
      <c r="X2" s="119" t="s">
        <v>1153</v>
      </c>
      <c r="Y2" s="119" t="s">
        <v>19</v>
      </c>
      <c r="Z2" s="120" t="s">
        <v>30</v>
      </c>
      <c r="AA2" s="159" t="s">
        <v>3484</v>
      </c>
    </row>
    <row r="3" spans="1:27" x14ac:dyDescent="0.2">
      <c r="A3" s="121" t="s">
        <v>1211</v>
      </c>
      <c r="B3" s="122" t="s">
        <v>1211</v>
      </c>
      <c r="C3" s="122" t="s">
        <v>2724</v>
      </c>
      <c r="D3" s="122" t="s">
        <v>2725</v>
      </c>
      <c r="E3" s="122" t="s">
        <v>429</v>
      </c>
      <c r="F3" s="122" t="s">
        <v>2726</v>
      </c>
      <c r="G3" s="122" t="s">
        <v>2727</v>
      </c>
      <c r="H3" s="122" t="s">
        <v>76</v>
      </c>
      <c r="I3" s="122" t="s">
        <v>465</v>
      </c>
      <c r="J3" s="122" t="s">
        <v>53</v>
      </c>
      <c r="K3" s="122" t="s">
        <v>53</v>
      </c>
      <c r="L3" s="122" t="s">
        <v>102</v>
      </c>
      <c r="M3" s="122" t="s">
        <v>165</v>
      </c>
      <c r="N3" s="122" t="s">
        <v>62</v>
      </c>
      <c r="O3" s="122" t="s">
        <v>2707</v>
      </c>
      <c r="P3" s="122" t="s">
        <v>1216</v>
      </c>
      <c r="Q3" s="122" t="s">
        <v>302</v>
      </c>
      <c r="R3" s="122" t="s">
        <v>304</v>
      </c>
      <c r="S3" s="146">
        <v>45657</v>
      </c>
      <c r="T3" s="146">
        <v>45657</v>
      </c>
      <c r="U3" s="123">
        <v>400</v>
      </c>
      <c r="V3" s="123">
        <v>1</v>
      </c>
      <c r="W3" s="123">
        <v>0</v>
      </c>
      <c r="X3" s="123">
        <v>0</v>
      </c>
      <c r="Y3" s="135"/>
      <c r="Z3" s="140"/>
      <c r="AA3" s="159"/>
    </row>
    <row r="4" spans="1:27" x14ac:dyDescent="0.2">
      <c r="A4" s="121" t="s">
        <v>1211</v>
      </c>
      <c r="B4" s="122" t="s">
        <v>1211</v>
      </c>
      <c r="C4" s="122" t="s">
        <v>2728</v>
      </c>
      <c r="D4" s="122" t="s">
        <v>1567</v>
      </c>
      <c r="E4" s="122" t="s">
        <v>429</v>
      </c>
      <c r="F4" s="122" t="s">
        <v>2729</v>
      </c>
      <c r="G4" s="122" t="s">
        <v>2730</v>
      </c>
      <c r="H4" s="122" t="s">
        <v>78</v>
      </c>
      <c r="I4" s="122" t="s">
        <v>465</v>
      </c>
      <c r="J4" s="122" t="s">
        <v>53</v>
      </c>
      <c r="K4" s="122" t="s">
        <v>53</v>
      </c>
      <c r="L4" s="122" t="s">
        <v>102</v>
      </c>
      <c r="M4" s="122" t="s">
        <v>264</v>
      </c>
      <c r="N4" s="122" t="s">
        <v>62</v>
      </c>
      <c r="O4" s="122" t="s">
        <v>2731</v>
      </c>
      <c r="P4" s="122" t="s">
        <v>1216</v>
      </c>
      <c r="Q4" s="122" t="s">
        <v>303</v>
      </c>
      <c r="R4" s="122" t="s">
        <v>305</v>
      </c>
      <c r="S4" s="146">
        <v>45785</v>
      </c>
      <c r="T4" s="146">
        <v>45785</v>
      </c>
      <c r="U4" s="123">
        <v>2435642.2200000002</v>
      </c>
      <c r="V4" s="123">
        <v>1</v>
      </c>
      <c r="W4" s="123">
        <v>797.35900000000004</v>
      </c>
      <c r="X4" s="123">
        <v>19420.803</v>
      </c>
      <c r="Y4" s="125">
        <v>0.33944000000000002</v>
      </c>
      <c r="Z4" s="126">
        <v>1.6559999999999998E-2</v>
      </c>
      <c r="AA4" s="159"/>
    </row>
    <row r="5" spans="1:27" x14ac:dyDescent="0.2">
      <c r="A5" s="121" t="s">
        <v>1211</v>
      </c>
      <c r="B5" s="122" t="s">
        <v>1211</v>
      </c>
      <c r="C5" s="122" t="s">
        <v>2732</v>
      </c>
      <c r="D5" s="122" t="s">
        <v>2733</v>
      </c>
      <c r="E5" s="122" t="s">
        <v>429</v>
      </c>
      <c r="F5" s="122" t="s">
        <v>2732</v>
      </c>
      <c r="G5" s="122" t="s">
        <v>2734</v>
      </c>
      <c r="H5" s="122" t="s">
        <v>78</v>
      </c>
      <c r="I5" s="122" t="s">
        <v>465</v>
      </c>
      <c r="J5" s="122" t="s">
        <v>53</v>
      </c>
      <c r="K5" s="122" t="s">
        <v>53</v>
      </c>
      <c r="L5" s="122" t="s">
        <v>102</v>
      </c>
      <c r="M5" s="122" t="s">
        <v>163</v>
      </c>
      <c r="N5" s="122" t="s">
        <v>62</v>
      </c>
      <c r="O5" s="122" t="s">
        <v>2735</v>
      </c>
      <c r="P5" s="122" t="s">
        <v>1216</v>
      </c>
      <c r="Q5" s="122" t="s">
        <v>303</v>
      </c>
      <c r="R5" s="122" t="s">
        <v>305</v>
      </c>
      <c r="S5" s="146">
        <v>45845</v>
      </c>
      <c r="T5" s="146">
        <v>45845</v>
      </c>
      <c r="U5" s="123">
        <v>12075348.859999999</v>
      </c>
      <c r="V5" s="123">
        <v>1</v>
      </c>
      <c r="W5" s="123">
        <v>131.45099999999999</v>
      </c>
      <c r="X5" s="123">
        <v>15873.143</v>
      </c>
      <c r="Y5" s="125">
        <v>0.27743000000000001</v>
      </c>
      <c r="Z5" s="126">
        <v>1.353E-2</v>
      </c>
      <c r="AA5" s="159"/>
    </row>
    <row r="6" spans="1:27" x14ac:dyDescent="0.2">
      <c r="A6" s="121" t="s">
        <v>1211</v>
      </c>
      <c r="B6" s="122" t="s">
        <v>1211</v>
      </c>
      <c r="C6" s="122" t="s">
        <v>2736</v>
      </c>
      <c r="D6" s="122" t="s">
        <v>2737</v>
      </c>
      <c r="E6" s="122" t="s">
        <v>429</v>
      </c>
      <c r="F6" s="122" t="s">
        <v>2738</v>
      </c>
      <c r="G6" s="122" t="s">
        <v>2739</v>
      </c>
      <c r="H6" s="122" t="s">
        <v>78</v>
      </c>
      <c r="I6" s="122" t="s">
        <v>465</v>
      </c>
      <c r="J6" s="122" t="s">
        <v>53</v>
      </c>
      <c r="K6" s="122" t="s">
        <v>53</v>
      </c>
      <c r="L6" s="122" t="s">
        <v>102</v>
      </c>
      <c r="M6" s="122" t="s">
        <v>263</v>
      </c>
      <c r="N6" s="122" t="s">
        <v>62</v>
      </c>
      <c r="O6" s="122" t="s">
        <v>2740</v>
      </c>
      <c r="P6" s="122" t="s">
        <v>1216</v>
      </c>
      <c r="Q6" s="122" t="s">
        <v>303</v>
      </c>
      <c r="R6" s="122" t="s">
        <v>305</v>
      </c>
      <c r="S6" s="146">
        <v>45747</v>
      </c>
      <c r="T6" s="146">
        <v>45747</v>
      </c>
      <c r="U6" s="123">
        <v>2963823</v>
      </c>
      <c r="V6" s="123">
        <v>1</v>
      </c>
      <c r="W6" s="123">
        <v>336.72399999999999</v>
      </c>
      <c r="X6" s="123">
        <v>9979.8889999999992</v>
      </c>
      <c r="Y6" s="125">
        <v>0.17443</v>
      </c>
      <c r="Z6" s="126">
        <v>8.5100000000000002E-3</v>
      </c>
      <c r="AA6" s="159"/>
    </row>
    <row r="7" spans="1:27" x14ac:dyDescent="0.2">
      <c r="A7" s="121" t="s">
        <v>1211</v>
      </c>
      <c r="B7" s="122" t="s">
        <v>1211</v>
      </c>
      <c r="C7" s="122" t="s">
        <v>2741</v>
      </c>
      <c r="D7" s="122" t="s">
        <v>2742</v>
      </c>
      <c r="E7" s="122" t="s">
        <v>102</v>
      </c>
      <c r="F7" s="122" t="s">
        <v>2743</v>
      </c>
      <c r="G7" s="122" t="s">
        <v>2744</v>
      </c>
      <c r="H7" s="122" t="s">
        <v>78</v>
      </c>
      <c r="I7" s="122" t="s">
        <v>465</v>
      </c>
      <c r="J7" s="122" t="s">
        <v>53</v>
      </c>
      <c r="K7" s="122" t="s">
        <v>153</v>
      </c>
      <c r="L7" s="122" t="s">
        <v>102</v>
      </c>
      <c r="M7" s="122" t="s">
        <v>915</v>
      </c>
      <c r="N7" s="122" t="s">
        <v>62</v>
      </c>
      <c r="O7" s="122" t="s">
        <v>2745</v>
      </c>
      <c r="P7" s="122" t="s">
        <v>1218</v>
      </c>
      <c r="Q7" s="122" t="s">
        <v>303</v>
      </c>
      <c r="R7" s="122" t="s">
        <v>305</v>
      </c>
      <c r="S7" s="146">
        <v>45531</v>
      </c>
      <c r="T7" s="146">
        <v>45531</v>
      </c>
      <c r="U7" s="123">
        <v>923621.42</v>
      </c>
      <c r="V7" s="123">
        <v>3.8809999999999998</v>
      </c>
      <c r="W7" s="123">
        <v>136.078</v>
      </c>
      <c r="X7" s="123">
        <v>4877.451</v>
      </c>
      <c r="Y7" s="125">
        <v>8.5250000000000006E-2</v>
      </c>
      <c r="Z7" s="126">
        <v>4.1599999999999996E-3</v>
      </c>
      <c r="AA7" s="159"/>
    </row>
    <row r="8" spans="1:27" x14ac:dyDescent="0.2">
      <c r="A8" s="121" t="s">
        <v>1211</v>
      </c>
      <c r="B8" s="122" t="s">
        <v>1211</v>
      </c>
      <c r="C8" s="122" t="s">
        <v>2746</v>
      </c>
      <c r="D8" s="122" t="s">
        <v>2747</v>
      </c>
      <c r="E8" s="122" t="s">
        <v>78</v>
      </c>
      <c r="F8" s="122" t="s">
        <v>2748</v>
      </c>
      <c r="G8" s="122" t="s">
        <v>2749</v>
      </c>
      <c r="H8" s="122" t="s">
        <v>78</v>
      </c>
      <c r="I8" s="122" t="s">
        <v>465</v>
      </c>
      <c r="J8" s="122" t="s">
        <v>53</v>
      </c>
      <c r="K8" s="122" t="s">
        <v>53</v>
      </c>
      <c r="L8" s="122" t="s">
        <v>102</v>
      </c>
      <c r="M8" s="122" t="s">
        <v>140</v>
      </c>
      <c r="N8" s="122" t="s">
        <v>62</v>
      </c>
      <c r="O8" s="122" t="s">
        <v>2750</v>
      </c>
      <c r="P8" s="122" t="s">
        <v>1216</v>
      </c>
      <c r="Q8" s="122" t="s">
        <v>303</v>
      </c>
      <c r="R8" s="122" t="s">
        <v>305</v>
      </c>
      <c r="S8" s="146">
        <v>45886</v>
      </c>
      <c r="T8" s="146">
        <v>45886</v>
      </c>
      <c r="U8" s="123">
        <v>1833816</v>
      </c>
      <c r="V8" s="123">
        <v>1</v>
      </c>
      <c r="W8" s="123">
        <v>105.312</v>
      </c>
      <c r="X8" s="123">
        <v>1931.223</v>
      </c>
      <c r="Y8" s="125">
        <v>3.3750000000000002E-2</v>
      </c>
      <c r="Z8" s="126">
        <v>1.65E-3</v>
      </c>
      <c r="AA8" s="159"/>
    </row>
    <row r="9" spans="1:27" x14ac:dyDescent="0.2">
      <c r="A9" s="121" t="s">
        <v>1211</v>
      </c>
      <c r="B9" s="122" t="s">
        <v>1211</v>
      </c>
      <c r="C9" s="122" t="s">
        <v>2751</v>
      </c>
      <c r="D9" s="122" t="s">
        <v>2752</v>
      </c>
      <c r="E9" s="122" t="s">
        <v>429</v>
      </c>
      <c r="F9" s="122" t="s">
        <v>2753</v>
      </c>
      <c r="G9" s="122" t="s">
        <v>2754</v>
      </c>
      <c r="H9" s="122" t="s">
        <v>78</v>
      </c>
      <c r="I9" s="122" t="s">
        <v>465</v>
      </c>
      <c r="J9" s="122" t="s">
        <v>53</v>
      </c>
      <c r="K9" s="122" t="s">
        <v>314</v>
      </c>
      <c r="L9" s="122" t="s">
        <v>102</v>
      </c>
      <c r="M9" s="122" t="s">
        <v>66</v>
      </c>
      <c r="N9" s="122" t="s">
        <v>62</v>
      </c>
      <c r="O9" s="122" t="s">
        <v>2755</v>
      </c>
      <c r="P9" s="122" t="s">
        <v>1217</v>
      </c>
      <c r="Q9" s="122" t="s">
        <v>303</v>
      </c>
      <c r="R9" s="122" t="s">
        <v>305</v>
      </c>
      <c r="S9" s="146">
        <v>45727</v>
      </c>
      <c r="T9" s="146">
        <v>45727</v>
      </c>
      <c r="U9" s="123">
        <v>287997.34000000003</v>
      </c>
      <c r="V9" s="123">
        <v>3.306</v>
      </c>
      <c r="W9" s="123">
        <v>100</v>
      </c>
      <c r="X9" s="123">
        <v>952.11900000000003</v>
      </c>
      <c r="Y9" s="125">
        <v>1.6639999999999999E-2</v>
      </c>
      <c r="Z9" s="126">
        <v>8.0999999999999996E-4</v>
      </c>
      <c r="AA9" s="159"/>
    </row>
    <row r="10" spans="1:27" x14ac:dyDescent="0.2">
      <c r="A10" s="121" t="s">
        <v>1211</v>
      </c>
      <c r="B10" s="122" t="s">
        <v>1211</v>
      </c>
      <c r="C10" s="122" t="s">
        <v>2736</v>
      </c>
      <c r="D10" s="122" t="s">
        <v>2737</v>
      </c>
      <c r="E10" s="122" t="s">
        <v>429</v>
      </c>
      <c r="F10" s="122" t="s">
        <v>2756</v>
      </c>
      <c r="G10" s="122" t="s">
        <v>2757</v>
      </c>
      <c r="H10" s="122" t="s">
        <v>78</v>
      </c>
      <c r="I10" s="122" t="s">
        <v>465</v>
      </c>
      <c r="J10" s="122" t="s">
        <v>53</v>
      </c>
      <c r="K10" s="122" t="s">
        <v>53</v>
      </c>
      <c r="L10" s="122" t="s">
        <v>102</v>
      </c>
      <c r="M10" s="122" t="s">
        <v>263</v>
      </c>
      <c r="N10" s="122" t="s">
        <v>62</v>
      </c>
      <c r="O10" s="122" t="s">
        <v>2758</v>
      </c>
      <c r="P10" s="122" t="s">
        <v>1216</v>
      </c>
      <c r="Q10" s="122" t="s">
        <v>303</v>
      </c>
      <c r="R10" s="122" t="s">
        <v>305</v>
      </c>
      <c r="S10" s="146">
        <v>45747</v>
      </c>
      <c r="T10" s="146">
        <v>45747</v>
      </c>
      <c r="U10" s="123">
        <v>658822.34</v>
      </c>
      <c r="V10" s="123">
        <v>1</v>
      </c>
      <c r="W10" s="123">
        <v>142.346</v>
      </c>
      <c r="X10" s="123">
        <v>937.81</v>
      </c>
      <c r="Y10" s="125">
        <v>1.6389999999999998E-2</v>
      </c>
      <c r="Z10" s="126">
        <v>8.0000000000000004E-4</v>
      </c>
      <c r="AA10" s="159"/>
    </row>
    <row r="11" spans="1:27" x14ac:dyDescent="0.2">
      <c r="A11" s="121" t="s">
        <v>1211</v>
      </c>
      <c r="B11" s="122" t="s">
        <v>1211</v>
      </c>
      <c r="C11" s="122" t="s">
        <v>2759</v>
      </c>
      <c r="D11" s="122" t="s">
        <v>2760</v>
      </c>
      <c r="E11" s="122" t="s">
        <v>102</v>
      </c>
      <c r="F11" s="122" t="s">
        <v>2761</v>
      </c>
      <c r="G11" s="122" t="s">
        <v>2762</v>
      </c>
      <c r="H11" s="122" t="s">
        <v>78</v>
      </c>
      <c r="I11" s="122" t="s">
        <v>465</v>
      </c>
      <c r="J11" s="122" t="s">
        <v>53</v>
      </c>
      <c r="K11" s="122" t="s">
        <v>317</v>
      </c>
      <c r="L11" s="122" t="s">
        <v>102</v>
      </c>
      <c r="M11" s="122" t="s">
        <v>901</v>
      </c>
      <c r="N11" s="122" t="s">
        <v>62</v>
      </c>
      <c r="O11" s="122" t="s">
        <v>2763</v>
      </c>
      <c r="P11" s="122" t="s">
        <v>1217</v>
      </c>
      <c r="Q11" s="122" t="s">
        <v>303</v>
      </c>
      <c r="R11" s="122" t="s">
        <v>305</v>
      </c>
      <c r="S11" s="146">
        <v>45729</v>
      </c>
      <c r="T11" s="146">
        <v>45729</v>
      </c>
      <c r="U11" s="123">
        <v>88669.27</v>
      </c>
      <c r="V11" s="123">
        <v>3.306</v>
      </c>
      <c r="W11" s="123">
        <v>310.35000000000002</v>
      </c>
      <c r="X11" s="123">
        <v>909.76300000000003</v>
      </c>
      <c r="Y11" s="125">
        <v>1.5900000000000001E-2</v>
      </c>
      <c r="Z11" s="126">
        <v>7.7999999999999999E-4</v>
      </c>
      <c r="AA11" s="159"/>
    </row>
    <row r="12" spans="1:27" x14ac:dyDescent="0.2">
      <c r="A12" s="121" t="s">
        <v>1211</v>
      </c>
      <c r="B12" s="122" t="s">
        <v>1211</v>
      </c>
      <c r="C12" s="122" t="s">
        <v>2764</v>
      </c>
      <c r="D12" s="122" t="s">
        <v>2765</v>
      </c>
      <c r="E12" s="122" t="s">
        <v>429</v>
      </c>
      <c r="F12" s="122" t="s">
        <v>2766</v>
      </c>
      <c r="G12" s="122" t="s">
        <v>2767</v>
      </c>
      <c r="H12" s="122" t="s">
        <v>78</v>
      </c>
      <c r="I12" s="122" t="s">
        <v>465</v>
      </c>
      <c r="J12" s="122" t="s">
        <v>53</v>
      </c>
      <c r="K12" s="122" t="s">
        <v>53</v>
      </c>
      <c r="L12" s="122" t="s">
        <v>102</v>
      </c>
      <c r="M12" s="122" t="s">
        <v>264</v>
      </c>
      <c r="N12" s="122" t="s">
        <v>62</v>
      </c>
      <c r="O12" s="122" t="s">
        <v>2768</v>
      </c>
      <c r="P12" s="122" t="s">
        <v>1217</v>
      </c>
      <c r="Q12" s="122" t="s">
        <v>303</v>
      </c>
      <c r="R12" s="122" t="s">
        <v>305</v>
      </c>
      <c r="S12" s="146">
        <v>45884</v>
      </c>
      <c r="T12" s="146">
        <v>45884</v>
      </c>
      <c r="U12" s="123">
        <v>66817</v>
      </c>
      <c r="V12" s="123">
        <v>3.306</v>
      </c>
      <c r="W12" s="123">
        <v>4.0549999999999997</v>
      </c>
      <c r="X12" s="123">
        <v>895.82600000000002</v>
      </c>
      <c r="Y12" s="125">
        <v>1.566E-2</v>
      </c>
      <c r="Z12" s="126">
        <v>7.6000000000000004E-4</v>
      </c>
      <c r="AA12" s="159"/>
    </row>
    <row r="13" spans="1:27" x14ac:dyDescent="0.2">
      <c r="A13" s="121" t="s">
        <v>1211</v>
      </c>
      <c r="B13" s="122" t="s">
        <v>1211</v>
      </c>
      <c r="C13" s="122" t="s">
        <v>2769</v>
      </c>
      <c r="D13" s="122" t="s">
        <v>2770</v>
      </c>
      <c r="E13" s="122" t="s">
        <v>102</v>
      </c>
      <c r="F13" s="122" t="s">
        <v>2769</v>
      </c>
      <c r="G13" s="122" t="s">
        <v>2771</v>
      </c>
      <c r="H13" s="122" t="s">
        <v>78</v>
      </c>
      <c r="I13" s="122" t="s">
        <v>465</v>
      </c>
      <c r="J13" s="122" t="s">
        <v>53</v>
      </c>
      <c r="K13" s="122" t="s">
        <v>53</v>
      </c>
      <c r="L13" s="122" t="s">
        <v>102</v>
      </c>
      <c r="M13" s="122" t="s">
        <v>163</v>
      </c>
      <c r="N13" s="122" t="s">
        <v>62</v>
      </c>
      <c r="O13" s="122" t="s">
        <v>2772</v>
      </c>
      <c r="P13" s="122" t="s">
        <v>1216</v>
      </c>
      <c r="Q13" s="122" t="s">
        <v>303</v>
      </c>
      <c r="R13" s="122" t="s">
        <v>305</v>
      </c>
      <c r="S13" s="146">
        <v>45898</v>
      </c>
      <c r="T13" s="146">
        <v>45898</v>
      </c>
      <c r="U13" s="123">
        <v>906277</v>
      </c>
      <c r="V13" s="123">
        <v>1</v>
      </c>
      <c r="W13" s="123">
        <v>91.17</v>
      </c>
      <c r="X13" s="123">
        <v>826.24900000000002</v>
      </c>
      <c r="Y13" s="125">
        <v>1.444E-2</v>
      </c>
      <c r="Z13" s="126">
        <v>6.9999999999999999E-4</v>
      </c>
      <c r="AA13" s="159"/>
    </row>
    <row r="14" spans="1:27" x14ac:dyDescent="0.2">
      <c r="A14" s="121" t="s">
        <v>1211</v>
      </c>
      <c r="B14" s="122" t="s">
        <v>1211</v>
      </c>
      <c r="C14" s="122" t="s">
        <v>2773</v>
      </c>
      <c r="D14" s="122" t="s">
        <v>2774</v>
      </c>
      <c r="E14" s="122" t="s">
        <v>102</v>
      </c>
      <c r="F14" s="122" t="s">
        <v>2775</v>
      </c>
      <c r="G14" s="122" t="s">
        <v>2776</v>
      </c>
      <c r="H14" s="122" t="s">
        <v>78</v>
      </c>
      <c r="I14" s="122" t="s">
        <v>465</v>
      </c>
      <c r="J14" s="122" t="s">
        <v>53</v>
      </c>
      <c r="K14" s="122" t="s">
        <v>314</v>
      </c>
      <c r="L14" s="122" t="s">
        <v>102</v>
      </c>
      <c r="M14" s="122" t="s">
        <v>901</v>
      </c>
      <c r="N14" s="122" t="s">
        <v>62</v>
      </c>
      <c r="O14" s="122" t="s">
        <v>2777</v>
      </c>
      <c r="P14" s="122" t="s">
        <v>1217</v>
      </c>
      <c r="Q14" s="122" t="s">
        <v>303</v>
      </c>
      <c r="R14" s="122" t="s">
        <v>305</v>
      </c>
      <c r="S14" s="146">
        <v>45866</v>
      </c>
      <c r="T14" s="146">
        <v>45866</v>
      </c>
      <c r="U14" s="123">
        <v>16191</v>
      </c>
      <c r="V14" s="123">
        <v>3.306</v>
      </c>
      <c r="W14" s="123">
        <v>436</v>
      </c>
      <c r="X14" s="123">
        <v>233.38</v>
      </c>
      <c r="Y14" s="125">
        <v>4.0800000000000003E-3</v>
      </c>
      <c r="Z14" s="126">
        <v>2.0000000000000001E-4</v>
      </c>
      <c r="AA14" s="159"/>
    </row>
    <row r="15" spans="1:27" x14ac:dyDescent="0.2">
      <c r="A15" s="121" t="s">
        <v>1211</v>
      </c>
      <c r="B15" s="122" t="s">
        <v>1211</v>
      </c>
      <c r="C15" s="122" t="s">
        <v>2778</v>
      </c>
      <c r="D15" s="122" t="s">
        <v>2779</v>
      </c>
      <c r="E15" s="122" t="s">
        <v>102</v>
      </c>
      <c r="F15" s="122" t="s">
        <v>2778</v>
      </c>
      <c r="G15" s="122" t="s">
        <v>2780</v>
      </c>
      <c r="H15" s="122" t="s">
        <v>78</v>
      </c>
      <c r="I15" s="122" t="s">
        <v>465</v>
      </c>
      <c r="J15" s="122" t="s">
        <v>53</v>
      </c>
      <c r="K15" s="122" t="s">
        <v>314</v>
      </c>
      <c r="L15" s="122" t="s">
        <v>102</v>
      </c>
      <c r="M15" s="122" t="s">
        <v>893</v>
      </c>
      <c r="N15" s="122" t="s">
        <v>62</v>
      </c>
      <c r="O15" s="122" t="s">
        <v>2781</v>
      </c>
      <c r="P15" s="122" t="s">
        <v>1217</v>
      </c>
      <c r="Q15" s="122" t="s">
        <v>303</v>
      </c>
      <c r="R15" s="122" t="s">
        <v>305</v>
      </c>
      <c r="S15" s="146">
        <v>45876</v>
      </c>
      <c r="T15" s="146">
        <v>45876</v>
      </c>
      <c r="U15" s="123">
        <v>6036.56</v>
      </c>
      <c r="V15" s="123">
        <v>3.306</v>
      </c>
      <c r="W15" s="123">
        <v>11.302</v>
      </c>
      <c r="X15" s="123">
        <v>225.547</v>
      </c>
      <c r="Y15" s="125">
        <v>3.9399999999999999E-3</v>
      </c>
      <c r="Z15" s="126">
        <v>1.9000000000000001E-4</v>
      </c>
      <c r="AA15" s="159"/>
    </row>
    <row r="16" spans="1:27" x14ac:dyDescent="0.2">
      <c r="A16" s="121" t="s">
        <v>1211</v>
      </c>
      <c r="B16" s="122" t="s">
        <v>1211</v>
      </c>
      <c r="C16" s="122" t="s">
        <v>2079</v>
      </c>
      <c r="D16" s="122" t="s">
        <v>2080</v>
      </c>
      <c r="E16" s="122" t="s">
        <v>429</v>
      </c>
      <c r="F16" s="122" t="s">
        <v>2782</v>
      </c>
      <c r="G16" s="122" t="s">
        <v>2783</v>
      </c>
      <c r="H16" s="122" t="s">
        <v>78</v>
      </c>
      <c r="I16" s="122" t="s">
        <v>465</v>
      </c>
      <c r="J16" s="122" t="s">
        <v>53</v>
      </c>
      <c r="K16" s="122" t="s">
        <v>53</v>
      </c>
      <c r="L16" s="122" t="s">
        <v>102</v>
      </c>
      <c r="M16" s="122" t="s">
        <v>692</v>
      </c>
      <c r="N16" s="122" t="s">
        <v>62</v>
      </c>
      <c r="O16" s="122" t="s">
        <v>2784</v>
      </c>
      <c r="P16" s="122" t="s">
        <v>1216</v>
      </c>
      <c r="Q16" s="122" t="s">
        <v>303</v>
      </c>
      <c r="R16" s="122" t="s">
        <v>305</v>
      </c>
      <c r="S16" s="146">
        <v>45866</v>
      </c>
      <c r="T16" s="146">
        <v>45866</v>
      </c>
      <c r="U16" s="123">
        <v>3798</v>
      </c>
      <c r="V16" s="123">
        <v>1</v>
      </c>
      <c r="W16" s="123">
        <v>3129.6379999999999</v>
      </c>
      <c r="X16" s="123">
        <v>118.864</v>
      </c>
      <c r="Y16" s="125">
        <v>2.0799999999999998E-3</v>
      </c>
      <c r="Z16" s="126">
        <v>1E-4</v>
      </c>
      <c r="AA16" s="159"/>
    </row>
    <row r="17" spans="1:27" x14ac:dyDescent="0.2">
      <c r="A17" s="121" t="s">
        <v>1211</v>
      </c>
      <c r="B17" s="122" t="s">
        <v>1211</v>
      </c>
      <c r="C17" s="122" t="s">
        <v>2785</v>
      </c>
      <c r="D17" s="122" t="s">
        <v>2786</v>
      </c>
      <c r="E17" s="122" t="s">
        <v>429</v>
      </c>
      <c r="F17" s="122" t="s">
        <v>2787</v>
      </c>
      <c r="G17" s="122" t="s">
        <v>2788</v>
      </c>
      <c r="H17" s="122" t="s">
        <v>78</v>
      </c>
      <c r="I17" s="122" t="s">
        <v>465</v>
      </c>
      <c r="J17" s="122" t="s">
        <v>53</v>
      </c>
      <c r="K17" s="122" t="s">
        <v>53</v>
      </c>
      <c r="L17" s="122" t="s">
        <v>958</v>
      </c>
      <c r="M17" s="122" t="s">
        <v>692</v>
      </c>
      <c r="N17" s="122" t="s">
        <v>62</v>
      </c>
      <c r="O17" s="122" t="s">
        <v>2789</v>
      </c>
      <c r="P17" s="122" t="s">
        <v>1216</v>
      </c>
      <c r="Q17" s="122" t="s">
        <v>303</v>
      </c>
      <c r="R17" s="122" t="s">
        <v>305</v>
      </c>
      <c r="S17" s="146">
        <v>45930</v>
      </c>
      <c r="T17" s="146">
        <v>45930</v>
      </c>
      <c r="U17" s="123">
        <v>78</v>
      </c>
      <c r="V17" s="123">
        <v>1</v>
      </c>
      <c r="W17" s="123">
        <v>40356.476999999999</v>
      </c>
      <c r="X17" s="123">
        <v>31.478000000000002</v>
      </c>
      <c r="Y17" s="125">
        <v>5.5000000000000003E-4</v>
      </c>
      <c r="Z17" s="126">
        <v>3.0000000000000001E-5</v>
      </c>
      <c r="AA17" s="159"/>
    </row>
    <row r="18" spans="1:27" x14ac:dyDescent="0.2">
      <c r="A18" s="121" t="s">
        <v>1211</v>
      </c>
      <c r="B18" s="122" t="s">
        <v>1211</v>
      </c>
      <c r="C18" s="122" t="s">
        <v>2350</v>
      </c>
      <c r="D18" s="122" t="s">
        <v>2351</v>
      </c>
      <c r="E18" s="122" t="s">
        <v>430</v>
      </c>
      <c r="F18" s="122" t="s">
        <v>2790</v>
      </c>
      <c r="G18" s="122" t="s">
        <v>2791</v>
      </c>
      <c r="H18" s="122" t="s">
        <v>78</v>
      </c>
      <c r="I18" s="122" t="s">
        <v>465</v>
      </c>
      <c r="J18" s="122" t="s">
        <v>53</v>
      </c>
      <c r="K18" s="122" t="s">
        <v>314</v>
      </c>
      <c r="L18" s="122" t="s">
        <v>102</v>
      </c>
      <c r="M18" s="122" t="s">
        <v>865</v>
      </c>
      <c r="N18" s="122" t="s">
        <v>62</v>
      </c>
      <c r="O18" s="122" t="s">
        <v>2792</v>
      </c>
      <c r="P18" s="122" t="s">
        <v>1217</v>
      </c>
      <c r="Q18" s="122" t="s">
        <v>302</v>
      </c>
      <c r="R18" s="122" t="s">
        <v>304</v>
      </c>
      <c r="S18" s="146">
        <v>45930</v>
      </c>
      <c r="T18" s="146">
        <v>45930</v>
      </c>
      <c r="U18" s="123">
        <v>13467</v>
      </c>
      <c r="V18" s="123">
        <v>3.306</v>
      </c>
      <c r="W18" s="123">
        <v>0.01</v>
      </c>
      <c r="X18" s="123">
        <v>0.44500000000000001</v>
      </c>
      <c r="Y18" s="125">
        <v>1.0000000000000001E-5</v>
      </c>
      <c r="Z18" s="126">
        <v>0</v>
      </c>
      <c r="AA18" s="159"/>
    </row>
    <row r="19" spans="1:27" x14ac:dyDescent="0.2">
      <c r="A19" s="121" t="s">
        <v>1211</v>
      </c>
      <c r="B19" s="122" t="s">
        <v>1211</v>
      </c>
      <c r="C19" s="122" t="s">
        <v>2793</v>
      </c>
      <c r="D19" s="122" t="s">
        <v>2794</v>
      </c>
      <c r="E19" s="122" t="s">
        <v>429</v>
      </c>
      <c r="F19" s="122" t="s">
        <v>2795</v>
      </c>
      <c r="G19" s="122" t="s">
        <v>2796</v>
      </c>
      <c r="H19" s="122" t="s">
        <v>78</v>
      </c>
      <c r="I19" s="122" t="s">
        <v>465</v>
      </c>
      <c r="J19" s="122" t="s">
        <v>53</v>
      </c>
      <c r="K19" s="122" t="s">
        <v>53</v>
      </c>
      <c r="L19" s="122" t="s">
        <v>102</v>
      </c>
      <c r="M19" s="122" t="s">
        <v>122</v>
      </c>
      <c r="N19" s="122" t="s">
        <v>62</v>
      </c>
      <c r="O19" s="122" t="s">
        <v>2750</v>
      </c>
      <c r="P19" s="122" t="s">
        <v>1217</v>
      </c>
      <c r="Q19" s="122" t="s">
        <v>302</v>
      </c>
      <c r="R19" s="122" t="s">
        <v>304</v>
      </c>
      <c r="S19" s="146">
        <v>45657</v>
      </c>
      <c r="T19" s="146">
        <v>45657</v>
      </c>
      <c r="U19" s="123">
        <v>130304</v>
      </c>
      <c r="V19" s="123">
        <v>3.306</v>
      </c>
      <c r="W19" s="123">
        <v>0</v>
      </c>
      <c r="X19" s="123">
        <v>0</v>
      </c>
      <c r="Y19" s="125">
        <v>0</v>
      </c>
      <c r="Z19" s="126">
        <v>0</v>
      </c>
      <c r="AA19" s="159"/>
    </row>
    <row r="20" spans="1:27" x14ac:dyDescent="0.2">
      <c r="A20" s="121" t="s">
        <v>1211</v>
      </c>
      <c r="B20" s="122" t="s">
        <v>1211</v>
      </c>
      <c r="C20" s="122" t="s">
        <v>2764</v>
      </c>
      <c r="D20" s="122" t="s">
        <v>2765</v>
      </c>
      <c r="E20" s="122" t="s">
        <v>429</v>
      </c>
      <c r="F20" s="122" t="s">
        <v>2797</v>
      </c>
      <c r="G20" s="122" t="s">
        <v>2798</v>
      </c>
      <c r="H20" s="122" t="s">
        <v>78</v>
      </c>
      <c r="I20" s="122" t="s">
        <v>465</v>
      </c>
      <c r="J20" s="122" t="s">
        <v>53</v>
      </c>
      <c r="K20" s="122" t="s">
        <v>53</v>
      </c>
      <c r="L20" s="122" t="s">
        <v>102</v>
      </c>
      <c r="M20" s="122" t="s">
        <v>264</v>
      </c>
      <c r="N20" s="122" t="s">
        <v>62</v>
      </c>
      <c r="O20" s="122" t="s">
        <v>2799</v>
      </c>
      <c r="P20" s="122" t="s">
        <v>1217</v>
      </c>
      <c r="Q20" s="122" t="s">
        <v>301</v>
      </c>
      <c r="R20" s="122" t="s">
        <v>304</v>
      </c>
      <c r="S20" s="146">
        <v>45657</v>
      </c>
      <c r="T20" s="146">
        <v>45657</v>
      </c>
      <c r="U20" s="123">
        <v>66817</v>
      </c>
      <c r="V20" s="123">
        <v>3.306</v>
      </c>
      <c r="W20" s="123">
        <v>0</v>
      </c>
      <c r="X20" s="123">
        <v>0</v>
      </c>
      <c r="Y20" s="125">
        <v>0</v>
      </c>
      <c r="Z20" s="126">
        <v>0</v>
      </c>
      <c r="AA20" s="159"/>
    </row>
    <row r="21" spans="1:27" x14ac:dyDescent="0.2">
      <c r="A21" s="121" t="s">
        <v>1211</v>
      </c>
      <c r="B21" s="122" t="s">
        <v>1211</v>
      </c>
      <c r="C21" s="122" t="s">
        <v>2728</v>
      </c>
      <c r="D21" s="122" t="s">
        <v>1567</v>
      </c>
      <c r="E21" s="122" t="s">
        <v>429</v>
      </c>
      <c r="F21" s="122" t="s">
        <v>2800</v>
      </c>
      <c r="G21" s="122" t="s">
        <v>2801</v>
      </c>
      <c r="H21" s="122" t="s">
        <v>78</v>
      </c>
      <c r="I21" s="122" t="s">
        <v>465</v>
      </c>
      <c r="J21" s="122" t="s">
        <v>53</v>
      </c>
      <c r="K21" s="122" t="s">
        <v>53</v>
      </c>
      <c r="L21" s="122" t="s">
        <v>102</v>
      </c>
      <c r="M21" s="122" t="s">
        <v>264</v>
      </c>
      <c r="N21" s="122" t="s">
        <v>62</v>
      </c>
      <c r="O21" s="122" t="s">
        <v>2802</v>
      </c>
      <c r="P21" s="122" t="s">
        <v>1216</v>
      </c>
      <c r="Q21" s="122" t="s">
        <v>302</v>
      </c>
      <c r="R21" s="122" t="s">
        <v>304</v>
      </c>
      <c r="S21" s="145">
        <v>45657</v>
      </c>
      <c r="T21" s="145">
        <v>45657</v>
      </c>
      <c r="U21" s="123">
        <v>416769.5</v>
      </c>
      <c r="V21" s="123">
        <v>1</v>
      </c>
      <c r="W21" s="123">
        <v>0</v>
      </c>
      <c r="X21" s="123">
        <v>0</v>
      </c>
      <c r="Y21" s="125">
        <v>0</v>
      </c>
      <c r="Z21" s="126">
        <v>0</v>
      </c>
      <c r="AA21" s="159"/>
    </row>
    <row r="22" spans="1:27" x14ac:dyDescent="0.2">
      <c r="A22" s="121" t="s">
        <v>1211</v>
      </c>
      <c r="B22" s="122" t="s">
        <v>1211</v>
      </c>
      <c r="C22" s="122" t="s">
        <v>2803</v>
      </c>
      <c r="D22" s="122" t="s">
        <v>2804</v>
      </c>
      <c r="E22" s="122" t="s">
        <v>429</v>
      </c>
      <c r="F22" s="122" t="s">
        <v>2805</v>
      </c>
      <c r="G22" s="122" t="s">
        <v>2806</v>
      </c>
      <c r="H22" s="122" t="s">
        <v>78</v>
      </c>
      <c r="I22" s="122" t="s">
        <v>465</v>
      </c>
      <c r="J22" s="122" t="s">
        <v>53</v>
      </c>
      <c r="K22" s="122" t="s">
        <v>53</v>
      </c>
      <c r="L22" s="122" t="s">
        <v>102</v>
      </c>
      <c r="M22" s="122" t="s">
        <v>163</v>
      </c>
      <c r="N22" s="122" t="s">
        <v>62</v>
      </c>
      <c r="O22" s="122" t="s">
        <v>2807</v>
      </c>
      <c r="P22" s="122" t="s">
        <v>1216</v>
      </c>
      <c r="Q22" s="122" t="s">
        <v>302</v>
      </c>
      <c r="R22" s="122" t="s">
        <v>304</v>
      </c>
      <c r="S22" s="145">
        <v>45657</v>
      </c>
      <c r="T22" s="145">
        <v>45657</v>
      </c>
      <c r="U22" s="123">
        <v>18</v>
      </c>
      <c r="V22" s="123">
        <v>1</v>
      </c>
      <c r="W22" s="123">
        <v>0</v>
      </c>
      <c r="X22" s="123">
        <v>0</v>
      </c>
      <c r="Y22" s="125">
        <v>0</v>
      </c>
      <c r="Z22" s="126">
        <v>0</v>
      </c>
      <c r="AA22" s="159"/>
    </row>
    <row r="23" spans="1:27" x14ac:dyDescent="0.2">
      <c r="A23" s="121" t="s">
        <v>1211</v>
      </c>
      <c r="B23" s="122" t="s">
        <v>1211</v>
      </c>
      <c r="C23" s="122" t="s">
        <v>2808</v>
      </c>
      <c r="D23" s="122" t="s">
        <v>2809</v>
      </c>
      <c r="E23" s="122" t="s">
        <v>429</v>
      </c>
      <c r="F23" s="122" t="s">
        <v>2810</v>
      </c>
      <c r="G23" s="122" t="s">
        <v>2811</v>
      </c>
      <c r="H23" s="122" t="s">
        <v>78</v>
      </c>
      <c r="I23" s="122" t="s">
        <v>465</v>
      </c>
      <c r="J23" s="122" t="s">
        <v>53</v>
      </c>
      <c r="K23" s="122" t="s">
        <v>53</v>
      </c>
      <c r="L23" s="122" t="s">
        <v>102</v>
      </c>
      <c r="M23" s="122" t="s">
        <v>264</v>
      </c>
      <c r="N23" s="122" t="s">
        <v>62</v>
      </c>
      <c r="O23" s="122" t="s">
        <v>2707</v>
      </c>
      <c r="P23" s="122" t="s">
        <v>1216</v>
      </c>
      <c r="Q23" s="122" t="s">
        <v>302</v>
      </c>
      <c r="R23" s="122" t="s">
        <v>304</v>
      </c>
      <c r="S23" s="145">
        <v>40069</v>
      </c>
      <c r="T23" s="145">
        <v>40069</v>
      </c>
      <c r="U23" s="123">
        <v>1797.76</v>
      </c>
      <c r="V23" s="123">
        <v>1</v>
      </c>
      <c r="W23" s="123">
        <v>1E-3</v>
      </c>
      <c r="X23" s="123">
        <v>0</v>
      </c>
      <c r="Y23" s="125">
        <v>0</v>
      </c>
      <c r="Z23" s="126">
        <v>0</v>
      </c>
      <c r="AA23" s="159"/>
    </row>
    <row r="24" spans="1:27" x14ac:dyDescent="0.2">
      <c r="A24" s="121" t="s">
        <v>1211</v>
      </c>
      <c r="B24" s="122" t="s">
        <v>1211</v>
      </c>
      <c r="C24" s="122" t="s">
        <v>2812</v>
      </c>
      <c r="D24" s="122" t="s">
        <v>2813</v>
      </c>
      <c r="E24" s="122" t="s">
        <v>102</v>
      </c>
      <c r="F24" s="122" t="s">
        <v>2814</v>
      </c>
      <c r="G24" s="122" t="s">
        <v>2815</v>
      </c>
      <c r="H24" s="122" t="s">
        <v>78</v>
      </c>
      <c r="I24" s="122" t="s">
        <v>465</v>
      </c>
      <c r="J24" s="122" t="s">
        <v>53</v>
      </c>
      <c r="K24" s="122" t="s">
        <v>53</v>
      </c>
      <c r="L24" s="122" t="s">
        <v>102</v>
      </c>
      <c r="M24" s="122" t="s">
        <v>66</v>
      </c>
      <c r="N24" s="122" t="s">
        <v>62</v>
      </c>
      <c r="O24" s="122" t="s">
        <v>2816</v>
      </c>
      <c r="P24" s="122" t="s">
        <v>1217</v>
      </c>
      <c r="Q24" s="122" t="s">
        <v>303</v>
      </c>
      <c r="R24" s="122" t="s">
        <v>305</v>
      </c>
      <c r="S24" s="145">
        <v>45897</v>
      </c>
      <c r="T24" s="145">
        <v>45897</v>
      </c>
      <c r="U24" s="123">
        <v>274.20999999999998</v>
      </c>
      <c r="V24" s="123">
        <v>3.306</v>
      </c>
      <c r="W24" s="123">
        <v>0</v>
      </c>
      <c r="X24" s="123">
        <v>0</v>
      </c>
      <c r="Y24" s="125">
        <v>0</v>
      </c>
      <c r="Z24" s="126">
        <v>0</v>
      </c>
      <c r="AA24" s="159"/>
    </row>
    <row r="25" spans="1:27" x14ac:dyDescent="0.2">
      <c r="A25" s="121" t="s">
        <v>1211</v>
      </c>
      <c r="B25" s="122" t="s">
        <v>1211</v>
      </c>
      <c r="C25" s="122" t="s">
        <v>2812</v>
      </c>
      <c r="D25" s="122" t="s">
        <v>2813</v>
      </c>
      <c r="E25" s="122" t="s">
        <v>102</v>
      </c>
      <c r="F25" s="122" t="s">
        <v>2817</v>
      </c>
      <c r="G25" s="122" t="s">
        <v>2818</v>
      </c>
      <c r="H25" s="122" t="s">
        <v>78</v>
      </c>
      <c r="I25" s="122" t="s">
        <v>465</v>
      </c>
      <c r="J25" s="122" t="s">
        <v>53</v>
      </c>
      <c r="K25" s="122" t="s">
        <v>53</v>
      </c>
      <c r="L25" s="122" t="s">
        <v>102</v>
      </c>
      <c r="M25" s="122" t="s">
        <v>66</v>
      </c>
      <c r="N25" s="122" t="s">
        <v>62</v>
      </c>
      <c r="O25" s="122" t="s">
        <v>2819</v>
      </c>
      <c r="P25" s="122" t="s">
        <v>1217</v>
      </c>
      <c r="Q25" s="122" t="s">
        <v>303</v>
      </c>
      <c r="R25" s="122" t="s">
        <v>305</v>
      </c>
      <c r="S25" s="145">
        <v>45897</v>
      </c>
      <c r="T25" s="145">
        <v>45897</v>
      </c>
      <c r="U25" s="123">
        <v>70</v>
      </c>
      <c r="V25" s="123">
        <v>3.306</v>
      </c>
      <c r="W25" s="123">
        <v>0</v>
      </c>
      <c r="X25" s="123">
        <v>0</v>
      </c>
      <c r="Y25" s="125">
        <v>0</v>
      </c>
      <c r="Z25" s="126">
        <v>0</v>
      </c>
      <c r="AA25" s="159"/>
    </row>
    <row r="26" spans="1:27" x14ac:dyDescent="0.2">
      <c r="A26" s="121" t="s">
        <v>1211</v>
      </c>
      <c r="B26" s="122" t="s">
        <v>1211</v>
      </c>
      <c r="C26" s="122" t="s">
        <v>2697</v>
      </c>
      <c r="D26" s="122" t="s">
        <v>2698</v>
      </c>
      <c r="E26" s="122" t="s">
        <v>429</v>
      </c>
      <c r="F26" s="122" t="s">
        <v>2820</v>
      </c>
      <c r="G26" s="122" t="s">
        <v>2821</v>
      </c>
      <c r="H26" s="122" t="s">
        <v>78</v>
      </c>
      <c r="I26" s="122" t="s">
        <v>465</v>
      </c>
      <c r="J26" s="122" t="s">
        <v>53</v>
      </c>
      <c r="K26" s="122" t="s">
        <v>53</v>
      </c>
      <c r="L26" s="122" t="s">
        <v>102</v>
      </c>
      <c r="M26" s="122" t="s">
        <v>692</v>
      </c>
      <c r="N26" s="122" t="s">
        <v>62</v>
      </c>
      <c r="O26" s="122" t="s">
        <v>2822</v>
      </c>
      <c r="P26" s="122" t="s">
        <v>1216</v>
      </c>
      <c r="Q26" s="122" t="s">
        <v>302</v>
      </c>
      <c r="R26" s="122" t="s">
        <v>304</v>
      </c>
      <c r="S26" s="145">
        <v>45657</v>
      </c>
      <c r="T26" s="145">
        <v>45657</v>
      </c>
      <c r="U26" s="123">
        <v>7585.61</v>
      </c>
      <c r="V26" s="123">
        <v>1</v>
      </c>
      <c r="W26" s="123">
        <v>0</v>
      </c>
      <c r="X26" s="123">
        <v>0</v>
      </c>
      <c r="Y26" s="122"/>
      <c r="Z26" s="143"/>
      <c r="AA26" s="159"/>
    </row>
    <row r="27" spans="1:27" x14ac:dyDescent="0.2">
      <c r="A27" s="121" t="s">
        <v>1211</v>
      </c>
      <c r="B27" s="122" t="s">
        <v>1211</v>
      </c>
      <c r="C27" s="122" t="s">
        <v>2812</v>
      </c>
      <c r="D27" s="122" t="s">
        <v>2813</v>
      </c>
      <c r="E27" s="122" t="s">
        <v>102</v>
      </c>
      <c r="F27" s="122" t="s">
        <v>2823</v>
      </c>
      <c r="G27" s="122" t="s">
        <v>2824</v>
      </c>
      <c r="H27" s="122" t="s">
        <v>78</v>
      </c>
      <c r="I27" s="122" t="s">
        <v>465</v>
      </c>
      <c r="J27" s="122" t="s">
        <v>53</v>
      </c>
      <c r="K27" s="122" t="s">
        <v>53</v>
      </c>
      <c r="L27" s="122" t="s">
        <v>102</v>
      </c>
      <c r="M27" s="122" t="s">
        <v>66</v>
      </c>
      <c r="N27" s="122" t="s">
        <v>62</v>
      </c>
      <c r="O27" s="122" t="s">
        <v>2825</v>
      </c>
      <c r="P27" s="122" t="s">
        <v>1217</v>
      </c>
      <c r="Q27" s="122" t="s">
        <v>303</v>
      </c>
      <c r="R27" s="122" t="s">
        <v>305</v>
      </c>
      <c r="S27" s="145">
        <v>45897</v>
      </c>
      <c r="T27" s="145">
        <v>45897</v>
      </c>
      <c r="U27" s="123">
        <v>217.35</v>
      </c>
      <c r="V27" s="123">
        <v>3.306</v>
      </c>
      <c r="W27" s="123">
        <v>0</v>
      </c>
      <c r="X27" s="123">
        <v>0</v>
      </c>
      <c r="Y27" s="122"/>
      <c r="Z27" s="143"/>
      <c r="AA27" s="159"/>
    </row>
    <row r="28" spans="1:27" x14ac:dyDescent="0.2">
      <c r="A28" s="121" t="s">
        <v>1223</v>
      </c>
      <c r="B28" s="122" t="s">
        <v>1223</v>
      </c>
      <c r="C28" s="122" t="s">
        <v>2728</v>
      </c>
      <c r="D28" s="122" t="s">
        <v>1567</v>
      </c>
      <c r="E28" s="122" t="s">
        <v>429</v>
      </c>
      <c r="F28" s="122" t="s">
        <v>2729</v>
      </c>
      <c r="G28" s="122" t="s">
        <v>2730</v>
      </c>
      <c r="H28" s="122" t="s">
        <v>78</v>
      </c>
      <c r="I28" s="122" t="s">
        <v>465</v>
      </c>
      <c r="J28" s="122" t="s">
        <v>53</v>
      </c>
      <c r="K28" s="122" t="s">
        <v>53</v>
      </c>
      <c r="L28" s="122" t="s">
        <v>102</v>
      </c>
      <c r="M28" s="122" t="s">
        <v>264</v>
      </c>
      <c r="N28" s="122" t="s">
        <v>62</v>
      </c>
      <c r="O28" s="122" t="s">
        <v>2731</v>
      </c>
      <c r="P28" s="122" t="s">
        <v>1216</v>
      </c>
      <c r="Q28" s="122" t="s">
        <v>303</v>
      </c>
      <c r="R28" s="122" t="s">
        <v>305</v>
      </c>
      <c r="S28" s="145">
        <v>45785</v>
      </c>
      <c r="T28" s="145">
        <v>45785</v>
      </c>
      <c r="U28" s="123">
        <v>55337826.020000003</v>
      </c>
      <c r="V28" s="123">
        <v>1</v>
      </c>
      <c r="W28" s="123">
        <v>797.35900000000004</v>
      </c>
      <c r="X28" s="123">
        <v>441240.91499999998</v>
      </c>
      <c r="Y28" s="125">
        <v>0.30380000000000001</v>
      </c>
      <c r="Z28" s="126">
        <v>1.6160000000000001E-2</v>
      </c>
      <c r="AA28" s="159"/>
    </row>
    <row r="29" spans="1:27" x14ac:dyDescent="0.2">
      <c r="A29" s="121" t="s">
        <v>1223</v>
      </c>
      <c r="B29" s="122" t="s">
        <v>1223</v>
      </c>
      <c r="C29" s="122" t="s">
        <v>2732</v>
      </c>
      <c r="D29" s="122" t="s">
        <v>2733</v>
      </c>
      <c r="E29" s="122" t="s">
        <v>429</v>
      </c>
      <c r="F29" s="122" t="s">
        <v>2732</v>
      </c>
      <c r="G29" s="122" t="s">
        <v>2734</v>
      </c>
      <c r="H29" s="122" t="s">
        <v>78</v>
      </c>
      <c r="I29" s="122" t="s">
        <v>465</v>
      </c>
      <c r="J29" s="122" t="s">
        <v>53</v>
      </c>
      <c r="K29" s="122" t="s">
        <v>53</v>
      </c>
      <c r="L29" s="122" t="s">
        <v>102</v>
      </c>
      <c r="M29" s="122" t="s">
        <v>163</v>
      </c>
      <c r="N29" s="122" t="s">
        <v>62</v>
      </c>
      <c r="O29" s="122" t="s">
        <v>2735</v>
      </c>
      <c r="P29" s="122" t="s">
        <v>1216</v>
      </c>
      <c r="Q29" s="122" t="s">
        <v>303</v>
      </c>
      <c r="R29" s="122" t="s">
        <v>305</v>
      </c>
      <c r="S29" s="145">
        <v>45845</v>
      </c>
      <c r="T29" s="145">
        <v>45845</v>
      </c>
      <c r="U29" s="123">
        <v>287821284.76999998</v>
      </c>
      <c r="V29" s="123">
        <v>1</v>
      </c>
      <c r="W29" s="123">
        <v>131.45099999999999</v>
      </c>
      <c r="X29" s="123">
        <v>378343.38099999999</v>
      </c>
      <c r="Y29" s="125">
        <v>0.26050000000000001</v>
      </c>
      <c r="Z29" s="126">
        <v>1.3860000000000001E-2</v>
      </c>
      <c r="AA29" s="159"/>
    </row>
    <row r="30" spans="1:27" x14ac:dyDescent="0.2">
      <c r="A30" s="121" t="s">
        <v>1223</v>
      </c>
      <c r="B30" s="122" t="s">
        <v>1223</v>
      </c>
      <c r="C30" s="122" t="s">
        <v>2736</v>
      </c>
      <c r="D30" s="122" t="s">
        <v>2737</v>
      </c>
      <c r="E30" s="122" t="s">
        <v>429</v>
      </c>
      <c r="F30" s="122" t="s">
        <v>2738</v>
      </c>
      <c r="G30" s="122" t="s">
        <v>2739</v>
      </c>
      <c r="H30" s="122" t="s">
        <v>78</v>
      </c>
      <c r="I30" s="122" t="s">
        <v>465</v>
      </c>
      <c r="J30" s="122" t="s">
        <v>53</v>
      </c>
      <c r="K30" s="122" t="s">
        <v>53</v>
      </c>
      <c r="L30" s="122" t="s">
        <v>102</v>
      </c>
      <c r="M30" s="122" t="s">
        <v>263</v>
      </c>
      <c r="N30" s="122" t="s">
        <v>62</v>
      </c>
      <c r="O30" s="122" t="s">
        <v>2740</v>
      </c>
      <c r="P30" s="122" t="s">
        <v>1216</v>
      </c>
      <c r="Q30" s="122" t="s">
        <v>303</v>
      </c>
      <c r="R30" s="122" t="s">
        <v>305</v>
      </c>
      <c r="S30" s="145">
        <v>45747</v>
      </c>
      <c r="T30" s="145">
        <v>45747</v>
      </c>
      <c r="U30" s="123">
        <v>71974415</v>
      </c>
      <c r="V30" s="123">
        <v>1</v>
      </c>
      <c r="W30" s="123">
        <v>336.72399999999999</v>
      </c>
      <c r="X30" s="123">
        <v>242354.769</v>
      </c>
      <c r="Y30" s="125">
        <v>0.16686999999999999</v>
      </c>
      <c r="Z30" s="126">
        <v>8.8800000000000007E-3</v>
      </c>
      <c r="AA30" s="159"/>
    </row>
    <row r="31" spans="1:27" x14ac:dyDescent="0.2">
      <c r="A31" s="121" t="s">
        <v>1223</v>
      </c>
      <c r="B31" s="122" t="s">
        <v>1223</v>
      </c>
      <c r="C31" s="122" t="s">
        <v>2741</v>
      </c>
      <c r="D31" s="122" t="s">
        <v>2742</v>
      </c>
      <c r="E31" s="122" t="s">
        <v>102</v>
      </c>
      <c r="F31" s="122" t="s">
        <v>2743</v>
      </c>
      <c r="G31" s="122" t="s">
        <v>2744</v>
      </c>
      <c r="H31" s="122" t="s">
        <v>78</v>
      </c>
      <c r="I31" s="122" t="s">
        <v>465</v>
      </c>
      <c r="J31" s="122" t="s">
        <v>53</v>
      </c>
      <c r="K31" s="122" t="s">
        <v>153</v>
      </c>
      <c r="L31" s="122" t="s">
        <v>102</v>
      </c>
      <c r="M31" s="122" t="s">
        <v>915</v>
      </c>
      <c r="N31" s="122" t="s">
        <v>62</v>
      </c>
      <c r="O31" s="122" t="s">
        <v>2745</v>
      </c>
      <c r="P31" s="122" t="s">
        <v>1218</v>
      </c>
      <c r="Q31" s="122" t="s">
        <v>303</v>
      </c>
      <c r="R31" s="122" t="s">
        <v>305</v>
      </c>
      <c r="S31" s="145">
        <v>45531</v>
      </c>
      <c r="T31" s="145">
        <v>45531</v>
      </c>
      <c r="U31" s="123">
        <v>21653144.16</v>
      </c>
      <c r="V31" s="123">
        <v>3.8809999999999998</v>
      </c>
      <c r="W31" s="123">
        <v>136.078</v>
      </c>
      <c r="X31" s="123">
        <v>114345.72</v>
      </c>
      <c r="Y31" s="125">
        <v>7.8729999999999994E-2</v>
      </c>
      <c r="Z31" s="126">
        <v>4.1900000000000001E-3</v>
      </c>
      <c r="AA31" s="159"/>
    </row>
    <row r="32" spans="1:27" x14ac:dyDescent="0.2">
      <c r="A32" s="121" t="s">
        <v>1223</v>
      </c>
      <c r="B32" s="122" t="s">
        <v>1223</v>
      </c>
      <c r="C32" s="122" t="s">
        <v>2826</v>
      </c>
      <c r="D32" s="122" t="s">
        <v>2827</v>
      </c>
      <c r="E32" s="122" t="s">
        <v>429</v>
      </c>
      <c r="F32" s="122" t="s">
        <v>2828</v>
      </c>
      <c r="G32" s="122" t="s">
        <v>2829</v>
      </c>
      <c r="H32" s="122" t="s">
        <v>78</v>
      </c>
      <c r="I32" s="122" t="s">
        <v>465</v>
      </c>
      <c r="J32" s="122" t="s">
        <v>53</v>
      </c>
      <c r="K32" s="122" t="s">
        <v>53</v>
      </c>
      <c r="L32" s="122" t="s">
        <v>102</v>
      </c>
      <c r="M32" s="122" t="s">
        <v>258</v>
      </c>
      <c r="N32" s="122" t="s">
        <v>62</v>
      </c>
      <c r="O32" s="122" t="s">
        <v>2830</v>
      </c>
      <c r="P32" s="122" t="s">
        <v>1216</v>
      </c>
      <c r="Q32" s="122" t="s">
        <v>303</v>
      </c>
      <c r="R32" s="122" t="s">
        <v>305</v>
      </c>
      <c r="S32" s="145">
        <v>45894</v>
      </c>
      <c r="T32" s="145">
        <v>45894</v>
      </c>
      <c r="U32" s="123">
        <v>34687137</v>
      </c>
      <c r="V32" s="123">
        <v>1</v>
      </c>
      <c r="W32" s="123">
        <v>127.123</v>
      </c>
      <c r="X32" s="123">
        <v>44095.328999999998</v>
      </c>
      <c r="Y32" s="125">
        <v>3.0360000000000002E-2</v>
      </c>
      <c r="Z32" s="126">
        <v>1.6199999999999999E-3</v>
      </c>
      <c r="AA32" s="159"/>
    </row>
    <row r="33" spans="1:27" x14ac:dyDescent="0.2">
      <c r="A33" s="121" t="s">
        <v>1223</v>
      </c>
      <c r="B33" s="122" t="s">
        <v>1223</v>
      </c>
      <c r="C33" s="122" t="s">
        <v>2746</v>
      </c>
      <c r="D33" s="122" t="s">
        <v>2747</v>
      </c>
      <c r="E33" s="122" t="s">
        <v>78</v>
      </c>
      <c r="F33" s="122" t="s">
        <v>2748</v>
      </c>
      <c r="G33" s="122" t="s">
        <v>2749</v>
      </c>
      <c r="H33" s="122" t="s">
        <v>78</v>
      </c>
      <c r="I33" s="122" t="s">
        <v>465</v>
      </c>
      <c r="J33" s="122" t="s">
        <v>53</v>
      </c>
      <c r="K33" s="122" t="s">
        <v>53</v>
      </c>
      <c r="L33" s="122" t="s">
        <v>102</v>
      </c>
      <c r="M33" s="122" t="s">
        <v>140</v>
      </c>
      <c r="N33" s="122" t="s">
        <v>62</v>
      </c>
      <c r="O33" s="122" t="s">
        <v>2750</v>
      </c>
      <c r="P33" s="122" t="s">
        <v>1216</v>
      </c>
      <c r="Q33" s="122" t="s">
        <v>303</v>
      </c>
      <c r="R33" s="122" t="s">
        <v>305</v>
      </c>
      <c r="S33" s="145">
        <v>45886</v>
      </c>
      <c r="T33" s="145">
        <v>45886</v>
      </c>
      <c r="U33" s="123">
        <v>40387752</v>
      </c>
      <c r="V33" s="123">
        <v>1</v>
      </c>
      <c r="W33" s="123">
        <v>105.312</v>
      </c>
      <c r="X33" s="123">
        <v>42533.027999999998</v>
      </c>
      <c r="Y33" s="125">
        <v>2.928E-2</v>
      </c>
      <c r="Z33" s="126">
        <v>1.56E-3</v>
      </c>
      <c r="AA33" s="159"/>
    </row>
    <row r="34" spans="1:27" x14ac:dyDescent="0.2">
      <c r="A34" s="121" t="s">
        <v>1223</v>
      </c>
      <c r="B34" s="122" t="s">
        <v>1223</v>
      </c>
      <c r="C34" s="122" t="s">
        <v>2826</v>
      </c>
      <c r="D34" s="122" t="s">
        <v>2827</v>
      </c>
      <c r="E34" s="122" t="s">
        <v>429</v>
      </c>
      <c r="F34" s="122" t="s">
        <v>2831</v>
      </c>
      <c r="G34" s="122" t="s">
        <v>2832</v>
      </c>
      <c r="H34" s="122" t="s">
        <v>78</v>
      </c>
      <c r="I34" s="122" t="s">
        <v>465</v>
      </c>
      <c r="J34" s="122" t="s">
        <v>53</v>
      </c>
      <c r="K34" s="122" t="s">
        <v>53</v>
      </c>
      <c r="L34" s="122" t="s">
        <v>102</v>
      </c>
      <c r="M34" s="122" t="s">
        <v>258</v>
      </c>
      <c r="N34" s="122" t="s">
        <v>62</v>
      </c>
      <c r="O34" s="122" t="s">
        <v>2833</v>
      </c>
      <c r="P34" s="122" t="s">
        <v>1216</v>
      </c>
      <c r="Q34" s="122" t="s">
        <v>303</v>
      </c>
      <c r="R34" s="122" t="s">
        <v>305</v>
      </c>
      <c r="S34" s="145">
        <v>45894</v>
      </c>
      <c r="T34" s="145">
        <v>45894</v>
      </c>
      <c r="U34" s="123">
        <v>31028766</v>
      </c>
      <c r="V34" s="123">
        <v>1</v>
      </c>
      <c r="W34" s="123">
        <v>124.459</v>
      </c>
      <c r="X34" s="123">
        <v>38618.216</v>
      </c>
      <c r="Y34" s="125">
        <v>2.6589999999999999E-2</v>
      </c>
      <c r="Z34" s="126">
        <v>1.41E-3</v>
      </c>
      <c r="AA34" s="159"/>
    </row>
    <row r="35" spans="1:27" x14ac:dyDescent="0.2">
      <c r="A35" s="121" t="s">
        <v>1223</v>
      </c>
      <c r="B35" s="122" t="s">
        <v>1223</v>
      </c>
      <c r="C35" s="122" t="s">
        <v>2834</v>
      </c>
      <c r="D35" s="122" t="s">
        <v>2835</v>
      </c>
      <c r="E35" s="122" t="s">
        <v>429</v>
      </c>
      <c r="F35" s="122" t="s">
        <v>2836</v>
      </c>
      <c r="G35" s="122" t="s">
        <v>2837</v>
      </c>
      <c r="H35" s="122" t="s">
        <v>78</v>
      </c>
      <c r="I35" s="122" t="s">
        <v>465</v>
      </c>
      <c r="J35" s="122" t="s">
        <v>53</v>
      </c>
      <c r="K35" s="122" t="s">
        <v>53</v>
      </c>
      <c r="L35" s="122" t="s">
        <v>102</v>
      </c>
      <c r="M35" s="122" t="s">
        <v>163</v>
      </c>
      <c r="N35" s="122" t="s">
        <v>62</v>
      </c>
      <c r="O35" s="122" t="s">
        <v>2838</v>
      </c>
      <c r="P35" s="122" t="s">
        <v>1216</v>
      </c>
      <c r="Q35" s="122" t="s">
        <v>303</v>
      </c>
      <c r="R35" s="122" t="s">
        <v>305</v>
      </c>
      <c r="S35" s="145">
        <v>45841</v>
      </c>
      <c r="T35" s="145">
        <v>45841</v>
      </c>
      <c r="U35" s="123">
        <v>27243693</v>
      </c>
      <c r="V35" s="123">
        <v>1</v>
      </c>
      <c r="W35" s="123">
        <v>112.282</v>
      </c>
      <c r="X35" s="123">
        <v>30589.627</v>
      </c>
      <c r="Y35" s="125">
        <v>2.1059999999999999E-2</v>
      </c>
      <c r="Z35" s="126">
        <v>1.1199999999999999E-3</v>
      </c>
      <c r="AA35" s="159"/>
    </row>
    <row r="36" spans="1:27" x14ac:dyDescent="0.2">
      <c r="A36" s="121" t="s">
        <v>1223</v>
      </c>
      <c r="B36" s="122" t="s">
        <v>1223</v>
      </c>
      <c r="C36" s="122" t="s">
        <v>2736</v>
      </c>
      <c r="D36" s="122" t="s">
        <v>2737</v>
      </c>
      <c r="E36" s="122" t="s">
        <v>429</v>
      </c>
      <c r="F36" s="122" t="s">
        <v>2756</v>
      </c>
      <c r="G36" s="122" t="s">
        <v>2757</v>
      </c>
      <c r="H36" s="122" t="s">
        <v>78</v>
      </c>
      <c r="I36" s="122" t="s">
        <v>465</v>
      </c>
      <c r="J36" s="122" t="s">
        <v>53</v>
      </c>
      <c r="K36" s="122" t="s">
        <v>53</v>
      </c>
      <c r="L36" s="122" t="s">
        <v>102</v>
      </c>
      <c r="M36" s="122" t="s">
        <v>263</v>
      </c>
      <c r="N36" s="122" t="s">
        <v>62</v>
      </c>
      <c r="O36" s="122" t="s">
        <v>2758</v>
      </c>
      <c r="P36" s="122" t="s">
        <v>1216</v>
      </c>
      <c r="Q36" s="122" t="s">
        <v>303</v>
      </c>
      <c r="R36" s="122" t="s">
        <v>305</v>
      </c>
      <c r="S36" s="145">
        <v>45747</v>
      </c>
      <c r="T36" s="145">
        <v>45747</v>
      </c>
      <c r="U36" s="123">
        <v>15999048.359999999</v>
      </c>
      <c r="V36" s="123">
        <v>1</v>
      </c>
      <c r="W36" s="123">
        <v>142.346</v>
      </c>
      <c r="X36" s="123">
        <v>22774.069</v>
      </c>
      <c r="Y36" s="125">
        <v>1.5679999999999999E-2</v>
      </c>
      <c r="Z36" s="126">
        <v>8.3000000000000001E-4</v>
      </c>
      <c r="AA36" s="159"/>
    </row>
    <row r="37" spans="1:27" x14ac:dyDescent="0.2">
      <c r="A37" s="121" t="s">
        <v>1223</v>
      </c>
      <c r="B37" s="122" t="s">
        <v>1223</v>
      </c>
      <c r="C37" s="122" t="s">
        <v>2764</v>
      </c>
      <c r="D37" s="122" t="s">
        <v>2765</v>
      </c>
      <c r="E37" s="122" t="s">
        <v>429</v>
      </c>
      <c r="F37" s="122" t="s">
        <v>2766</v>
      </c>
      <c r="G37" s="122" t="s">
        <v>2767</v>
      </c>
      <c r="H37" s="122" t="s">
        <v>78</v>
      </c>
      <c r="I37" s="122" t="s">
        <v>465</v>
      </c>
      <c r="J37" s="122" t="s">
        <v>53</v>
      </c>
      <c r="K37" s="122" t="s">
        <v>53</v>
      </c>
      <c r="L37" s="122" t="s">
        <v>102</v>
      </c>
      <c r="M37" s="122" t="s">
        <v>264</v>
      </c>
      <c r="N37" s="122" t="s">
        <v>62</v>
      </c>
      <c r="O37" s="122" t="s">
        <v>2768</v>
      </c>
      <c r="P37" s="122" t="s">
        <v>1217</v>
      </c>
      <c r="Q37" s="122" t="s">
        <v>303</v>
      </c>
      <c r="R37" s="122" t="s">
        <v>305</v>
      </c>
      <c r="S37" s="145">
        <v>45884</v>
      </c>
      <c r="T37" s="145">
        <v>45884</v>
      </c>
      <c r="U37" s="123">
        <v>1594386</v>
      </c>
      <c r="V37" s="123">
        <v>3.306</v>
      </c>
      <c r="W37" s="123">
        <v>4.0549999999999997</v>
      </c>
      <c r="X37" s="123">
        <v>21376.175999999999</v>
      </c>
      <c r="Y37" s="125">
        <v>1.472E-2</v>
      </c>
      <c r="Z37" s="126">
        <v>7.7999999999999999E-4</v>
      </c>
      <c r="AA37" s="159"/>
    </row>
    <row r="38" spans="1:27" x14ac:dyDescent="0.2">
      <c r="A38" s="121" t="s">
        <v>1223</v>
      </c>
      <c r="B38" s="122" t="s">
        <v>1223</v>
      </c>
      <c r="C38" s="122" t="s">
        <v>2751</v>
      </c>
      <c r="D38" s="122" t="s">
        <v>2752</v>
      </c>
      <c r="E38" s="122" t="s">
        <v>429</v>
      </c>
      <c r="F38" s="122" t="s">
        <v>2753</v>
      </c>
      <c r="G38" s="122" t="s">
        <v>2754</v>
      </c>
      <c r="H38" s="122" t="s">
        <v>78</v>
      </c>
      <c r="I38" s="122" t="s">
        <v>465</v>
      </c>
      <c r="J38" s="122" t="s">
        <v>53</v>
      </c>
      <c r="K38" s="122" t="s">
        <v>314</v>
      </c>
      <c r="L38" s="122" t="s">
        <v>102</v>
      </c>
      <c r="M38" s="122" t="s">
        <v>66</v>
      </c>
      <c r="N38" s="122" t="s">
        <v>62</v>
      </c>
      <c r="O38" s="122" t="s">
        <v>2755</v>
      </c>
      <c r="P38" s="122" t="s">
        <v>1217</v>
      </c>
      <c r="Q38" s="122" t="s">
        <v>303</v>
      </c>
      <c r="R38" s="122" t="s">
        <v>305</v>
      </c>
      <c r="S38" s="145">
        <v>45727</v>
      </c>
      <c r="T38" s="145">
        <v>45727</v>
      </c>
      <c r="U38" s="123">
        <v>6310793.9900000002</v>
      </c>
      <c r="V38" s="123">
        <v>3.306</v>
      </c>
      <c r="W38" s="123">
        <v>100</v>
      </c>
      <c r="X38" s="123">
        <v>20863.485000000001</v>
      </c>
      <c r="Y38" s="125">
        <v>1.436E-2</v>
      </c>
      <c r="Z38" s="126">
        <v>7.6000000000000004E-4</v>
      </c>
      <c r="AA38" s="159"/>
    </row>
    <row r="39" spans="1:27" x14ac:dyDescent="0.2">
      <c r="A39" s="121" t="s">
        <v>1223</v>
      </c>
      <c r="B39" s="122" t="s">
        <v>1223</v>
      </c>
      <c r="C39" s="122" t="s">
        <v>2759</v>
      </c>
      <c r="D39" s="122" t="s">
        <v>2760</v>
      </c>
      <c r="E39" s="122" t="s">
        <v>102</v>
      </c>
      <c r="F39" s="122" t="s">
        <v>2761</v>
      </c>
      <c r="G39" s="122" t="s">
        <v>2762</v>
      </c>
      <c r="H39" s="122" t="s">
        <v>78</v>
      </c>
      <c r="I39" s="122" t="s">
        <v>465</v>
      </c>
      <c r="J39" s="122" t="s">
        <v>53</v>
      </c>
      <c r="K39" s="122" t="s">
        <v>317</v>
      </c>
      <c r="L39" s="122" t="s">
        <v>102</v>
      </c>
      <c r="M39" s="122" t="s">
        <v>901</v>
      </c>
      <c r="N39" s="122" t="s">
        <v>62</v>
      </c>
      <c r="O39" s="122" t="s">
        <v>2763</v>
      </c>
      <c r="P39" s="122" t="s">
        <v>1217</v>
      </c>
      <c r="Q39" s="122" t="s">
        <v>303</v>
      </c>
      <c r="R39" s="122" t="s">
        <v>305</v>
      </c>
      <c r="S39" s="145">
        <v>45729</v>
      </c>
      <c r="T39" s="145">
        <v>45729</v>
      </c>
      <c r="U39" s="123">
        <v>1960736.77</v>
      </c>
      <c r="V39" s="123">
        <v>3.306</v>
      </c>
      <c r="W39" s="123">
        <v>310.35000000000002</v>
      </c>
      <c r="X39" s="123">
        <v>20117.52</v>
      </c>
      <c r="Y39" s="125">
        <v>1.3849999999999999E-2</v>
      </c>
      <c r="Z39" s="126">
        <v>7.3999999999999999E-4</v>
      </c>
      <c r="AA39" s="159"/>
    </row>
    <row r="40" spans="1:27" x14ac:dyDescent="0.2">
      <c r="A40" s="121" t="s">
        <v>1223</v>
      </c>
      <c r="B40" s="122" t="s">
        <v>1223</v>
      </c>
      <c r="C40" s="122" t="s">
        <v>2769</v>
      </c>
      <c r="D40" s="122" t="s">
        <v>2770</v>
      </c>
      <c r="E40" s="122" t="s">
        <v>102</v>
      </c>
      <c r="F40" s="122" t="s">
        <v>2769</v>
      </c>
      <c r="G40" s="122" t="s">
        <v>2771</v>
      </c>
      <c r="H40" s="122" t="s">
        <v>78</v>
      </c>
      <c r="I40" s="122" t="s">
        <v>465</v>
      </c>
      <c r="J40" s="122" t="s">
        <v>53</v>
      </c>
      <c r="K40" s="122" t="s">
        <v>53</v>
      </c>
      <c r="L40" s="122" t="s">
        <v>102</v>
      </c>
      <c r="M40" s="122" t="s">
        <v>163</v>
      </c>
      <c r="N40" s="122" t="s">
        <v>62</v>
      </c>
      <c r="O40" s="122" t="s">
        <v>2772</v>
      </c>
      <c r="P40" s="122" t="s">
        <v>1216</v>
      </c>
      <c r="Q40" s="122" t="s">
        <v>303</v>
      </c>
      <c r="R40" s="122" t="s">
        <v>305</v>
      </c>
      <c r="S40" s="145">
        <v>45898</v>
      </c>
      <c r="T40" s="145">
        <v>45898</v>
      </c>
      <c r="U40" s="123">
        <v>21868771</v>
      </c>
      <c r="V40" s="123">
        <v>1</v>
      </c>
      <c r="W40" s="123">
        <v>91.17</v>
      </c>
      <c r="X40" s="123">
        <v>19937.670999999998</v>
      </c>
      <c r="Y40" s="125">
        <v>1.3729999999999999E-2</v>
      </c>
      <c r="Z40" s="126">
        <v>7.2999999999999996E-4</v>
      </c>
      <c r="AA40" s="159"/>
    </row>
    <row r="41" spans="1:27" x14ac:dyDescent="0.2">
      <c r="A41" s="121" t="s">
        <v>1223</v>
      </c>
      <c r="B41" s="122" t="s">
        <v>1223</v>
      </c>
      <c r="C41" s="122" t="s">
        <v>2778</v>
      </c>
      <c r="D41" s="122" t="s">
        <v>2779</v>
      </c>
      <c r="E41" s="122" t="s">
        <v>102</v>
      </c>
      <c r="F41" s="122" t="s">
        <v>2778</v>
      </c>
      <c r="G41" s="122" t="s">
        <v>2780</v>
      </c>
      <c r="H41" s="122" t="s">
        <v>78</v>
      </c>
      <c r="I41" s="122" t="s">
        <v>465</v>
      </c>
      <c r="J41" s="122" t="s">
        <v>53</v>
      </c>
      <c r="K41" s="122" t="s">
        <v>314</v>
      </c>
      <c r="L41" s="122" t="s">
        <v>102</v>
      </c>
      <c r="M41" s="122" t="s">
        <v>893</v>
      </c>
      <c r="N41" s="122" t="s">
        <v>62</v>
      </c>
      <c r="O41" s="122" t="s">
        <v>2781</v>
      </c>
      <c r="P41" s="122" t="s">
        <v>1217</v>
      </c>
      <c r="Q41" s="122" t="s">
        <v>303</v>
      </c>
      <c r="R41" s="122" t="s">
        <v>305</v>
      </c>
      <c r="S41" s="145">
        <v>45876</v>
      </c>
      <c r="T41" s="145">
        <v>45876</v>
      </c>
      <c r="U41" s="123">
        <v>162952.67000000001</v>
      </c>
      <c r="V41" s="123">
        <v>3.306</v>
      </c>
      <c r="W41" s="123">
        <v>11.302</v>
      </c>
      <c r="X41" s="123">
        <v>6088.4690000000001</v>
      </c>
      <c r="Y41" s="125">
        <v>4.1900000000000001E-3</v>
      </c>
      <c r="Z41" s="126">
        <v>2.2000000000000001E-4</v>
      </c>
      <c r="AA41" s="159"/>
    </row>
    <row r="42" spans="1:27" x14ac:dyDescent="0.2">
      <c r="A42" s="121" t="s">
        <v>1223</v>
      </c>
      <c r="B42" s="122" t="s">
        <v>1223</v>
      </c>
      <c r="C42" s="122" t="s">
        <v>2773</v>
      </c>
      <c r="D42" s="122" t="s">
        <v>2774</v>
      </c>
      <c r="E42" s="122" t="s">
        <v>102</v>
      </c>
      <c r="F42" s="122" t="s">
        <v>2775</v>
      </c>
      <c r="G42" s="122" t="s">
        <v>2776</v>
      </c>
      <c r="H42" s="122" t="s">
        <v>78</v>
      </c>
      <c r="I42" s="122" t="s">
        <v>465</v>
      </c>
      <c r="J42" s="122" t="s">
        <v>53</v>
      </c>
      <c r="K42" s="122" t="s">
        <v>314</v>
      </c>
      <c r="L42" s="122" t="s">
        <v>102</v>
      </c>
      <c r="M42" s="122" t="s">
        <v>901</v>
      </c>
      <c r="N42" s="122" t="s">
        <v>62</v>
      </c>
      <c r="O42" s="122" t="s">
        <v>2777</v>
      </c>
      <c r="P42" s="122" t="s">
        <v>1217</v>
      </c>
      <c r="Q42" s="122" t="s">
        <v>303</v>
      </c>
      <c r="R42" s="122" t="s">
        <v>305</v>
      </c>
      <c r="S42" s="145">
        <v>45866</v>
      </c>
      <c r="T42" s="145">
        <v>45866</v>
      </c>
      <c r="U42" s="123">
        <v>388585</v>
      </c>
      <c r="V42" s="123">
        <v>3.306</v>
      </c>
      <c r="W42" s="123">
        <v>436</v>
      </c>
      <c r="X42" s="123">
        <v>5601.1260000000002</v>
      </c>
      <c r="Y42" s="125">
        <v>3.8600000000000001E-3</v>
      </c>
      <c r="Z42" s="126">
        <v>2.1000000000000001E-4</v>
      </c>
      <c r="AA42" s="159"/>
    </row>
    <row r="43" spans="1:27" x14ac:dyDescent="0.2">
      <c r="A43" s="121" t="s">
        <v>1223</v>
      </c>
      <c r="B43" s="122" t="s">
        <v>1223</v>
      </c>
      <c r="C43" s="122" t="s">
        <v>2079</v>
      </c>
      <c r="D43" s="122" t="s">
        <v>2080</v>
      </c>
      <c r="E43" s="122" t="s">
        <v>429</v>
      </c>
      <c r="F43" s="122" t="s">
        <v>2782</v>
      </c>
      <c r="G43" s="122" t="s">
        <v>2783</v>
      </c>
      <c r="H43" s="122" t="s">
        <v>78</v>
      </c>
      <c r="I43" s="122" t="s">
        <v>465</v>
      </c>
      <c r="J43" s="122" t="s">
        <v>53</v>
      </c>
      <c r="K43" s="122" t="s">
        <v>53</v>
      </c>
      <c r="L43" s="122" t="s">
        <v>102</v>
      </c>
      <c r="M43" s="122" t="s">
        <v>692</v>
      </c>
      <c r="N43" s="122" t="s">
        <v>62</v>
      </c>
      <c r="O43" s="122" t="s">
        <v>2784</v>
      </c>
      <c r="P43" s="122" t="s">
        <v>1216</v>
      </c>
      <c r="Q43" s="122" t="s">
        <v>303</v>
      </c>
      <c r="R43" s="122" t="s">
        <v>305</v>
      </c>
      <c r="S43" s="145">
        <v>45866</v>
      </c>
      <c r="T43" s="145">
        <v>45866</v>
      </c>
      <c r="U43" s="123">
        <v>89873</v>
      </c>
      <c r="V43" s="123">
        <v>1</v>
      </c>
      <c r="W43" s="123">
        <v>3129.6379999999999</v>
      </c>
      <c r="X43" s="123">
        <v>2812.7</v>
      </c>
      <c r="Y43" s="125">
        <v>1.9400000000000001E-3</v>
      </c>
      <c r="Z43" s="126">
        <v>1E-4</v>
      </c>
      <c r="AA43" s="159"/>
    </row>
    <row r="44" spans="1:27" x14ac:dyDescent="0.2">
      <c r="A44" s="121" t="s">
        <v>1223</v>
      </c>
      <c r="B44" s="122" t="s">
        <v>1223</v>
      </c>
      <c r="C44" s="122" t="s">
        <v>2785</v>
      </c>
      <c r="D44" s="122" t="s">
        <v>2786</v>
      </c>
      <c r="E44" s="122" t="s">
        <v>429</v>
      </c>
      <c r="F44" s="122" t="s">
        <v>2787</v>
      </c>
      <c r="G44" s="122" t="s">
        <v>2788</v>
      </c>
      <c r="H44" s="122" t="s">
        <v>78</v>
      </c>
      <c r="I44" s="122" t="s">
        <v>465</v>
      </c>
      <c r="J44" s="122" t="s">
        <v>53</v>
      </c>
      <c r="K44" s="122" t="s">
        <v>53</v>
      </c>
      <c r="L44" s="122" t="s">
        <v>958</v>
      </c>
      <c r="M44" s="122" t="s">
        <v>692</v>
      </c>
      <c r="N44" s="122" t="s">
        <v>62</v>
      </c>
      <c r="O44" s="122" t="s">
        <v>2789</v>
      </c>
      <c r="P44" s="122" t="s">
        <v>1216</v>
      </c>
      <c r="Q44" s="122" t="s">
        <v>303</v>
      </c>
      <c r="R44" s="122" t="s">
        <v>305</v>
      </c>
      <c r="S44" s="145">
        <v>45930</v>
      </c>
      <c r="T44" s="145">
        <v>45930</v>
      </c>
      <c r="U44" s="123">
        <v>1727</v>
      </c>
      <c r="V44" s="123">
        <v>1</v>
      </c>
      <c r="W44" s="123">
        <v>40356.476999999999</v>
      </c>
      <c r="X44" s="123">
        <v>696.95600000000002</v>
      </c>
      <c r="Y44" s="125">
        <v>4.8000000000000001E-4</v>
      </c>
      <c r="Z44" s="126">
        <v>3.0000000000000001E-5</v>
      </c>
      <c r="AA44" s="159"/>
    </row>
    <row r="45" spans="1:27" x14ac:dyDescent="0.2">
      <c r="A45" s="121" t="s">
        <v>1223</v>
      </c>
      <c r="B45" s="122" t="s">
        <v>1223</v>
      </c>
      <c r="C45" s="122" t="s">
        <v>2350</v>
      </c>
      <c r="D45" s="122" t="s">
        <v>2351</v>
      </c>
      <c r="E45" s="122" t="s">
        <v>430</v>
      </c>
      <c r="F45" s="122" t="s">
        <v>2790</v>
      </c>
      <c r="G45" s="122" t="s">
        <v>2791</v>
      </c>
      <c r="H45" s="122" t="s">
        <v>78</v>
      </c>
      <c r="I45" s="122" t="s">
        <v>465</v>
      </c>
      <c r="J45" s="122" t="s">
        <v>53</v>
      </c>
      <c r="K45" s="122" t="s">
        <v>314</v>
      </c>
      <c r="L45" s="122" t="s">
        <v>102</v>
      </c>
      <c r="M45" s="122" t="s">
        <v>865</v>
      </c>
      <c r="N45" s="122" t="s">
        <v>62</v>
      </c>
      <c r="O45" s="122" t="s">
        <v>2792</v>
      </c>
      <c r="P45" s="122" t="s">
        <v>1217</v>
      </c>
      <c r="Q45" s="122" t="s">
        <v>302</v>
      </c>
      <c r="R45" s="122" t="s">
        <v>304</v>
      </c>
      <c r="S45" s="145">
        <v>45930</v>
      </c>
      <c r="T45" s="145">
        <v>45930</v>
      </c>
      <c r="U45" s="123">
        <v>298270</v>
      </c>
      <c r="V45" s="123">
        <v>3.306</v>
      </c>
      <c r="W45" s="123">
        <v>0.01</v>
      </c>
      <c r="X45" s="123">
        <v>9.8610000000000007</v>
      </c>
      <c r="Y45" s="125">
        <v>1.0000000000000001E-5</v>
      </c>
      <c r="Z45" s="126">
        <v>0</v>
      </c>
      <c r="AA45" s="159"/>
    </row>
    <row r="46" spans="1:27" x14ac:dyDescent="0.2">
      <c r="A46" s="121" t="s">
        <v>1223</v>
      </c>
      <c r="B46" s="122" t="s">
        <v>1223</v>
      </c>
      <c r="C46" s="122" t="s">
        <v>2793</v>
      </c>
      <c r="D46" s="122" t="s">
        <v>2794</v>
      </c>
      <c r="E46" s="122" t="s">
        <v>429</v>
      </c>
      <c r="F46" s="122" t="s">
        <v>2795</v>
      </c>
      <c r="G46" s="122" t="s">
        <v>2796</v>
      </c>
      <c r="H46" s="122" t="s">
        <v>78</v>
      </c>
      <c r="I46" s="122" t="s">
        <v>465</v>
      </c>
      <c r="J46" s="122" t="s">
        <v>53</v>
      </c>
      <c r="K46" s="122" t="s">
        <v>53</v>
      </c>
      <c r="L46" s="122" t="s">
        <v>102</v>
      </c>
      <c r="M46" s="122" t="s">
        <v>122</v>
      </c>
      <c r="N46" s="122" t="s">
        <v>62</v>
      </c>
      <c r="O46" s="122" t="s">
        <v>2750</v>
      </c>
      <c r="P46" s="122" t="s">
        <v>1217</v>
      </c>
      <c r="Q46" s="122" t="s">
        <v>302</v>
      </c>
      <c r="R46" s="122" t="s">
        <v>304</v>
      </c>
      <c r="S46" s="145">
        <v>45657</v>
      </c>
      <c r="T46" s="145">
        <v>45657</v>
      </c>
      <c r="U46" s="123">
        <v>2906786</v>
      </c>
      <c r="V46" s="123">
        <v>3.306</v>
      </c>
      <c r="W46" s="123">
        <v>0</v>
      </c>
      <c r="X46" s="123">
        <v>0.01</v>
      </c>
      <c r="Y46" s="125">
        <v>0</v>
      </c>
      <c r="Z46" s="126">
        <v>0</v>
      </c>
      <c r="AA46" s="159"/>
    </row>
    <row r="47" spans="1:27" x14ac:dyDescent="0.2">
      <c r="A47" s="121" t="s">
        <v>1223</v>
      </c>
      <c r="B47" s="122" t="s">
        <v>1223</v>
      </c>
      <c r="C47" s="122" t="s">
        <v>2764</v>
      </c>
      <c r="D47" s="122" t="s">
        <v>2765</v>
      </c>
      <c r="E47" s="122" t="s">
        <v>429</v>
      </c>
      <c r="F47" s="122" t="s">
        <v>2797</v>
      </c>
      <c r="G47" s="122" t="s">
        <v>2798</v>
      </c>
      <c r="H47" s="122" t="s">
        <v>78</v>
      </c>
      <c r="I47" s="122" t="s">
        <v>465</v>
      </c>
      <c r="J47" s="122" t="s">
        <v>53</v>
      </c>
      <c r="K47" s="122" t="s">
        <v>53</v>
      </c>
      <c r="L47" s="122" t="s">
        <v>102</v>
      </c>
      <c r="M47" s="122" t="s">
        <v>264</v>
      </c>
      <c r="N47" s="122" t="s">
        <v>62</v>
      </c>
      <c r="O47" s="122" t="s">
        <v>2799</v>
      </c>
      <c r="P47" s="122" t="s">
        <v>1217</v>
      </c>
      <c r="Q47" s="122" t="s">
        <v>301</v>
      </c>
      <c r="R47" s="122" t="s">
        <v>304</v>
      </c>
      <c r="S47" s="145">
        <v>45657</v>
      </c>
      <c r="T47" s="145">
        <v>45657</v>
      </c>
      <c r="U47" s="123">
        <v>1594386</v>
      </c>
      <c r="V47" s="123">
        <v>3.306</v>
      </c>
      <c r="W47" s="123">
        <v>0</v>
      </c>
      <c r="X47" s="123">
        <v>5.0000000000000001E-3</v>
      </c>
      <c r="Y47" s="125">
        <v>0</v>
      </c>
      <c r="Z47" s="126">
        <v>0</v>
      </c>
      <c r="AA47" s="159"/>
    </row>
    <row r="48" spans="1:27" x14ac:dyDescent="0.2">
      <c r="A48" s="121" t="s">
        <v>1223</v>
      </c>
      <c r="B48" s="122" t="s">
        <v>1223</v>
      </c>
      <c r="C48" s="122" t="s">
        <v>2728</v>
      </c>
      <c r="D48" s="122" t="s">
        <v>1567</v>
      </c>
      <c r="E48" s="122" t="s">
        <v>429</v>
      </c>
      <c r="F48" s="122" t="s">
        <v>2800</v>
      </c>
      <c r="G48" s="122" t="s">
        <v>2801</v>
      </c>
      <c r="H48" s="122" t="s">
        <v>78</v>
      </c>
      <c r="I48" s="122" t="s">
        <v>465</v>
      </c>
      <c r="J48" s="122" t="s">
        <v>53</v>
      </c>
      <c r="K48" s="122" t="s">
        <v>53</v>
      </c>
      <c r="L48" s="122" t="s">
        <v>102</v>
      </c>
      <c r="M48" s="122" t="s">
        <v>264</v>
      </c>
      <c r="N48" s="122" t="s">
        <v>62</v>
      </c>
      <c r="O48" s="122" t="s">
        <v>2802</v>
      </c>
      <c r="P48" s="122" t="s">
        <v>1216</v>
      </c>
      <c r="Q48" s="122" t="s">
        <v>302</v>
      </c>
      <c r="R48" s="122" t="s">
        <v>304</v>
      </c>
      <c r="S48" s="145">
        <v>45657</v>
      </c>
      <c r="T48" s="145">
        <v>45657</v>
      </c>
      <c r="U48" s="123">
        <v>10301776.810000001</v>
      </c>
      <c r="V48" s="123">
        <v>1</v>
      </c>
      <c r="W48" s="123">
        <v>0</v>
      </c>
      <c r="X48" s="123">
        <v>1E-3</v>
      </c>
      <c r="Y48" s="125">
        <v>0</v>
      </c>
      <c r="Z48" s="126">
        <v>0</v>
      </c>
      <c r="AA48" s="159"/>
    </row>
    <row r="49" spans="1:27" x14ac:dyDescent="0.2">
      <c r="A49" s="121" t="s">
        <v>1223</v>
      </c>
      <c r="B49" s="122" t="s">
        <v>1223</v>
      </c>
      <c r="C49" s="122" t="s">
        <v>2803</v>
      </c>
      <c r="D49" s="122" t="s">
        <v>2804</v>
      </c>
      <c r="E49" s="122" t="s">
        <v>429</v>
      </c>
      <c r="F49" s="122" t="s">
        <v>2805</v>
      </c>
      <c r="G49" s="122" t="s">
        <v>2806</v>
      </c>
      <c r="H49" s="122" t="s">
        <v>78</v>
      </c>
      <c r="I49" s="122" t="s">
        <v>465</v>
      </c>
      <c r="J49" s="122" t="s">
        <v>53</v>
      </c>
      <c r="K49" s="122" t="s">
        <v>53</v>
      </c>
      <c r="L49" s="122" t="s">
        <v>102</v>
      </c>
      <c r="M49" s="122" t="s">
        <v>163</v>
      </c>
      <c r="N49" s="122" t="s">
        <v>62</v>
      </c>
      <c r="O49" s="122" t="s">
        <v>2807</v>
      </c>
      <c r="P49" s="122" t="s">
        <v>1216</v>
      </c>
      <c r="Q49" s="122" t="s">
        <v>302</v>
      </c>
      <c r="R49" s="122" t="s">
        <v>304</v>
      </c>
      <c r="S49" s="145">
        <v>45657</v>
      </c>
      <c r="T49" s="145">
        <v>45657</v>
      </c>
      <c r="U49" s="123">
        <v>446</v>
      </c>
      <c r="V49" s="123">
        <v>1</v>
      </c>
      <c r="W49" s="123">
        <v>0</v>
      </c>
      <c r="X49" s="123">
        <v>0</v>
      </c>
      <c r="Y49" s="125">
        <v>0</v>
      </c>
      <c r="Z49" s="126">
        <v>0</v>
      </c>
      <c r="AA49" s="159"/>
    </row>
    <row r="50" spans="1:27" x14ac:dyDescent="0.2">
      <c r="A50" s="121" t="s">
        <v>1223</v>
      </c>
      <c r="B50" s="122" t="s">
        <v>1223</v>
      </c>
      <c r="C50" s="122" t="s">
        <v>2808</v>
      </c>
      <c r="D50" s="122" t="s">
        <v>2809</v>
      </c>
      <c r="E50" s="122" t="s">
        <v>429</v>
      </c>
      <c r="F50" s="122" t="s">
        <v>2810</v>
      </c>
      <c r="G50" s="122" t="s">
        <v>2811</v>
      </c>
      <c r="H50" s="122" t="s">
        <v>78</v>
      </c>
      <c r="I50" s="122" t="s">
        <v>465</v>
      </c>
      <c r="J50" s="122" t="s">
        <v>53</v>
      </c>
      <c r="K50" s="122" t="s">
        <v>53</v>
      </c>
      <c r="L50" s="122" t="s">
        <v>102</v>
      </c>
      <c r="M50" s="122" t="s">
        <v>264</v>
      </c>
      <c r="N50" s="122" t="s">
        <v>62</v>
      </c>
      <c r="O50" s="122" t="s">
        <v>2839</v>
      </c>
      <c r="P50" s="122" t="s">
        <v>1216</v>
      </c>
      <c r="Q50" s="122" t="s">
        <v>302</v>
      </c>
      <c r="R50" s="122" t="s">
        <v>304</v>
      </c>
      <c r="S50" s="145">
        <v>40069</v>
      </c>
      <c r="T50" s="145">
        <v>40069</v>
      </c>
      <c r="U50" s="123">
        <v>28850</v>
      </c>
      <c r="V50" s="123">
        <v>1</v>
      </c>
      <c r="W50" s="123">
        <v>1E-3</v>
      </c>
      <c r="X50" s="123">
        <v>0</v>
      </c>
      <c r="Y50" s="125">
        <v>0</v>
      </c>
      <c r="Z50" s="126">
        <v>0</v>
      </c>
      <c r="AA50" s="159"/>
    </row>
    <row r="51" spans="1:27" x14ac:dyDescent="0.2">
      <c r="A51" s="121" t="s">
        <v>1223</v>
      </c>
      <c r="B51" s="122" t="s">
        <v>1223</v>
      </c>
      <c r="C51" s="122" t="s">
        <v>2812</v>
      </c>
      <c r="D51" s="122" t="s">
        <v>2813</v>
      </c>
      <c r="E51" s="122" t="s">
        <v>102</v>
      </c>
      <c r="F51" s="122" t="s">
        <v>2814</v>
      </c>
      <c r="G51" s="122" t="s">
        <v>2815</v>
      </c>
      <c r="H51" s="122" t="s">
        <v>78</v>
      </c>
      <c r="I51" s="122" t="s">
        <v>465</v>
      </c>
      <c r="J51" s="122" t="s">
        <v>53</v>
      </c>
      <c r="K51" s="122" t="s">
        <v>53</v>
      </c>
      <c r="L51" s="122" t="s">
        <v>102</v>
      </c>
      <c r="M51" s="122" t="s">
        <v>66</v>
      </c>
      <c r="N51" s="122" t="s">
        <v>62</v>
      </c>
      <c r="O51" s="122" t="s">
        <v>2816</v>
      </c>
      <c r="P51" s="122" t="s">
        <v>1217</v>
      </c>
      <c r="Q51" s="122" t="s">
        <v>303</v>
      </c>
      <c r="R51" s="122" t="s">
        <v>305</v>
      </c>
      <c r="S51" s="145">
        <v>45897</v>
      </c>
      <c r="T51" s="145">
        <v>45897</v>
      </c>
      <c r="U51" s="123">
        <v>6791.77</v>
      </c>
      <c r="V51" s="123">
        <v>3.306</v>
      </c>
      <c r="W51" s="123">
        <v>0</v>
      </c>
      <c r="X51" s="123">
        <v>0</v>
      </c>
      <c r="Y51" s="125">
        <v>0</v>
      </c>
      <c r="Z51" s="126">
        <v>0</v>
      </c>
      <c r="AA51" s="159"/>
    </row>
    <row r="52" spans="1:27" x14ac:dyDescent="0.2">
      <c r="A52" s="121" t="s">
        <v>1223</v>
      </c>
      <c r="B52" s="122" t="s">
        <v>1223</v>
      </c>
      <c r="C52" s="122" t="s">
        <v>2812</v>
      </c>
      <c r="D52" s="122" t="s">
        <v>2813</v>
      </c>
      <c r="E52" s="122" t="s">
        <v>102</v>
      </c>
      <c r="F52" s="122" t="s">
        <v>2817</v>
      </c>
      <c r="G52" s="122" t="s">
        <v>2818</v>
      </c>
      <c r="H52" s="122" t="s">
        <v>78</v>
      </c>
      <c r="I52" s="122" t="s">
        <v>465</v>
      </c>
      <c r="J52" s="122" t="s">
        <v>53</v>
      </c>
      <c r="K52" s="122" t="s">
        <v>53</v>
      </c>
      <c r="L52" s="122" t="s">
        <v>102</v>
      </c>
      <c r="M52" s="122" t="s">
        <v>66</v>
      </c>
      <c r="N52" s="122" t="s">
        <v>62</v>
      </c>
      <c r="O52" s="122" t="s">
        <v>2819</v>
      </c>
      <c r="P52" s="122" t="s">
        <v>1217</v>
      </c>
      <c r="Q52" s="122" t="s">
        <v>303</v>
      </c>
      <c r="R52" s="122" t="s">
        <v>305</v>
      </c>
      <c r="S52" s="145">
        <v>45897</v>
      </c>
      <c r="T52" s="145">
        <v>45897</v>
      </c>
      <c r="U52" s="123">
        <v>1547</v>
      </c>
      <c r="V52" s="123">
        <v>3.306</v>
      </c>
      <c r="W52" s="123">
        <v>0</v>
      </c>
      <c r="X52" s="123">
        <v>0</v>
      </c>
      <c r="Y52" s="125">
        <v>0</v>
      </c>
      <c r="Z52" s="126">
        <v>0</v>
      </c>
      <c r="AA52" s="159"/>
    </row>
    <row r="53" spans="1:27" x14ac:dyDescent="0.2">
      <c r="A53" s="121" t="s">
        <v>1223</v>
      </c>
      <c r="B53" s="122" t="s">
        <v>1223</v>
      </c>
      <c r="C53" s="122" t="s">
        <v>2840</v>
      </c>
      <c r="D53" s="122" t="s">
        <v>2841</v>
      </c>
      <c r="E53" s="122" t="s">
        <v>429</v>
      </c>
      <c r="F53" s="122" t="s">
        <v>2842</v>
      </c>
      <c r="G53" s="122" t="s">
        <v>2843</v>
      </c>
      <c r="H53" s="122" t="s">
        <v>78</v>
      </c>
      <c r="I53" s="122" t="s">
        <v>465</v>
      </c>
      <c r="J53" s="122" t="s">
        <v>53</v>
      </c>
      <c r="K53" s="122" t="s">
        <v>53</v>
      </c>
      <c r="L53" s="122" t="s">
        <v>102</v>
      </c>
      <c r="M53" s="122" t="s">
        <v>264</v>
      </c>
      <c r="N53" s="122" t="s">
        <v>62</v>
      </c>
      <c r="O53" s="122" t="s">
        <v>2844</v>
      </c>
      <c r="P53" s="122" t="s">
        <v>1216</v>
      </c>
      <c r="Q53" s="122" t="s">
        <v>302</v>
      </c>
      <c r="R53" s="122" t="s">
        <v>304</v>
      </c>
      <c r="S53" s="145">
        <v>43132</v>
      </c>
      <c r="T53" s="145">
        <v>43132</v>
      </c>
      <c r="U53" s="123">
        <v>58700</v>
      </c>
      <c r="V53" s="123">
        <v>1</v>
      </c>
      <c r="W53" s="123">
        <v>0</v>
      </c>
      <c r="X53" s="123">
        <v>0</v>
      </c>
      <c r="Y53" s="125">
        <v>0</v>
      </c>
      <c r="Z53" s="126">
        <v>0</v>
      </c>
      <c r="AA53" s="159"/>
    </row>
    <row r="54" spans="1:27" x14ac:dyDescent="0.2">
      <c r="A54" s="121" t="s">
        <v>1223</v>
      </c>
      <c r="B54" s="122" t="s">
        <v>1223</v>
      </c>
      <c r="C54" s="122" t="s">
        <v>2812</v>
      </c>
      <c r="D54" s="122" t="s">
        <v>2813</v>
      </c>
      <c r="E54" s="122" t="s">
        <v>102</v>
      </c>
      <c r="F54" s="122" t="s">
        <v>2823</v>
      </c>
      <c r="G54" s="122" t="s">
        <v>2824</v>
      </c>
      <c r="H54" s="122" t="s">
        <v>78</v>
      </c>
      <c r="I54" s="122" t="s">
        <v>465</v>
      </c>
      <c r="J54" s="122" t="s">
        <v>53</v>
      </c>
      <c r="K54" s="122" t="s">
        <v>53</v>
      </c>
      <c r="L54" s="122" t="s">
        <v>102</v>
      </c>
      <c r="M54" s="122" t="s">
        <v>66</v>
      </c>
      <c r="N54" s="122" t="s">
        <v>62</v>
      </c>
      <c r="O54" s="122" t="s">
        <v>2825</v>
      </c>
      <c r="P54" s="122" t="s">
        <v>1217</v>
      </c>
      <c r="Q54" s="122" t="s">
        <v>303</v>
      </c>
      <c r="R54" s="122" t="s">
        <v>305</v>
      </c>
      <c r="S54" s="145">
        <v>45897</v>
      </c>
      <c r="T54" s="145">
        <v>45897</v>
      </c>
      <c r="U54" s="123">
        <v>5396.59</v>
      </c>
      <c r="V54" s="123">
        <v>3.306</v>
      </c>
      <c r="W54" s="123">
        <v>0</v>
      </c>
      <c r="X54" s="123">
        <v>0</v>
      </c>
      <c r="Y54" s="125">
        <v>0</v>
      </c>
      <c r="Z54" s="126">
        <v>0</v>
      </c>
      <c r="AA54" s="159"/>
    </row>
    <row r="55" spans="1:27" x14ac:dyDescent="0.2">
      <c r="A55" s="121" t="s">
        <v>1223</v>
      </c>
      <c r="B55" s="122" t="s">
        <v>1223</v>
      </c>
      <c r="C55" s="122" t="s">
        <v>2697</v>
      </c>
      <c r="D55" s="122" t="s">
        <v>2698</v>
      </c>
      <c r="E55" s="122" t="s">
        <v>429</v>
      </c>
      <c r="F55" s="122" t="s">
        <v>2820</v>
      </c>
      <c r="G55" s="122" t="s">
        <v>2821</v>
      </c>
      <c r="H55" s="122" t="s">
        <v>78</v>
      </c>
      <c r="I55" s="122" t="s">
        <v>465</v>
      </c>
      <c r="J55" s="122" t="s">
        <v>53</v>
      </c>
      <c r="K55" s="122" t="s">
        <v>53</v>
      </c>
      <c r="L55" s="122" t="s">
        <v>102</v>
      </c>
      <c r="M55" s="122" t="s">
        <v>692</v>
      </c>
      <c r="N55" s="122" t="s">
        <v>62</v>
      </c>
      <c r="O55" s="122" t="s">
        <v>2822</v>
      </c>
      <c r="P55" s="122" t="s">
        <v>1216</v>
      </c>
      <c r="Q55" s="122" t="s">
        <v>302</v>
      </c>
      <c r="R55" s="122" t="s">
        <v>304</v>
      </c>
      <c r="S55" s="145">
        <v>45657</v>
      </c>
      <c r="T55" s="145">
        <v>45657</v>
      </c>
      <c r="U55" s="123">
        <v>370177.99</v>
      </c>
      <c r="V55" s="123">
        <v>1</v>
      </c>
      <c r="W55" s="123">
        <v>0</v>
      </c>
      <c r="X55" s="123">
        <v>0</v>
      </c>
      <c r="Y55" s="122"/>
      <c r="Z55" s="143"/>
      <c r="AA55" s="159"/>
    </row>
    <row r="56" spans="1:27" x14ac:dyDescent="0.2">
      <c r="A56" s="121" t="s">
        <v>1211</v>
      </c>
      <c r="B56" s="122" t="s">
        <v>1212</v>
      </c>
      <c r="C56" s="122"/>
      <c r="D56" s="122"/>
      <c r="E56" s="133"/>
      <c r="F56" s="122"/>
      <c r="G56" s="122"/>
      <c r="H56" s="122"/>
      <c r="I56" s="122"/>
      <c r="J56" s="122"/>
      <c r="K56" s="122"/>
      <c r="L56" s="133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43"/>
      <c r="AA56" s="159"/>
    </row>
    <row r="57" spans="1:27" x14ac:dyDescent="0.2">
      <c r="A57" s="121" t="s">
        <v>1211</v>
      </c>
      <c r="B57" s="122" t="s">
        <v>1220</v>
      </c>
      <c r="C57" s="122"/>
      <c r="D57" s="122"/>
      <c r="E57" s="133"/>
      <c r="F57" s="122"/>
      <c r="G57" s="122"/>
      <c r="H57" s="122"/>
      <c r="I57" s="122"/>
      <c r="J57" s="122"/>
      <c r="K57" s="122"/>
      <c r="L57" s="133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43"/>
      <c r="AA57" s="159"/>
    </row>
    <row r="58" spans="1:27" x14ac:dyDescent="0.2">
      <c r="A58" s="121" t="s">
        <v>1223</v>
      </c>
      <c r="B58" s="122" t="s">
        <v>1224</v>
      </c>
      <c r="C58" s="122"/>
      <c r="D58" s="122"/>
      <c r="E58" s="133"/>
      <c r="F58" s="122"/>
      <c r="G58" s="122"/>
      <c r="H58" s="122"/>
      <c r="I58" s="122"/>
      <c r="J58" s="122"/>
      <c r="K58" s="122"/>
      <c r="L58" s="133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43"/>
      <c r="AA58" s="159"/>
    </row>
    <row r="59" spans="1:27" x14ac:dyDescent="0.2">
      <c r="A59" s="127" t="s">
        <v>1223</v>
      </c>
      <c r="B59" s="128" t="s">
        <v>1225</v>
      </c>
      <c r="C59" s="128"/>
      <c r="D59" s="128"/>
      <c r="E59" s="134"/>
      <c r="F59" s="128"/>
      <c r="G59" s="128"/>
      <c r="H59" s="128"/>
      <c r="I59" s="128"/>
      <c r="J59" s="128"/>
      <c r="K59" s="128"/>
      <c r="L59" s="134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44"/>
      <c r="AA59" s="159"/>
    </row>
    <row r="60" spans="1:27" x14ac:dyDescent="0.2">
      <c r="A60" s="159" t="s">
        <v>3483</v>
      </c>
      <c r="B60" s="159"/>
      <c r="C60" s="159"/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</row>
    <row r="61" spans="1:27" x14ac:dyDescent="0.2">
      <c r="A61" t="s">
        <v>3482</v>
      </c>
    </row>
    <row r="62" spans="1:27" x14ac:dyDescent="0.2">
      <c r="A62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60:Z60"/>
    <mergeCell ref="AA2:AA59"/>
  </mergeCells>
  <dataValidations count="11">
    <dataValidation type="list" allowBlank="1" showInputMessage="1" showErrorMessage="1" sqref="J3:J21" xr:uid="{00000000-0002-0000-1300-000000000000}">
      <formula1>israel_abroad</formula1>
    </dataValidation>
    <dataValidation type="list" allowBlank="1" showInputMessage="1" showErrorMessage="1" sqref="N3:N21" xr:uid="{00000000-0002-0000-1300-000001000000}">
      <formula1>Holding_interest</formula1>
    </dataValidation>
    <dataValidation type="list" allowBlank="1" showInputMessage="1" showErrorMessage="1" sqref="Q3:Q20" xr:uid="{00000000-0002-0000-1300-000002000000}">
      <formula1>Valuation</formula1>
    </dataValidation>
    <dataValidation type="list" allowBlank="1" showInputMessage="1" showErrorMessage="1" sqref="R3:R21" xr:uid="{00000000-0002-0000-1300-000003000000}">
      <formula1>Dependence_Independence</formula1>
    </dataValidation>
    <dataValidation type="list" allowBlank="1" showInputMessage="1" showErrorMessage="1" sqref="K3:K21" xr:uid="{00000000-0002-0000-1300-000004000000}">
      <formula1>Country_list</formula1>
    </dataValidation>
    <dataValidation type="list" allowBlank="1" showInputMessage="1" showErrorMessage="1" sqref="E4:E21" xr:uid="{00000000-0002-0000-1300-000005000000}">
      <formula1>Issuer_Number_Type_2</formula1>
    </dataValidation>
    <dataValidation type="list" allowBlank="1" showInputMessage="1" showErrorMessage="1" sqref="H3" xr:uid="{00000000-0002-0000-1300-000006000000}">
      <formula1>Type_of_Security_ID</formula1>
    </dataValidation>
    <dataValidation type="list" allowBlank="1" showInputMessage="1" showErrorMessage="1" sqref="H4:H20" xr:uid="{00000000-0002-0000-1300-000007000000}">
      <formula1>Type_of_Security_ID_Traded</formula1>
    </dataValidation>
    <dataValidation type="list" allowBlank="1" showInputMessage="1" showErrorMessage="1" sqref="E3" xr:uid="{00000000-0002-0000-1300-000008000000}">
      <formula1>Issuer_Number_Type_3</formula1>
    </dataValidation>
    <dataValidation type="list" allowBlank="1" showInputMessage="1" showErrorMessage="1" sqref="M3:M21" xr:uid="{00000000-0002-0000-1300-000009000000}">
      <formula1>Industry_Sector</formula1>
    </dataValidation>
    <dataValidation type="list" allowBlank="1" showInputMessage="1" showErrorMessage="1" sqref="L3:L21" xr:uid="{00000000-0002-0000-1300-00000A000000}">
      <formula1>tradeable_status_stock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B000000}">
          <x14:formula1>
            <xm:f>'אפשרויות בחירה'!$C$946:$C$955</xm:f>
          </x14:formula1>
          <xm:sqref>I3:I21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AA316"/>
  <sheetViews>
    <sheetView rightToLeft="1" topLeftCell="I1" workbookViewId="0">
      <selection activeCell="O308" sqref="O308"/>
    </sheetView>
  </sheetViews>
  <sheetFormatPr defaultColWidth="0" defaultRowHeight="14.25" x14ac:dyDescent="0.2"/>
  <cols>
    <col min="1" max="1" width="29.375" customWidth="1"/>
    <col min="2" max="2" width="11.625" customWidth="1"/>
    <col min="3" max="3" width="21.75" customWidth="1"/>
    <col min="4" max="4" width="27.5" customWidth="1"/>
    <col min="5" max="5" width="30.25" customWidth="1"/>
    <col min="6" max="6" width="13.5" customWidth="1"/>
    <col min="7" max="7" width="19.25" customWidth="1"/>
    <col min="8" max="8" width="22.625" customWidth="1"/>
    <col min="9" max="9" width="11.625" customWidth="1"/>
    <col min="10" max="10" width="20" customWidth="1"/>
    <col min="11" max="11" width="11.625" customWidth="1"/>
    <col min="12" max="12" width="22.25" customWidth="1"/>
    <col min="13" max="13" width="20.875" customWidth="1"/>
    <col min="14" max="14" width="19.875" customWidth="1"/>
    <col min="15" max="15" width="15.125" customWidth="1"/>
    <col min="16" max="16" width="12" customWidth="1"/>
    <col min="17" max="17" width="11.75" customWidth="1"/>
    <col min="18" max="18" width="14" customWidth="1"/>
    <col min="19" max="19" width="18.625" customWidth="1"/>
    <col min="20" max="20" width="16.375" customWidth="1"/>
    <col min="21" max="21" width="11.625" customWidth="1"/>
    <col min="22" max="22" width="29.125" customWidth="1"/>
    <col min="23" max="23" width="17.875" customWidth="1"/>
    <col min="24" max="24" width="21.25" customWidth="1"/>
    <col min="25" max="25" width="21.75" customWidth="1"/>
    <col min="26" max="26" width="20.125" customWidth="1"/>
    <col min="27" max="16384" width="9" hidden="1"/>
  </cols>
  <sheetData>
    <row r="1" spans="1:27" x14ac:dyDescent="0.2">
      <c r="A1" t="s">
        <v>3504</v>
      </c>
    </row>
    <row r="2" spans="1:27" x14ac:dyDescent="0.2">
      <c r="A2" s="118" t="s">
        <v>651</v>
      </c>
      <c r="B2" s="119" t="s">
        <v>0</v>
      </c>
      <c r="C2" s="119" t="s">
        <v>780</v>
      </c>
      <c r="D2" s="119" t="s">
        <v>793</v>
      </c>
      <c r="E2" s="119" t="s">
        <v>781</v>
      </c>
      <c r="F2" s="119" t="s">
        <v>747</v>
      </c>
      <c r="G2" s="119" t="s">
        <v>746</v>
      </c>
      <c r="H2" s="119" t="s">
        <v>751</v>
      </c>
      <c r="I2" s="119" t="s">
        <v>1</v>
      </c>
      <c r="J2" s="119" t="s">
        <v>289</v>
      </c>
      <c r="K2" s="119" t="s">
        <v>604</v>
      </c>
      <c r="L2" s="119" t="s">
        <v>739</v>
      </c>
      <c r="M2" s="119" t="s">
        <v>754</v>
      </c>
      <c r="N2" s="119" t="s">
        <v>605</v>
      </c>
      <c r="O2" s="119" t="s">
        <v>606</v>
      </c>
      <c r="P2" s="119" t="s">
        <v>12</v>
      </c>
      <c r="Q2" s="119" t="s">
        <v>396</v>
      </c>
      <c r="R2" s="119" t="s">
        <v>917</v>
      </c>
      <c r="S2" s="119" t="s">
        <v>372</v>
      </c>
      <c r="T2" s="119" t="s">
        <v>16</v>
      </c>
      <c r="U2" s="119" t="s">
        <v>11</v>
      </c>
      <c r="V2" s="147" t="s">
        <v>936</v>
      </c>
      <c r="W2" s="119" t="s">
        <v>1153</v>
      </c>
      <c r="X2" s="119" t="s">
        <v>736</v>
      </c>
      <c r="Y2" s="119" t="s">
        <v>19</v>
      </c>
      <c r="Z2" s="120" t="s">
        <v>30</v>
      </c>
      <c r="AA2" s="159" t="s">
        <v>3484</v>
      </c>
    </row>
    <row r="3" spans="1:27" x14ac:dyDescent="0.2">
      <c r="A3" s="121" t="s">
        <v>1211</v>
      </c>
      <c r="B3" s="122" t="s">
        <v>1211</v>
      </c>
      <c r="C3" s="122" t="s">
        <v>2845</v>
      </c>
      <c r="D3" s="135"/>
      <c r="E3" s="135"/>
      <c r="F3" s="122" t="s">
        <v>2846</v>
      </c>
      <c r="G3" s="122" t="s">
        <v>2847</v>
      </c>
      <c r="H3" s="122" t="s">
        <v>76</v>
      </c>
      <c r="I3" s="122" t="s">
        <v>281</v>
      </c>
      <c r="J3" s="135"/>
      <c r="K3" s="122" t="s">
        <v>53</v>
      </c>
      <c r="L3" s="135"/>
      <c r="M3" s="135"/>
      <c r="N3" s="122" t="s">
        <v>53</v>
      </c>
      <c r="O3" s="122" t="s">
        <v>62</v>
      </c>
      <c r="P3" s="145">
        <v>43033</v>
      </c>
      <c r="Q3" s="122" t="s">
        <v>1216</v>
      </c>
      <c r="R3" s="122" t="s">
        <v>303</v>
      </c>
      <c r="S3" s="122" t="s">
        <v>305</v>
      </c>
      <c r="T3" s="146">
        <v>45930</v>
      </c>
      <c r="U3" s="123">
        <v>1</v>
      </c>
      <c r="V3" s="148">
        <v>2114.665</v>
      </c>
      <c r="W3" s="123">
        <v>2114.665</v>
      </c>
      <c r="X3" s="135"/>
      <c r="Y3" s="125">
        <v>1.401E-2</v>
      </c>
      <c r="Z3" s="126">
        <v>1.8E-3</v>
      </c>
      <c r="AA3" s="159"/>
    </row>
    <row r="4" spans="1:27" x14ac:dyDescent="0.2">
      <c r="A4" s="121" t="s">
        <v>1211</v>
      </c>
      <c r="B4" s="122" t="s">
        <v>1211</v>
      </c>
      <c r="C4" s="122" t="s">
        <v>2848</v>
      </c>
      <c r="D4" s="122"/>
      <c r="E4" s="135"/>
      <c r="F4" s="122" t="s">
        <v>2849</v>
      </c>
      <c r="G4" s="122" t="s">
        <v>2850</v>
      </c>
      <c r="H4" s="122" t="s">
        <v>78</v>
      </c>
      <c r="I4" s="122" t="s">
        <v>749</v>
      </c>
      <c r="J4" s="135"/>
      <c r="K4" s="122" t="s">
        <v>53</v>
      </c>
      <c r="L4" s="135"/>
      <c r="M4" s="135"/>
      <c r="N4" s="122" t="s">
        <v>53</v>
      </c>
      <c r="O4" s="122" t="s">
        <v>62</v>
      </c>
      <c r="P4" s="145">
        <v>43116</v>
      </c>
      <c r="Q4" s="122" t="s">
        <v>1217</v>
      </c>
      <c r="R4" s="122" t="s">
        <v>303</v>
      </c>
      <c r="S4" s="122" t="s">
        <v>305</v>
      </c>
      <c r="T4" s="146">
        <v>45921</v>
      </c>
      <c r="U4" s="123">
        <v>3.306</v>
      </c>
      <c r="V4" s="148">
        <v>524.22353297035693</v>
      </c>
      <c r="W4" s="123">
        <v>1733.0830000000001</v>
      </c>
      <c r="X4" s="135"/>
      <c r="Y4" s="125">
        <v>1.1480000000000001E-2</v>
      </c>
      <c r="Z4" s="126">
        <v>1.48E-3</v>
      </c>
      <c r="AA4" s="159"/>
    </row>
    <row r="5" spans="1:27" x14ac:dyDescent="0.2">
      <c r="A5" s="121" t="s">
        <v>1211</v>
      </c>
      <c r="B5" s="122" t="s">
        <v>1211</v>
      </c>
      <c r="C5" s="122" t="s">
        <v>2851</v>
      </c>
      <c r="D5" s="122"/>
      <c r="E5" s="135"/>
      <c r="F5" s="122" t="s">
        <v>2852</v>
      </c>
      <c r="G5" s="122" t="s">
        <v>2853</v>
      </c>
      <c r="H5" s="122" t="s">
        <v>102</v>
      </c>
      <c r="I5" s="122" t="s">
        <v>281</v>
      </c>
      <c r="J5" s="135"/>
      <c r="K5" s="122" t="s">
        <v>53</v>
      </c>
      <c r="L5" s="135"/>
      <c r="M5" s="135"/>
      <c r="N5" s="122" t="s">
        <v>53</v>
      </c>
      <c r="O5" s="122" t="s">
        <v>62</v>
      </c>
      <c r="P5" s="145">
        <v>43038</v>
      </c>
      <c r="Q5" s="122" t="s">
        <v>1216</v>
      </c>
      <c r="R5" s="122" t="s">
        <v>303</v>
      </c>
      <c r="S5" s="122" t="s">
        <v>305</v>
      </c>
      <c r="T5" s="146">
        <v>45903</v>
      </c>
      <c r="U5" s="123">
        <v>1</v>
      </c>
      <c r="V5" s="148">
        <v>2458.9380000000001</v>
      </c>
      <c r="W5" s="123">
        <v>2458.9380000000001</v>
      </c>
      <c r="X5" s="135"/>
      <c r="Y5" s="125">
        <v>1.6289999999999999E-2</v>
      </c>
      <c r="Z5" s="126">
        <v>2.0999999999999999E-3</v>
      </c>
      <c r="AA5" s="159"/>
    </row>
    <row r="6" spans="1:27" x14ac:dyDescent="0.2">
      <c r="A6" s="121" t="s">
        <v>1211</v>
      </c>
      <c r="B6" s="122" t="s">
        <v>1211</v>
      </c>
      <c r="C6" s="122" t="s">
        <v>2854</v>
      </c>
      <c r="D6" s="122"/>
      <c r="E6" s="135"/>
      <c r="F6" s="122" t="s">
        <v>2855</v>
      </c>
      <c r="G6" s="122" t="s">
        <v>2856</v>
      </c>
      <c r="H6" s="122" t="s">
        <v>102</v>
      </c>
      <c r="I6" s="122" t="s">
        <v>242</v>
      </c>
      <c r="J6" s="135"/>
      <c r="K6" s="122" t="s">
        <v>53</v>
      </c>
      <c r="L6" s="135"/>
      <c r="M6" s="135"/>
      <c r="N6" s="122" t="s">
        <v>53</v>
      </c>
      <c r="O6" s="122" t="s">
        <v>62</v>
      </c>
      <c r="P6" s="145">
        <v>42662</v>
      </c>
      <c r="Q6" s="122" t="s">
        <v>1217</v>
      </c>
      <c r="R6" s="122" t="s">
        <v>303</v>
      </c>
      <c r="S6" s="122" t="s">
        <v>305</v>
      </c>
      <c r="T6" s="146">
        <v>45896</v>
      </c>
      <c r="U6" s="123">
        <v>3.306</v>
      </c>
      <c r="V6" s="148">
        <v>670.45130066545676</v>
      </c>
      <c r="W6" s="123">
        <v>2216.5120000000002</v>
      </c>
      <c r="X6" s="135"/>
      <c r="Y6" s="125">
        <v>1.468E-2</v>
      </c>
      <c r="Z6" s="126">
        <v>1.89E-3</v>
      </c>
      <c r="AA6" s="159"/>
    </row>
    <row r="7" spans="1:27" x14ac:dyDescent="0.2">
      <c r="A7" s="121" t="s">
        <v>1211</v>
      </c>
      <c r="B7" s="122" t="s">
        <v>1211</v>
      </c>
      <c r="C7" s="122" t="s">
        <v>2857</v>
      </c>
      <c r="D7" s="122"/>
      <c r="E7" s="135"/>
      <c r="F7" s="122" t="s">
        <v>2858</v>
      </c>
      <c r="G7" s="122" t="s">
        <v>2859</v>
      </c>
      <c r="H7" s="122" t="s">
        <v>102</v>
      </c>
      <c r="I7" s="122" t="s">
        <v>241</v>
      </c>
      <c r="J7" s="135"/>
      <c r="K7" s="122" t="s">
        <v>53</v>
      </c>
      <c r="L7" s="135"/>
      <c r="M7" s="135"/>
      <c r="N7" s="122" t="s">
        <v>53</v>
      </c>
      <c r="O7" s="122" t="s">
        <v>62</v>
      </c>
      <c r="P7" s="145">
        <v>43615</v>
      </c>
      <c r="Q7" s="122" t="s">
        <v>1216</v>
      </c>
      <c r="R7" s="122" t="s">
        <v>303</v>
      </c>
      <c r="S7" s="122" t="s">
        <v>305</v>
      </c>
      <c r="T7" s="146">
        <v>45922</v>
      </c>
      <c r="U7" s="123">
        <v>1</v>
      </c>
      <c r="V7" s="148">
        <v>1959.67</v>
      </c>
      <c r="W7" s="123">
        <v>1959.67</v>
      </c>
      <c r="X7" s="135"/>
      <c r="Y7" s="125">
        <v>1.298E-2</v>
      </c>
      <c r="Z7" s="126">
        <v>1.67E-3</v>
      </c>
      <c r="AA7" s="159"/>
    </row>
    <row r="8" spans="1:27" x14ac:dyDescent="0.2">
      <c r="A8" s="121" t="s">
        <v>1211</v>
      </c>
      <c r="B8" s="122" t="s">
        <v>1211</v>
      </c>
      <c r="C8" s="122" t="s">
        <v>2860</v>
      </c>
      <c r="D8" s="122"/>
      <c r="E8" s="135"/>
      <c r="F8" s="122" t="s">
        <v>2861</v>
      </c>
      <c r="G8" s="122" t="s">
        <v>2862</v>
      </c>
      <c r="H8" s="122" t="s">
        <v>102</v>
      </c>
      <c r="I8" s="122" t="s">
        <v>281</v>
      </c>
      <c r="J8" s="135"/>
      <c r="K8" s="122" t="s">
        <v>53</v>
      </c>
      <c r="L8" s="135"/>
      <c r="M8" s="135"/>
      <c r="N8" s="122" t="s">
        <v>109</v>
      </c>
      <c r="O8" s="122" t="s">
        <v>62</v>
      </c>
      <c r="P8" s="145">
        <v>42977</v>
      </c>
      <c r="Q8" s="122" t="s">
        <v>1216</v>
      </c>
      <c r="R8" s="122" t="s">
        <v>303</v>
      </c>
      <c r="S8" s="122" t="s">
        <v>305</v>
      </c>
      <c r="T8" s="146">
        <v>45909</v>
      </c>
      <c r="U8" s="123">
        <v>1</v>
      </c>
      <c r="V8" s="148">
        <v>1932.4349999999999</v>
      </c>
      <c r="W8" s="123">
        <v>1932.4349999999999</v>
      </c>
      <c r="X8" s="135"/>
      <c r="Y8" s="125">
        <v>1.2800000000000001E-2</v>
      </c>
      <c r="Z8" s="126">
        <v>1.65E-3</v>
      </c>
      <c r="AA8" s="159"/>
    </row>
    <row r="9" spans="1:27" x14ac:dyDescent="0.2">
      <c r="A9" s="121" t="s">
        <v>1211</v>
      </c>
      <c r="B9" s="122" t="s">
        <v>1211</v>
      </c>
      <c r="C9" s="122" t="s">
        <v>2863</v>
      </c>
      <c r="D9" s="122"/>
      <c r="E9" s="135"/>
      <c r="F9" s="122" t="s">
        <v>2864</v>
      </c>
      <c r="G9" s="122" t="s">
        <v>2865</v>
      </c>
      <c r="H9" s="122" t="s">
        <v>102</v>
      </c>
      <c r="I9" s="122" t="s">
        <v>281</v>
      </c>
      <c r="J9" s="135"/>
      <c r="K9" s="122" t="s">
        <v>53</v>
      </c>
      <c r="L9" s="135"/>
      <c r="M9" s="135"/>
      <c r="N9" s="122" t="s">
        <v>53</v>
      </c>
      <c r="O9" s="122" t="s">
        <v>62</v>
      </c>
      <c r="P9" s="145">
        <v>42758</v>
      </c>
      <c r="Q9" s="122" t="s">
        <v>1216</v>
      </c>
      <c r="R9" s="122" t="s">
        <v>303</v>
      </c>
      <c r="S9" s="122" t="s">
        <v>305</v>
      </c>
      <c r="T9" s="146">
        <v>45909</v>
      </c>
      <c r="U9" s="123">
        <v>1</v>
      </c>
      <c r="V9" s="148">
        <v>1729.1120000000001</v>
      </c>
      <c r="W9" s="123">
        <v>1729.1120000000001</v>
      </c>
      <c r="X9" s="135"/>
      <c r="Y9" s="125">
        <v>1.145E-2</v>
      </c>
      <c r="Z9" s="126">
        <v>1.47E-3</v>
      </c>
      <c r="AA9" s="159"/>
    </row>
    <row r="10" spans="1:27" x14ac:dyDescent="0.2">
      <c r="A10" s="121" t="s">
        <v>1211</v>
      </c>
      <c r="B10" s="122" t="s">
        <v>1211</v>
      </c>
      <c r="C10" s="122" t="s">
        <v>2866</v>
      </c>
      <c r="D10" s="122"/>
      <c r="E10" s="135"/>
      <c r="F10" s="122" t="s">
        <v>2867</v>
      </c>
      <c r="G10" s="122" t="s">
        <v>2868</v>
      </c>
      <c r="H10" s="122" t="s">
        <v>102</v>
      </c>
      <c r="I10" s="122" t="s">
        <v>242</v>
      </c>
      <c r="J10" s="135"/>
      <c r="K10" s="122" t="s">
        <v>53</v>
      </c>
      <c r="L10" s="135"/>
      <c r="M10" s="135"/>
      <c r="N10" s="122" t="s">
        <v>53</v>
      </c>
      <c r="O10" s="122" t="s">
        <v>62</v>
      </c>
      <c r="P10" s="145">
        <v>44286</v>
      </c>
      <c r="Q10" s="122" t="s">
        <v>1216</v>
      </c>
      <c r="R10" s="122" t="s">
        <v>303</v>
      </c>
      <c r="S10" s="122" t="s">
        <v>305</v>
      </c>
      <c r="T10" s="146">
        <v>45883</v>
      </c>
      <c r="U10" s="123">
        <v>1</v>
      </c>
      <c r="V10" s="148">
        <v>1600.2929999999999</v>
      </c>
      <c r="W10" s="123">
        <v>1600.2929999999999</v>
      </c>
      <c r="X10" s="125">
        <v>6.8000000000000005E-4</v>
      </c>
      <c r="Y10" s="125">
        <v>1.06E-2</v>
      </c>
      <c r="Z10" s="126">
        <v>1.3600000000000001E-3</v>
      </c>
      <c r="AA10" s="159"/>
    </row>
    <row r="11" spans="1:27" x14ac:dyDescent="0.2">
      <c r="A11" s="121" t="s">
        <v>1211</v>
      </c>
      <c r="B11" s="122" t="s">
        <v>1211</v>
      </c>
      <c r="C11" s="122" t="s">
        <v>2869</v>
      </c>
      <c r="D11" s="122"/>
      <c r="E11" s="135"/>
      <c r="F11" s="122" t="s">
        <v>2870</v>
      </c>
      <c r="G11" s="122" t="s">
        <v>2871</v>
      </c>
      <c r="H11" s="122" t="s">
        <v>102</v>
      </c>
      <c r="I11" s="122" t="s">
        <v>749</v>
      </c>
      <c r="J11" s="135"/>
      <c r="K11" s="122" t="s">
        <v>53</v>
      </c>
      <c r="L11" s="135"/>
      <c r="M11" s="135"/>
      <c r="N11" s="122" t="s">
        <v>53</v>
      </c>
      <c r="O11" s="122" t="s">
        <v>62</v>
      </c>
      <c r="P11" s="145">
        <v>42576</v>
      </c>
      <c r="Q11" s="122" t="s">
        <v>1217</v>
      </c>
      <c r="R11" s="122" t="s">
        <v>303</v>
      </c>
      <c r="S11" s="122" t="s">
        <v>305</v>
      </c>
      <c r="T11" s="146">
        <v>45930</v>
      </c>
      <c r="U11" s="123">
        <v>3.306</v>
      </c>
      <c r="V11" s="148">
        <v>410.77465214761037</v>
      </c>
      <c r="W11" s="123">
        <v>1358.021</v>
      </c>
      <c r="X11" s="135"/>
      <c r="Y11" s="125">
        <v>8.9899999999999997E-3</v>
      </c>
      <c r="Z11" s="126">
        <v>1.16E-3</v>
      </c>
      <c r="AA11" s="159"/>
    </row>
    <row r="12" spans="1:27" x14ac:dyDescent="0.2">
      <c r="A12" s="121" t="s">
        <v>1211</v>
      </c>
      <c r="B12" s="122" t="s">
        <v>1211</v>
      </c>
      <c r="C12" s="122" t="s">
        <v>2872</v>
      </c>
      <c r="D12" s="122"/>
      <c r="E12" s="135"/>
      <c r="F12" s="122" t="s">
        <v>2873</v>
      </c>
      <c r="G12" s="122" t="s">
        <v>2874</v>
      </c>
      <c r="H12" s="122" t="s">
        <v>102</v>
      </c>
      <c r="I12" s="122" t="s">
        <v>280</v>
      </c>
      <c r="J12" s="135"/>
      <c r="K12" s="122" t="s">
        <v>53</v>
      </c>
      <c r="L12" s="135"/>
      <c r="M12" s="135"/>
      <c r="N12" s="122" t="s">
        <v>53</v>
      </c>
      <c r="O12" s="122" t="s">
        <v>62</v>
      </c>
      <c r="P12" s="145">
        <v>43802</v>
      </c>
      <c r="Q12" s="122" t="s">
        <v>1216</v>
      </c>
      <c r="R12" s="122" t="s">
        <v>303</v>
      </c>
      <c r="S12" s="122" t="s">
        <v>305</v>
      </c>
      <c r="T12" s="146">
        <v>45903</v>
      </c>
      <c r="U12" s="123">
        <v>1</v>
      </c>
      <c r="V12" s="148">
        <v>1352.0909999999999</v>
      </c>
      <c r="W12" s="123">
        <v>1352.0909999999999</v>
      </c>
      <c r="X12" s="135"/>
      <c r="Y12" s="125">
        <v>8.9599999999999992E-3</v>
      </c>
      <c r="Z12" s="126">
        <v>1.15E-3</v>
      </c>
      <c r="AA12" s="159"/>
    </row>
    <row r="13" spans="1:27" x14ac:dyDescent="0.2">
      <c r="A13" s="121" t="s">
        <v>1211</v>
      </c>
      <c r="B13" s="122" t="s">
        <v>1211</v>
      </c>
      <c r="C13" s="122" t="s">
        <v>2875</v>
      </c>
      <c r="D13" s="122"/>
      <c r="E13" s="135"/>
      <c r="F13" s="122" t="s">
        <v>2876</v>
      </c>
      <c r="G13" s="122" t="s">
        <v>2877</v>
      </c>
      <c r="H13" s="122" t="s">
        <v>102</v>
      </c>
      <c r="I13" s="122" t="s">
        <v>749</v>
      </c>
      <c r="J13" s="135"/>
      <c r="K13" s="122" t="s">
        <v>53</v>
      </c>
      <c r="L13" s="135"/>
      <c r="M13" s="135"/>
      <c r="N13" s="122" t="s">
        <v>53</v>
      </c>
      <c r="O13" s="122" t="s">
        <v>62</v>
      </c>
      <c r="P13" s="145">
        <v>44286</v>
      </c>
      <c r="Q13" s="122" t="s">
        <v>1217</v>
      </c>
      <c r="R13" s="122" t="s">
        <v>303</v>
      </c>
      <c r="S13" s="122" t="s">
        <v>305</v>
      </c>
      <c r="T13" s="146">
        <v>45926</v>
      </c>
      <c r="U13" s="123">
        <v>3.306</v>
      </c>
      <c r="V13" s="148">
        <v>407.50362976406535</v>
      </c>
      <c r="W13" s="123">
        <v>1347.2070000000001</v>
      </c>
      <c r="X13" s="125">
        <v>2.3000000000000001E-4</v>
      </c>
      <c r="Y13" s="125">
        <v>8.9200000000000008E-3</v>
      </c>
      <c r="Z13" s="126">
        <v>1.15E-3</v>
      </c>
      <c r="AA13" s="159"/>
    </row>
    <row r="14" spans="1:27" x14ac:dyDescent="0.2">
      <c r="A14" s="121" t="s">
        <v>1211</v>
      </c>
      <c r="B14" s="122" t="s">
        <v>1211</v>
      </c>
      <c r="C14" s="122" t="s">
        <v>2878</v>
      </c>
      <c r="D14" s="122"/>
      <c r="E14" s="135"/>
      <c r="F14" s="122" t="s">
        <v>2879</v>
      </c>
      <c r="G14" s="122" t="s">
        <v>2880</v>
      </c>
      <c r="H14" s="122" t="s">
        <v>102</v>
      </c>
      <c r="I14" s="122" t="s">
        <v>749</v>
      </c>
      <c r="J14" s="135"/>
      <c r="K14" s="122" t="s">
        <v>53</v>
      </c>
      <c r="L14" s="135"/>
      <c r="M14" s="135"/>
      <c r="N14" s="122" t="s">
        <v>53</v>
      </c>
      <c r="O14" s="122" t="s">
        <v>62</v>
      </c>
      <c r="P14" s="145">
        <v>43664</v>
      </c>
      <c r="Q14" s="122" t="s">
        <v>1217</v>
      </c>
      <c r="R14" s="122" t="s">
        <v>303</v>
      </c>
      <c r="S14" s="122" t="s">
        <v>305</v>
      </c>
      <c r="T14" s="146">
        <v>45929</v>
      </c>
      <c r="U14" s="123">
        <v>3.306</v>
      </c>
      <c r="V14" s="148">
        <v>383.09800362976404</v>
      </c>
      <c r="W14" s="123">
        <v>1266.5219999999999</v>
      </c>
      <c r="X14" s="135"/>
      <c r="Y14" s="125">
        <v>8.3899999999999999E-3</v>
      </c>
      <c r="Z14" s="126">
        <v>1.08E-3</v>
      </c>
      <c r="AA14" s="159"/>
    </row>
    <row r="15" spans="1:27" x14ac:dyDescent="0.2">
      <c r="A15" s="121" t="s">
        <v>1211</v>
      </c>
      <c r="B15" s="122" t="s">
        <v>1211</v>
      </c>
      <c r="C15" s="122" t="s">
        <v>2881</v>
      </c>
      <c r="D15" s="122"/>
      <c r="E15" s="135"/>
      <c r="F15" s="122" t="s">
        <v>2882</v>
      </c>
      <c r="G15" s="122" t="s">
        <v>2883</v>
      </c>
      <c r="H15" s="122" t="s">
        <v>102</v>
      </c>
      <c r="I15" s="122" t="s">
        <v>749</v>
      </c>
      <c r="J15" s="135"/>
      <c r="K15" s="122" t="s">
        <v>53</v>
      </c>
      <c r="L15" s="135"/>
      <c r="M15" s="135"/>
      <c r="N15" s="122" t="s">
        <v>53</v>
      </c>
      <c r="O15" s="122" t="s">
        <v>62</v>
      </c>
      <c r="P15" s="145">
        <v>44560</v>
      </c>
      <c r="Q15" s="122" t="s">
        <v>1217</v>
      </c>
      <c r="R15" s="122" t="s">
        <v>303</v>
      </c>
      <c r="S15" s="122" t="s">
        <v>305</v>
      </c>
      <c r="T15" s="146">
        <v>45930</v>
      </c>
      <c r="U15" s="123">
        <v>3.306</v>
      </c>
      <c r="V15" s="148">
        <v>380.09437386569874</v>
      </c>
      <c r="W15" s="123">
        <v>1256.5920000000001</v>
      </c>
      <c r="X15" s="125">
        <v>8.3000000000000001E-4</v>
      </c>
      <c r="Y15" s="125">
        <v>8.3199999999999993E-3</v>
      </c>
      <c r="Z15" s="126">
        <v>1.07E-3</v>
      </c>
      <c r="AA15" s="159"/>
    </row>
    <row r="16" spans="1:27" x14ac:dyDescent="0.2">
      <c r="A16" s="121" t="s">
        <v>1211</v>
      </c>
      <c r="B16" s="122" t="s">
        <v>1211</v>
      </c>
      <c r="C16" s="122" t="s">
        <v>2884</v>
      </c>
      <c r="D16" s="122"/>
      <c r="E16" s="135"/>
      <c r="F16" s="122" t="s">
        <v>2885</v>
      </c>
      <c r="G16" s="122" t="s">
        <v>2886</v>
      </c>
      <c r="H16" s="122" t="s">
        <v>102</v>
      </c>
      <c r="I16" s="122" t="s">
        <v>749</v>
      </c>
      <c r="J16" s="135"/>
      <c r="K16" s="122" t="s">
        <v>53</v>
      </c>
      <c r="L16" s="135"/>
      <c r="M16" s="135"/>
      <c r="N16" s="122" t="s">
        <v>53</v>
      </c>
      <c r="O16" s="122" t="s">
        <v>62</v>
      </c>
      <c r="P16" s="145">
        <v>44636</v>
      </c>
      <c r="Q16" s="122" t="s">
        <v>1216</v>
      </c>
      <c r="R16" s="122" t="s">
        <v>303</v>
      </c>
      <c r="S16" s="122" t="s">
        <v>305</v>
      </c>
      <c r="T16" s="146">
        <v>45897</v>
      </c>
      <c r="U16" s="123">
        <v>1</v>
      </c>
      <c r="V16" s="148">
        <v>1162.9739999999999</v>
      </c>
      <c r="W16" s="123">
        <v>1162.9739999999999</v>
      </c>
      <c r="X16" s="125">
        <v>2.16E-3</v>
      </c>
      <c r="Y16" s="125">
        <v>7.7000000000000002E-3</v>
      </c>
      <c r="Z16" s="126">
        <v>9.8999999999999999E-4</v>
      </c>
      <c r="AA16" s="159"/>
    </row>
    <row r="17" spans="1:27" x14ac:dyDescent="0.2">
      <c r="A17" s="121" t="s">
        <v>1211</v>
      </c>
      <c r="B17" s="122" t="s">
        <v>1211</v>
      </c>
      <c r="C17" s="122" t="s">
        <v>102</v>
      </c>
      <c r="D17" s="122"/>
      <c r="E17" s="135"/>
      <c r="F17" s="122" t="s">
        <v>2887</v>
      </c>
      <c r="G17" s="122" t="s">
        <v>2888</v>
      </c>
      <c r="H17" s="122" t="s">
        <v>102</v>
      </c>
      <c r="I17" s="122" t="s">
        <v>926</v>
      </c>
      <c r="J17" s="135"/>
      <c r="K17" s="122" t="s">
        <v>53</v>
      </c>
      <c r="L17" s="135"/>
      <c r="M17" s="135"/>
      <c r="N17" s="122" t="s">
        <v>314</v>
      </c>
      <c r="O17" s="122" t="s">
        <v>62</v>
      </c>
      <c r="P17" s="145">
        <v>44560</v>
      </c>
      <c r="Q17" s="122" t="s">
        <v>1217</v>
      </c>
      <c r="R17" s="122" t="s">
        <v>303</v>
      </c>
      <c r="S17" s="122" t="s">
        <v>305</v>
      </c>
      <c r="T17" s="146">
        <v>45930</v>
      </c>
      <c r="U17" s="123">
        <v>3.306</v>
      </c>
      <c r="V17" s="148">
        <v>347.27192982456137</v>
      </c>
      <c r="W17" s="123">
        <v>1148.0809999999999</v>
      </c>
      <c r="X17" s="125">
        <v>0</v>
      </c>
      <c r="Y17" s="125">
        <v>7.6E-3</v>
      </c>
      <c r="Z17" s="126">
        <v>9.7999999999999997E-4</v>
      </c>
      <c r="AA17" s="159"/>
    </row>
    <row r="18" spans="1:27" x14ac:dyDescent="0.2">
      <c r="A18" s="121" t="s">
        <v>1211</v>
      </c>
      <c r="B18" s="122" t="s">
        <v>1211</v>
      </c>
      <c r="C18" s="122" t="s">
        <v>2889</v>
      </c>
      <c r="D18" s="122"/>
      <c r="E18" s="135"/>
      <c r="F18" s="122" t="s">
        <v>2890</v>
      </c>
      <c r="G18" s="122" t="s">
        <v>2891</v>
      </c>
      <c r="H18" s="122" t="s">
        <v>102</v>
      </c>
      <c r="I18" s="122" t="s">
        <v>926</v>
      </c>
      <c r="J18" s="135"/>
      <c r="K18" s="122" t="s">
        <v>53</v>
      </c>
      <c r="L18" s="135"/>
      <c r="M18" s="135"/>
      <c r="N18" s="122" t="s">
        <v>53</v>
      </c>
      <c r="O18" s="122" t="s">
        <v>62</v>
      </c>
      <c r="P18" s="145">
        <v>43327</v>
      </c>
      <c r="Q18" s="122" t="s">
        <v>1217</v>
      </c>
      <c r="R18" s="122" t="s">
        <v>303</v>
      </c>
      <c r="S18" s="122" t="s">
        <v>305</v>
      </c>
      <c r="T18" s="146">
        <v>45897</v>
      </c>
      <c r="U18" s="123">
        <v>3.306</v>
      </c>
      <c r="V18" s="148">
        <v>338.28100423472472</v>
      </c>
      <c r="W18" s="123">
        <v>1118.357</v>
      </c>
      <c r="X18" s="125">
        <v>2.2300000000000002E-3</v>
      </c>
      <c r="Y18" s="125">
        <v>7.4099999999999999E-3</v>
      </c>
      <c r="Z18" s="126">
        <v>9.5E-4</v>
      </c>
      <c r="AA18" s="159"/>
    </row>
    <row r="19" spans="1:27" x14ac:dyDescent="0.2">
      <c r="A19" s="121" t="s">
        <v>1211</v>
      </c>
      <c r="B19" s="122" t="s">
        <v>1211</v>
      </c>
      <c r="C19" s="122" t="s">
        <v>2866</v>
      </c>
      <c r="D19" s="122"/>
      <c r="E19" s="135"/>
      <c r="F19" s="122" t="s">
        <v>2892</v>
      </c>
      <c r="G19" s="122" t="s">
        <v>2893</v>
      </c>
      <c r="H19" s="122" t="s">
        <v>102</v>
      </c>
      <c r="I19" s="122" t="s">
        <v>242</v>
      </c>
      <c r="J19" s="135"/>
      <c r="K19" s="122" t="s">
        <v>53</v>
      </c>
      <c r="L19" s="135"/>
      <c r="M19" s="135"/>
      <c r="N19" s="122" t="s">
        <v>53</v>
      </c>
      <c r="O19" s="122" t="s">
        <v>62</v>
      </c>
      <c r="P19" s="145">
        <v>43611</v>
      </c>
      <c r="Q19" s="122" t="s">
        <v>1216</v>
      </c>
      <c r="R19" s="122" t="s">
        <v>303</v>
      </c>
      <c r="S19" s="122" t="s">
        <v>305</v>
      </c>
      <c r="T19" s="146">
        <v>45883</v>
      </c>
      <c r="U19" s="123">
        <v>1</v>
      </c>
      <c r="V19" s="148">
        <v>1090.806</v>
      </c>
      <c r="W19" s="123">
        <v>1090.806</v>
      </c>
      <c r="X19" s="125">
        <v>8.0000000000000004E-4</v>
      </c>
      <c r="Y19" s="125">
        <v>7.2199999999999999E-3</v>
      </c>
      <c r="Z19" s="126">
        <v>9.3000000000000005E-4</v>
      </c>
      <c r="AA19" s="159"/>
    </row>
    <row r="20" spans="1:27" x14ac:dyDescent="0.2">
      <c r="A20" s="121" t="s">
        <v>1211</v>
      </c>
      <c r="B20" s="122" t="s">
        <v>1211</v>
      </c>
      <c r="C20" s="122" t="s">
        <v>102</v>
      </c>
      <c r="D20" s="122"/>
      <c r="E20" s="135"/>
      <c r="F20" s="122" t="s">
        <v>2894</v>
      </c>
      <c r="G20" s="122" t="s">
        <v>2895</v>
      </c>
      <c r="H20" s="122" t="s">
        <v>102</v>
      </c>
      <c r="I20" s="122" t="s">
        <v>926</v>
      </c>
      <c r="J20" s="135"/>
      <c r="K20" s="122" t="s">
        <v>53</v>
      </c>
      <c r="L20" s="135"/>
      <c r="M20" s="135"/>
      <c r="N20" s="122" t="s">
        <v>117</v>
      </c>
      <c r="O20" s="122" t="s">
        <v>62</v>
      </c>
      <c r="P20" s="145">
        <v>43396</v>
      </c>
      <c r="Q20" s="122" t="s">
        <v>1218</v>
      </c>
      <c r="R20" s="122" t="s">
        <v>303</v>
      </c>
      <c r="S20" s="122" t="s">
        <v>305</v>
      </c>
      <c r="T20" s="146">
        <v>45897</v>
      </c>
      <c r="U20" s="123">
        <v>3.8809999999999998</v>
      </c>
      <c r="V20" s="148">
        <v>266.00592630765266</v>
      </c>
      <c r="W20" s="123">
        <v>1032.3689999999999</v>
      </c>
      <c r="X20" s="135"/>
      <c r="Y20" s="125">
        <v>6.8399999999999997E-3</v>
      </c>
      <c r="Z20" s="126">
        <v>8.8000000000000003E-4</v>
      </c>
      <c r="AA20" s="159"/>
    </row>
    <row r="21" spans="1:27" x14ac:dyDescent="0.2">
      <c r="A21" s="121" t="s">
        <v>1211</v>
      </c>
      <c r="B21" s="122" t="s">
        <v>1211</v>
      </c>
      <c r="C21" s="122" t="s">
        <v>2896</v>
      </c>
      <c r="D21" s="122"/>
      <c r="E21" s="135"/>
      <c r="F21" s="122" t="s">
        <v>2897</v>
      </c>
      <c r="G21" s="122" t="s">
        <v>2898</v>
      </c>
      <c r="H21" s="122" t="s">
        <v>102</v>
      </c>
      <c r="I21" s="122" t="s">
        <v>280</v>
      </c>
      <c r="J21" s="135"/>
      <c r="K21" s="122" t="s">
        <v>53</v>
      </c>
      <c r="L21" s="135"/>
      <c r="M21" s="135"/>
      <c r="N21" s="122" t="s">
        <v>53</v>
      </c>
      <c r="O21" s="122" t="s">
        <v>62</v>
      </c>
      <c r="P21" s="145">
        <v>44651</v>
      </c>
      <c r="Q21" s="122" t="s">
        <v>1216</v>
      </c>
      <c r="R21" s="122" t="s">
        <v>303</v>
      </c>
      <c r="S21" s="122" t="s">
        <v>305</v>
      </c>
      <c r="T21" s="145">
        <v>45904</v>
      </c>
      <c r="U21" s="123">
        <v>1</v>
      </c>
      <c r="V21" s="148">
        <v>1024.586</v>
      </c>
      <c r="W21" s="123">
        <v>1024.586</v>
      </c>
      <c r="X21" s="125">
        <v>4.7200000000000002E-3</v>
      </c>
      <c r="Y21" s="125">
        <v>6.79E-3</v>
      </c>
      <c r="Z21" s="126">
        <v>8.7000000000000001E-4</v>
      </c>
      <c r="AA21" s="159"/>
    </row>
    <row r="22" spans="1:27" x14ac:dyDescent="0.2">
      <c r="A22" s="121" t="s">
        <v>1211</v>
      </c>
      <c r="B22" s="122" t="s">
        <v>1211</v>
      </c>
      <c r="C22" s="122" t="s">
        <v>2860</v>
      </c>
      <c r="D22" s="122"/>
      <c r="E22" s="122"/>
      <c r="F22" s="122" t="s">
        <v>2899</v>
      </c>
      <c r="G22" s="122" t="s">
        <v>2900</v>
      </c>
      <c r="H22" s="122" t="s">
        <v>102</v>
      </c>
      <c r="I22" s="122" t="s">
        <v>281</v>
      </c>
      <c r="J22" s="122"/>
      <c r="K22" s="122" t="s">
        <v>53</v>
      </c>
      <c r="L22" s="122"/>
      <c r="M22" s="122"/>
      <c r="N22" s="122" t="s">
        <v>53</v>
      </c>
      <c r="O22" s="122" t="s">
        <v>62</v>
      </c>
      <c r="P22" s="145">
        <v>45378</v>
      </c>
      <c r="Q22" s="122" t="s">
        <v>1216</v>
      </c>
      <c r="R22" s="122" t="s">
        <v>303</v>
      </c>
      <c r="S22" s="122" t="s">
        <v>305</v>
      </c>
      <c r="T22" s="145">
        <v>45904</v>
      </c>
      <c r="U22" s="123">
        <v>1</v>
      </c>
      <c r="V22" s="148">
        <v>994.20699999999999</v>
      </c>
      <c r="W22" s="123">
        <v>994.20699999999999</v>
      </c>
      <c r="X22" s="125">
        <v>6.1900000000000002E-3</v>
      </c>
      <c r="Y22" s="125">
        <v>6.5799999999999999E-3</v>
      </c>
      <c r="Z22" s="126">
        <v>8.4999999999999995E-4</v>
      </c>
      <c r="AA22" s="159"/>
    </row>
    <row r="23" spans="1:27" x14ac:dyDescent="0.2">
      <c r="A23" s="121" t="s">
        <v>1211</v>
      </c>
      <c r="B23" s="122" t="s">
        <v>1211</v>
      </c>
      <c r="C23" s="122" t="s">
        <v>2872</v>
      </c>
      <c r="D23" s="122"/>
      <c r="E23" s="122"/>
      <c r="F23" s="122" t="s">
        <v>2901</v>
      </c>
      <c r="G23" s="122" t="s">
        <v>2902</v>
      </c>
      <c r="H23" s="122" t="s">
        <v>102</v>
      </c>
      <c r="I23" s="122" t="s">
        <v>280</v>
      </c>
      <c r="J23" s="122"/>
      <c r="K23" s="122" t="s">
        <v>53</v>
      </c>
      <c r="L23" s="122"/>
      <c r="M23" s="122"/>
      <c r="N23" s="122" t="s">
        <v>53</v>
      </c>
      <c r="O23" s="122" t="s">
        <v>62</v>
      </c>
      <c r="P23" s="145">
        <v>43130</v>
      </c>
      <c r="Q23" s="122" t="s">
        <v>1216</v>
      </c>
      <c r="R23" s="122" t="s">
        <v>303</v>
      </c>
      <c r="S23" s="122" t="s">
        <v>305</v>
      </c>
      <c r="T23" s="145">
        <v>45897</v>
      </c>
      <c r="U23" s="123">
        <v>1</v>
      </c>
      <c r="V23" s="148">
        <v>901.72799999999995</v>
      </c>
      <c r="W23" s="123">
        <v>901.72799999999995</v>
      </c>
      <c r="X23" s="122"/>
      <c r="Y23" s="125">
        <v>5.9699999999999996E-3</v>
      </c>
      <c r="Z23" s="126">
        <v>7.6999999999999996E-4</v>
      </c>
      <c r="AA23" s="159"/>
    </row>
    <row r="24" spans="1:27" x14ac:dyDescent="0.2">
      <c r="A24" s="121" t="s">
        <v>1211</v>
      </c>
      <c r="B24" s="122" t="s">
        <v>1211</v>
      </c>
      <c r="C24" s="122" t="s">
        <v>2903</v>
      </c>
      <c r="D24" s="122"/>
      <c r="E24" s="122"/>
      <c r="F24" s="122" t="s">
        <v>2904</v>
      </c>
      <c r="G24" s="122" t="s">
        <v>2905</v>
      </c>
      <c r="H24" s="122" t="s">
        <v>102</v>
      </c>
      <c r="I24" s="122" t="s">
        <v>926</v>
      </c>
      <c r="J24" s="122"/>
      <c r="K24" s="122" t="s">
        <v>53</v>
      </c>
      <c r="L24" s="122"/>
      <c r="M24" s="122"/>
      <c r="N24" s="122" t="s">
        <v>53</v>
      </c>
      <c r="O24" s="122" t="s">
        <v>62</v>
      </c>
      <c r="P24" s="145">
        <v>44633</v>
      </c>
      <c r="Q24" s="122" t="s">
        <v>1217</v>
      </c>
      <c r="R24" s="122" t="s">
        <v>303</v>
      </c>
      <c r="S24" s="122" t="s">
        <v>305</v>
      </c>
      <c r="T24" s="145">
        <v>45916</v>
      </c>
      <c r="U24" s="123">
        <v>3.306</v>
      </c>
      <c r="V24" s="148">
        <v>271.18542044767088</v>
      </c>
      <c r="W24" s="123">
        <v>896.53899999999999</v>
      </c>
      <c r="X24" s="125">
        <v>2.31E-3</v>
      </c>
      <c r="Y24" s="125">
        <v>5.94E-3</v>
      </c>
      <c r="Z24" s="126">
        <v>7.6000000000000004E-4</v>
      </c>
      <c r="AA24" s="159"/>
    </row>
    <row r="25" spans="1:27" x14ac:dyDescent="0.2">
      <c r="A25" s="121" t="s">
        <v>1211</v>
      </c>
      <c r="B25" s="122" t="s">
        <v>1211</v>
      </c>
      <c r="C25" s="122" t="s">
        <v>2906</v>
      </c>
      <c r="D25" s="122"/>
      <c r="E25" s="122"/>
      <c r="F25" s="122" t="s">
        <v>2907</v>
      </c>
      <c r="G25" s="122" t="s">
        <v>2908</v>
      </c>
      <c r="H25" s="122" t="s">
        <v>102</v>
      </c>
      <c r="I25" s="122" t="s">
        <v>749</v>
      </c>
      <c r="J25" s="122"/>
      <c r="K25" s="122" t="s">
        <v>53</v>
      </c>
      <c r="L25" s="122"/>
      <c r="M25" s="122"/>
      <c r="N25" s="122" t="s">
        <v>314</v>
      </c>
      <c r="O25" s="122" t="s">
        <v>62</v>
      </c>
      <c r="P25" s="145">
        <v>45475</v>
      </c>
      <c r="Q25" s="122" t="s">
        <v>1217</v>
      </c>
      <c r="R25" s="122" t="s">
        <v>303</v>
      </c>
      <c r="S25" s="122" t="s">
        <v>305</v>
      </c>
      <c r="T25" s="145">
        <v>45929</v>
      </c>
      <c r="U25" s="123">
        <v>3.306</v>
      </c>
      <c r="V25" s="148">
        <v>267.02359346642464</v>
      </c>
      <c r="W25" s="123">
        <v>882.78</v>
      </c>
      <c r="X25" s="125">
        <v>0</v>
      </c>
      <c r="Y25" s="125">
        <v>5.8500000000000002E-3</v>
      </c>
      <c r="Z25" s="126">
        <v>7.5000000000000002E-4</v>
      </c>
      <c r="AA25" s="159"/>
    </row>
    <row r="26" spans="1:27" x14ac:dyDescent="0.2">
      <c r="A26" s="121" t="s">
        <v>1211</v>
      </c>
      <c r="B26" s="122" t="s">
        <v>1211</v>
      </c>
      <c r="C26" s="122" t="s">
        <v>2909</v>
      </c>
      <c r="D26" s="122"/>
      <c r="E26" s="122"/>
      <c r="F26" s="122" t="s">
        <v>2910</v>
      </c>
      <c r="G26" s="122" t="s">
        <v>2911</v>
      </c>
      <c r="H26" s="122" t="s">
        <v>102</v>
      </c>
      <c r="I26" s="122" t="s">
        <v>241</v>
      </c>
      <c r="J26" s="122"/>
      <c r="K26" s="122" t="s">
        <v>53</v>
      </c>
      <c r="L26" s="122"/>
      <c r="M26" s="122"/>
      <c r="N26" s="122" t="s">
        <v>53</v>
      </c>
      <c r="O26" s="122" t="s">
        <v>62</v>
      </c>
      <c r="P26" s="145">
        <v>44722</v>
      </c>
      <c r="Q26" s="122" t="s">
        <v>1216</v>
      </c>
      <c r="R26" s="122" t="s">
        <v>303</v>
      </c>
      <c r="S26" s="122" t="s">
        <v>305</v>
      </c>
      <c r="T26" s="145">
        <v>45889</v>
      </c>
      <c r="U26" s="123">
        <v>1</v>
      </c>
      <c r="V26" s="148">
        <v>874.07500000000005</v>
      </c>
      <c r="W26" s="123">
        <v>874.07500000000005</v>
      </c>
      <c r="X26" s="125">
        <v>6.2E-4</v>
      </c>
      <c r="Y26" s="125">
        <v>5.79E-3</v>
      </c>
      <c r="Z26" s="126">
        <v>7.5000000000000002E-4</v>
      </c>
      <c r="AA26" s="159"/>
    </row>
    <row r="27" spans="1:27" x14ac:dyDescent="0.2">
      <c r="A27" s="121" t="s">
        <v>1211</v>
      </c>
      <c r="B27" s="122" t="s">
        <v>1211</v>
      </c>
      <c r="C27" s="122" t="s">
        <v>2912</v>
      </c>
      <c r="D27" s="122"/>
      <c r="E27" s="122"/>
      <c r="F27" s="122" t="s">
        <v>2913</v>
      </c>
      <c r="G27" s="122" t="s">
        <v>2914</v>
      </c>
      <c r="H27" s="122" t="s">
        <v>102</v>
      </c>
      <c r="I27" s="122" t="s">
        <v>280</v>
      </c>
      <c r="J27" s="122"/>
      <c r="K27" s="122" t="s">
        <v>53</v>
      </c>
      <c r="L27" s="122"/>
      <c r="M27" s="122"/>
      <c r="N27" s="122" t="s">
        <v>53</v>
      </c>
      <c r="O27" s="122" t="s">
        <v>62</v>
      </c>
      <c r="P27" s="145">
        <v>44560</v>
      </c>
      <c r="Q27" s="122" t="s">
        <v>1216</v>
      </c>
      <c r="R27" s="122" t="s">
        <v>303</v>
      </c>
      <c r="S27" s="122" t="s">
        <v>305</v>
      </c>
      <c r="T27" s="145">
        <v>45929</v>
      </c>
      <c r="U27" s="123">
        <v>1</v>
      </c>
      <c r="V27" s="148">
        <v>817.88300000000004</v>
      </c>
      <c r="W27" s="123">
        <v>817.88300000000004</v>
      </c>
      <c r="X27" s="122"/>
      <c r="Y27" s="125">
        <v>5.4200000000000003E-3</v>
      </c>
      <c r="Z27" s="126">
        <v>6.9999999999999999E-4</v>
      </c>
      <c r="AA27" s="159"/>
    </row>
    <row r="28" spans="1:27" x14ac:dyDescent="0.2">
      <c r="A28" s="121" t="s">
        <v>1211</v>
      </c>
      <c r="B28" s="122" t="s">
        <v>1211</v>
      </c>
      <c r="C28" s="122" t="s">
        <v>2915</v>
      </c>
      <c r="D28" s="122"/>
      <c r="E28" s="122"/>
      <c r="F28" s="122" t="s">
        <v>2916</v>
      </c>
      <c r="G28" s="122" t="s">
        <v>2917</v>
      </c>
      <c r="H28" s="122" t="s">
        <v>102</v>
      </c>
      <c r="I28" s="122" t="s">
        <v>280</v>
      </c>
      <c r="J28" s="122"/>
      <c r="K28" s="122" t="s">
        <v>53</v>
      </c>
      <c r="L28" s="122"/>
      <c r="M28" s="122"/>
      <c r="N28" s="122" t="s">
        <v>53</v>
      </c>
      <c r="O28" s="122" t="s">
        <v>62</v>
      </c>
      <c r="P28" s="145">
        <v>45056</v>
      </c>
      <c r="Q28" s="122" t="s">
        <v>1216</v>
      </c>
      <c r="R28" s="122" t="s">
        <v>303</v>
      </c>
      <c r="S28" s="122" t="s">
        <v>305</v>
      </c>
      <c r="T28" s="145">
        <v>45915</v>
      </c>
      <c r="U28" s="123">
        <v>1</v>
      </c>
      <c r="V28" s="148">
        <v>794.21100000000001</v>
      </c>
      <c r="W28" s="123">
        <v>794.21100000000001</v>
      </c>
      <c r="X28" s="122"/>
      <c r="Y28" s="125">
        <v>5.2599999999999999E-3</v>
      </c>
      <c r="Z28" s="126">
        <v>6.8000000000000005E-4</v>
      </c>
      <c r="AA28" s="159"/>
    </row>
    <row r="29" spans="1:27" x14ac:dyDescent="0.2">
      <c r="A29" s="121" t="s">
        <v>1211</v>
      </c>
      <c r="B29" s="122" t="s">
        <v>1211</v>
      </c>
      <c r="C29" s="122" t="s">
        <v>2918</v>
      </c>
      <c r="D29" s="122"/>
      <c r="E29" s="122"/>
      <c r="F29" s="122" t="s">
        <v>2919</v>
      </c>
      <c r="G29" s="122" t="s">
        <v>2920</v>
      </c>
      <c r="H29" s="122" t="s">
        <v>102</v>
      </c>
      <c r="I29" s="122" t="s">
        <v>280</v>
      </c>
      <c r="J29" s="122"/>
      <c r="K29" s="122" t="s">
        <v>53</v>
      </c>
      <c r="L29" s="122"/>
      <c r="M29" s="122"/>
      <c r="N29" s="122" t="s">
        <v>53</v>
      </c>
      <c r="O29" s="122" t="s">
        <v>62</v>
      </c>
      <c r="P29" s="145">
        <v>45034</v>
      </c>
      <c r="Q29" s="122" t="s">
        <v>1216</v>
      </c>
      <c r="R29" s="122" t="s">
        <v>303</v>
      </c>
      <c r="S29" s="122" t="s">
        <v>305</v>
      </c>
      <c r="T29" s="145">
        <v>45893</v>
      </c>
      <c r="U29" s="123">
        <v>1</v>
      </c>
      <c r="V29" s="148">
        <v>781.72699999999998</v>
      </c>
      <c r="W29" s="123">
        <v>781.72699999999998</v>
      </c>
      <c r="X29" s="125">
        <v>2.1000000000000001E-4</v>
      </c>
      <c r="Y29" s="125">
        <v>5.1799999999999997E-3</v>
      </c>
      <c r="Z29" s="126">
        <v>6.7000000000000002E-4</v>
      </c>
      <c r="AA29" s="159"/>
    </row>
    <row r="30" spans="1:27" x14ac:dyDescent="0.2">
      <c r="A30" s="121" t="s">
        <v>1211</v>
      </c>
      <c r="B30" s="122" t="s">
        <v>1211</v>
      </c>
      <c r="C30" s="122" t="s">
        <v>2921</v>
      </c>
      <c r="D30" s="122"/>
      <c r="E30" s="122"/>
      <c r="F30" s="122" t="s">
        <v>2922</v>
      </c>
      <c r="G30" s="122" t="s">
        <v>2923</v>
      </c>
      <c r="H30" s="122" t="s">
        <v>102</v>
      </c>
      <c r="I30" s="122" t="s">
        <v>749</v>
      </c>
      <c r="J30" s="122"/>
      <c r="K30" s="122" t="s">
        <v>53</v>
      </c>
      <c r="L30" s="122"/>
      <c r="M30" s="122"/>
      <c r="N30" s="122" t="s">
        <v>53</v>
      </c>
      <c r="O30" s="122" t="s">
        <v>62</v>
      </c>
      <c r="P30" s="145">
        <v>45215</v>
      </c>
      <c r="Q30" s="122" t="s">
        <v>1217</v>
      </c>
      <c r="R30" s="122" t="s">
        <v>303</v>
      </c>
      <c r="S30" s="122" t="s">
        <v>305</v>
      </c>
      <c r="T30" s="145">
        <v>45882</v>
      </c>
      <c r="U30" s="123">
        <v>3.306</v>
      </c>
      <c r="V30" s="148">
        <v>235.95281306715063</v>
      </c>
      <c r="W30" s="123">
        <v>780.06</v>
      </c>
      <c r="X30" s="125">
        <v>2.1000000000000001E-4</v>
      </c>
      <c r="Y30" s="125">
        <v>5.1700000000000001E-3</v>
      </c>
      <c r="Z30" s="126">
        <v>6.7000000000000002E-4</v>
      </c>
      <c r="AA30" s="159"/>
    </row>
    <row r="31" spans="1:27" x14ac:dyDescent="0.2">
      <c r="A31" s="121" t="s">
        <v>1211</v>
      </c>
      <c r="B31" s="122" t="s">
        <v>1211</v>
      </c>
      <c r="C31" s="122" t="s">
        <v>2924</v>
      </c>
      <c r="D31" s="122"/>
      <c r="E31" s="122"/>
      <c r="F31" s="122" t="s">
        <v>2925</v>
      </c>
      <c r="G31" s="122" t="s">
        <v>2926</v>
      </c>
      <c r="H31" s="122" t="s">
        <v>102</v>
      </c>
      <c r="I31" s="122" t="s">
        <v>749</v>
      </c>
      <c r="J31" s="122"/>
      <c r="K31" s="122" t="s">
        <v>53</v>
      </c>
      <c r="L31" s="122"/>
      <c r="M31" s="122"/>
      <c r="N31" s="122" t="s">
        <v>317</v>
      </c>
      <c r="O31" s="122" t="s">
        <v>62</v>
      </c>
      <c r="P31" s="145">
        <v>44633</v>
      </c>
      <c r="Q31" s="122" t="s">
        <v>1217</v>
      </c>
      <c r="R31" s="122" t="s">
        <v>303</v>
      </c>
      <c r="S31" s="122" t="s">
        <v>305</v>
      </c>
      <c r="T31" s="145">
        <v>45896</v>
      </c>
      <c r="U31" s="123">
        <v>3.306</v>
      </c>
      <c r="V31" s="148">
        <v>209.94555353901998</v>
      </c>
      <c r="W31" s="123">
        <v>694.08</v>
      </c>
      <c r="X31" s="122"/>
      <c r="Y31" s="125">
        <v>4.5999999999999999E-3</v>
      </c>
      <c r="Z31" s="126">
        <v>5.9000000000000003E-4</v>
      </c>
      <c r="AA31" s="159"/>
    </row>
    <row r="32" spans="1:27" x14ac:dyDescent="0.2">
      <c r="A32" s="121" t="s">
        <v>1211</v>
      </c>
      <c r="B32" s="122" t="s">
        <v>1211</v>
      </c>
      <c r="C32" s="122" t="s">
        <v>2927</v>
      </c>
      <c r="D32" s="122"/>
      <c r="E32" s="122"/>
      <c r="F32" s="122" t="s">
        <v>2928</v>
      </c>
      <c r="G32" s="122" t="s">
        <v>2929</v>
      </c>
      <c r="H32" s="122" t="s">
        <v>102</v>
      </c>
      <c r="I32" s="122" t="s">
        <v>749</v>
      </c>
      <c r="J32" s="122"/>
      <c r="K32" s="122" t="s">
        <v>53</v>
      </c>
      <c r="L32" s="122"/>
      <c r="M32" s="122"/>
      <c r="N32" s="122" t="s">
        <v>53</v>
      </c>
      <c r="O32" s="122" t="s">
        <v>62</v>
      </c>
      <c r="P32" s="145">
        <v>41631</v>
      </c>
      <c r="Q32" s="122" t="s">
        <v>1217</v>
      </c>
      <c r="R32" s="122" t="s">
        <v>303</v>
      </c>
      <c r="S32" s="122" t="s">
        <v>305</v>
      </c>
      <c r="T32" s="145">
        <v>45921</v>
      </c>
      <c r="U32" s="123">
        <v>3.306</v>
      </c>
      <c r="V32" s="148">
        <v>198.39745916515429</v>
      </c>
      <c r="W32" s="123">
        <v>655.90200000000004</v>
      </c>
      <c r="X32" s="122"/>
      <c r="Y32" s="125">
        <v>4.3400000000000001E-3</v>
      </c>
      <c r="Z32" s="126">
        <v>5.5999999999999995E-4</v>
      </c>
      <c r="AA32" s="159"/>
    </row>
    <row r="33" spans="1:27" x14ac:dyDescent="0.2">
      <c r="A33" s="121" t="s">
        <v>1211</v>
      </c>
      <c r="B33" s="122" t="s">
        <v>1211</v>
      </c>
      <c r="C33" s="122" t="s">
        <v>2930</v>
      </c>
      <c r="D33" s="122"/>
      <c r="E33" s="122"/>
      <c r="F33" s="122" t="s">
        <v>2930</v>
      </c>
      <c r="G33" s="122" t="s">
        <v>2931</v>
      </c>
      <c r="H33" s="122" t="s">
        <v>102</v>
      </c>
      <c r="I33" s="122" t="s">
        <v>241</v>
      </c>
      <c r="J33" s="122"/>
      <c r="K33" s="122" t="s">
        <v>53</v>
      </c>
      <c r="L33" s="122"/>
      <c r="M33" s="122"/>
      <c r="N33" s="122" t="s">
        <v>53</v>
      </c>
      <c r="O33" s="122" t="s">
        <v>62</v>
      </c>
      <c r="P33" s="145">
        <v>44192</v>
      </c>
      <c r="Q33" s="122" t="s">
        <v>1216</v>
      </c>
      <c r="R33" s="122" t="s">
        <v>303</v>
      </c>
      <c r="S33" s="122" t="s">
        <v>305</v>
      </c>
      <c r="T33" s="145">
        <v>45894</v>
      </c>
      <c r="U33" s="123">
        <v>1</v>
      </c>
      <c r="V33" s="148">
        <v>641.46400000000006</v>
      </c>
      <c r="W33" s="123">
        <v>641.46400000000006</v>
      </c>
      <c r="X33" s="125">
        <v>1.74E-3</v>
      </c>
      <c r="Y33" s="125">
        <v>4.2500000000000003E-3</v>
      </c>
      <c r="Z33" s="126">
        <v>5.5000000000000003E-4</v>
      </c>
      <c r="AA33" s="159"/>
    </row>
    <row r="34" spans="1:27" x14ac:dyDescent="0.2">
      <c r="A34" s="121" t="s">
        <v>1211</v>
      </c>
      <c r="B34" s="122" t="s">
        <v>1211</v>
      </c>
      <c r="C34" s="122" t="s">
        <v>2932</v>
      </c>
      <c r="D34" s="122"/>
      <c r="E34" s="122"/>
      <c r="F34" s="122" t="s">
        <v>2933</v>
      </c>
      <c r="G34" s="122" t="s">
        <v>2934</v>
      </c>
      <c r="H34" s="122" t="s">
        <v>102</v>
      </c>
      <c r="I34" s="122" t="s">
        <v>749</v>
      </c>
      <c r="J34" s="122"/>
      <c r="K34" s="122" t="s">
        <v>53</v>
      </c>
      <c r="L34" s="122"/>
      <c r="M34" s="122"/>
      <c r="N34" s="122" t="s">
        <v>314</v>
      </c>
      <c r="O34" s="122" t="s">
        <v>62</v>
      </c>
      <c r="P34" s="145">
        <v>44938</v>
      </c>
      <c r="Q34" s="122" t="s">
        <v>1217</v>
      </c>
      <c r="R34" s="122" t="s">
        <v>303</v>
      </c>
      <c r="S34" s="122" t="s">
        <v>305</v>
      </c>
      <c r="T34" s="145">
        <v>45917</v>
      </c>
      <c r="U34" s="123">
        <v>3.306</v>
      </c>
      <c r="V34" s="148">
        <v>183.14942528735631</v>
      </c>
      <c r="W34" s="123">
        <v>605.49199999999996</v>
      </c>
      <c r="X34" s="125">
        <v>4.8999999999999998E-4</v>
      </c>
      <c r="Y34" s="125">
        <v>4.0099999999999997E-3</v>
      </c>
      <c r="Z34" s="126">
        <v>5.1999999999999995E-4</v>
      </c>
      <c r="AA34" s="159"/>
    </row>
    <row r="35" spans="1:27" x14ac:dyDescent="0.2">
      <c r="A35" s="121" t="s">
        <v>1211</v>
      </c>
      <c r="B35" s="122" t="s">
        <v>1211</v>
      </c>
      <c r="C35" s="122" t="s">
        <v>2935</v>
      </c>
      <c r="D35" s="122"/>
      <c r="E35" s="122"/>
      <c r="F35" s="122" t="s">
        <v>2936</v>
      </c>
      <c r="G35" s="122" t="s">
        <v>2937</v>
      </c>
      <c r="H35" s="122" t="s">
        <v>102</v>
      </c>
      <c r="I35" s="122" t="s">
        <v>926</v>
      </c>
      <c r="J35" s="122"/>
      <c r="K35" s="122" t="s">
        <v>53</v>
      </c>
      <c r="L35" s="122"/>
      <c r="M35" s="122"/>
      <c r="N35" s="122" t="s">
        <v>314</v>
      </c>
      <c r="O35" s="122" t="s">
        <v>62</v>
      </c>
      <c r="P35" s="145">
        <v>44524</v>
      </c>
      <c r="Q35" s="122" t="s">
        <v>1217</v>
      </c>
      <c r="R35" s="122" t="s">
        <v>303</v>
      </c>
      <c r="S35" s="122" t="s">
        <v>305</v>
      </c>
      <c r="T35" s="145">
        <v>45875</v>
      </c>
      <c r="U35" s="123">
        <v>3.306</v>
      </c>
      <c r="V35" s="148">
        <v>182.03418027828189</v>
      </c>
      <c r="W35" s="123">
        <v>601.80499999999995</v>
      </c>
      <c r="X35" s="125">
        <v>2.3E-3</v>
      </c>
      <c r="Y35" s="125">
        <v>3.9899999999999996E-3</v>
      </c>
      <c r="Z35" s="126">
        <v>5.1000000000000004E-4</v>
      </c>
      <c r="AA35" s="159"/>
    </row>
    <row r="36" spans="1:27" x14ac:dyDescent="0.2">
      <c r="A36" s="121" t="s">
        <v>1211</v>
      </c>
      <c r="B36" s="122" t="s">
        <v>1211</v>
      </c>
      <c r="C36" s="122" t="s">
        <v>2938</v>
      </c>
      <c r="D36" s="122"/>
      <c r="E36" s="122"/>
      <c r="F36" s="122" t="s">
        <v>2939</v>
      </c>
      <c r="G36" s="122" t="s">
        <v>2940</v>
      </c>
      <c r="H36" s="122" t="s">
        <v>102</v>
      </c>
      <c r="I36" s="122" t="s">
        <v>280</v>
      </c>
      <c r="J36" s="122"/>
      <c r="K36" s="122" t="s">
        <v>53</v>
      </c>
      <c r="L36" s="122"/>
      <c r="M36" s="122"/>
      <c r="N36" s="122" t="s">
        <v>53</v>
      </c>
      <c r="O36" s="122" t="s">
        <v>62</v>
      </c>
      <c r="P36" s="145">
        <v>43782</v>
      </c>
      <c r="Q36" s="122" t="s">
        <v>1216</v>
      </c>
      <c r="R36" s="122" t="s">
        <v>303</v>
      </c>
      <c r="S36" s="122" t="s">
        <v>305</v>
      </c>
      <c r="T36" s="145">
        <v>45893</v>
      </c>
      <c r="U36" s="123">
        <v>1</v>
      </c>
      <c r="V36" s="148">
        <v>568.53599999999994</v>
      </c>
      <c r="W36" s="123">
        <v>568.53599999999994</v>
      </c>
      <c r="X36" s="122"/>
      <c r="Y36" s="125">
        <v>3.7699999999999999E-3</v>
      </c>
      <c r="Z36" s="126">
        <v>4.8000000000000001E-4</v>
      </c>
      <c r="AA36" s="159"/>
    </row>
    <row r="37" spans="1:27" x14ac:dyDescent="0.2">
      <c r="A37" s="121" t="s">
        <v>1211</v>
      </c>
      <c r="B37" s="122" t="s">
        <v>1211</v>
      </c>
      <c r="C37" s="122" t="s">
        <v>2941</v>
      </c>
      <c r="D37" s="122"/>
      <c r="E37" s="122"/>
      <c r="F37" s="122" t="s">
        <v>2942</v>
      </c>
      <c r="G37" s="122" t="s">
        <v>2943</v>
      </c>
      <c r="H37" s="122" t="s">
        <v>102</v>
      </c>
      <c r="I37" s="122" t="s">
        <v>926</v>
      </c>
      <c r="J37" s="122"/>
      <c r="K37" s="122" t="s">
        <v>53</v>
      </c>
      <c r="L37" s="122"/>
      <c r="M37" s="122"/>
      <c r="N37" s="122" t="s">
        <v>53</v>
      </c>
      <c r="O37" s="122" t="s">
        <v>62</v>
      </c>
      <c r="P37" s="145">
        <v>44143</v>
      </c>
      <c r="Q37" s="122" t="s">
        <v>1217</v>
      </c>
      <c r="R37" s="122" t="s">
        <v>303</v>
      </c>
      <c r="S37" s="122" t="s">
        <v>305</v>
      </c>
      <c r="T37" s="145">
        <v>45929</v>
      </c>
      <c r="U37" s="123">
        <v>3.306</v>
      </c>
      <c r="V37" s="148">
        <v>158.10949788263764</v>
      </c>
      <c r="W37" s="123">
        <v>522.71</v>
      </c>
      <c r="X37" s="125">
        <v>5.2999999999999998E-4</v>
      </c>
      <c r="Y37" s="125">
        <v>3.46E-3</v>
      </c>
      <c r="Z37" s="126">
        <v>4.4999999999999999E-4</v>
      </c>
      <c r="AA37" s="159"/>
    </row>
    <row r="38" spans="1:27" x14ac:dyDescent="0.2">
      <c r="A38" s="121" t="s">
        <v>1211</v>
      </c>
      <c r="B38" s="122" t="s">
        <v>1211</v>
      </c>
      <c r="C38" s="122" t="s">
        <v>2944</v>
      </c>
      <c r="D38" s="122"/>
      <c r="E38" s="122"/>
      <c r="F38" s="122" t="s">
        <v>2945</v>
      </c>
      <c r="G38" s="122" t="s">
        <v>2946</v>
      </c>
      <c r="H38" s="122" t="s">
        <v>102</v>
      </c>
      <c r="I38" s="122" t="s">
        <v>926</v>
      </c>
      <c r="J38" s="122"/>
      <c r="K38" s="122" t="s">
        <v>53</v>
      </c>
      <c r="L38" s="122"/>
      <c r="M38" s="122"/>
      <c r="N38" s="122" t="s">
        <v>53</v>
      </c>
      <c r="O38" s="122" t="s">
        <v>62</v>
      </c>
      <c r="P38" s="145">
        <v>43194</v>
      </c>
      <c r="Q38" s="122" t="s">
        <v>1217</v>
      </c>
      <c r="R38" s="122" t="s">
        <v>303</v>
      </c>
      <c r="S38" s="122" t="s">
        <v>305</v>
      </c>
      <c r="T38" s="145">
        <v>45889</v>
      </c>
      <c r="U38" s="123">
        <v>3.306</v>
      </c>
      <c r="V38" s="148">
        <v>147.89987900786448</v>
      </c>
      <c r="W38" s="123">
        <v>488.95699999999999</v>
      </c>
      <c r="X38" s="125">
        <v>1.08E-3</v>
      </c>
      <c r="Y38" s="125">
        <v>3.2399999999999998E-3</v>
      </c>
      <c r="Z38" s="126">
        <v>4.2000000000000002E-4</v>
      </c>
      <c r="AA38" s="159"/>
    </row>
    <row r="39" spans="1:27" x14ac:dyDescent="0.2">
      <c r="A39" s="121" t="s">
        <v>1211</v>
      </c>
      <c r="B39" s="122" t="s">
        <v>1211</v>
      </c>
      <c r="C39" s="122" t="s">
        <v>2947</v>
      </c>
      <c r="D39" s="122"/>
      <c r="E39" s="122"/>
      <c r="F39" s="122" t="s">
        <v>2948</v>
      </c>
      <c r="G39" s="122" t="s">
        <v>2949</v>
      </c>
      <c r="H39" s="122" t="s">
        <v>102</v>
      </c>
      <c r="I39" s="122" t="s">
        <v>749</v>
      </c>
      <c r="J39" s="122"/>
      <c r="K39" s="122" t="s">
        <v>53</v>
      </c>
      <c r="L39" s="122"/>
      <c r="M39" s="122"/>
      <c r="N39" s="122" t="s">
        <v>109</v>
      </c>
      <c r="O39" s="122" t="s">
        <v>62</v>
      </c>
      <c r="P39" s="145">
        <v>43116</v>
      </c>
      <c r="Q39" s="122" t="s">
        <v>1217</v>
      </c>
      <c r="R39" s="122" t="s">
        <v>303</v>
      </c>
      <c r="S39" s="122" t="s">
        <v>305</v>
      </c>
      <c r="T39" s="145">
        <v>45903</v>
      </c>
      <c r="U39" s="123">
        <v>3.306</v>
      </c>
      <c r="V39" s="148">
        <v>116.81336963097398</v>
      </c>
      <c r="W39" s="123">
        <v>386.185</v>
      </c>
      <c r="X39" s="122"/>
      <c r="Y39" s="125">
        <v>2.5600000000000002E-3</v>
      </c>
      <c r="Z39" s="126">
        <v>3.3E-4</v>
      </c>
      <c r="AA39" s="159"/>
    </row>
    <row r="40" spans="1:27" x14ac:dyDescent="0.2">
      <c r="A40" s="121" t="s">
        <v>1211</v>
      </c>
      <c r="B40" s="122" t="s">
        <v>1211</v>
      </c>
      <c r="C40" s="122" t="s">
        <v>2950</v>
      </c>
      <c r="D40" s="122"/>
      <c r="E40" s="122"/>
      <c r="F40" s="122" t="s">
        <v>2951</v>
      </c>
      <c r="G40" s="122" t="s">
        <v>2952</v>
      </c>
      <c r="H40" s="122" t="s">
        <v>102</v>
      </c>
      <c r="I40" s="122" t="s">
        <v>926</v>
      </c>
      <c r="J40" s="122"/>
      <c r="K40" s="122" t="s">
        <v>53</v>
      </c>
      <c r="L40" s="122"/>
      <c r="M40" s="122"/>
      <c r="N40" s="122" t="s">
        <v>53</v>
      </c>
      <c r="O40" s="122" t="s">
        <v>62</v>
      </c>
      <c r="P40" s="145">
        <v>41673</v>
      </c>
      <c r="Q40" s="122" t="s">
        <v>1217</v>
      </c>
      <c r="R40" s="122" t="s">
        <v>303</v>
      </c>
      <c r="S40" s="122" t="s">
        <v>305</v>
      </c>
      <c r="T40" s="145">
        <v>45882</v>
      </c>
      <c r="U40" s="123">
        <v>3.306</v>
      </c>
      <c r="V40" s="148">
        <v>105.49364791288566</v>
      </c>
      <c r="W40" s="123">
        <v>348.762</v>
      </c>
      <c r="X40" s="122"/>
      <c r="Y40" s="125">
        <v>2.31E-3</v>
      </c>
      <c r="Z40" s="126">
        <v>2.9999999999999997E-4</v>
      </c>
      <c r="AA40" s="159"/>
    </row>
    <row r="41" spans="1:27" x14ac:dyDescent="0.2">
      <c r="A41" s="121" t="s">
        <v>1211</v>
      </c>
      <c r="B41" s="122" t="s">
        <v>1211</v>
      </c>
      <c r="C41" s="122" t="s">
        <v>2953</v>
      </c>
      <c r="D41" s="122"/>
      <c r="E41" s="122"/>
      <c r="F41" s="122" t="s">
        <v>2954</v>
      </c>
      <c r="G41" s="122" t="s">
        <v>2955</v>
      </c>
      <c r="H41" s="122" t="s">
        <v>102</v>
      </c>
      <c r="I41" s="122" t="s">
        <v>926</v>
      </c>
      <c r="J41" s="122"/>
      <c r="K41" s="122" t="s">
        <v>53</v>
      </c>
      <c r="L41" s="122"/>
      <c r="M41" s="122"/>
      <c r="N41" s="122" t="s">
        <v>53</v>
      </c>
      <c r="O41" s="122" t="s">
        <v>62</v>
      </c>
      <c r="P41" s="145">
        <v>45504</v>
      </c>
      <c r="Q41" s="122" t="s">
        <v>1217</v>
      </c>
      <c r="R41" s="122" t="s">
        <v>303</v>
      </c>
      <c r="S41" s="122" t="s">
        <v>305</v>
      </c>
      <c r="T41" s="145">
        <v>45897</v>
      </c>
      <c r="U41" s="123">
        <v>3.306</v>
      </c>
      <c r="V41" s="148">
        <v>101.48033877797944</v>
      </c>
      <c r="W41" s="123">
        <v>335.49400000000003</v>
      </c>
      <c r="X41" s="122"/>
      <c r="Y41" s="125">
        <v>2.2200000000000002E-3</v>
      </c>
      <c r="Z41" s="126">
        <v>2.9E-4</v>
      </c>
      <c r="AA41" s="159"/>
    </row>
    <row r="42" spans="1:27" x14ac:dyDescent="0.2">
      <c r="A42" s="121" t="s">
        <v>1211</v>
      </c>
      <c r="B42" s="122" t="s">
        <v>1211</v>
      </c>
      <c r="C42" s="122" t="s">
        <v>2956</v>
      </c>
      <c r="D42" s="122"/>
      <c r="E42" s="122"/>
      <c r="F42" s="122" t="s">
        <v>2957</v>
      </c>
      <c r="G42" s="122" t="s">
        <v>2958</v>
      </c>
      <c r="H42" s="122" t="s">
        <v>102</v>
      </c>
      <c r="I42" s="122" t="s">
        <v>242</v>
      </c>
      <c r="J42" s="122"/>
      <c r="K42" s="122" t="s">
        <v>53</v>
      </c>
      <c r="L42" s="122"/>
      <c r="M42" s="122"/>
      <c r="N42" s="122" t="s">
        <v>53</v>
      </c>
      <c r="O42" s="122" t="s">
        <v>62</v>
      </c>
      <c r="P42" s="145">
        <v>43398</v>
      </c>
      <c r="Q42" s="122" t="s">
        <v>1216</v>
      </c>
      <c r="R42" s="122" t="s">
        <v>303</v>
      </c>
      <c r="S42" s="122" t="s">
        <v>305</v>
      </c>
      <c r="T42" s="145">
        <v>45893</v>
      </c>
      <c r="U42" s="123">
        <v>1</v>
      </c>
      <c r="V42" s="148">
        <v>330.19</v>
      </c>
      <c r="W42" s="123">
        <v>330.19</v>
      </c>
      <c r="X42" s="122"/>
      <c r="Y42" s="125">
        <v>2.1900000000000001E-3</v>
      </c>
      <c r="Z42" s="126">
        <v>2.7999999999999998E-4</v>
      </c>
      <c r="AA42" s="159"/>
    </row>
    <row r="43" spans="1:27" x14ac:dyDescent="0.2">
      <c r="A43" s="121" t="s">
        <v>1211</v>
      </c>
      <c r="B43" s="122" t="s">
        <v>1211</v>
      </c>
      <c r="C43" s="122" t="s">
        <v>2857</v>
      </c>
      <c r="D43" s="122"/>
      <c r="E43" s="122"/>
      <c r="F43" s="122" t="s">
        <v>2959</v>
      </c>
      <c r="G43" s="122" t="s">
        <v>2960</v>
      </c>
      <c r="H43" s="122" t="s">
        <v>102</v>
      </c>
      <c r="I43" s="122" t="s">
        <v>241</v>
      </c>
      <c r="J43" s="122"/>
      <c r="K43" s="122" t="s">
        <v>53</v>
      </c>
      <c r="L43" s="122"/>
      <c r="M43" s="122"/>
      <c r="N43" s="122" t="s">
        <v>53</v>
      </c>
      <c r="O43" s="122" t="s">
        <v>62</v>
      </c>
      <c r="P43" s="145">
        <v>45250</v>
      </c>
      <c r="Q43" s="122" t="s">
        <v>1216</v>
      </c>
      <c r="R43" s="122" t="s">
        <v>303</v>
      </c>
      <c r="S43" s="122" t="s">
        <v>305</v>
      </c>
      <c r="T43" s="145">
        <v>45900</v>
      </c>
      <c r="U43" s="123">
        <v>1</v>
      </c>
      <c r="V43" s="148">
        <v>329.298</v>
      </c>
      <c r="W43" s="123">
        <v>329.298</v>
      </c>
      <c r="X43" s="125">
        <v>2.2000000000000001E-4</v>
      </c>
      <c r="Y43" s="125">
        <v>2.1800000000000001E-3</v>
      </c>
      <c r="Z43" s="126">
        <v>2.7999999999999998E-4</v>
      </c>
      <c r="AA43" s="159"/>
    </row>
    <row r="44" spans="1:27" x14ac:dyDescent="0.2">
      <c r="A44" s="121" t="s">
        <v>1211</v>
      </c>
      <c r="B44" s="122" t="s">
        <v>1211</v>
      </c>
      <c r="C44" s="122" t="s">
        <v>2961</v>
      </c>
      <c r="D44" s="122"/>
      <c r="E44" s="122"/>
      <c r="F44" s="122" t="s">
        <v>2962</v>
      </c>
      <c r="G44" s="122" t="s">
        <v>2963</v>
      </c>
      <c r="H44" s="122" t="s">
        <v>102</v>
      </c>
      <c r="I44" s="122" t="s">
        <v>749</v>
      </c>
      <c r="J44" s="122"/>
      <c r="K44" s="122" t="s">
        <v>53</v>
      </c>
      <c r="L44" s="122"/>
      <c r="M44" s="122"/>
      <c r="N44" s="122" t="s">
        <v>53</v>
      </c>
      <c r="O44" s="122" t="s">
        <v>62</v>
      </c>
      <c r="P44" s="145">
        <v>41148</v>
      </c>
      <c r="Q44" s="122" t="s">
        <v>1217</v>
      </c>
      <c r="R44" s="122" t="s">
        <v>303</v>
      </c>
      <c r="S44" s="122" t="s">
        <v>305</v>
      </c>
      <c r="T44" s="145">
        <v>45882</v>
      </c>
      <c r="U44" s="123">
        <v>3.306</v>
      </c>
      <c r="V44" s="148">
        <v>83.290381125226858</v>
      </c>
      <c r="W44" s="123">
        <v>275.358</v>
      </c>
      <c r="X44" s="122"/>
      <c r="Y44" s="125">
        <v>1.82E-3</v>
      </c>
      <c r="Z44" s="126">
        <v>2.3000000000000001E-4</v>
      </c>
      <c r="AA44" s="159"/>
    </row>
    <row r="45" spans="1:27" x14ac:dyDescent="0.2">
      <c r="A45" s="121" t="s">
        <v>1211</v>
      </c>
      <c r="B45" s="122" t="s">
        <v>1211</v>
      </c>
      <c r="C45" s="122" t="s">
        <v>2964</v>
      </c>
      <c r="D45" s="122"/>
      <c r="E45" s="122"/>
      <c r="F45" s="122" t="s">
        <v>2965</v>
      </c>
      <c r="G45" s="122" t="s">
        <v>2966</v>
      </c>
      <c r="H45" s="122" t="s">
        <v>102</v>
      </c>
      <c r="I45" s="122" t="s">
        <v>749</v>
      </c>
      <c r="J45" s="122"/>
      <c r="K45" s="122" t="s">
        <v>53</v>
      </c>
      <c r="L45" s="122"/>
      <c r="M45" s="122"/>
      <c r="N45" s="122" t="s">
        <v>109</v>
      </c>
      <c r="O45" s="122" t="s">
        <v>62</v>
      </c>
      <c r="P45" s="145">
        <v>44560</v>
      </c>
      <c r="Q45" s="122" t="s">
        <v>1217</v>
      </c>
      <c r="R45" s="122" t="s">
        <v>303</v>
      </c>
      <c r="S45" s="122" t="s">
        <v>305</v>
      </c>
      <c r="T45" s="145">
        <v>45903</v>
      </c>
      <c r="U45" s="123">
        <v>3.306</v>
      </c>
      <c r="V45" s="148">
        <v>61.319721718088324</v>
      </c>
      <c r="W45" s="123">
        <v>202.72300000000001</v>
      </c>
      <c r="X45" s="122"/>
      <c r="Y45" s="125">
        <v>1.34E-3</v>
      </c>
      <c r="Z45" s="126">
        <v>1.7000000000000001E-4</v>
      </c>
      <c r="AA45" s="159"/>
    </row>
    <row r="46" spans="1:27" x14ac:dyDescent="0.2">
      <c r="A46" s="121" t="s">
        <v>1211</v>
      </c>
      <c r="B46" s="122" t="s">
        <v>1211</v>
      </c>
      <c r="C46" s="122" t="s">
        <v>2967</v>
      </c>
      <c r="D46" s="122"/>
      <c r="E46" s="122"/>
      <c r="F46" s="122" t="s">
        <v>2913</v>
      </c>
      <c r="G46" s="122" t="s">
        <v>2968</v>
      </c>
      <c r="H46" s="122" t="s">
        <v>102</v>
      </c>
      <c r="I46" s="122" t="s">
        <v>280</v>
      </c>
      <c r="J46" s="122"/>
      <c r="K46" s="122" t="s">
        <v>53</v>
      </c>
      <c r="L46" s="122"/>
      <c r="M46" s="122"/>
      <c r="N46" s="122" t="s">
        <v>53</v>
      </c>
      <c r="O46" s="122" t="s">
        <v>62</v>
      </c>
      <c r="P46" s="145">
        <v>42572</v>
      </c>
      <c r="Q46" s="122" t="s">
        <v>1216</v>
      </c>
      <c r="R46" s="122" t="s">
        <v>303</v>
      </c>
      <c r="S46" s="122" t="s">
        <v>305</v>
      </c>
      <c r="T46" s="145">
        <v>45900</v>
      </c>
      <c r="U46" s="123">
        <v>1</v>
      </c>
      <c r="V46" s="148">
        <v>178.59</v>
      </c>
      <c r="W46" s="123">
        <v>178.59</v>
      </c>
      <c r="X46" s="122"/>
      <c r="Y46" s="125">
        <v>1.1800000000000001E-3</v>
      </c>
      <c r="Z46" s="126">
        <v>1.4999999999999999E-4</v>
      </c>
      <c r="AA46" s="159"/>
    </row>
    <row r="47" spans="1:27" x14ac:dyDescent="0.2">
      <c r="A47" s="121" t="s">
        <v>1211</v>
      </c>
      <c r="B47" s="122" t="s">
        <v>1211</v>
      </c>
      <c r="C47" s="122" t="s">
        <v>2969</v>
      </c>
      <c r="D47" s="122"/>
      <c r="E47" s="122"/>
      <c r="F47" s="122" t="s">
        <v>2969</v>
      </c>
      <c r="G47" s="122" t="s">
        <v>2970</v>
      </c>
      <c r="H47" s="122" t="s">
        <v>102</v>
      </c>
      <c r="I47" s="122" t="s">
        <v>242</v>
      </c>
      <c r="J47" s="122"/>
      <c r="K47" s="122" t="s">
        <v>53</v>
      </c>
      <c r="L47" s="122"/>
      <c r="M47" s="122"/>
      <c r="N47" s="122" t="s">
        <v>53</v>
      </c>
      <c r="O47" s="122" t="s">
        <v>62</v>
      </c>
      <c r="P47" s="145">
        <v>45576</v>
      </c>
      <c r="Q47" s="122" t="s">
        <v>1216</v>
      </c>
      <c r="R47" s="122" t="s">
        <v>303</v>
      </c>
      <c r="S47" s="122" t="s">
        <v>305</v>
      </c>
      <c r="T47" s="145">
        <v>45883</v>
      </c>
      <c r="U47" s="123">
        <v>1</v>
      </c>
      <c r="V47" s="148">
        <v>160.05500000000001</v>
      </c>
      <c r="W47" s="123">
        <v>160.05500000000001</v>
      </c>
      <c r="X47" s="125">
        <v>6.0000000000000002E-5</v>
      </c>
      <c r="Y47" s="125">
        <v>1.06E-3</v>
      </c>
      <c r="Z47" s="126">
        <v>1.3999999999999999E-4</v>
      </c>
      <c r="AA47" s="159"/>
    </row>
    <row r="48" spans="1:27" x14ac:dyDescent="0.2">
      <c r="A48" s="121" t="s">
        <v>1211</v>
      </c>
      <c r="B48" s="122" t="s">
        <v>1211</v>
      </c>
      <c r="C48" s="122" t="s">
        <v>2971</v>
      </c>
      <c r="D48" s="122"/>
      <c r="E48" s="122"/>
      <c r="F48" s="122" t="s">
        <v>2972</v>
      </c>
      <c r="G48" s="122" t="s">
        <v>2973</v>
      </c>
      <c r="H48" s="122" t="s">
        <v>102</v>
      </c>
      <c r="I48" s="122" t="s">
        <v>280</v>
      </c>
      <c r="J48" s="122"/>
      <c r="K48" s="122" t="s">
        <v>53</v>
      </c>
      <c r="L48" s="122"/>
      <c r="M48" s="122"/>
      <c r="N48" s="122" t="s">
        <v>53</v>
      </c>
      <c r="O48" s="122" t="s">
        <v>62</v>
      </c>
      <c r="P48" s="145">
        <v>42982</v>
      </c>
      <c r="Q48" s="122" t="s">
        <v>1216</v>
      </c>
      <c r="R48" s="122" t="s">
        <v>303</v>
      </c>
      <c r="S48" s="122" t="s">
        <v>305</v>
      </c>
      <c r="T48" s="145">
        <v>45900</v>
      </c>
      <c r="U48" s="123">
        <v>1</v>
      </c>
      <c r="V48" s="148">
        <v>154.61799999999999</v>
      </c>
      <c r="W48" s="123">
        <v>154.61799999999999</v>
      </c>
      <c r="X48" s="122"/>
      <c r="Y48" s="125">
        <v>1.0200000000000001E-3</v>
      </c>
      <c r="Z48" s="126">
        <v>1.2999999999999999E-4</v>
      </c>
      <c r="AA48" s="159"/>
    </row>
    <row r="49" spans="1:27" x14ac:dyDescent="0.2">
      <c r="A49" s="121" t="s">
        <v>1211</v>
      </c>
      <c r="B49" s="122" t="s">
        <v>1211</v>
      </c>
      <c r="C49" s="122" t="s">
        <v>2974</v>
      </c>
      <c r="D49" s="122"/>
      <c r="E49" s="122"/>
      <c r="F49" s="122" t="s">
        <v>2975</v>
      </c>
      <c r="G49" s="122" t="s">
        <v>2976</v>
      </c>
      <c r="H49" s="122" t="s">
        <v>102</v>
      </c>
      <c r="I49" s="122" t="s">
        <v>281</v>
      </c>
      <c r="J49" s="122"/>
      <c r="K49" s="122" t="s">
        <v>53</v>
      </c>
      <c r="L49" s="122"/>
      <c r="M49" s="122"/>
      <c r="N49" s="122" t="s">
        <v>53</v>
      </c>
      <c r="O49" s="122" t="s">
        <v>62</v>
      </c>
      <c r="P49" s="145">
        <v>45809</v>
      </c>
      <c r="Q49" s="122" t="s">
        <v>1217</v>
      </c>
      <c r="R49" s="122" t="s">
        <v>303</v>
      </c>
      <c r="S49" s="122" t="s">
        <v>305</v>
      </c>
      <c r="T49" s="145">
        <v>45925</v>
      </c>
      <c r="U49" s="123">
        <v>3.306</v>
      </c>
      <c r="V49" s="148">
        <v>28.981851179673317</v>
      </c>
      <c r="W49" s="123">
        <v>95.813999999999993</v>
      </c>
      <c r="X49" s="125">
        <v>1.31E-3</v>
      </c>
      <c r="Y49" s="125">
        <v>6.3000000000000003E-4</v>
      </c>
      <c r="Z49" s="126">
        <v>8.0000000000000007E-5</v>
      </c>
      <c r="AA49" s="159"/>
    </row>
    <row r="50" spans="1:27" x14ac:dyDescent="0.2">
      <c r="A50" s="121" t="s">
        <v>1211</v>
      </c>
      <c r="B50" s="122" t="s">
        <v>1211</v>
      </c>
      <c r="C50" s="122" t="s">
        <v>2977</v>
      </c>
      <c r="D50" s="122"/>
      <c r="E50" s="122"/>
      <c r="F50" s="122" t="s">
        <v>2978</v>
      </c>
      <c r="G50" s="122" t="s">
        <v>2979</v>
      </c>
      <c r="H50" s="122" t="s">
        <v>102</v>
      </c>
      <c r="I50" s="122" t="s">
        <v>280</v>
      </c>
      <c r="J50" s="122"/>
      <c r="K50" s="122" t="s">
        <v>53</v>
      </c>
      <c r="L50" s="122"/>
      <c r="M50" s="122"/>
      <c r="N50" s="122" t="s">
        <v>53</v>
      </c>
      <c r="O50" s="122" t="s">
        <v>62</v>
      </c>
      <c r="P50" s="145">
        <v>42753</v>
      </c>
      <c r="Q50" s="122" t="s">
        <v>1216</v>
      </c>
      <c r="R50" s="122" t="s">
        <v>303</v>
      </c>
      <c r="S50" s="122" t="s">
        <v>305</v>
      </c>
      <c r="T50" s="145">
        <v>45910</v>
      </c>
      <c r="U50" s="123">
        <v>1</v>
      </c>
      <c r="V50" s="148">
        <v>81.367000000000004</v>
      </c>
      <c r="W50" s="123">
        <v>81.367000000000004</v>
      </c>
      <c r="X50" s="122"/>
      <c r="Y50" s="125">
        <v>5.4000000000000001E-4</v>
      </c>
      <c r="Z50" s="126">
        <v>6.9999999999999994E-5</v>
      </c>
      <c r="AA50" s="159"/>
    </row>
    <row r="51" spans="1:27" x14ac:dyDescent="0.2">
      <c r="A51" s="121" t="s">
        <v>1211</v>
      </c>
      <c r="B51" s="122" t="s">
        <v>1211</v>
      </c>
      <c r="C51" s="122" t="s">
        <v>2980</v>
      </c>
      <c r="D51" s="122"/>
      <c r="E51" s="122"/>
      <c r="F51" s="122" t="s">
        <v>2981</v>
      </c>
      <c r="G51" s="122" t="s">
        <v>2982</v>
      </c>
      <c r="H51" s="122" t="s">
        <v>102</v>
      </c>
      <c r="I51" s="122" t="s">
        <v>926</v>
      </c>
      <c r="J51" s="122"/>
      <c r="K51" s="122" t="s">
        <v>53</v>
      </c>
      <c r="L51" s="122"/>
      <c r="M51" s="122"/>
      <c r="N51" s="122" t="s">
        <v>53</v>
      </c>
      <c r="O51" s="122" t="s">
        <v>62</v>
      </c>
      <c r="P51" s="145">
        <v>45830</v>
      </c>
      <c r="Q51" s="122" t="s">
        <v>1217</v>
      </c>
      <c r="R51" s="122" t="s">
        <v>303</v>
      </c>
      <c r="S51" s="122" t="s">
        <v>305</v>
      </c>
      <c r="T51" s="145">
        <v>45909</v>
      </c>
      <c r="U51" s="123">
        <v>3.306</v>
      </c>
      <c r="V51" s="148">
        <v>23.916212946158499</v>
      </c>
      <c r="W51" s="123">
        <v>79.066999999999993</v>
      </c>
      <c r="X51" s="125">
        <v>1.2999999999999999E-4</v>
      </c>
      <c r="Y51" s="125">
        <v>5.1999999999999995E-4</v>
      </c>
      <c r="Z51" s="126">
        <v>6.9999999999999994E-5</v>
      </c>
      <c r="AA51" s="159"/>
    </row>
    <row r="52" spans="1:27" x14ac:dyDescent="0.2">
      <c r="A52" s="121" t="s">
        <v>1211</v>
      </c>
      <c r="B52" s="122" t="s">
        <v>1211</v>
      </c>
      <c r="C52" s="122" t="s">
        <v>2983</v>
      </c>
      <c r="D52" s="122"/>
      <c r="E52" s="122"/>
      <c r="F52" s="122" t="s">
        <v>2984</v>
      </c>
      <c r="G52" s="122" t="s">
        <v>2985</v>
      </c>
      <c r="H52" s="122" t="s">
        <v>102</v>
      </c>
      <c r="I52" s="122" t="s">
        <v>926</v>
      </c>
      <c r="J52" s="122"/>
      <c r="K52" s="122" t="s">
        <v>53</v>
      </c>
      <c r="L52" s="122"/>
      <c r="M52" s="122"/>
      <c r="N52" s="122" t="s">
        <v>53</v>
      </c>
      <c r="O52" s="122" t="s">
        <v>62</v>
      </c>
      <c r="P52" s="145">
        <v>45757</v>
      </c>
      <c r="Q52" s="122" t="s">
        <v>1217</v>
      </c>
      <c r="R52" s="122" t="s">
        <v>303</v>
      </c>
      <c r="S52" s="122" t="s">
        <v>305</v>
      </c>
      <c r="T52" s="145">
        <v>45918</v>
      </c>
      <c r="U52" s="123">
        <v>3.306</v>
      </c>
      <c r="V52" s="148">
        <v>11.375075620084695</v>
      </c>
      <c r="W52" s="123">
        <v>37.606000000000002</v>
      </c>
      <c r="X52" s="125">
        <v>1.8000000000000001E-4</v>
      </c>
      <c r="Y52" s="125">
        <v>2.5000000000000001E-4</v>
      </c>
      <c r="Z52" s="126">
        <v>3.0000000000000001E-5</v>
      </c>
      <c r="AA52" s="159"/>
    </row>
    <row r="53" spans="1:27" x14ac:dyDescent="0.2">
      <c r="A53" s="121" t="s">
        <v>1211</v>
      </c>
      <c r="B53" s="122" t="s">
        <v>1211</v>
      </c>
      <c r="C53" s="122" t="s">
        <v>2964</v>
      </c>
      <c r="D53" s="122"/>
      <c r="E53" s="122"/>
      <c r="F53" s="122" t="s">
        <v>2986</v>
      </c>
      <c r="G53" s="122" t="s">
        <v>2987</v>
      </c>
      <c r="H53" s="122" t="s">
        <v>102</v>
      </c>
      <c r="I53" s="122" t="s">
        <v>749</v>
      </c>
      <c r="J53" s="122"/>
      <c r="K53" s="122" t="s">
        <v>53</v>
      </c>
      <c r="L53" s="122"/>
      <c r="M53" s="122"/>
      <c r="N53" s="122" t="s">
        <v>109</v>
      </c>
      <c r="O53" s="122" t="s">
        <v>62</v>
      </c>
      <c r="P53" s="145">
        <v>44560</v>
      </c>
      <c r="Q53" s="122" t="s">
        <v>1217</v>
      </c>
      <c r="R53" s="122" t="s">
        <v>303</v>
      </c>
      <c r="S53" s="122" t="s">
        <v>305</v>
      </c>
      <c r="T53" s="145">
        <v>45895</v>
      </c>
      <c r="U53" s="123">
        <v>3.306</v>
      </c>
      <c r="V53" s="148">
        <v>6.1400483968542039</v>
      </c>
      <c r="W53" s="123">
        <v>20.298999999999999</v>
      </c>
      <c r="X53" s="125">
        <v>5.0000000000000002E-5</v>
      </c>
      <c r="Y53" s="125">
        <v>1.2999999999999999E-4</v>
      </c>
      <c r="Z53" s="126">
        <v>2.0000000000000002E-5</v>
      </c>
      <c r="AA53" s="159"/>
    </row>
    <row r="54" spans="1:27" x14ac:dyDescent="0.2">
      <c r="A54" s="121" t="s">
        <v>1211</v>
      </c>
      <c r="B54" s="122" t="s">
        <v>1211</v>
      </c>
      <c r="C54" s="122" t="s">
        <v>2889</v>
      </c>
      <c r="D54" s="122"/>
      <c r="E54" s="122"/>
      <c r="F54" s="122" t="s">
        <v>2988</v>
      </c>
      <c r="G54" s="122" t="s">
        <v>2989</v>
      </c>
      <c r="H54" s="122" t="s">
        <v>102</v>
      </c>
      <c r="I54" s="122" t="s">
        <v>926</v>
      </c>
      <c r="J54" s="122"/>
      <c r="K54" s="122" t="s">
        <v>53</v>
      </c>
      <c r="L54" s="122"/>
      <c r="M54" s="122"/>
      <c r="N54" s="122" t="s">
        <v>53</v>
      </c>
      <c r="O54" s="122" t="s">
        <v>62</v>
      </c>
      <c r="P54" s="145">
        <v>43642</v>
      </c>
      <c r="Q54" s="122" t="s">
        <v>1217</v>
      </c>
      <c r="R54" s="122" t="s">
        <v>303</v>
      </c>
      <c r="S54" s="122" t="s">
        <v>305</v>
      </c>
      <c r="T54" s="145">
        <v>45897</v>
      </c>
      <c r="U54" s="123">
        <v>3.306</v>
      </c>
      <c r="V54" s="148">
        <v>2.3672111312764668</v>
      </c>
      <c r="W54" s="123">
        <v>7.8259999999999996</v>
      </c>
      <c r="X54" s="122"/>
      <c r="Y54" s="125">
        <v>5.0000000000000002E-5</v>
      </c>
      <c r="Z54" s="126">
        <v>1.0000000000000001E-5</v>
      </c>
      <c r="AA54" s="159"/>
    </row>
    <row r="55" spans="1:27" x14ac:dyDescent="0.2">
      <c r="A55" s="121" t="s">
        <v>1211</v>
      </c>
      <c r="B55" s="122" t="s">
        <v>1211</v>
      </c>
      <c r="C55" s="122" t="s">
        <v>102</v>
      </c>
      <c r="D55" s="122"/>
      <c r="E55" s="122"/>
      <c r="F55" s="122" t="s">
        <v>2990</v>
      </c>
      <c r="G55" s="122" t="s">
        <v>2991</v>
      </c>
      <c r="H55" s="122" t="s">
        <v>102</v>
      </c>
      <c r="I55" s="122" t="s">
        <v>926</v>
      </c>
      <c r="J55" s="122"/>
      <c r="K55" s="122" t="s">
        <v>53</v>
      </c>
      <c r="L55" s="122"/>
      <c r="M55" s="122"/>
      <c r="N55" s="122" t="s">
        <v>314</v>
      </c>
      <c r="O55" s="122" t="s">
        <v>62</v>
      </c>
      <c r="P55" s="145">
        <v>39387</v>
      </c>
      <c r="Q55" s="122" t="s">
        <v>1217</v>
      </c>
      <c r="R55" s="122" t="s">
        <v>303</v>
      </c>
      <c r="S55" s="122" t="s">
        <v>305</v>
      </c>
      <c r="T55" s="145">
        <v>45131</v>
      </c>
      <c r="U55" s="123">
        <v>3.306</v>
      </c>
      <c r="V55" s="148">
        <v>1.8557168784029037</v>
      </c>
      <c r="W55" s="123">
        <v>6.1349999999999998</v>
      </c>
      <c r="X55" s="122"/>
      <c r="Y55" s="125">
        <v>4.0000000000000003E-5</v>
      </c>
      <c r="Z55" s="126">
        <v>1.0000000000000001E-5</v>
      </c>
      <c r="AA55" s="159"/>
    </row>
    <row r="56" spans="1:27" x14ac:dyDescent="0.2">
      <c r="A56" s="121" t="s">
        <v>1211</v>
      </c>
      <c r="B56" s="122" t="s">
        <v>1211</v>
      </c>
      <c r="C56" s="122" t="s">
        <v>2872</v>
      </c>
      <c r="D56" s="122"/>
      <c r="E56" s="122"/>
      <c r="F56" s="122" t="s">
        <v>2992</v>
      </c>
      <c r="G56" s="122" t="s">
        <v>2993</v>
      </c>
      <c r="H56" s="122" t="s">
        <v>102</v>
      </c>
      <c r="I56" s="122" t="s">
        <v>280</v>
      </c>
      <c r="J56" s="122"/>
      <c r="K56" s="122" t="s">
        <v>53</v>
      </c>
      <c r="L56" s="122"/>
      <c r="M56" s="122"/>
      <c r="N56" s="122" t="s">
        <v>53</v>
      </c>
      <c r="O56" s="122" t="s">
        <v>62</v>
      </c>
      <c r="P56" s="145">
        <v>42019</v>
      </c>
      <c r="Q56" s="122" t="s">
        <v>1216</v>
      </c>
      <c r="R56" s="122" t="s">
        <v>303</v>
      </c>
      <c r="S56" s="122" t="s">
        <v>305</v>
      </c>
      <c r="T56" s="145">
        <v>45897</v>
      </c>
      <c r="U56" s="123">
        <v>1</v>
      </c>
      <c r="V56" s="148">
        <v>4.7370000000000001</v>
      </c>
      <c r="W56" s="123">
        <v>4.7370000000000001</v>
      </c>
      <c r="X56" s="122"/>
      <c r="Y56" s="125">
        <v>3.0000000000000001E-5</v>
      </c>
      <c r="Z56" s="126">
        <v>0</v>
      </c>
      <c r="AA56" s="159"/>
    </row>
    <row r="57" spans="1:27" x14ac:dyDescent="0.2">
      <c r="A57" s="121" t="s">
        <v>1211</v>
      </c>
      <c r="B57" s="122" t="s">
        <v>1211</v>
      </c>
      <c r="C57" s="122" t="s">
        <v>2994</v>
      </c>
      <c r="D57" s="122"/>
      <c r="E57" s="122"/>
      <c r="F57" s="122" t="s">
        <v>2995</v>
      </c>
      <c r="G57" s="122" t="s">
        <v>2996</v>
      </c>
      <c r="H57" s="122" t="s">
        <v>102</v>
      </c>
      <c r="I57" s="122" t="s">
        <v>241</v>
      </c>
      <c r="J57" s="122"/>
      <c r="K57" s="122" t="s">
        <v>53</v>
      </c>
      <c r="L57" s="122"/>
      <c r="M57" s="122"/>
      <c r="N57" s="122" t="s">
        <v>53</v>
      </c>
      <c r="O57" s="122" t="s">
        <v>62</v>
      </c>
      <c r="P57" s="145">
        <v>41015</v>
      </c>
      <c r="Q57" s="122" t="s">
        <v>1217</v>
      </c>
      <c r="R57" s="122" t="s">
        <v>303</v>
      </c>
      <c r="S57" s="122" t="s">
        <v>305</v>
      </c>
      <c r="T57" s="145">
        <v>45806</v>
      </c>
      <c r="U57" s="123">
        <v>3.306</v>
      </c>
      <c r="V57" s="148">
        <v>9.5583787053841504E-2</v>
      </c>
      <c r="W57" s="123">
        <v>0.316</v>
      </c>
      <c r="X57" s="122"/>
      <c r="Y57" s="125">
        <v>0</v>
      </c>
      <c r="Z57" s="126">
        <v>0</v>
      </c>
      <c r="AA57" s="159"/>
    </row>
    <row r="58" spans="1:27" x14ac:dyDescent="0.2">
      <c r="A58" s="121" t="s">
        <v>1211</v>
      </c>
      <c r="B58" s="122" t="s">
        <v>1211</v>
      </c>
      <c r="C58" s="122" t="s">
        <v>2994</v>
      </c>
      <c r="D58" s="122"/>
      <c r="E58" s="122"/>
      <c r="F58" s="122" t="s">
        <v>2997</v>
      </c>
      <c r="G58" s="122" t="s">
        <v>2998</v>
      </c>
      <c r="H58" s="122" t="s">
        <v>102</v>
      </c>
      <c r="I58" s="122" t="s">
        <v>241</v>
      </c>
      <c r="J58" s="122"/>
      <c r="K58" s="122" t="s">
        <v>53</v>
      </c>
      <c r="L58" s="122"/>
      <c r="M58" s="122"/>
      <c r="N58" s="122" t="s">
        <v>53</v>
      </c>
      <c r="O58" s="122" t="s">
        <v>62</v>
      </c>
      <c r="P58" s="145">
        <v>42061</v>
      </c>
      <c r="Q58" s="122" t="s">
        <v>1216</v>
      </c>
      <c r="R58" s="122" t="s">
        <v>303</v>
      </c>
      <c r="S58" s="122" t="s">
        <v>305</v>
      </c>
      <c r="T58" s="145">
        <v>45386</v>
      </c>
      <c r="U58" s="123">
        <v>1</v>
      </c>
      <c r="V58" s="148">
        <v>0</v>
      </c>
      <c r="W58" s="123">
        <v>0</v>
      </c>
      <c r="X58" s="122"/>
      <c r="Y58" s="125">
        <v>0</v>
      </c>
      <c r="Z58" s="126">
        <v>0</v>
      </c>
      <c r="AA58" s="159"/>
    </row>
    <row r="59" spans="1:27" x14ac:dyDescent="0.2">
      <c r="A59" s="121" t="s">
        <v>1211</v>
      </c>
      <c r="B59" s="122" t="s">
        <v>1211</v>
      </c>
      <c r="C59" s="122" t="s">
        <v>2999</v>
      </c>
      <c r="D59" s="122"/>
      <c r="E59" s="122"/>
      <c r="F59" s="122" t="s">
        <v>3000</v>
      </c>
      <c r="G59" s="122" t="s">
        <v>3001</v>
      </c>
      <c r="H59" s="122" t="s">
        <v>102</v>
      </c>
      <c r="I59" s="122" t="s">
        <v>242</v>
      </c>
      <c r="J59" s="122"/>
      <c r="K59" s="122" t="s">
        <v>53</v>
      </c>
      <c r="L59" s="122"/>
      <c r="M59" s="122"/>
      <c r="N59" s="122" t="s">
        <v>53</v>
      </c>
      <c r="O59" s="122" t="s">
        <v>62</v>
      </c>
      <c r="P59" s="145">
        <v>39964</v>
      </c>
      <c r="Q59" s="122" t="s">
        <v>1217</v>
      </c>
      <c r="R59" s="122" t="s">
        <v>303</v>
      </c>
      <c r="S59" s="122" t="s">
        <v>305</v>
      </c>
      <c r="T59" s="145">
        <v>45466</v>
      </c>
      <c r="U59" s="123">
        <v>3.306</v>
      </c>
      <c r="V59" s="148">
        <v>0</v>
      </c>
      <c r="W59" s="123">
        <v>0</v>
      </c>
      <c r="X59" s="122"/>
      <c r="Y59" s="125">
        <v>0</v>
      </c>
      <c r="Z59" s="126">
        <v>0</v>
      </c>
      <c r="AA59" s="159"/>
    </row>
    <row r="60" spans="1:27" x14ac:dyDescent="0.2">
      <c r="A60" s="121" t="s">
        <v>1211</v>
      </c>
      <c r="B60" s="122" t="s">
        <v>1211</v>
      </c>
      <c r="C60" s="122" t="s">
        <v>3002</v>
      </c>
      <c r="D60" s="122"/>
      <c r="E60" s="122"/>
      <c r="F60" s="122" t="s">
        <v>3003</v>
      </c>
      <c r="G60" s="122" t="s">
        <v>3004</v>
      </c>
      <c r="H60" s="122" t="s">
        <v>102</v>
      </c>
      <c r="I60" s="122" t="s">
        <v>749</v>
      </c>
      <c r="J60" s="122"/>
      <c r="K60" s="122" t="s">
        <v>61</v>
      </c>
      <c r="L60" s="122"/>
      <c r="M60" s="122"/>
      <c r="N60" s="122" t="s">
        <v>314</v>
      </c>
      <c r="O60" s="122" t="s">
        <v>62</v>
      </c>
      <c r="P60" s="145">
        <v>44679</v>
      </c>
      <c r="Q60" s="122" t="s">
        <v>1217</v>
      </c>
      <c r="R60" s="122" t="s">
        <v>303</v>
      </c>
      <c r="S60" s="122" t="s">
        <v>305</v>
      </c>
      <c r="T60" s="145">
        <v>45930</v>
      </c>
      <c r="U60" s="123">
        <v>3.306</v>
      </c>
      <c r="V60" s="148">
        <v>1097.7558983666061</v>
      </c>
      <c r="W60" s="123">
        <v>3629.181</v>
      </c>
      <c r="X60" s="125">
        <v>3.1E-4</v>
      </c>
      <c r="Y60" s="125">
        <v>2.4039999999999999E-2</v>
      </c>
      <c r="Z60" s="126">
        <v>3.0899999999999999E-3</v>
      </c>
      <c r="AA60" s="159"/>
    </row>
    <row r="61" spans="1:27" x14ac:dyDescent="0.2">
      <c r="A61" s="121" t="s">
        <v>1211</v>
      </c>
      <c r="B61" s="122" t="s">
        <v>1211</v>
      </c>
      <c r="C61" s="122" t="s">
        <v>102</v>
      </c>
      <c r="D61" s="122"/>
      <c r="E61" s="122"/>
      <c r="F61" s="122" t="s">
        <v>3005</v>
      </c>
      <c r="G61" s="122" t="s">
        <v>3006</v>
      </c>
      <c r="H61" s="122" t="s">
        <v>102</v>
      </c>
      <c r="I61" s="122" t="s">
        <v>926</v>
      </c>
      <c r="J61" s="122"/>
      <c r="K61" s="122" t="s">
        <v>61</v>
      </c>
      <c r="L61" s="122"/>
      <c r="M61" s="122"/>
      <c r="N61" s="122" t="s">
        <v>314</v>
      </c>
      <c r="O61" s="122" t="s">
        <v>62</v>
      </c>
      <c r="P61" s="145">
        <v>43761</v>
      </c>
      <c r="Q61" s="122" t="s">
        <v>1217</v>
      </c>
      <c r="R61" s="122" t="s">
        <v>303</v>
      </c>
      <c r="S61" s="122" t="s">
        <v>305</v>
      </c>
      <c r="T61" s="145">
        <v>45893</v>
      </c>
      <c r="U61" s="123">
        <v>3.306</v>
      </c>
      <c r="V61" s="148">
        <v>976.81548699334542</v>
      </c>
      <c r="W61" s="123">
        <v>3229.3519999999999</v>
      </c>
      <c r="X61" s="125">
        <v>4.0000000000000003E-5</v>
      </c>
      <c r="Y61" s="125">
        <v>2.1389999999999999E-2</v>
      </c>
      <c r="Z61" s="126">
        <v>2.7499999999999998E-3</v>
      </c>
      <c r="AA61" s="159"/>
    </row>
    <row r="62" spans="1:27" x14ac:dyDescent="0.2">
      <c r="A62" s="121" t="s">
        <v>1211</v>
      </c>
      <c r="B62" s="122" t="s">
        <v>1211</v>
      </c>
      <c r="C62" s="122" t="s">
        <v>3007</v>
      </c>
      <c r="D62" s="122"/>
      <c r="E62" s="122"/>
      <c r="F62" s="122" t="s">
        <v>3008</v>
      </c>
      <c r="G62" s="122" t="s">
        <v>3009</v>
      </c>
      <c r="H62" s="122" t="s">
        <v>102</v>
      </c>
      <c r="I62" s="122" t="s">
        <v>749</v>
      </c>
      <c r="J62" s="122"/>
      <c r="K62" s="122" t="s">
        <v>61</v>
      </c>
      <c r="L62" s="122"/>
      <c r="M62" s="122"/>
      <c r="N62" s="122" t="s">
        <v>314</v>
      </c>
      <c r="O62" s="122" t="s">
        <v>62</v>
      </c>
      <c r="P62" s="145">
        <v>44742</v>
      </c>
      <c r="Q62" s="122" t="s">
        <v>1217</v>
      </c>
      <c r="R62" s="122" t="s">
        <v>303</v>
      </c>
      <c r="S62" s="122" t="s">
        <v>305</v>
      </c>
      <c r="T62" s="145">
        <v>45887</v>
      </c>
      <c r="U62" s="123">
        <v>3.306</v>
      </c>
      <c r="V62" s="148">
        <v>935.13974591651549</v>
      </c>
      <c r="W62" s="123">
        <v>3091.5720000000001</v>
      </c>
      <c r="X62" s="122"/>
      <c r="Y62" s="125">
        <v>2.0480000000000002E-2</v>
      </c>
      <c r="Z62" s="126">
        <v>2.64E-3</v>
      </c>
      <c r="AA62" s="159"/>
    </row>
    <row r="63" spans="1:27" x14ac:dyDescent="0.2">
      <c r="A63" s="121" t="s">
        <v>1211</v>
      </c>
      <c r="B63" s="122" t="s">
        <v>1211</v>
      </c>
      <c r="C63" s="122" t="s">
        <v>3010</v>
      </c>
      <c r="D63" s="122"/>
      <c r="E63" s="122"/>
      <c r="F63" s="122" t="s">
        <v>3011</v>
      </c>
      <c r="G63" s="122" t="s">
        <v>3012</v>
      </c>
      <c r="H63" s="122" t="s">
        <v>102</v>
      </c>
      <c r="I63" s="122" t="s">
        <v>241</v>
      </c>
      <c r="J63" s="122"/>
      <c r="K63" s="122" t="s">
        <v>61</v>
      </c>
      <c r="L63" s="122"/>
      <c r="M63" s="122"/>
      <c r="N63" s="122" t="s">
        <v>930</v>
      </c>
      <c r="O63" s="122" t="s">
        <v>62</v>
      </c>
      <c r="P63" s="145">
        <v>43727</v>
      </c>
      <c r="Q63" s="122" t="s">
        <v>1217</v>
      </c>
      <c r="R63" s="122" t="s">
        <v>303</v>
      </c>
      <c r="S63" s="122" t="s">
        <v>305</v>
      </c>
      <c r="T63" s="145">
        <v>45912</v>
      </c>
      <c r="U63" s="123">
        <v>3.306</v>
      </c>
      <c r="V63" s="148">
        <v>753.52268602540835</v>
      </c>
      <c r="W63" s="123">
        <v>2491.1460000000002</v>
      </c>
      <c r="X63" s="125">
        <v>3.0000000000000001E-5</v>
      </c>
      <c r="Y63" s="125">
        <v>1.6500000000000001E-2</v>
      </c>
      <c r="Z63" s="126">
        <v>2.1199999999999999E-3</v>
      </c>
      <c r="AA63" s="159"/>
    </row>
    <row r="64" spans="1:27" x14ac:dyDescent="0.2">
      <c r="A64" s="121" t="s">
        <v>1211</v>
      </c>
      <c r="B64" s="122" t="s">
        <v>1211</v>
      </c>
      <c r="C64" s="122" t="s">
        <v>3013</v>
      </c>
      <c r="D64" s="122"/>
      <c r="E64" s="122"/>
      <c r="F64" s="122" t="s">
        <v>3014</v>
      </c>
      <c r="G64" s="122" t="s">
        <v>3015</v>
      </c>
      <c r="H64" s="122" t="s">
        <v>102</v>
      </c>
      <c r="I64" s="122" t="s">
        <v>926</v>
      </c>
      <c r="J64" s="122"/>
      <c r="K64" s="122" t="s">
        <v>61</v>
      </c>
      <c r="L64" s="122"/>
      <c r="M64" s="122"/>
      <c r="N64" s="122" t="s">
        <v>930</v>
      </c>
      <c r="O64" s="122" t="s">
        <v>62</v>
      </c>
      <c r="P64" s="145">
        <v>43340</v>
      </c>
      <c r="Q64" s="122" t="s">
        <v>1217</v>
      </c>
      <c r="R64" s="122" t="s">
        <v>303</v>
      </c>
      <c r="S64" s="122" t="s">
        <v>305</v>
      </c>
      <c r="T64" s="145">
        <v>45930</v>
      </c>
      <c r="U64" s="123">
        <v>3.306</v>
      </c>
      <c r="V64" s="148">
        <v>729.33514821536596</v>
      </c>
      <c r="W64" s="123">
        <v>2411.1819999999998</v>
      </c>
      <c r="X64" s="122"/>
      <c r="Y64" s="125">
        <v>1.5970000000000002E-2</v>
      </c>
      <c r="Z64" s="126">
        <v>2.0600000000000002E-3</v>
      </c>
      <c r="AA64" s="159"/>
    </row>
    <row r="65" spans="1:27" x14ac:dyDescent="0.2">
      <c r="A65" s="121" t="s">
        <v>1211</v>
      </c>
      <c r="B65" s="122" t="s">
        <v>1211</v>
      </c>
      <c r="C65" s="122" t="s">
        <v>3016</v>
      </c>
      <c r="D65" s="122"/>
      <c r="E65" s="122"/>
      <c r="F65" s="122" t="s">
        <v>3017</v>
      </c>
      <c r="G65" s="122" t="s">
        <v>3018</v>
      </c>
      <c r="H65" s="122" t="s">
        <v>102</v>
      </c>
      <c r="I65" s="122" t="s">
        <v>749</v>
      </c>
      <c r="J65" s="122"/>
      <c r="K65" s="122" t="s">
        <v>61</v>
      </c>
      <c r="L65" s="122"/>
      <c r="M65" s="122"/>
      <c r="N65" s="122" t="s">
        <v>314</v>
      </c>
      <c r="O65" s="122" t="s">
        <v>62</v>
      </c>
      <c r="P65" s="145">
        <v>43843</v>
      </c>
      <c r="Q65" s="122" t="s">
        <v>1217</v>
      </c>
      <c r="R65" s="122" t="s">
        <v>303</v>
      </c>
      <c r="S65" s="122" t="s">
        <v>305</v>
      </c>
      <c r="T65" s="145">
        <v>45909</v>
      </c>
      <c r="U65" s="123">
        <v>3.306</v>
      </c>
      <c r="V65" s="148">
        <v>675.79189352692083</v>
      </c>
      <c r="W65" s="123">
        <v>2234.1680000000001</v>
      </c>
      <c r="X65" s="125">
        <v>9.0000000000000006E-5</v>
      </c>
      <c r="Y65" s="125">
        <v>1.4800000000000001E-2</v>
      </c>
      <c r="Z65" s="126">
        <v>1.9E-3</v>
      </c>
      <c r="AA65" s="159"/>
    </row>
    <row r="66" spans="1:27" x14ac:dyDescent="0.2">
      <c r="A66" s="121" t="s">
        <v>1211</v>
      </c>
      <c r="B66" s="122" t="s">
        <v>1211</v>
      </c>
      <c r="C66" s="122" t="s">
        <v>3019</v>
      </c>
      <c r="D66" s="122"/>
      <c r="E66" s="122"/>
      <c r="F66" s="122" t="s">
        <v>3020</v>
      </c>
      <c r="G66" s="122" t="s">
        <v>3021</v>
      </c>
      <c r="H66" s="122" t="s">
        <v>102</v>
      </c>
      <c r="I66" s="122" t="s">
        <v>242</v>
      </c>
      <c r="J66" s="122"/>
      <c r="K66" s="122" t="s">
        <v>61</v>
      </c>
      <c r="L66" s="122"/>
      <c r="M66" s="122"/>
      <c r="N66" s="122" t="s">
        <v>53</v>
      </c>
      <c r="O66" s="122" t="s">
        <v>62</v>
      </c>
      <c r="P66" s="145">
        <v>44116</v>
      </c>
      <c r="Q66" s="122" t="s">
        <v>1217</v>
      </c>
      <c r="R66" s="122" t="s">
        <v>303</v>
      </c>
      <c r="S66" s="122" t="s">
        <v>305</v>
      </c>
      <c r="T66" s="145">
        <v>45896</v>
      </c>
      <c r="U66" s="123">
        <v>3.306</v>
      </c>
      <c r="V66" s="148">
        <v>675.68753781004227</v>
      </c>
      <c r="W66" s="123">
        <v>2233.8229999999999</v>
      </c>
      <c r="X66" s="125">
        <v>1.66E-3</v>
      </c>
      <c r="Y66" s="125">
        <v>1.4789999999999999E-2</v>
      </c>
      <c r="Z66" s="126">
        <v>1.9E-3</v>
      </c>
      <c r="AA66" s="159"/>
    </row>
    <row r="67" spans="1:27" x14ac:dyDescent="0.2">
      <c r="A67" s="121" t="s">
        <v>1211</v>
      </c>
      <c r="B67" s="122" t="s">
        <v>1211</v>
      </c>
      <c r="C67" s="122" t="s">
        <v>3022</v>
      </c>
      <c r="D67" s="122"/>
      <c r="E67" s="122"/>
      <c r="F67" s="122" t="s">
        <v>3023</v>
      </c>
      <c r="G67" s="122" t="s">
        <v>3024</v>
      </c>
      <c r="H67" s="122" t="s">
        <v>102</v>
      </c>
      <c r="I67" s="122" t="s">
        <v>241</v>
      </c>
      <c r="J67" s="122"/>
      <c r="K67" s="122" t="s">
        <v>61</v>
      </c>
      <c r="L67" s="122"/>
      <c r="M67" s="122"/>
      <c r="N67" s="122" t="s">
        <v>314</v>
      </c>
      <c r="O67" s="122" t="s">
        <v>62</v>
      </c>
      <c r="P67" s="145">
        <v>44392</v>
      </c>
      <c r="Q67" s="122" t="s">
        <v>1217</v>
      </c>
      <c r="R67" s="122" t="s">
        <v>303</v>
      </c>
      <c r="S67" s="122" t="s">
        <v>305</v>
      </c>
      <c r="T67" s="145">
        <v>45900</v>
      </c>
      <c r="U67" s="123">
        <v>3.306</v>
      </c>
      <c r="V67" s="148">
        <v>674.79249848759832</v>
      </c>
      <c r="W67" s="123">
        <v>2230.864</v>
      </c>
      <c r="X67" s="125">
        <v>3.4099999999999998E-3</v>
      </c>
      <c r="Y67" s="125">
        <v>1.478E-2</v>
      </c>
      <c r="Z67" s="126">
        <v>1.9E-3</v>
      </c>
      <c r="AA67" s="159"/>
    </row>
    <row r="68" spans="1:27" x14ac:dyDescent="0.2">
      <c r="A68" s="121" t="s">
        <v>1211</v>
      </c>
      <c r="B68" s="122" t="s">
        <v>1211</v>
      </c>
      <c r="C68" s="122" t="s">
        <v>3025</v>
      </c>
      <c r="D68" s="122"/>
      <c r="E68" s="122"/>
      <c r="F68" s="122" t="s">
        <v>3026</v>
      </c>
      <c r="G68" s="122" t="s">
        <v>3027</v>
      </c>
      <c r="H68" s="122" t="s">
        <v>102</v>
      </c>
      <c r="I68" s="122" t="s">
        <v>281</v>
      </c>
      <c r="J68" s="122"/>
      <c r="K68" s="122" t="s">
        <v>61</v>
      </c>
      <c r="L68" s="122"/>
      <c r="M68" s="122"/>
      <c r="N68" s="122" t="s">
        <v>53</v>
      </c>
      <c r="O68" s="122" t="s">
        <v>62</v>
      </c>
      <c r="P68" s="145">
        <v>43311</v>
      </c>
      <c r="Q68" s="122" t="s">
        <v>1217</v>
      </c>
      <c r="R68" s="122" t="s">
        <v>303</v>
      </c>
      <c r="S68" s="122" t="s">
        <v>305</v>
      </c>
      <c r="T68" s="145">
        <v>45916</v>
      </c>
      <c r="U68" s="123">
        <v>3.306</v>
      </c>
      <c r="V68" s="148">
        <v>654.0483968542045</v>
      </c>
      <c r="W68" s="123">
        <v>2162.2840000000001</v>
      </c>
      <c r="X68" s="125">
        <v>0</v>
      </c>
      <c r="Y68" s="125">
        <v>1.4319999999999999E-2</v>
      </c>
      <c r="Z68" s="126">
        <v>1.8400000000000001E-3</v>
      </c>
      <c r="AA68" s="159"/>
    </row>
    <row r="69" spans="1:27" x14ac:dyDescent="0.2">
      <c r="A69" s="121" t="s">
        <v>1211</v>
      </c>
      <c r="B69" s="122" t="s">
        <v>1211</v>
      </c>
      <c r="C69" s="122" t="s">
        <v>3028</v>
      </c>
      <c r="D69" s="122"/>
      <c r="E69" s="122"/>
      <c r="F69" s="122" t="s">
        <v>3029</v>
      </c>
      <c r="G69" s="122" t="s">
        <v>3030</v>
      </c>
      <c r="H69" s="122" t="s">
        <v>102</v>
      </c>
      <c r="I69" s="122" t="s">
        <v>241</v>
      </c>
      <c r="J69" s="122"/>
      <c r="K69" s="122" t="s">
        <v>61</v>
      </c>
      <c r="L69" s="122"/>
      <c r="M69" s="122"/>
      <c r="N69" s="122" t="s">
        <v>314</v>
      </c>
      <c r="O69" s="122" t="s">
        <v>62</v>
      </c>
      <c r="P69" s="145">
        <v>43565</v>
      </c>
      <c r="Q69" s="122" t="s">
        <v>1217</v>
      </c>
      <c r="R69" s="122" t="s">
        <v>303</v>
      </c>
      <c r="S69" s="122" t="s">
        <v>305</v>
      </c>
      <c r="T69" s="145">
        <v>45881</v>
      </c>
      <c r="U69" s="123">
        <v>3.306</v>
      </c>
      <c r="V69" s="148">
        <v>644.84482758620686</v>
      </c>
      <c r="W69" s="123">
        <v>2131.857</v>
      </c>
      <c r="X69" s="122"/>
      <c r="Y69" s="125">
        <v>1.4120000000000001E-2</v>
      </c>
      <c r="Z69" s="126">
        <v>1.82E-3</v>
      </c>
      <c r="AA69" s="159"/>
    </row>
    <row r="70" spans="1:27" x14ac:dyDescent="0.2">
      <c r="A70" s="121" t="s">
        <v>1211</v>
      </c>
      <c r="B70" s="122" t="s">
        <v>1211</v>
      </c>
      <c r="C70" s="122" t="s">
        <v>2906</v>
      </c>
      <c r="D70" s="122"/>
      <c r="E70" s="122"/>
      <c r="F70" s="122" t="s">
        <v>3031</v>
      </c>
      <c r="G70" s="122" t="s">
        <v>3032</v>
      </c>
      <c r="H70" s="122" t="s">
        <v>102</v>
      </c>
      <c r="I70" s="122" t="s">
        <v>749</v>
      </c>
      <c r="J70" s="122"/>
      <c r="K70" s="122" t="s">
        <v>61</v>
      </c>
      <c r="L70" s="122"/>
      <c r="M70" s="122"/>
      <c r="N70" s="122" t="s">
        <v>314</v>
      </c>
      <c r="O70" s="122" t="s">
        <v>62</v>
      </c>
      <c r="P70" s="145">
        <v>44858</v>
      </c>
      <c r="Q70" s="122" t="s">
        <v>1217</v>
      </c>
      <c r="R70" s="122" t="s">
        <v>303</v>
      </c>
      <c r="S70" s="122" t="s">
        <v>305</v>
      </c>
      <c r="T70" s="145">
        <v>45916</v>
      </c>
      <c r="U70" s="123">
        <v>3.306</v>
      </c>
      <c r="V70" s="148">
        <v>602.35359951603152</v>
      </c>
      <c r="W70" s="123">
        <v>1991.3810000000001</v>
      </c>
      <c r="X70" s="125">
        <v>5.6999999999999998E-4</v>
      </c>
      <c r="Y70" s="125">
        <v>1.319E-2</v>
      </c>
      <c r="Z70" s="126">
        <v>1.6999999999999999E-3</v>
      </c>
      <c r="AA70" s="159"/>
    </row>
    <row r="71" spans="1:27" x14ac:dyDescent="0.2">
      <c r="A71" s="121" t="s">
        <v>1211</v>
      </c>
      <c r="B71" s="122" t="s">
        <v>1211</v>
      </c>
      <c r="C71" s="122" t="s">
        <v>3033</v>
      </c>
      <c r="D71" s="122"/>
      <c r="E71" s="122"/>
      <c r="F71" s="122" t="s">
        <v>3034</v>
      </c>
      <c r="G71" s="122" t="s">
        <v>3035</v>
      </c>
      <c r="H71" s="122" t="s">
        <v>102</v>
      </c>
      <c r="I71" s="122" t="s">
        <v>749</v>
      </c>
      <c r="J71" s="122"/>
      <c r="K71" s="122" t="s">
        <v>61</v>
      </c>
      <c r="L71" s="122"/>
      <c r="M71" s="122"/>
      <c r="N71" s="122" t="s">
        <v>930</v>
      </c>
      <c r="O71" s="122" t="s">
        <v>62</v>
      </c>
      <c r="P71" s="145">
        <v>43207</v>
      </c>
      <c r="Q71" s="122" t="s">
        <v>1217</v>
      </c>
      <c r="R71" s="122" t="s">
        <v>303</v>
      </c>
      <c r="S71" s="122" t="s">
        <v>305</v>
      </c>
      <c r="T71" s="145">
        <v>45926</v>
      </c>
      <c r="U71" s="123">
        <v>3.306</v>
      </c>
      <c r="V71" s="148">
        <v>591.79673321234122</v>
      </c>
      <c r="W71" s="123">
        <v>1956.48</v>
      </c>
      <c r="X71" s="122"/>
      <c r="Y71" s="125">
        <v>1.2959999999999999E-2</v>
      </c>
      <c r="Z71" s="126">
        <v>1.67E-3</v>
      </c>
      <c r="AA71" s="159"/>
    </row>
    <row r="72" spans="1:27" x14ac:dyDescent="0.2">
      <c r="A72" s="121" t="s">
        <v>1211</v>
      </c>
      <c r="B72" s="122" t="s">
        <v>1211</v>
      </c>
      <c r="C72" s="122" t="s">
        <v>3036</v>
      </c>
      <c r="D72" s="122"/>
      <c r="E72" s="122"/>
      <c r="F72" s="122" t="s">
        <v>3037</v>
      </c>
      <c r="G72" s="122" t="s">
        <v>3038</v>
      </c>
      <c r="H72" s="122" t="s">
        <v>102</v>
      </c>
      <c r="I72" s="122" t="s">
        <v>749</v>
      </c>
      <c r="J72" s="122"/>
      <c r="K72" s="122" t="s">
        <v>61</v>
      </c>
      <c r="L72" s="122"/>
      <c r="M72" s="122"/>
      <c r="N72" s="122" t="s">
        <v>317</v>
      </c>
      <c r="O72" s="122" t="s">
        <v>62</v>
      </c>
      <c r="P72" s="145">
        <v>44143</v>
      </c>
      <c r="Q72" s="122" t="s">
        <v>1218</v>
      </c>
      <c r="R72" s="122" t="s">
        <v>303</v>
      </c>
      <c r="S72" s="122" t="s">
        <v>305</v>
      </c>
      <c r="T72" s="145">
        <v>45881</v>
      </c>
      <c r="U72" s="123">
        <v>3.8809999999999998</v>
      </c>
      <c r="V72" s="148">
        <v>495.06673537748009</v>
      </c>
      <c r="W72" s="123">
        <v>1921.354</v>
      </c>
      <c r="X72" s="125">
        <v>9.0000000000000006E-5</v>
      </c>
      <c r="Y72" s="125">
        <v>1.273E-2</v>
      </c>
      <c r="Z72" s="126">
        <v>1.64E-3</v>
      </c>
      <c r="AA72" s="159"/>
    </row>
    <row r="73" spans="1:27" x14ac:dyDescent="0.2">
      <c r="A73" s="121" t="s">
        <v>1211</v>
      </c>
      <c r="B73" s="122" t="s">
        <v>1211</v>
      </c>
      <c r="C73" s="122" t="s">
        <v>3039</v>
      </c>
      <c r="D73" s="122"/>
      <c r="E73" s="122"/>
      <c r="F73" s="122" t="s">
        <v>3040</v>
      </c>
      <c r="G73" s="122" t="s">
        <v>3041</v>
      </c>
      <c r="H73" s="122" t="s">
        <v>102</v>
      </c>
      <c r="I73" s="122" t="s">
        <v>749</v>
      </c>
      <c r="J73" s="122"/>
      <c r="K73" s="122" t="s">
        <v>61</v>
      </c>
      <c r="L73" s="122"/>
      <c r="M73" s="122"/>
      <c r="N73" s="122" t="s">
        <v>930</v>
      </c>
      <c r="O73" s="122" t="s">
        <v>62</v>
      </c>
      <c r="P73" s="145">
        <v>43914</v>
      </c>
      <c r="Q73" s="122" t="s">
        <v>1217</v>
      </c>
      <c r="R73" s="122" t="s">
        <v>303</v>
      </c>
      <c r="S73" s="122" t="s">
        <v>305</v>
      </c>
      <c r="T73" s="145">
        <v>45922</v>
      </c>
      <c r="U73" s="123">
        <v>3.306</v>
      </c>
      <c r="V73" s="148">
        <v>574.73169993950398</v>
      </c>
      <c r="W73" s="123">
        <v>1900.0630000000001</v>
      </c>
      <c r="X73" s="125">
        <v>5.0000000000000002E-5</v>
      </c>
      <c r="Y73" s="125">
        <v>1.2579999999999999E-2</v>
      </c>
      <c r="Z73" s="126">
        <v>1.6199999999999999E-3</v>
      </c>
      <c r="AA73" s="159"/>
    </row>
    <row r="74" spans="1:27" x14ac:dyDescent="0.2">
      <c r="A74" s="121" t="s">
        <v>1211</v>
      </c>
      <c r="B74" s="122" t="s">
        <v>1211</v>
      </c>
      <c r="C74" s="122" t="s">
        <v>102</v>
      </c>
      <c r="D74" s="122"/>
      <c r="E74" s="122"/>
      <c r="F74" s="122" t="s">
        <v>3042</v>
      </c>
      <c r="G74" s="122" t="s">
        <v>3043</v>
      </c>
      <c r="H74" s="122" t="s">
        <v>102</v>
      </c>
      <c r="I74" s="122" t="s">
        <v>926</v>
      </c>
      <c r="J74" s="122"/>
      <c r="K74" s="122" t="s">
        <v>61</v>
      </c>
      <c r="L74" s="122"/>
      <c r="M74" s="122"/>
      <c r="N74" s="122" t="s">
        <v>314</v>
      </c>
      <c r="O74" s="122" t="s">
        <v>62</v>
      </c>
      <c r="P74" s="145">
        <v>44742</v>
      </c>
      <c r="Q74" s="122" t="s">
        <v>1217</v>
      </c>
      <c r="R74" s="122" t="s">
        <v>303</v>
      </c>
      <c r="S74" s="122" t="s">
        <v>305</v>
      </c>
      <c r="T74" s="145">
        <v>45925</v>
      </c>
      <c r="U74" s="123">
        <v>3.306</v>
      </c>
      <c r="V74" s="148">
        <v>570.00181488203259</v>
      </c>
      <c r="W74" s="123">
        <v>1884.4259999999999</v>
      </c>
      <c r="X74" s="125">
        <v>9.0000000000000006E-5</v>
      </c>
      <c r="Y74" s="125">
        <v>1.248E-2</v>
      </c>
      <c r="Z74" s="126">
        <v>1.6100000000000001E-3</v>
      </c>
      <c r="AA74" s="159"/>
    </row>
    <row r="75" spans="1:27" x14ac:dyDescent="0.2">
      <c r="A75" s="121" t="s">
        <v>1211</v>
      </c>
      <c r="B75" s="122" t="s">
        <v>1211</v>
      </c>
      <c r="C75" s="122" t="s">
        <v>3044</v>
      </c>
      <c r="D75" s="122"/>
      <c r="E75" s="122"/>
      <c r="F75" s="122" t="s">
        <v>3045</v>
      </c>
      <c r="G75" s="122" t="s">
        <v>3046</v>
      </c>
      <c r="H75" s="122" t="s">
        <v>102</v>
      </c>
      <c r="I75" s="122" t="s">
        <v>749</v>
      </c>
      <c r="J75" s="122"/>
      <c r="K75" s="122" t="s">
        <v>61</v>
      </c>
      <c r="L75" s="122"/>
      <c r="M75" s="122"/>
      <c r="N75" s="122" t="s">
        <v>313</v>
      </c>
      <c r="O75" s="122" t="s">
        <v>62</v>
      </c>
      <c r="P75" s="145">
        <v>44143</v>
      </c>
      <c r="Q75" s="122" t="s">
        <v>1218</v>
      </c>
      <c r="R75" s="122" t="s">
        <v>303</v>
      </c>
      <c r="S75" s="122" t="s">
        <v>305</v>
      </c>
      <c r="T75" s="145">
        <v>45902</v>
      </c>
      <c r="U75" s="123">
        <v>3.8809999999999998</v>
      </c>
      <c r="V75" s="148">
        <v>471.39448595722752</v>
      </c>
      <c r="W75" s="123">
        <v>1829.482</v>
      </c>
      <c r="X75" s="125">
        <v>2.0000000000000002E-5</v>
      </c>
      <c r="Y75" s="125">
        <v>1.2120000000000001E-2</v>
      </c>
      <c r="Z75" s="126">
        <v>1.56E-3</v>
      </c>
      <c r="AA75" s="159"/>
    </row>
    <row r="76" spans="1:27" x14ac:dyDescent="0.2">
      <c r="A76" s="121" t="s">
        <v>1211</v>
      </c>
      <c r="B76" s="122" t="s">
        <v>1211</v>
      </c>
      <c r="C76" s="122" t="s">
        <v>2906</v>
      </c>
      <c r="D76" s="122"/>
      <c r="E76" s="122"/>
      <c r="F76" s="122" t="s">
        <v>3047</v>
      </c>
      <c r="G76" s="122" t="s">
        <v>3048</v>
      </c>
      <c r="H76" s="122" t="s">
        <v>102</v>
      </c>
      <c r="I76" s="122" t="s">
        <v>749</v>
      </c>
      <c r="J76" s="122"/>
      <c r="K76" s="122" t="s">
        <v>61</v>
      </c>
      <c r="L76" s="122"/>
      <c r="M76" s="122"/>
      <c r="N76" s="122" t="s">
        <v>314</v>
      </c>
      <c r="O76" s="122" t="s">
        <v>62</v>
      </c>
      <c r="P76" s="145">
        <v>43614</v>
      </c>
      <c r="Q76" s="122" t="s">
        <v>1217</v>
      </c>
      <c r="R76" s="122" t="s">
        <v>303</v>
      </c>
      <c r="S76" s="122" t="s">
        <v>305</v>
      </c>
      <c r="T76" s="145">
        <v>45918</v>
      </c>
      <c r="U76" s="123">
        <v>3.306</v>
      </c>
      <c r="V76" s="148">
        <v>538.33575317604357</v>
      </c>
      <c r="W76" s="123">
        <v>1779.7380000000001</v>
      </c>
      <c r="X76" s="125">
        <v>4.0000000000000002E-4</v>
      </c>
      <c r="Y76" s="125">
        <v>1.179E-2</v>
      </c>
      <c r="Z76" s="126">
        <v>1.5200000000000001E-3</v>
      </c>
      <c r="AA76" s="159"/>
    </row>
    <row r="77" spans="1:27" x14ac:dyDescent="0.2">
      <c r="A77" s="121" t="s">
        <v>1211</v>
      </c>
      <c r="B77" s="122" t="s">
        <v>1211</v>
      </c>
      <c r="C77" s="122" t="s">
        <v>3049</v>
      </c>
      <c r="D77" s="122"/>
      <c r="E77" s="122"/>
      <c r="F77" s="122" t="s">
        <v>3023</v>
      </c>
      <c r="G77" s="122" t="s">
        <v>3050</v>
      </c>
      <c r="H77" s="122" t="s">
        <v>102</v>
      </c>
      <c r="I77" s="122" t="s">
        <v>241</v>
      </c>
      <c r="J77" s="122"/>
      <c r="K77" s="122" t="s">
        <v>61</v>
      </c>
      <c r="L77" s="122"/>
      <c r="M77" s="122"/>
      <c r="N77" s="122" t="s">
        <v>314</v>
      </c>
      <c r="O77" s="122" t="s">
        <v>62</v>
      </c>
      <c r="P77" s="145">
        <v>45449</v>
      </c>
      <c r="Q77" s="122" t="s">
        <v>1217</v>
      </c>
      <c r="R77" s="122" t="s">
        <v>303</v>
      </c>
      <c r="S77" s="122" t="s">
        <v>305</v>
      </c>
      <c r="T77" s="145">
        <v>45900</v>
      </c>
      <c r="U77" s="123">
        <v>3.306</v>
      </c>
      <c r="V77" s="148">
        <v>537.04083484573505</v>
      </c>
      <c r="W77" s="123">
        <v>1775.4570000000001</v>
      </c>
      <c r="X77" s="125">
        <v>5.8E-4</v>
      </c>
      <c r="Y77" s="125">
        <v>1.176E-2</v>
      </c>
      <c r="Z77" s="126">
        <v>1.5100000000000001E-3</v>
      </c>
      <c r="AA77" s="159"/>
    </row>
    <row r="78" spans="1:27" x14ac:dyDescent="0.2">
      <c r="A78" s="121" t="s">
        <v>1211</v>
      </c>
      <c r="B78" s="122" t="s">
        <v>1211</v>
      </c>
      <c r="C78" s="122" t="s">
        <v>3051</v>
      </c>
      <c r="D78" s="122"/>
      <c r="E78" s="122"/>
      <c r="F78" s="122" t="s">
        <v>3052</v>
      </c>
      <c r="G78" s="122" t="s">
        <v>3053</v>
      </c>
      <c r="H78" s="122" t="s">
        <v>102</v>
      </c>
      <c r="I78" s="122" t="s">
        <v>749</v>
      </c>
      <c r="J78" s="122"/>
      <c r="K78" s="122" t="s">
        <v>61</v>
      </c>
      <c r="L78" s="122"/>
      <c r="M78" s="122"/>
      <c r="N78" s="122" t="s">
        <v>313</v>
      </c>
      <c r="O78" s="122" t="s">
        <v>62</v>
      </c>
      <c r="P78" s="145">
        <v>44315</v>
      </c>
      <c r="Q78" s="122" t="s">
        <v>1217</v>
      </c>
      <c r="R78" s="122" t="s">
        <v>303</v>
      </c>
      <c r="S78" s="122" t="s">
        <v>305</v>
      </c>
      <c r="T78" s="145">
        <v>45930</v>
      </c>
      <c r="U78" s="123">
        <v>3.306</v>
      </c>
      <c r="V78" s="148">
        <v>518.67180883242588</v>
      </c>
      <c r="W78" s="123">
        <v>1714.729</v>
      </c>
      <c r="X78" s="125">
        <v>2.7E-4</v>
      </c>
      <c r="Y78" s="125">
        <v>1.136E-2</v>
      </c>
      <c r="Z78" s="126">
        <v>1.4599999999999999E-3</v>
      </c>
      <c r="AA78" s="159"/>
    </row>
    <row r="79" spans="1:27" x14ac:dyDescent="0.2">
      <c r="A79" s="121" t="s">
        <v>1211</v>
      </c>
      <c r="B79" s="122" t="s">
        <v>1211</v>
      </c>
      <c r="C79" s="122" t="s">
        <v>3054</v>
      </c>
      <c r="D79" s="122"/>
      <c r="E79" s="122"/>
      <c r="F79" s="122" t="s">
        <v>3055</v>
      </c>
      <c r="G79" s="122" t="s">
        <v>3056</v>
      </c>
      <c r="H79" s="122" t="s">
        <v>102</v>
      </c>
      <c r="I79" s="122" t="s">
        <v>280</v>
      </c>
      <c r="J79" s="122"/>
      <c r="K79" s="122" t="s">
        <v>61</v>
      </c>
      <c r="L79" s="122"/>
      <c r="M79" s="122"/>
      <c r="N79" s="122" t="s">
        <v>316</v>
      </c>
      <c r="O79" s="122" t="s">
        <v>62</v>
      </c>
      <c r="P79" s="145">
        <v>44731</v>
      </c>
      <c r="Q79" s="122" t="s">
        <v>1217</v>
      </c>
      <c r="R79" s="122" t="s">
        <v>303</v>
      </c>
      <c r="S79" s="122" t="s">
        <v>305</v>
      </c>
      <c r="T79" s="145">
        <v>45900</v>
      </c>
      <c r="U79" s="123">
        <v>3.306</v>
      </c>
      <c r="V79" s="148">
        <v>505.76860254083482</v>
      </c>
      <c r="W79" s="123">
        <v>1672.0709999999999</v>
      </c>
      <c r="X79" s="125">
        <v>5.0000000000000001E-4</v>
      </c>
      <c r="Y79" s="125">
        <v>1.107E-2</v>
      </c>
      <c r="Z79" s="126">
        <v>1.4300000000000001E-3</v>
      </c>
      <c r="AA79" s="159"/>
    </row>
    <row r="80" spans="1:27" x14ac:dyDescent="0.2">
      <c r="A80" s="121" t="s">
        <v>1211</v>
      </c>
      <c r="B80" s="122" t="s">
        <v>1211</v>
      </c>
      <c r="C80" s="122" t="s">
        <v>3057</v>
      </c>
      <c r="D80" s="122"/>
      <c r="E80" s="122"/>
      <c r="F80" s="122" t="s">
        <v>3058</v>
      </c>
      <c r="G80" s="122" t="s">
        <v>3059</v>
      </c>
      <c r="H80" s="122" t="s">
        <v>102</v>
      </c>
      <c r="I80" s="122" t="s">
        <v>280</v>
      </c>
      <c r="J80" s="122"/>
      <c r="K80" s="122" t="s">
        <v>61</v>
      </c>
      <c r="L80" s="122"/>
      <c r="M80" s="122"/>
      <c r="N80" s="122" t="s">
        <v>313</v>
      </c>
      <c r="O80" s="122" t="s">
        <v>62</v>
      </c>
      <c r="P80" s="145">
        <v>43495</v>
      </c>
      <c r="Q80" s="122" t="s">
        <v>1218</v>
      </c>
      <c r="R80" s="122" t="s">
        <v>303</v>
      </c>
      <c r="S80" s="122" t="s">
        <v>305</v>
      </c>
      <c r="T80" s="145">
        <v>45908</v>
      </c>
      <c r="U80" s="123">
        <v>3.8809999999999998</v>
      </c>
      <c r="V80" s="148">
        <v>421.97629476938937</v>
      </c>
      <c r="W80" s="123">
        <v>1637.69</v>
      </c>
      <c r="X80" s="122"/>
      <c r="Y80" s="125">
        <v>1.085E-2</v>
      </c>
      <c r="Z80" s="126">
        <v>1.4E-3</v>
      </c>
      <c r="AA80" s="159"/>
    </row>
    <row r="81" spans="1:27" x14ac:dyDescent="0.2">
      <c r="A81" s="121" t="s">
        <v>1211</v>
      </c>
      <c r="B81" s="122" t="s">
        <v>1211</v>
      </c>
      <c r="C81" s="122" t="s">
        <v>3060</v>
      </c>
      <c r="D81" s="122"/>
      <c r="E81" s="122"/>
      <c r="F81" s="122" t="s">
        <v>3061</v>
      </c>
      <c r="G81" s="122" t="s">
        <v>3062</v>
      </c>
      <c r="H81" s="122" t="s">
        <v>102</v>
      </c>
      <c r="I81" s="122" t="s">
        <v>926</v>
      </c>
      <c r="J81" s="122"/>
      <c r="K81" s="122" t="s">
        <v>61</v>
      </c>
      <c r="L81" s="122"/>
      <c r="M81" s="122"/>
      <c r="N81" s="122" t="s">
        <v>314</v>
      </c>
      <c r="O81" s="122" t="s">
        <v>62</v>
      </c>
      <c r="P81" s="145">
        <v>44769</v>
      </c>
      <c r="Q81" s="122" t="s">
        <v>1217</v>
      </c>
      <c r="R81" s="122" t="s">
        <v>303</v>
      </c>
      <c r="S81" s="122" t="s">
        <v>305</v>
      </c>
      <c r="T81" s="145">
        <v>45930</v>
      </c>
      <c r="U81" s="123">
        <v>3.306</v>
      </c>
      <c r="V81" s="148">
        <v>492.40623109497881</v>
      </c>
      <c r="W81" s="123">
        <v>1627.895</v>
      </c>
      <c r="X81" s="125">
        <v>2.0600000000000002E-3</v>
      </c>
      <c r="Y81" s="125">
        <v>1.078E-2</v>
      </c>
      <c r="Z81" s="126">
        <v>1.39E-3</v>
      </c>
      <c r="AA81" s="159"/>
    </row>
    <row r="82" spans="1:27" x14ac:dyDescent="0.2">
      <c r="A82" s="121" t="s">
        <v>1211</v>
      </c>
      <c r="B82" s="122" t="s">
        <v>1211</v>
      </c>
      <c r="C82" s="122" t="s">
        <v>3063</v>
      </c>
      <c r="D82" s="122"/>
      <c r="E82" s="122"/>
      <c r="F82" s="122" t="s">
        <v>3064</v>
      </c>
      <c r="G82" s="122" t="s">
        <v>3065</v>
      </c>
      <c r="H82" s="122" t="s">
        <v>102</v>
      </c>
      <c r="I82" s="122" t="s">
        <v>241</v>
      </c>
      <c r="J82" s="122"/>
      <c r="K82" s="122" t="s">
        <v>61</v>
      </c>
      <c r="L82" s="122"/>
      <c r="M82" s="122"/>
      <c r="N82" s="122" t="s">
        <v>313</v>
      </c>
      <c r="O82" s="122" t="s">
        <v>62</v>
      </c>
      <c r="P82" s="145">
        <v>43965</v>
      </c>
      <c r="Q82" s="122" t="s">
        <v>1218</v>
      </c>
      <c r="R82" s="122" t="s">
        <v>303</v>
      </c>
      <c r="S82" s="122" t="s">
        <v>305</v>
      </c>
      <c r="T82" s="145">
        <v>45926</v>
      </c>
      <c r="U82" s="123">
        <v>3.8809999999999998</v>
      </c>
      <c r="V82" s="148">
        <v>408.51533110023195</v>
      </c>
      <c r="W82" s="123">
        <v>1585.4480000000001</v>
      </c>
      <c r="X82" s="125">
        <v>1.0499999999999999E-3</v>
      </c>
      <c r="Y82" s="125">
        <v>1.0500000000000001E-2</v>
      </c>
      <c r="Z82" s="126">
        <v>1.3500000000000001E-3</v>
      </c>
      <c r="AA82" s="159"/>
    </row>
    <row r="83" spans="1:27" x14ac:dyDescent="0.2">
      <c r="A83" s="121" t="s">
        <v>1211</v>
      </c>
      <c r="B83" s="122" t="s">
        <v>1211</v>
      </c>
      <c r="C83" s="122" t="s">
        <v>3016</v>
      </c>
      <c r="D83" s="122"/>
      <c r="E83" s="122"/>
      <c r="F83" s="122" t="s">
        <v>3066</v>
      </c>
      <c r="G83" s="122" t="s">
        <v>3067</v>
      </c>
      <c r="H83" s="122" t="s">
        <v>102</v>
      </c>
      <c r="I83" s="122" t="s">
        <v>280</v>
      </c>
      <c r="J83" s="122"/>
      <c r="K83" s="122" t="s">
        <v>61</v>
      </c>
      <c r="L83" s="122"/>
      <c r="M83" s="122"/>
      <c r="N83" s="122" t="s">
        <v>314</v>
      </c>
      <c r="O83" s="122" t="s">
        <v>62</v>
      </c>
      <c r="P83" s="145">
        <v>44453</v>
      </c>
      <c r="Q83" s="122" t="s">
        <v>1217</v>
      </c>
      <c r="R83" s="122" t="s">
        <v>303</v>
      </c>
      <c r="S83" s="122" t="s">
        <v>305</v>
      </c>
      <c r="T83" s="145">
        <v>45926</v>
      </c>
      <c r="U83" s="123">
        <v>3.306</v>
      </c>
      <c r="V83" s="148">
        <v>474.83726557773741</v>
      </c>
      <c r="W83" s="123">
        <v>1569.8119999999999</v>
      </c>
      <c r="X83" s="125">
        <v>1.1999999999999999E-3</v>
      </c>
      <c r="Y83" s="125">
        <v>1.04E-2</v>
      </c>
      <c r="Z83" s="126">
        <v>1.34E-3</v>
      </c>
      <c r="AA83" s="159"/>
    </row>
    <row r="84" spans="1:27" x14ac:dyDescent="0.2">
      <c r="A84" s="121" t="s">
        <v>1211</v>
      </c>
      <c r="B84" s="122" t="s">
        <v>1211</v>
      </c>
      <c r="C84" s="122" t="s">
        <v>3068</v>
      </c>
      <c r="D84" s="122"/>
      <c r="E84" s="122"/>
      <c r="F84" s="122" t="s">
        <v>3069</v>
      </c>
      <c r="G84" s="122" t="s">
        <v>3070</v>
      </c>
      <c r="H84" s="122" t="s">
        <v>102</v>
      </c>
      <c r="I84" s="122" t="s">
        <v>749</v>
      </c>
      <c r="J84" s="122"/>
      <c r="K84" s="122" t="s">
        <v>61</v>
      </c>
      <c r="L84" s="122"/>
      <c r="M84" s="122"/>
      <c r="N84" s="122" t="s">
        <v>317</v>
      </c>
      <c r="O84" s="122" t="s">
        <v>62</v>
      </c>
      <c r="P84" s="145">
        <v>44613</v>
      </c>
      <c r="Q84" s="122" t="s">
        <v>1218</v>
      </c>
      <c r="R84" s="122" t="s">
        <v>303</v>
      </c>
      <c r="S84" s="122" t="s">
        <v>305</v>
      </c>
      <c r="T84" s="145">
        <v>45918</v>
      </c>
      <c r="U84" s="123">
        <v>3.8809999999999998</v>
      </c>
      <c r="V84" s="148">
        <v>386.89641844885341</v>
      </c>
      <c r="W84" s="123">
        <v>1501.5450000000001</v>
      </c>
      <c r="X84" s="125">
        <v>8.8999999999999995E-4</v>
      </c>
      <c r="Y84" s="125">
        <v>9.9399999999999992E-3</v>
      </c>
      <c r="Z84" s="126">
        <v>1.2800000000000001E-3</v>
      </c>
      <c r="AA84" s="159"/>
    </row>
    <row r="85" spans="1:27" x14ac:dyDescent="0.2">
      <c r="A85" s="121" t="s">
        <v>1211</v>
      </c>
      <c r="B85" s="122" t="s">
        <v>1211</v>
      </c>
      <c r="C85" s="122" t="s">
        <v>3071</v>
      </c>
      <c r="D85" s="122"/>
      <c r="E85" s="122"/>
      <c r="F85" s="122" t="s">
        <v>3072</v>
      </c>
      <c r="G85" s="122" t="s">
        <v>3073</v>
      </c>
      <c r="H85" s="122" t="s">
        <v>102</v>
      </c>
      <c r="I85" s="122" t="s">
        <v>242</v>
      </c>
      <c r="J85" s="122"/>
      <c r="K85" s="122" t="s">
        <v>61</v>
      </c>
      <c r="L85" s="122"/>
      <c r="M85" s="122"/>
      <c r="N85" s="122" t="s">
        <v>930</v>
      </c>
      <c r="O85" s="122" t="s">
        <v>62</v>
      </c>
      <c r="P85" s="145">
        <v>44651</v>
      </c>
      <c r="Q85" s="122" t="s">
        <v>1217</v>
      </c>
      <c r="R85" s="122" t="s">
        <v>303</v>
      </c>
      <c r="S85" s="122" t="s">
        <v>305</v>
      </c>
      <c r="T85" s="145">
        <v>45929</v>
      </c>
      <c r="U85" s="123">
        <v>3.306</v>
      </c>
      <c r="V85" s="148">
        <v>448.59497882637629</v>
      </c>
      <c r="W85" s="123">
        <v>1483.0550000000001</v>
      </c>
      <c r="X85" s="125">
        <v>1.6000000000000001E-4</v>
      </c>
      <c r="Y85" s="125">
        <v>9.8200000000000006E-3</v>
      </c>
      <c r="Z85" s="126">
        <v>1.2600000000000001E-3</v>
      </c>
      <c r="AA85" s="159"/>
    </row>
    <row r="86" spans="1:27" x14ac:dyDescent="0.2">
      <c r="A86" s="121" t="s">
        <v>1211</v>
      </c>
      <c r="B86" s="122" t="s">
        <v>1211</v>
      </c>
      <c r="C86" s="122" t="s">
        <v>3074</v>
      </c>
      <c r="D86" s="122"/>
      <c r="E86" s="122"/>
      <c r="F86" s="122" t="s">
        <v>3075</v>
      </c>
      <c r="G86" s="122" t="s">
        <v>3076</v>
      </c>
      <c r="H86" s="122" t="s">
        <v>102</v>
      </c>
      <c r="I86" s="122" t="s">
        <v>749</v>
      </c>
      <c r="J86" s="122"/>
      <c r="K86" s="122" t="s">
        <v>61</v>
      </c>
      <c r="L86" s="122"/>
      <c r="M86" s="122"/>
      <c r="N86" s="122" t="s">
        <v>314</v>
      </c>
      <c r="O86" s="122" t="s">
        <v>62</v>
      </c>
      <c r="P86" s="145">
        <v>43132</v>
      </c>
      <c r="Q86" s="122" t="s">
        <v>1217</v>
      </c>
      <c r="R86" s="122" t="s">
        <v>303</v>
      </c>
      <c r="S86" s="122" t="s">
        <v>305</v>
      </c>
      <c r="T86" s="145">
        <v>45902</v>
      </c>
      <c r="U86" s="123">
        <v>3.306</v>
      </c>
      <c r="V86" s="148">
        <v>448.40290381125226</v>
      </c>
      <c r="W86" s="123">
        <v>1482.42</v>
      </c>
      <c r="X86" s="122"/>
      <c r="Y86" s="125">
        <v>9.8200000000000006E-3</v>
      </c>
      <c r="Z86" s="126">
        <v>1.2600000000000001E-3</v>
      </c>
      <c r="AA86" s="159"/>
    </row>
    <row r="87" spans="1:27" x14ac:dyDescent="0.2">
      <c r="A87" s="121" t="s">
        <v>1211</v>
      </c>
      <c r="B87" s="122" t="s">
        <v>1211</v>
      </c>
      <c r="C87" s="122" t="s">
        <v>2906</v>
      </c>
      <c r="D87" s="122"/>
      <c r="E87" s="122"/>
      <c r="F87" s="122" t="s">
        <v>3077</v>
      </c>
      <c r="G87" s="122" t="s">
        <v>3078</v>
      </c>
      <c r="H87" s="122" t="s">
        <v>102</v>
      </c>
      <c r="I87" s="122" t="s">
        <v>749</v>
      </c>
      <c r="J87" s="122"/>
      <c r="K87" s="122" t="s">
        <v>61</v>
      </c>
      <c r="L87" s="122"/>
      <c r="M87" s="122"/>
      <c r="N87" s="122" t="s">
        <v>314</v>
      </c>
      <c r="O87" s="122" t="s">
        <v>62</v>
      </c>
      <c r="P87" s="145">
        <v>44259</v>
      </c>
      <c r="Q87" s="122" t="s">
        <v>1217</v>
      </c>
      <c r="R87" s="122" t="s">
        <v>303</v>
      </c>
      <c r="S87" s="122" t="s">
        <v>305</v>
      </c>
      <c r="T87" s="145">
        <v>45930</v>
      </c>
      <c r="U87" s="123">
        <v>3.306</v>
      </c>
      <c r="V87" s="148">
        <v>442.09558378705384</v>
      </c>
      <c r="W87" s="123">
        <v>1461.568</v>
      </c>
      <c r="X87" s="125">
        <v>2.9E-4</v>
      </c>
      <c r="Y87" s="125">
        <v>9.6799999999999994E-3</v>
      </c>
      <c r="Z87" s="126">
        <v>1.25E-3</v>
      </c>
      <c r="AA87" s="159"/>
    </row>
    <row r="88" spans="1:27" x14ac:dyDescent="0.2">
      <c r="A88" s="121" t="s">
        <v>1211</v>
      </c>
      <c r="B88" s="122" t="s">
        <v>1211</v>
      </c>
      <c r="C88" s="122" t="s">
        <v>102</v>
      </c>
      <c r="D88" s="122"/>
      <c r="E88" s="122"/>
      <c r="F88" s="122" t="s">
        <v>3079</v>
      </c>
      <c r="G88" s="122" t="s">
        <v>3080</v>
      </c>
      <c r="H88" s="122" t="s">
        <v>102</v>
      </c>
      <c r="I88" s="122" t="s">
        <v>926</v>
      </c>
      <c r="J88" s="122"/>
      <c r="K88" s="122" t="s">
        <v>61</v>
      </c>
      <c r="L88" s="122"/>
      <c r="M88" s="122"/>
      <c r="N88" s="122" t="s">
        <v>930</v>
      </c>
      <c r="O88" s="122" t="s">
        <v>62</v>
      </c>
      <c r="P88" s="145">
        <v>43643</v>
      </c>
      <c r="Q88" s="122" t="s">
        <v>1217</v>
      </c>
      <c r="R88" s="122" t="s">
        <v>303</v>
      </c>
      <c r="S88" s="122" t="s">
        <v>305</v>
      </c>
      <c r="T88" s="145">
        <v>45926</v>
      </c>
      <c r="U88" s="123">
        <v>3.306</v>
      </c>
      <c r="V88" s="148">
        <v>441.27374470659407</v>
      </c>
      <c r="W88" s="123">
        <v>1458.8510000000001</v>
      </c>
      <c r="X88" s="125">
        <v>1.1E-4</v>
      </c>
      <c r="Y88" s="125">
        <v>9.6600000000000002E-3</v>
      </c>
      <c r="Z88" s="126">
        <v>1.24E-3</v>
      </c>
      <c r="AA88" s="159"/>
    </row>
    <row r="89" spans="1:27" x14ac:dyDescent="0.2">
      <c r="A89" s="121" t="s">
        <v>1211</v>
      </c>
      <c r="B89" s="122" t="s">
        <v>1211</v>
      </c>
      <c r="C89" s="122" t="s">
        <v>3081</v>
      </c>
      <c r="D89" s="122"/>
      <c r="E89" s="122"/>
      <c r="F89" s="122" t="s">
        <v>3082</v>
      </c>
      <c r="G89" s="122" t="s">
        <v>3083</v>
      </c>
      <c r="H89" s="122" t="s">
        <v>102</v>
      </c>
      <c r="I89" s="122" t="s">
        <v>749</v>
      </c>
      <c r="J89" s="122"/>
      <c r="K89" s="122" t="s">
        <v>61</v>
      </c>
      <c r="L89" s="122"/>
      <c r="M89" s="122"/>
      <c r="N89" s="122" t="s">
        <v>188</v>
      </c>
      <c r="O89" s="122" t="s">
        <v>62</v>
      </c>
      <c r="P89" s="145">
        <v>44342</v>
      </c>
      <c r="Q89" s="122" t="s">
        <v>1217</v>
      </c>
      <c r="R89" s="122" t="s">
        <v>303</v>
      </c>
      <c r="S89" s="122" t="s">
        <v>305</v>
      </c>
      <c r="T89" s="145">
        <v>45897</v>
      </c>
      <c r="U89" s="123">
        <v>3.306</v>
      </c>
      <c r="V89" s="148">
        <v>437.40744101633391</v>
      </c>
      <c r="W89" s="123">
        <v>1446.069</v>
      </c>
      <c r="X89" s="125">
        <v>2.0000000000000001E-4</v>
      </c>
      <c r="Y89" s="125">
        <v>9.58E-3</v>
      </c>
      <c r="Z89" s="126">
        <v>1.23E-3</v>
      </c>
      <c r="AA89" s="159"/>
    </row>
    <row r="90" spans="1:27" x14ac:dyDescent="0.2">
      <c r="A90" s="121" t="s">
        <v>1211</v>
      </c>
      <c r="B90" s="122" t="s">
        <v>1211</v>
      </c>
      <c r="C90" s="122" t="s">
        <v>102</v>
      </c>
      <c r="D90" s="122"/>
      <c r="E90" s="122"/>
      <c r="F90" s="122" t="s">
        <v>3084</v>
      </c>
      <c r="G90" s="122" t="s">
        <v>3085</v>
      </c>
      <c r="H90" s="122" t="s">
        <v>102</v>
      </c>
      <c r="I90" s="122" t="s">
        <v>926</v>
      </c>
      <c r="J90" s="122"/>
      <c r="K90" s="122" t="s">
        <v>61</v>
      </c>
      <c r="L90" s="122"/>
      <c r="M90" s="122"/>
      <c r="N90" s="122" t="s">
        <v>313</v>
      </c>
      <c r="O90" s="122" t="s">
        <v>62</v>
      </c>
      <c r="P90" s="145">
        <v>44026</v>
      </c>
      <c r="Q90" s="122" t="s">
        <v>1218</v>
      </c>
      <c r="R90" s="122" t="s">
        <v>303</v>
      </c>
      <c r="S90" s="122" t="s">
        <v>305</v>
      </c>
      <c r="T90" s="145">
        <v>45900</v>
      </c>
      <c r="U90" s="123">
        <v>3.8809999999999998</v>
      </c>
      <c r="V90" s="148">
        <v>353.21875805204849</v>
      </c>
      <c r="W90" s="123">
        <v>1370.8420000000001</v>
      </c>
      <c r="X90" s="125">
        <v>4.4000000000000003E-3</v>
      </c>
      <c r="Y90" s="125">
        <v>9.0799999999999995E-3</v>
      </c>
      <c r="Z90" s="126">
        <v>1.17E-3</v>
      </c>
      <c r="AA90" s="159"/>
    </row>
    <row r="91" spans="1:27" x14ac:dyDescent="0.2">
      <c r="A91" s="121" t="s">
        <v>1211</v>
      </c>
      <c r="B91" s="122" t="s">
        <v>1211</v>
      </c>
      <c r="C91" s="122" t="s">
        <v>3086</v>
      </c>
      <c r="D91" s="122"/>
      <c r="E91" s="122"/>
      <c r="F91" s="122" t="s">
        <v>3087</v>
      </c>
      <c r="G91" s="122" t="s">
        <v>3088</v>
      </c>
      <c r="H91" s="122" t="s">
        <v>102</v>
      </c>
      <c r="I91" s="122" t="s">
        <v>242</v>
      </c>
      <c r="J91" s="122"/>
      <c r="K91" s="122" t="s">
        <v>61</v>
      </c>
      <c r="L91" s="122"/>
      <c r="M91" s="122"/>
      <c r="N91" s="122" t="s">
        <v>314</v>
      </c>
      <c r="O91" s="122" t="s">
        <v>62</v>
      </c>
      <c r="P91" s="145">
        <v>43230</v>
      </c>
      <c r="Q91" s="122" t="s">
        <v>1217</v>
      </c>
      <c r="R91" s="122" t="s">
        <v>303</v>
      </c>
      <c r="S91" s="122" t="s">
        <v>305</v>
      </c>
      <c r="T91" s="145">
        <v>45918</v>
      </c>
      <c r="U91" s="123">
        <v>3.306</v>
      </c>
      <c r="V91" s="148">
        <v>411.48699334543255</v>
      </c>
      <c r="W91" s="123">
        <v>1360.376</v>
      </c>
      <c r="X91" s="125">
        <v>6.4000000000000005E-4</v>
      </c>
      <c r="Y91" s="125">
        <v>9.0100000000000006E-3</v>
      </c>
      <c r="Z91" s="126">
        <v>1.16E-3</v>
      </c>
      <c r="AA91" s="159"/>
    </row>
    <row r="92" spans="1:27" x14ac:dyDescent="0.2">
      <c r="A92" s="121" t="s">
        <v>1211</v>
      </c>
      <c r="B92" s="122" t="s">
        <v>1211</v>
      </c>
      <c r="C92" s="122" t="s">
        <v>3089</v>
      </c>
      <c r="D92" s="122"/>
      <c r="E92" s="122"/>
      <c r="F92" s="122" t="s">
        <v>3090</v>
      </c>
      <c r="G92" s="122" t="s">
        <v>3091</v>
      </c>
      <c r="H92" s="122" t="s">
        <v>102</v>
      </c>
      <c r="I92" s="122" t="s">
        <v>749</v>
      </c>
      <c r="J92" s="122"/>
      <c r="K92" s="122" t="s">
        <v>61</v>
      </c>
      <c r="L92" s="122"/>
      <c r="M92" s="122"/>
      <c r="N92" s="122" t="s">
        <v>313</v>
      </c>
      <c r="O92" s="122" t="s">
        <v>62</v>
      </c>
      <c r="P92" s="145">
        <v>45302</v>
      </c>
      <c r="Q92" s="122" t="s">
        <v>1218</v>
      </c>
      <c r="R92" s="122" t="s">
        <v>303</v>
      </c>
      <c r="S92" s="122" t="s">
        <v>305</v>
      </c>
      <c r="T92" s="145">
        <v>45929</v>
      </c>
      <c r="U92" s="123">
        <v>3.8809999999999998</v>
      </c>
      <c r="V92" s="148">
        <v>345.42051017778925</v>
      </c>
      <c r="W92" s="123">
        <v>1340.577</v>
      </c>
      <c r="X92" s="125">
        <v>3.7000000000000002E-3</v>
      </c>
      <c r="Y92" s="125">
        <v>8.8800000000000007E-3</v>
      </c>
      <c r="Z92" s="126">
        <v>1.14E-3</v>
      </c>
      <c r="AA92" s="159"/>
    </row>
    <row r="93" spans="1:27" x14ac:dyDescent="0.2">
      <c r="A93" s="121" t="s">
        <v>1211</v>
      </c>
      <c r="B93" s="122" t="s">
        <v>1211</v>
      </c>
      <c r="C93" s="122" t="s">
        <v>3092</v>
      </c>
      <c r="D93" s="122"/>
      <c r="E93" s="122"/>
      <c r="F93" s="122" t="s">
        <v>3093</v>
      </c>
      <c r="G93" s="122" t="s">
        <v>3094</v>
      </c>
      <c r="H93" s="122" t="s">
        <v>102</v>
      </c>
      <c r="I93" s="122" t="s">
        <v>749</v>
      </c>
      <c r="J93" s="122"/>
      <c r="K93" s="122" t="s">
        <v>61</v>
      </c>
      <c r="L93" s="122"/>
      <c r="M93" s="122"/>
      <c r="N93" s="122" t="s">
        <v>930</v>
      </c>
      <c r="O93" s="122" t="s">
        <v>62</v>
      </c>
      <c r="P93" s="145">
        <v>43934</v>
      </c>
      <c r="Q93" s="122" t="s">
        <v>1217</v>
      </c>
      <c r="R93" s="122" t="s">
        <v>303</v>
      </c>
      <c r="S93" s="122" t="s">
        <v>305</v>
      </c>
      <c r="T93" s="145">
        <v>45900</v>
      </c>
      <c r="U93" s="123">
        <v>3.306</v>
      </c>
      <c r="V93" s="148">
        <v>403.73381730187532</v>
      </c>
      <c r="W93" s="123">
        <v>1334.7439999999999</v>
      </c>
      <c r="X93" s="125">
        <v>2.0200000000000001E-3</v>
      </c>
      <c r="Y93" s="125">
        <v>8.8400000000000006E-3</v>
      </c>
      <c r="Z93" s="126">
        <v>1.14E-3</v>
      </c>
      <c r="AA93" s="159"/>
    </row>
    <row r="94" spans="1:27" x14ac:dyDescent="0.2">
      <c r="A94" s="121" t="s">
        <v>1211</v>
      </c>
      <c r="B94" s="122" t="s">
        <v>1211</v>
      </c>
      <c r="C94" s="122" t="s">
        <v>3095</v>
      </c>
      <c r="D94" s="122"/>
      <c r="E94" s="122"/>
      <c r="F94" s="122" t="s">
        <v>3096</v>
      </c>
      <c r="G94" s="122" t="s">
        <v>3097</v>
      </c>
      <c r="H94" s="122" t="s">
        <v>102</v>
      </c>
      <c r="I94" s="122" t="s">
        <v>749</v>
      </c>
      <c r="J94" s="122"/>
      <c r="K94" s="122" t="s">
        <v>61</v>
      </c>
      <c r="L94" s="122"/>
      <c r="M94" s="122"/>
      <c r="N94" s="122" t="s">
        <v>313</v>
      </c>
      <c r="O94" s="122" t="s">
        <v>62</v>
      </c>
      <c r="P94" s="145">
        <v>44195</v>
      </c>
      <c r="Q94" s="122" t="s">
        <v>1217</v>
      </c>
      <c r="R94" s="122" t="s">
        <v>303</v>
      </c>
      <c r="S94" s="122" t="s">
        <v>305</v>
      </c>
      <c r="T94" s="145">
        <v>45897</v>
      </c>
      <c r="U94" s="123">
        <v>3.306</v>
      </c>
      <c r="V94" s="148">
        <v>396.39534180278281</v>
      </c>
      <c r="W94" s="123">
        <v>1310.4829999999999</v>
      </c>
      <c r="X94" s="125">
        <v>4.0000000000000003E-5</v>
      </c>
      <c r="Y94" s="125">
        <v>8.6800000000000002E-3</v>
      </c>
      <c r="Z94" s="126">
        <v>1.1199999999999999E-3</v>
      </c>
      <c r="AA94" s="159"/>
    </row>
    <row r="95" spans="1:27" x14ac:dyDescent="0.2">
      <c r="A95" s="121" t="s">
        <v>1211</v>
      </c>
      <c r="B95" s="122" t="s">
        <v>1211</v>
      </c>
      <c r="C95" s="122" t="s">
        <v>3098</v>
      </c>
      <c r="D95" s="122"/>
      <c r="E95" s="122"/>
      <c r="F95" s="122" t="s">
        <v>3099</v>
      </c>
      <c r="G95" s="122" t="s">
        <v>3100</v>
      </c>
      <c r="H95" s="122" t="s">
        <v>102</v>
      </c>
      <c r="I95" s="122" t="s">
        <v>926</v>
      </c>
      <c r="J95" s="122"/>
      <c r="K95" s="122" t="s">
        <v>61</v>
      </c>
      <c r="L95" s="122"/>
      <c r="M95" s="122"/>
      <c r="N95" s="122" t="s">
        <v>314</v>
      </c>
      <c r="O95" s="122" t="s">
        <v>62</v>
      </c>
      <c r="P95" s="145">
        <v>45252</v>
      </c>
      <c r="Q95" s="122" t="s">
        <v>1217</v>
      </c>
      <c r="R95" s="122" t="s">
        <v>303</v>
      </c>
      <c r="S95" s="122" t="s">
        <v>305</v>
      </c>
      <c r="T95" s="145">
        <v>45902</v>
      </c>
      <c r="U95" s="123">
        <v>3.306</v>
      </c>
      <c r="V95" s="148">
        <v>387.94010889292196</v>
      </c>
      <c r="W95" s="123">
        <v>1282.53</v>
      </c>
      <c r="X95" s="125">
        <v>1.0200000000000001E-3</v>
      </c>
      <c r="Y95" s="125">
        <v>8.4899999999999993E-3</v>
      </c>
      <c r="Z95" s="126">
        <v>1.09E-3</v>
      </c>
      <c r="AA95" s="159"/>
    </row>
    <row r="96" spans="1:27" x14ac:dyDescent="0.2">
      <c r="A96" s="121" t="s">
        <v>1211</v>
      </c>
      <c r="B96" s="122" t="s">
        <v>1211</v>
      </c>
      <c r="C96" s="122" t="s">
        <v>3101</v>
      </c>
      <c r="D96" s="122"/>
      <c r="E96" s="122"/>
      <c r="F96" s="122" t="s">
        <v>3102</v>
      </c>
      <c r="G96" s="122" t="s">
        <v>3103</v>
      </c>
      <c r="H96" s="122" t="s">
        <v>102</v>
      </c>
      <c r="I96" s="122" t="s">
        <v>280</v>
      </c>
      <c r="J96" s="122"/>
      <c r="K96" s="122" t="s">
        <v>61</v>
      </c>
      <c r="L96" s="122"/>
      <c r="M96" s="122"/>
      <c r="N96" s="122" t="s">
        <v>313</v>
      </c>
      <c r="O96" s="122" t="s">
        <v>62</v>
      </c>
      <c r="P96" s="145">
        <v>44427</v>
      </c>
      <c r="Q96" s="122" t="s">
        <v>1218</v>
      </c>
      <c r="R96" s="122" t="s">
        <v>303</v>
      </c>
      <c r="S96" s="122" t="s">
        <v>305</v>
      </c>
      <c r="T96" s="145">
        <v>45887</v>
      </c>
      <c r="U96" s="123">
        <v>3.8809999999999998</v>
      </c>
      <c r="V96" s="148">
        <v>322.18320020613248</v>
      </c>
      <c r="W96" s="123">
        <v>1250.393</v>
      </c>
      <c r="X96" s="125">
        <v>4.0999999999999999E-4</v>
      </c>
      <c r="Y96" s="125">
        <v>8.2799999999999992E-3</v>
      </c>
      <c r="Z96" s="126">
        <v>1.07E-3</v>
      </c>
      <c r="AA96" s="159"/>
    </row>
    <row r="97" spans="1:27" x14ac:dyDescent="0.2">
      <c r="A97" s="121" t="s">
        <v>1211</v>
      </c>
      <c r="B97" s="122" t="s">
        <v>1211</v>
      </c>
      <c r="C97" s="122" t="s">
        <v>3104</v>
      </c>
      <c r="D97" s="122"/>
      <c r="E97" s="122"/>
      <c r="F97" s="122" t="s">
        <v>3105</v>
      </c>
      <c r="G97" s="122" t="s">
        <v>3106</v>
      </c>
      <c r="H97" s="122" t="s">
        <v>102</v>
      </c>
      <c r="I97" s="122" t="s">
        <v>749</v>
      </c>
      <c r="J97" s="122"/>
      <c r="K97" s="122" t="s">
        <v>61</v>
      </c>
      <c r="L97" s="122"/>
      <c r="M97" s="122"/>
      <c r="N97" s="122" t="s">
        <v>930</v>
      </c>
      <c r="O97" s="122" t="s">
        <v>62</v>
      </c>
      <c r="P97" s="145">
        <v>43971</v>
      </c>
      <c r="Q97" s="122" t="s">
        <v>1217</v>
      </c>
      <c r="R97" s="122" t="s">
        <v>303</v>
      </c>
      <c r="S97" s="122" t="s">
        <v>305</v>
      </c>
      <c r="T97" s="145">
        <v>45930</v>
      </c>
      <c r="U97" s="123">
        <v>3.306</v>
      </c>
      <c r="V97" s="148">
        <v>373.30248033877797</v>
      </c>
      <c r="W97" s="123">
        <v>1234.1379999999999</v>
      </c>
      <c r="X97" s="125">
        <v>2.3000000000000001E-4</v>
      </c>
      <c r="Y97" s="125">
        <v>8.1700000000000002E-3</v>
      </c>
      <c r="Z97" s="126">
        <v>1.0499999999999999E-3</v>
      </c>
      <c r="AA97" s="159"/>
    </row>
    <row r="98" spans="1:27" x14ac:dyDescent="0.2">
      <c r="A98" s="121" t="s">
        <v>1211</v>
      </c>
      <c r="B98" s="122" t="s">
        <v>1211</v>
      </c>
      <c r="C98" s="122" t="s">
        <v>3107</v>
      </c>
      <c r="D98" s="122"/>
      <c r="E98" s="122"/>
      <c r="F98" s="122" t="s">
        <v>3108</v>
      </c>
      <c r="G98" s="122" t="s">
        <v>3109</v>
      </c>
      <c r="H98" s="122" t="s">
        <v>102</v>
      </c>
      <c r="I98" s="122" t="s">
        <v>241</v>
      </c>
      <c r="J98" s="122"/>
      <c r="K98" s="122" t="s">
        <v>61</v>
      </c>
      <c r="L98" s="122"/>
      <c r="M98" s="122"/>
      <c r="N98" s="122" t="s">
        <v>930</v>
      </c>
      <c r="O98" s="122" t="s">
        <v>62</v>
      </c>
      <c r="P98" s="145">
        <v>43971</v>
      </c>
      <c r="Q98" s="122" t="s">
        <v>1217</v>
      </c>
      <c r="R98" s="122" t="s">
        <v>303</v>
      </c>
      <c r="S98" s="122" t="s">
        <v>305</v>
      </c>
      <c r="T98" s="145">
        <v>45896</v>
      </c>
      <c r="U98" s="123">
        <v>3.306</v>
      </c>
      <c r="V98" s="148">
        <v>366.34543254688441</v>
      </c>
      <c r="W98" s="123">
        <v>1211.1379999999999</v>
      </c>
      <c r="X98" s="125">
        <v>2.7999999999999998E-4</v>
      </c>
      <c r="Y98" s="125">
        <v>8.0199999999999994E-3</v>
      </c>
      <c r="Z98" s="126">
        <v>1.0300000000000001E-3</v>
      </c>
      <c r="AA98" s="159"/>
    </row>
    <row r="99" spans="1:27" x14ac:dyDescent="0.2">
      <c r="A99" s="121" t="s">
        <v>1211</v>
      </c>
      <c r="B99" s="122" t="s">
        <v>1211</v>
      </c>
      <c r="C99" s="122" t="s">
        <v>3110</v>
      </c>
      <c r="D99" s="122"/>
      <c r="E99" s="122"/>
      <c r="F99" s="122" t="s">
        <v>3111</v>
      </c>
      <c r="G99" s="122" t="s">
        <v>3112</v>
      </c>
      <c r="H99" s="122" t="s">
        <v>102</v>
      </c>
      <c r="I99" s="122" t="s">
        <v>241</v>
      </c>
      <c r="J99" s="122"/>
      <c r="K99" s="122" t="s">
        <v>61</v>
      </c>
      <c r="L99" s="122"/>
      <c r="M99" s="122"/>
      <c r="N99" s="122" t="s">
        <v>930</v>
      </c>
      <c r="O99" s="122" t="s">
        <v>62</v>
      </c>
      <c r="P99" s="145">
        <v>42908</v>
      </c>
      <c r="Q99" s="122" t="s">
        <v>1217</v>
      </c>
      <c r="R99" s="122" t="s">
        <v>303</v>
      </c>
      <c r="S99" s="122" t="s">
        <v>305</v>
      </c>
      <c r="T99" s="145">
        <v>45889</v>
      </c>
      <c r="U99" s="123">
        <v>3.306</v>
      </c>
      <c r="V99" s="148">
        <v>360.9156079854809</v>
      </c>
      <c r="W99" s="123">
        <v>1193.1869999999999</v>
      </c>
      <c r="X99" s="125">
        <v>2.99E-3</v>
      </c>
      <c r="Y99" s="125">
        <v>7.9000000000000008E-3</v>
      </c>
      <c r="Z99" s="126">
        <v>1.0200000000000001E-3</v>
      </c>
      <c r="AA99" s="159"/>
    </row>
    <row r="100" spans="1:27" x14ac:dyDescent="0.2">
      <c r="A100" s="121" t="s">
        <v>1211</v>
      </c>
      <c r="B100" s="122" t="s">
        <v>1211</v>
      </c>
      <c r="C100" s="122" t="s">
        <v>3113</v>
      </c>
      <c r="D100" s="122"/>
      <c r="E100" s="122"/>
      <c r="F100" s="122" t="s">
        <v>3114</v>
      </c>
      <c r="G100" s="122" t="s">
        <v>3115</v>
      </c>
      <c r="H100" s="122" t="s">
        <v>102</v>
      </c>
      <c r="I100" s="122" t="s">
        <v>280</v>
      </c>
      <c r="J100" s="122"/>
      <c r="K100" s="122" t="s">
        <v>61</v>
      </c>
      <c r="L100" s="122"/>
      <c r="M100" s="122"/>
      <c r="N100" s="122" t="s">
        <v>192</v>
      </c>
      <c r="O100" s="122" t="s">
        <v>62</v>
      </c>
      <c r="P100" s="145">
        <v>44651</v>
      </c>
      <c r="Q100" s="122" t="s">
        <v>1218</v>
      </c>
      <c r="R100" s="122" t="s">
        <v>303</v>
      </c>
      <c r="S100" s="122" t="s">
        <v>305</v>
      </c>
      <c r="T100" s="145">
        <v>45869</v>
      </c>
      <c r="U100" s="123">
        <v>3.8809999999999998</v>
      </c>
      <c r="V100" s="148">
        <v>304.48544189641848</v>
      </c>
      <c r="W100" s="123">
        <v>1181.7080000000001</v>
      </c>
      <c r="X100" s="125">
        <v>1.5299999999999999E-3</v>
      </c>
      <c r="Y100" s="125">
        <v>7.8300000000000002E-3</v>
      </c>
      <c r="Z100" s="126">
        <v>1.01E-3</v>
      </c>
      <c r="AA100" s="159"/>
    </row>
    <row r="101" spans="1:27" x14ac:dyDescent="0.2">
      <c r="A101" s="121" t="s">
        <v>1211</v>
      </c>
      <c r="B101" s="122" t="s">
        <v>1211</v>
      </c>
      <c r="C101" s="122" t="s">
        <v>3116</v>
      </c>
      <c r="D101" s="122"/>
      <c r="E101" s="122"/>
      <c r="F101" s="122" t="s">
        <v>3117</v>
      </c>
      <c r="G101" s="122" t="s">
        <v>3118</v>
      </c>
      <c r="H101" s="122" t="s">
        <v>102</v>
      </c>
      <c r="I101" s="122" t="s">
        <v>280</v>
      </c>
      <c r="J101" s="122"/>
      <c r="K101" s="122" t="s">
        <v>61</v>
      </c>
      <c r="L101" s="122"/>
      <c r="M101" s="122"/>
      <c r="N101" s="122" t="s">
        <v>930</v>
      </c>
      <c r="O101" s="122" t="s">
        <v>62</v>
      </c>
      <c r="P101" s="145">
        <v>45124</v>
      </c>
      <c r="Q101" s="122" t="s">
        <v>1217</v>
      </c>
      <c r="R101" s="122" t="s">
        <v>303</v>
      </c>
      <c r="S101" s="122" t="s">
        <v>305</v>
      </c>
      <c r="T101" s="145">
        <v>45904</v>
      </c>
      <c r="U101" s="123">
        <v>3.306</v>
      </c>
      <c r="V101" s="148">
        <v>346.95341802782821</v>
      </c>
      <c r="W101" s="123">
        <v>1147.028</v>
      </c>
      <c r="X101" s="122"/>
      <c r="Y101" s="125">
        <v>7.6E-3</v>
      </c>
      <c r="Z101" s="126">
        <v>9.7999999999999997E-4</v>
      </c>
      <c r="AA101" s="159"/>
    </row>
    <row r="102" spans="1:27" x14ac:dyDescent="0.2">
      <c r="A102" s="121" t="s">
        <v>1211</v>
      </c>
      <c r="B102" s="122" t="s">
        <v>1211</v>
      </c>
      <c r="C102" s="122" t="s">
        <v>3119</v>
      </c>
      <c r="D102" s="122"/>
      <c r="E102" s="122"/>
      <c r="F102" s="122" t="s">
        <v>3120</v>
      </c>
      <c r="G102" s="122" t="s">
        <v>3121</v>
      </c>
      <c r="H102" s="122" t="s">
        <v>102</v>
      </c>
      <c r="I102" s="122" t="s">
        <v>749</v>
      </c>
      <c r="J102" s="122"/>
      <c r="K102" s="122" t="s">
        <v>61</v>
      </c>
      <c r="L102" s="122"/>
      <c r="M102" s="122"/>
      <c r="N102" s="122" t="s">
        <v>930</v>
      </c>
      <c r="O102" s="122" t="s">
        <v>62</v>
      </c>
      <c r="P102" s="145">
        <v>43300</v>
      </c>
      <c r="Q102" s="122" t="s">
        <v>1217</v>
      </c>
      <c r="R102" s="122" t="s">
        <v>303</v>
      </c>
      <c r="S102" s="122" t="s">
        <v>305</v>
      </c>
      <c r="T102" s="145">
        <v>45904</v>
      </c>
      <c r="U102" s="123">
        <v>3.306</v>
      </c>
      <c r="V102" s="148">
        <v>345.63793103448279</v>
      </c>
      <c r="W102" s="123">
        <v>1142.6790000000001</v>
      </c>
      <c r="X102" s="122"/>
      <c r="Y102" s="125">
        <v>7.5700000000000003E-3</v>
      </c>
      <c r="Z102" s="126">
        <v>9.7000000000000005E-4</v>
      </c>
      <c r="AA102" s="159"/>
    </row>
    <row r="103" spans="1:27" x14ac:dyDescent="0.2">
      <c r="A103" s="121" t="s">
        <v>1211</v>
      </c>
      <c r="B103" s="122" t="s">
        <v>1211</v>
      </c>
      <c r="C103" s="122" t="s">
        <v>3122</v>
      </c>
      <c r="D103" s="122"/>
      <c r="E103" s="122"/>
      <c r="F103" s="122" t="s">
        <v>3123</v>
      </c>
      <c r="G103" s="122" t="s">
        <v>3124</v>
      </c>
      <c r="H103" s="122" t="s">
        <v>102</v>
      </c>
      <c r="I103" s="122" t="s">
        <v>241</v>
      </c>
      <c r="J103" s="122"/>
      <c r="K103" s="122" t="s">
        <v>61</v>
      </c>
      <c r="L103" s="122"/>
      <c r="M103" s="122"/>
      <c r="N103" s="122" t="s">
        <v>930</v>
      </c>
      <c r="O103" s="122" t="s">
        <v>62</v>
      </c>
      <c r="P103" s="145">
        <v>43689</v>
      </c>
      <c r="Q103" s="122" t="s">
        <v>1217</v>
      </c>
      <c r="R103" s="122" t="s">
        <v>303</v>
      </c>
      <c r="S103" s="122" t="s">
        <v>305</v>
      </c>
      <c r="T103" s="145">
        <v>45889</v>
      </c>
      <c r="U103" s="123">
        <v>3.306</v>
      </c>
      <c r="V103" s="148">
        <v>339.89382940108896</v>
      </c>
      <c r="W103" s="123">
        <v>1123.6890000000001</v>
      </c>
      <c r="X103" s="122"/>
      <c r="Y103" s="125">
        <v>7.4400000000000004E-3</v>
      </c>
      <c r="Z103" s="126">
        <v>9.6000000000000002E-4</v>
      </c>
      <c r="AA103" s="159"/>
    </row>
    <row r="104" spans="1:27" x14ac:dyDescent="0.2">
      <c r="A104" s="121" t="s">
        <v>1211</v>
      </c>
      <c r="B104" s="122" t="s">
        <v>1211</v>
      </c>
      <c r="C104" s="122" t="s">
        <v>3125</v>
      </c>
      <c r="D104" s="122"/>
      <c r="E104" s="122"/>
      <c r="F104" s="122" t="s">
        <v>3126</v>
      </c>
      <c r="G104" s="122" t="s">
        <v>3127</v>
      </c>
      <c r="H104" s="122" t="s">
        <v>102</v>
      </c>
      <c r="I104" s="122" t="s">
        <v>241</v>
      </c>
      <c r="J104" s="122"/>
      <c r="K104" s="122" t="s">
        <v>61</v>
      </c>
      <c r="L104" s="122"/>
      <c r="M104" s="122"/>
      <c r="N104" s="122" t="s">
        <v>314</v>
      </c>
      <c r="O104" s="122" t="s">
        <v>62</v>
      </c>
      <c r="P104" s="145">
        <v>45218</v>
      </c>
      <c r="Q104" s="122" t="s">
        <v>1217</v>
      </c>
      <c r="R104" s="122" t="s">
        <v>303</v>
      </c>
      <c r="S104" s="122" t="s">
        <v>305</v>
      </c>
      <c r="T104" s="145">
        <v>45900</v>
      </c>
      <c r="U104" s="123">
        <v>3.306</v>
      </c>
      <c r="V104" s="148">
        <v>339.10828796128254</v>
      </c>
      <c r="W104" s="123">
        <v>1121.0920000000001</v>
      </c>
      <c r="X104" s="122"/>
      <c r="Y104" s="125">
        <v>7.43E-3</v>
      </c>
      <c r="Z104" s="126">
        <v>9.6000000000000002E-4</v>
      </c>
      <c r="AA104" s="159"/>
    </row>
    <row r="105" spans="1:27" x14ac:dyDescent="0.2">
      <c r="A105" s="121" t="s">
        <v>1211</v>
      </c>
      <c r="B105" s="122" t="s">
        <v>1211</v>
      </c>
      <c r="C105" s="122" t="s">
        <v>3128</v>
      </c>
      <c r="D105" s="122"/>
      <c r="E105" s="122"/>
      <c r="F105" s="122" t="s">
        <v>3129</v>
      </c>
      <c r="G105" s="122" t="s">
        <v>3130</v>
      </c>
      <c r="H105" s="122" t="s">
        <v>102</v>
      </c>
      <c r="I105" s="122" t="s">
        <v>749</v>
      </c>
      <c r="J105" s="122"/>
      <c r="K105" s="122" t="s">
        <v>61</v>
      </c>
      <c r="L105" s="122"/>
      <c r="M105" s="122"/>
      <c r="N105" s="122" t="s">
        <v>317</v>
      </c>
      <c r="O105" s="122" t="s">
        <v>62</v>
      </c>
      <c r="P105" s="145">
        <v>44143</v>
      </c>
      <c r="Q105" s="122" t="s">
        <v>1218</v>
      </c>
      <c r="R105" s="122" t="s">
        <v>303</v>
      </c>
      <c r="S105" s="122" t="s">
        <v>305</v>
      </c>
      <c r="T105" s="145">
        <v>45888</v>
      </c>
      <c r="U105" s="123">
        <v>3.8809999999999998</v>
      </c>
      <c r="V105" s="148">
        <v>287.1811388817315</v>
      </c>
      <c r="W105" s="123">
        <v>1114.55</v>
      </c>
      <c r="X105" s="125">
        <v>2.0000000000000002E-5</v>
      </c>
      <c r="Y105" s="125">
        <v>7.3800000000000003E-3</v>
      </c>
      <c r="Z105" s="126">
        <v>9.5E-4</v>
      </c>
      <c r="AA105" s="159"/>
    </row>
    <row r="106" spans="1:27" x14ac:dyDescent="0.2">
      <c r="A106" s="121" t="s">
        <v>1211</v>
      </c>
      <c r="B106" s="122" t="s">
        <v>1211</v>
      </c>
      <c r="C106" s="122" t="s">
        <v>3071</v>
      </c>
      <c r="D106" s="122"/>
      <c r="E106" s="122"/>
      <c r="F106" s="122" t="s">
        <v>3131</v>
      </c>
      <c r="G106" s="122" t="s">
        <v>3132</v>
      </c>
      <c r="H106" s="122" t="s">
        <v>102</v>
      </c>
      <c r="I106" s="122" t="s">
        <v>749</v>
      </c>
      <c r="J106" s="122"/>
      <c r="K106" s="122" t="s">
        <v>61</v>
      </c>
      <c r="L106" s="122"/>
      <c r="M106" s="122"/>
      <c r="N106" s="122" t="s">
        <v>317</v>
      </c>
      <c r="O106" s="122" t="s">
        <v>62</v>
      </c>
      <c r="P106" s="145">
        <v>45140</v>
      </c>
      <c r="Q106" s="122" t="s">
        <v>1217</v>
      </c>
      <c r="R106" s="122" t="s">
        <v>303</v>
      </c>
      <c r="S106" s="122" t="s">
        <v>305</v>
      </c>
      <c r="T106" s="145">
        <v>45930</v>
      </c>
      <c r="U106" s="123">
        <v>3.306</v>
      </c>
      <c r="V106" s="148">
        <v>324.15759225650334</v>
      </c>
      <c r="W106" s="123">
        <v>1071.665</v>
      </c>
      <c r="X106" s="125">
        <v>3.8500000000000001E-3</v>
      </c>
      <c r="Y106" s="125">
        <v>7.1000000000000004E-3</v>
      </c>
      <c r="Z106" s="126">
        <v>9.1E-4</v>
      </c>
      <c r="AA106" s="159"/>
    </row>
    <row r="107" spans="1:27" x14ac:dyDescent="0.2">
      <c r="A107" s="121" t="s">
        <v>1211</v>
      </c>
      <c r="B107" s="122" t="s">
        <v>1211</v>
      </c>
      <c r="C107" s="122" t="s">
        <v>3133</v>
      </c>
      <c r="D107" s="122"/>
      <c r="E107" s="122"/>
      <c r="F107" s="122" t="s">
        <v>3134</v>
      </c>
      <c r="G107" s="122" t="s">
        <v>3135</v>
      </c>
      <c r="H107" s="122" t="s">
        <v>102</v>
      </c>
      <c r="I107" s="122" t="s">
        <v>749</v>
      </c>
      <c r="J107" s="122"/>
      <c r="K107" s="122" t="s">
        <v>61</v>
      </c>
      <c r="L107" s="122"/>
      <c r="M107" s="122"/>
      <c r="N107" s="122" t="s">
        <v>53</v>
      </c>
      <c r="O107" s="122" t="s">
        <v>62</v>
      </c>
      <c r="P107" s="145">
        <v>43934</v>
      </c>
      <c r="Q107" s="122" t="s">
        <v>1217</v>
      </c>
      <c r="R107" s="122" t="s">
        <v>303</v>
      </c>
      <c r="S107" s="122" t="s">
        <v>305</v>
      </c>
      <c r="T107" s="145">
        <v>45882</v>
      </c>
      <c r="U107" s="123">
        <v>3.306</v>
      </c>
      <c r="V107" s="148">
        <v>320.81427707199032</v>
      </c>
      <c r="W107" s="123">
        <v>1060.6120000000001</v>
      </c>
      <c r="X107" s="125">
        <v>6.0999999999999997E-4</v>
      </c>
      <c r="Y107" s="125">
        <v>7.0200000000000002E-3</v>
      </c>
      <c r="Z107" s="126">
        <v>8.9999999999999998E-4</v>
      </c>
      <c r="AA107" s="159"/>
    </row>
    <row r="108" spans="1:27" x14ac:dyDescent="0.2">
      <c r="A108" s="121" t="s">
        <v>1211</v>
      </c>
      <c r="B108" s="122" t="s">
        <v>1211</v>
      </c>
      <c r="C108" s="122" t="s">
        <v>3136</v>
      </c>
      <c r="D108" s="122"/>
      <c r="E108" s="122"/>
      <c r="F108" s="122" t="s">
        <v>3137</v>
      </c>
      <c r="G108" s="122" t="s">
        <v>3138</v>
      </c>
      <c r="H108" s="122" t="s">
        <v>102</v>
      </c>
      <c r="I108" s="122" t="s">
        <v>241</v>
      </c>
      <c r="J108" s="122"/>
      <c r="K108" s="122" t="s">
        <v>61</v>
      </c>
      <c r="L108" s="122"/>
      <c r="M108" s="122"/>
      <c r="N108" s="122" t="s">
        <v>314</v>
      </c>
      <c r="O108" s="122" t="s">
        <v>62</v>
      </c>
      <c r="P108" s="145">
        <v>42541</v>
      </c>
      <c r="Q108" s="122" t="s">
        <v>1217</v>
      </c>
      <c r="R108" s="122" t="s">
        <v>303</v>
      </c>
      <c r="S108" s="122" t="s">
        <v>305</v>
      </c>
      <c r="T108" s="145">
        <v>45889</v>
      </c>
      <c r="U108" s="123">
        <v>3.306</v>
      </c>
      <c r="V108" s="148">
        <v>318.50241984271025</v>
      </c>
      <c r="W108" s="123">
        <v>1052.9690000000001</v>
      </c>
      <c r="X108" s="122"/>
      <c r="Y108" s="125">
        <v>6.9699999999999996E-3</v>
      </c>
      <c r="Z108" s="126">
        <v>8.9999999999999998E-4</v>
      </c>
      <c r="AA108" s="159"/>
    </row>
    <row r="109" spans="1:27" x14ac:dyDescent="0.2">
      <c r="A109" s="121" t="s">
        <v>1211</v>
      </c>
      <c r="B109" s="122" t="s">
        <v>1211</v>
      </c>
      <c r="C109" s="122" t="s">
        <v>3139</v>
      </c>
      <c r="D109" s="122"/>
      <c r="E109" s="122"/>
      <c r="F109" s="122" t="s">
        <v>3140</v>
      </c>
      <c r="G109" s="122" t="s">
        <v>3141</v>
      </c>
      <c r="H109" s="122" t="s">
        <v>102</v>
      </c>
      <c r="I109" s="122" t="s">
        <v>749</v>
      </c>
      <c r="J109" s="122"/>
      <c r="K109" s="122" t="s">
        <v>61</v>
      </c>
      <c r="L109" s="122"/>
      <c r="M109" s="122"/>
      <c r="N109" s="122" t="s">
        <v>314</v>
      </c>
      <c r="O109" s="122" t="s">
        <v>62</v>
      </c>
      <c r="P109" s="145">
        <v>44769</v>
      </c>
      <c r="Q109" s="122" t="s">
        <v>1217</v>
      </c>
      <c r="R109" s="122" t="s">
        <v>303</v>
      </c>
      <c r="S109" s="122" t="s">
        <v>305</v>
      </c>
      <c r="T109" s="145">
        <v>45902</v>
      </c>
      <c r="U109" s="123">
        <v>3.306</v>
      </c>
      <c r="V109" s="148">
        <v>300.13399879007864</v>
      </c>
      <c r="W109" s="123">
        <v>992.24300000000005</v>
      </c>
      <c r="X109" s="125">
        <v>3.7399999999999998E-3</v>
      </c>
      <c r="Y109" s="125">
        <v>6.5700000000000003E-3</v>
      </c>
      <c r="Z109" s="126">
        <v>8.4999999999999995E-4</v>
      </c>
      <c r="AA109" s="159"/>
    </row>
    <row r="110" spans="1:27" x14ac:dyDescent="0.2">
      <c r="A110" s="121" t="s">
        <v>1211</v>
      </c>
      <c r="B110" s="122" t="s">
        <v>1211</v>
      </c>
      <c r="C110" s="122" t="s">
        <v>3142</v>
      </c>
      <c r="D110" s="122"/>
      <c r="E110" s="122"/>
      <c r="F110" s="122" t="s">
        <v>3143</v>
      </c>
      <c r="G110" s="122" t="s">
        <v>3144</v>
      </c>
      <c r="H110" s="122" t="s">
        <v>102</v>
      </c>
      <c r="I110" s="122" t="s">
        <v>926</v>
      </c>
      <c r="J110" s="122"/>
      <c r="K110" s="122" t="s">
        <v>61</v>
      </c>
      <c r="L110" s="122"/>
      <c r="M110" s="122"/>
      <c r="N110" s="122" t="s">
        <v>930</v>
      </c>
      <c r="O110" s="122" t="s">
        <v>62</v>
      </c>
      <c r="P110" s="145">
        <v>44742</v>
      </c>
      <c r="Q110" s="122" t="s">
        <v>1217</v>
      </c>
      <c r="R110" s="122" t="s">
        <v>303</v>
      </c>
      <c r="S110" s="122" t="s">
        <v>305</v>
      </c>
      <c r="T110" s="145">
        <v>45930</v>
      </c>
      <c r="U110" s="123">
        <v>3.306</v>
      </c>
      <c r="V110" s="148">
        <v>297.75408348457347</v>
      </c>
      <c r="W110" s="123">
        <v>984.375</v>
      </c>
      <c r="X110" s="125">
        <v>7.1000000000000002E-4</v>
      </c>
      <c r="Y110" s="125">
        <v>6.5199999999999998E-3</v>
      </c>
      <c r="Z110" s="126">
        <v>8.4000000000000003E-4</v>
      </c>
      <c r="AA110" s="159"/>
    </row>
    <row r="111" spans="1:27" x14ac:dyDescent="0.2">
      <c r="A111" s="121" t="s">
        <v>1211</v>
      </c>
      <c r="B111" s="122" t="s">
        <v>1211</v>
      </c>
      <c r="C111" s="122" t="s">
        <v>3145</v>
      </c>
      <c r="D111" s="122"/>
      <c r="E111" s="122"/>
      <c r="F111" s="122" t="s">
        <v>3146</v>
      </c>
      <c r="G111" s="122" t="s">
        <v>3147</v>
      </c>
      <c r="H111" s="122" t="s">
        <v>102</v>
      </c>
      <c r="I111" s="122" t="s">
        <v>242</v>
      </c>
      <c r="J111" s="122"/>
      <c r="K111" s="122" t="s">
        <v>61</v>
      </c>
      <c r="L111" s="122"/>
      <c r="M111" s="122"/>
      <c r="N111" s="122" t="s">
        <v>314</v>
      </c>
      <c r="O111" s="122" t="s">
        <v>62</v>
      </c>
      <c r="P111" s="145">
        <v>45862</v>
      </c>
      <c r="Q111" s="122" t="s">
        <v>1217</v>
      </c>
      <c r="R111" s="122" t="s">
        <v>303</v>
      </c>
      <c r="S111" s="122" t="s">
        <v>305</v>
      </c>
      <c r="T111" s="145">
        <v>45869</v>
      </c>
      <c r="U111" s="123">
        <v>3.306</v>
      </c>
      <c r="V111" s="148">
        <v>283.22595281306718</v>
      </c>
      <c r="W111" s="123">
        <v>936.34500000000003</v>
      </c>
      <c r="X111" s="125">
        <v>5.5999999999999995E-4</v>
      </c>
      <c r="Y111" s="125">
        <v>6.1999999999999998E-3</v>
      </c>
      <c r="Z111" s="126">
        <v>8.0000000000000004E-4</v>
      </c>
      <c r="AA111" s="159"/>
    </row>
    <row r="112" spans="1:27" x14ac:dyDescent="0.2">
      <c r="A112" s="121" t="s">
        <v>1211</v>
      </c>
      <c r="B112" s="122" t="s">
        <v>1211</v>
      </c>
      <c r="C112" s="122" t="s">
        <v>3148</v>
      </c>
      <c r="D112" s="122"/>
      <c r="E112" s="122"/>
      <c r="F112" s="122" t="s">
        <v>3149</v>
      </c>
      <c r="G112" s="122" t="s">
        <v>3150</v>
      </c>
      <c r="H112" s="122" t="s">
        <v>102</v>
      </c>
      <c r="I112" s="122" t="s">
        <v>749</v>
      </c>
      <c r="J112" s="122"/>
      <c r="K112" s="122" t="s">
        <v>61</v>
      </c>
      <c r="L112" s="122"/>
      <c r="M112" s="122"/>
      <c r="N112" s="122" t="s">
        <v>317</v>
      </c>
      <c r="O112" s="122" t="s">
        <v>62</v>
      </c>
      <c r="P112" s="145">
        <v>44420</v>
      </c>
      <c r="Q112" s="122" t="s">
        <v>1217</v>
      </c>
      <c r="R112" s="122" t="s">
        <v>303</v>
      </c>
      <c r="S112" s="122" t="s">
        <v>305</v>
      </c>
      <c r="T112" s="145">
        <v>45918</v>
      </c>
      <c r="U112" s="123">
        <v>3.306</v>
      </c>
      <c r="V112" s="148">
        <v>277.19751966122203</v>
      </c>
      <c r="W112" s="123">
        <v>916.41499999999996</v>
      </c>
      <c r="X112" s="125">
        <v>1.3999999999999999E-4</v>
      </c>
      <c r="Y112" s="125">
        <v>6.0699999999999999E-3</v>
      </c>
      <c r="Z112" s="126">
        <v>7.7999999999999999E-4</v>
      </c>
      <c r="AA112" s="159"/>
    </row>
    <row r="113" spans="1:27" x14ac:dyDescent="0.2">
      <c r="A113" s="121" t="s">
        <v>1211</v>
      </c>
      <c r="B113" s="122" t="s">
        <v>1211</v>
      </c>
      <c r="C113" s="122" t="s">
        <v>3151</v>
      </c>
      <c r="D113" s="122"/>
      <c r="E113" s="122"/>
      <c r="F113" s="122" t="s">
        <v>3152</v>
      </c>
      <c r="G113" s="122" t="s">
        <v>3153</v>
      </c>
      <c r="H113" s="122" t="s">
        <v>102</v>
      </c>
      <c r="I113" s="122" t="s">
        <v>749</v>
      </c>
      <c r="J113" s="122"/>
      <c r="K113" s="122" t="s">
        <v>61</v>
      </c>
      <c r="L113" s="122"/>
      <c r="M113" s="122"/>
      <c r="N113" s="122" t="s">
        <v>188</v>
      </c>
      <c r="O113" s="122" t="s">
        <v>62</v>
      </c>
      <c r="P113" s="145">
        <v>44567</v>
      </c>
      <c r="Q113" s="122" t="s">
        <v>1217</v>
      </c>
      <c r="R113" s="122" t="s">
        <v>303</v>
      </c>
      <c r="S113" s="122" t="s">
        <v>305</v>
      </c>
      <c r="T113" s="145">
        <v>45897</v>
      </c>
      <c r="U113" s="123">
        <v>3.306</v>
      </c>
      <c r="V113" s="148">
        <v>269.37386569872956</v>
      </c>
      <c r="W113" s="123">
        <v>890.55</v>
      </c>
      <c r="X113" s="125">
        <v>8.4000000000000003E-4</v>
      </c>
      <c r="Y113" s="125">
        <v>5.8999999999999999E-3</v>
      </c>
      <c r="Z113" s="126">
        <v>7.6000000000000004E-4</v>
      </c>
      <c r="AA113" s="159"/>
    </row>
    <row r="114" spans="1:27" x14ac:dyDescent="0.2">
      <c r="A114" s="121" t="s">
        <v>1211</v>
      </c>
      <c r="B114" s="122" t="s">
        <v>1211</v>
      </c>
      <c r="C114" s="122" t="s">
        <v>3016</v>
      </c>
      <c r="D114" s="122"/>
      <c r="E114" s="122"/>
      <c r="F114" s="122" t="s">
        <v>3154</v>
      </c>
      <c r="G114" s="122" t="s">
        <v>3155</v>
      </c>
      <c r="H114" s="122" t="s">
        <v>102</v>
      </c>
      <c r="I114" s="122" t="s">
        <v>749</v>
      </c>
      <c r="J114" s="122"/>
      <c r="K114" s="122" t="s">
        <v>61</v>
      </c>
      <c r="L114" s="122"/>
      <c r="M114" s="122"/>
      <c r="N114" s="122" t="s">
        <v>317</v>
      </c>
      <c r="O114" s="122" t="s">
        <v>62</v>
      </c>
      <c r="P114" s="145">
        <v>45371</v>
      </c>
      <c r="Q114" s="122" t="s">
        <v>1217</v>
      </c>
      <c r="R114" s="122" t="s">
        <v>303</v>
      </c>
      <c r="S114" s="122" t="s">
        <v>305</v>
      </c>
      <c r="T114" s="145">
        <v>45915</v>
      </c>
      <c r="U114" s="123">
        <v>3.306</v>
      </c>
      <c r="V114" s="148">
        <v>257.14579552329099</v>
      </c>
      <c r="W114" s="123">
        <v>850.12400000000002</v>
      </c>
      <c r="X114" s="125">
        <v>1.7000000000000001E-4</v>
      </c>
      <c r="Y114" s="125">
        <v>5.6299999999999996E-3</v>
      </c>
      <c r="Z114" s="126">
        <v>7.2000000000000005E-4</v>
      </c>
      <c r="AA114" s="159"/>
    </row>
    <row r="115" spans="1:27" x14ac:dyDescent="0.2">
      <c r="A115" s="121" t="s">
        <v>1211</v>
      </c>
      <c r="B115" s="122" t="s">
        <v>1211</v>
      </c>
      <c r="C115" s="122" t="s">
        <v>3156</v>
      </c>
      <c r="D115" s="122"/>
      <c r="E115" s="122"/>
      <c r="F115" s="122" t="s">
        <v>3157</v>
      </c>
      <c r="G115" s="122" t="s">
        <v>3158</v>
      </c>
      <c r="H115" s="122" t="s">
        <v>102</v>
      </c>
      <c r="I115" s="122" t="s">
        <v>280</v>
      </c>
      <c r="J115" s="122"/>
      <c r="K115" s="122" t="s">
        <v>61</v>
      </c>
      <c r="L115" s="122"/>
      <c r="M115" s="122"/>
      <c r="N115" s="122" t="s">
        <v>317</v>
      </c>
      <c r="O115" s="122" t="s">
        <v>62</v>
      </c>
      <c r="P115" s="145">
        <v>45012</v>
      </c>
      <c r="Q115" s="122" t="s">
        <v>1217</v>
      </c>
      <c r="R115" s="122" t="s">
        <v>303</v>
      </c>
      <c r="S115" s="122" t="s">
        <v>305</v>
      </c>
      <c r="T115" s="145">
        <v>45869</v>
      </c>
      <c r="U115" s="123">
        <v>3.306</v>
      </c>
      <c r="V115" s="148">
        <v>248.76285541439805</v>
      </c>
      <c r="W115" s="123">
        <v>822.41</v>
      </c>
      <c r="X115" s="125">
        <v>2.7799999999999999E-3</v>
      </c>
      <c r="Y115" s="125">
        <v>5.45E-3</v>
      </c>
      <c r="Z115" s="126">
        <v>6.9999999999999999E-4</v>
      </c>
      <c r="AA115" s="159"/>
    </row>
    <row r="116" spans="1:27" x14ac:dyDescent="0.2">
      <c r="A116" s="121" t="s">
        <v>1211</v>
      </c>
      <c r="B116" s="122" t="s">
        <v>1211</v>
      </c>
      <c r="C116" s="122" t="s">
        <v>3159</v>
      </c>
      <c r="D116" s="122"/>
      <c r="E116" s="122"/>
      <c r="F116" s="122" t="s">
        <v>3160</v>
      </c>
      <c r="G116" s="122" t="s">
        <v>3161</v>
      </c>
      <c r="H116" s="122" t="s">
        <v>102</v>
      </c>
      <c r="I116" s="122" t="s">
        <v>280</v>
      </c>
      <c r="J116" s="122"/>
      <c r="K116" s="122" t="s">
        <v>61</v>
      </c>
      <c r="L116" s="122"/>
      <c r="M116" s="122"/>
      <c r="N116" s="122" t="s">
        <v>314</v>
      </c>
      <c r="O116" s="122" t="s">
        <v>62</v>
      </c>
      <c r="P116" s="145">
        <v>45671</v>
      </c>
      <c r="Q116" s="122" t="s">
        <v>1218</v>
      </c>
      <c r="R116" s="122" t="s">
        <v>303</v>
      </c>
      <c r="S116" s="122" t="s">
        <v>305</v>
      </c>
      <c r="T116" s="145">
        <v>45929</v>
      </c>
      <c r="U116" s="123">
        <v>3.8809999999999998</v>
      </c>
      <c r="V116" s="148">
        <v>202.90724040195826</v>
      </c>
      <c r="W116" s="123">
        <v>787.48299999999995</v>
      </c>
      <c r="X116" s="125">
        <v>2.5999999999999998E-4</v>
      </c>
      <c r="Y116" s="125">
        <v>5.2199999999999998E-3</v>
      </c>
      <c r="Z116" s="126">
        <v>6.7000000000000002E-4</v>
      </c>
      <c r="AA116" s="159"/>
    </row>
    <row r="117" spans="1:27" x14ac:dyDescent="0.2">
      <c r="A117" s="121" t="s">
        <v>1211</v>
      </c>
      <c r="B117" s="122" t="s">
        <v>1211</v>
      </c>
      <c r="C117" s="122" t="s">
        <v>3162</v>
      </c>
      <c r="D117" s="122"/>
      <c r="E117" s="122"/>
      <c r="F117" s="122" t="s">
        <v>3163</v>
      </c>
      <c r="G117" s="122" t="s">
        <v>3164</v>
      </c>
      <c r="H117" s="122" t="s">
        <v>102</v>
      </c>
      <c r="I117" s="122" t="s">
        <v>749</v>
      </c>
      <c r="J117" s="122"/>
      <c r="K117" s="122" t="s">
        <v>61</v>
      </c>
      <c r="L117" s="122"/>
      <c r="M117" s="122"/>
      <c r="N117" s="122" t="s">
        <v>930</v>
      </c>
      <c r="O117" s="122" t="s">
        <v>62</v>
      </c>
      <c r="P117" s="145">
        <v>44769</v>
      </c>
      <c r="Q117" s="122" t="s">
        <v>1217</v>
      </c>
      <c r="R117" s="122" t="s">
        <v>303</v>
      </c>
      <c r="S117" s="122" t="s">
        <v>305</v>
      </c>
      <c r="T117" s="145">
        <v>45900</v>
      </c>
      <c r="U117" s="123">
        <v>3.306</v>
      </c>
      <c r="V117" s="148">
        <v>233.5359951603146</v>
      </c>
      <c r="W117" s="123">
        <v>772.07</v>
      </c>
      <c r="X117" s="125">
        <v>1.14E-3</v>
      </c>
      <c r="Y117" s="125">
        <v>5.11E-3</v>
      </c>
      <c r="Z117" s="126">
        <v>6.6E-4</v>
      </c>
      <c r="AA117" s="159"/>
    </row>
    <row r="118" spans="1:27" x14ac:dyDescent="0.2">
      <c r="A118" s="121" t="s">
        <v>1211</v>
      </c>
      <c r="B118" s="122" t="s">
        <v>1211</v>
      </c>
      <c r="C118" s="122" t="s">
        <v>3165</v>
      </c>
      <c r="D118" s="122"/>
      <c r="E118" s="122"/>
      <c r="F118" s="122" t="s">
        <v>3166</v>
      </c>
      <c r="G118" s="122" t="s">
        <v>3167</v>
      </c>
      <c r="H118" s="122" t="s">
        <v>102</v>
      </c>
      <c r="I118" s="122" t="s">
        <v>280</v>
      </c>
      <c r="J118" s="122"/>
      <c r="K118" s="122" t="s">
        <v>61</v>
      </c>
      <c r="L118" s="122"/>
      <c r="M118" s="122"/>
      <c r="N118" s="122" t="s">
        <v>313</v>
      </c>
      <c r="O118" s="122" t="s">
        <v>62</v>
      </c>
      <c r="P118" s="145">
        <v>45271</v>
      </c>
      <c r="Q118" s="122" t="s">
        <v>1218</v>
      </c>
      <c r="R118" s="122" t="s">
        <v>303</v>
      </c>
      <c r="S118" s="122" t="s">
        <v>305</v>
      </c>
      <c r="T118" s="145">
        <v>45887</v>
      </c>
      <c r="U118" s="123">
        <v>3.8809999999999998</v>
      </c>
      <c r="V118" s="148">
        <v>197.56274156145324</v>
      </c>
      <c r="W118" s="123">
        <v>766.74099999999999</v>
      </c>
      <c r="X118" s="125">
        <v>1.2999999999999999E-4</v>
      </c>
      <c r="Y118" s="125">
        <v>5.0800000000000003E-3</v>
      </c>
      <c r="Z118" s="126">
        <v>6.4999999999999997E-4</v>
      </c>
      <c r="AA118" s="159"/>
    </row>
    <row r="119" spans="1:27" x14ac:dyDescent="0.2">
      <c r="A119" s="121" t="s">
        <v>1211</v>
      </c>
      <c r="B119" s="122" t="s">
        <v>1211</v>
      </c>
      <c r="C119" s="122" t="s">
        <v>3168</v>
      </c>
      <c r="D119" s="122"/>
      <c r="E119" s="122"/>
      <c r="F119" s="122" t="s">
        <v>3169</v>
      </c>
      <c r="G119" s="122" t="s">
        <v>3170</v>
      </c>
      <c r="H119" s="122" t="s">
        <v>102</v>
      </c>
      <c r="I119" s="122" t="s">
        <v>280</v>
      </c>
      <c r="J119" s="122"/>
      <c r="K119" s="122" t="s">
        <v>61</v>
      </c>
      <c r="L119" s="122"/>
      <c r="M119" s="122"/>
      <c r="N119" s="122" t="s">
        <v>313</v>
      </c>
      <c r="O119" s="122" t="s">
        <v>62</v>
      </c>
      <c r="P119" s="145">
        <v>44029</v>
      </c>
      <c r="Q119" s="122" t="s">
        <v>1218</v>
      </c>
      <c r="R119" s="122" t="s">
        <v>303</v>
      </c>
      <c r="S119" s="122" t="s">
        <v>305</v>
      </c>
      <c r="T119" s="145">
        <v>45900</v>
      </c>
      <c r="U119" s="123">
        <v>3.8809999999999998</v>
      </c>
      <c r="V119" s="148">
        <v>190.07369234733318</v>
      </c>
      <c r="W119" s="123">
        <v>737.67600000000004</v>
      </c>
      <c r="X119" s="125">
        <v>5.6999999999999998E-4</v>
      </c>
      <c r="Y119" s="125">
        <v>4.8900000000000002E-3</v>
      </c>
      <c r="Z119" s="126">
        <v>6.3000000000000003E-4</v>
      </c>
      <c r="AA119" s="159"/>
    </row>
    <row r="120" spans="1:27" x14ac:dyDescent="0.2">
      <c r="A120" s="121" t="s">
        <v>1211</v>
      </c>
      <c r="B120" s="122" t="s">
        <v>1211</v>
      </c>
      <c r="C120" s="122" t="s">
        <v>3171</v>
      </c>
      <c r="D120" s="122"/>
      <c r="E120" s="122"/>
      <c r="F120" s="122" t="s">
        <v>3172</v>
      </c>
      <c r="G120" s="122" t="s">
        <v>3173</v>
      </c>
      <c r="H120" s="122" t="s">
        <v>102</v>
      </c>
      <c r="I120" s="122" t="s">
        <v>749</v>
      </c>
      <c r="J120" s="122"/>
      <c r="K120" s="122" t="s">
        <v>61</v>
      </c>
      <c r="L120" s="122"/>
      <c r="M120" s="122"/>
      <c r="N120" s="122" t="s">
        <v>930</v>
      </c>
      <c r="O120" s="122" t="s">
        <v>62</v>
      </c>
      <c r="P120" s="145">
        <v>44525</v>
      </c>
      <c r="Q120" s="122" t="s">
        <v>1217</v>
      </c>
      <c r="R120" s="122" t="s">
        <v>303</v>
      </c>
      <c r="S120" s="122" t="s">
        <v>305</v>
      </c>
      <c r="T120" s="145">
        <v>45887</v>
      </c>
      <c r="U120" s="123">
        <v>3.306</v>
      </c>
      <c r="V120" s="148">
        <v>216.92770719903206</v>
      </c>
      <c r="W120" s="123">
        <v>717.16300000000001</v>
      </c>
      <c r="X120" s="125">
        <v>3.0000000000000001E-5</v>
      </c>
      <c r="Y120" s="125">
        <v>4.7499999999999999E-3</v>
      </c>
      <c r="Z120" s="126">
        <v>6.0999999999999997E-4</v>
      </c>
      <c r="AA120" s="159"/>
    </row>
    <row r="121" spans="1:27" x14ac:dyDescent="0.2">
      <c r="A121" s="121" t="s">
        <v>1211</v>
      </c>
      <c r="B121" s="122" t="s">
        <v>1211</v>
      </c>
      <c r="C121" s="122" t="s">
        <v>3174</v>
      </c>
      <c r="D121" s="122"/>
      <c r="E121" s="122"/>
      <c r="F121" s="122" t="s">
        <v>3175</v>
      </c>
      <c r="G121" s="122" t="s">
        <v>3176</v>
      </c>
      <c r="H121" s="122" t="s">
        <v>102</v>
      </c>
      <c r="I121" s="122" t="s">
        <v>280</v>
      </c>
      <c r="J121" s="122"/>
      <c r="K121" s="122" t="s">
        <v>61</v>
      </c>
      <c r="L121" s="122"/>
      <c r="M121" s="122"/>
      <c r="N121" s="122" t="s">
        <v>314</v>
      </c>
      <c r="O121" s="122" t="s">
        <v>62</v>
      </c>
      <c r="P121" s="145">
        <v>44560</v>
      </c>
      <c r="Q121" s="122" t="s">
        <v>1217</v>
      </c>
      <c r="R121" s="122" t="s">
        <v>303</v>
      </c>
      <c r="S121" s="122" t="s">
        <v>305</v>
      </c>
      <c r="T121" s="145">
        <v>45887</v>
      </c>
      <c r="U121" s="123">
        <v>3.306</v>
      </c>
      <c r="V121" s="148">
        <v>214.87174833635814</v>
      </c>
      <c r="W121" s="123">
        <v>710.36599999999999</v>
      </c>
      <c r="X121" s="125">
        <v>0</v>
      </c>
      <c r="Y121" s="125">
        <v>4.7000000000000002E-3</v>
      </c>
      <c r="Z121" s="126">
        <v>6.0999999999999997E-4</v>
      </c>
      <c r="AA121" s="159"/>
    </row>
    <row r="122" spans="1:27" x14ac:dyDescent="0.2">
      <c r="A122" s="121" t="s">
        <v>1211</v>
      </c>
      <c r="B122" s="122" t="s">
        <v>1211</v>
      </c>
      <c r="C122" s="122" t="s">
        <v>3177</v>
      </c>
      <c r="D122" s="122"/>
      <c r="E122" s="122"/>
      <c r="F122" s="122" t="s">
        <v>3178</v>
      </c>
      <c r="G122" s="122" t="s">
        <v>3179</v>
      </c>
      <c r="H122" s="122" t="s">
        <v>102</v>
      </c>
      <c r="I122" s="122" t="s">
        <v>926</v>
      </c>
      <c r="J122" s="122"/>
      <c r="K122" s="122" t="s">
        <v>61</v>
      </c>
      <c r="L122" s="122"/>
      <c r="M122" s="122"/>
      <c r="N122" s="122" t="s">
        <v>314</v>
      </c>
      <c r="O122" s="122" t="s">
        <v>62</v>
      </c>
      <c r="P122" s="145">
        <v>44139</v>
      </c>
      <c r="Q122" s="122" t="s">
        <v>1217</v>
      </c>
      <c r="R122" s="122" t="s">
        <v>303</v>
      </c>
      <c r="S122" s="122" t="s">
        <v>305</v>
      </c>
      <c r="T122" s="145">
        <v>45930</v>
      </c>
      <c r="U122" s="123">
        <v>3.306</v>
      </c>
      <c r="V122" s="148">
        <v>209.23472474289173</v>
      </c>
      <c r="W122" s="123">
        <v>691.73</v>
      </c>
      <c r="X122" s="125">
        <v>1.7799999999999999E-3</v>
      </c>
      <c r="Y122" s="125">
        <v>4.5799999999999999E-3</v>
      </c>
      <c r="Z122" s="126">
        <v>5.9000000000000003E-4</v>
      </c>
      <c r="AA122" s="159"/>
    </row>
    <row r="123" spans="1:27" x14ac:dyDescent="0.2">
      <c r="A123" s="121" t="s">
        <v>1211</v>
      </c>
      <c r="B123" s="122" t="s">
        <v>1211</v>
      </c>
      <c r="C123" s="122" t="s">
        <v>3180</v>
      </c>
      <c r="D123" s="122"/>
      <c r="E123" s="122"/>
      <c r="F123" s="122" t="s">
        <v>3181</v>
      </c>
      <c r="G123" s="122" t="s">
        <v>3182</v>
      </c>
      <c r="H123" s="122" t="s">
        <v>102</v>
      </c>
      <c r="I123" s="122" t="s">
        <v>749</v>
      </c>
      <c r="J123" s="122"/>
      <c r="K123" s="122" t="s">
        <v>61</v>
      </c>
      <c r="L123" s="122"/>
      <c r="M123" s="122"/>
      <c r="N123" s="122" t="s">
        <v>314</v>
      </c>
      <c r="O123" s="122" t="s">
        <v>62</v>
      </c>
      <c r="P123" s="145">
        <v>42209</v>
      </c>
      <c r="Q123" s="122" t="s">
        <v>1217</v>
      </c>
      <c r="R123" s="122" t="s">
        <v>303</v>
      </c>
      <c r="S123" s="122" t="s">
        <v>305</v>
      </c>
      <c r="T123" s="145">
        <v>45896</v>
      </c>
      <c r="U123" s="123">
        <v>3.306</v>
      </c>
      <c r="V123" s="148">
        <v>207.4845735027223</v>
      </c>
      <c r="W123" s="123">
        <v>685.94399999999996</v>
      </c>
      <c r="X123" s="122"/>
      <c r="Y123" s="125">
        <v>4.5399999999999998E-3</v>
      </c>
      <c r="Z123" s="126">
        <v>5.8E-4</v>
      </c>
      <c r="AA123" s="159"/>
    </row>
    <row r="124" spans="1:27" x14ac:dyDescent="0.2">
      <c r="A124" s="121" t="s">
        <v>1211</v>
      </c>
      <c r="B124" s="122" t="s">
        <v>1211</v>
      </c>
      <c r="C124" s="122" t="s">
        <v>3183</v>
      </c>
      <c r="D124" s="122"/>
      <c r="E124" s="122"/>
      <c r="F124" s="122" t="s">
        <v>3184</v>
      </c>
      <c r="G124" s="122" t="s">
        <v>3185</v>
      </c>
      <c r="H124" s="122" t="s">
        <v>102</v>
      </c>
      <c r="I124" s="122" t="s">
        <v>749</v>
      </c>
      <c r="J124" s="122"/>
      <c r="K124" s="122" t="s">
        <v>61</v>
      </c>
      <c r="L124" s="122"/>
      <c r="M124" s="122"/>
      <c r="N124" s="122" t="s">
        <v>316</v>
      </c>
      <c r="O124" s="122" t="s">
        <v>62</v>
      </c>
      <c r="P124" s="145">
        <v>44525</v>
      </c>
      <c r="Q124" s="122" t="s">
        <v>1217</v>
      </c>
      <c r="R124" s="122" t="s">
        <v>303</v>
      </c>
      <c r="S124" s="122" t="s">
        <v>305</v>
      </c>
      <c r="T124" s="145">
        <v>45930</v>
      </c>
      <c r="U124" s="123">
        <v>3.306</v>
      </c>
      <c r="V124" s="148">
        <v>204.67997580157291</v>
      </c>
      <c r="W124" s="123">
        <v>676.67200000000003</v>
      </c>
      <c r="X124" s="125">
        <v>3.8000000000000002E-4</v>
      </c>
      <c r="Y124" s="125">
        <v>4.4799999999999996E-3</v>
      </c>
      <c r="Z124" s="126">
        <v>5.8E-4</v>
      </c>
      <c r="AA124" s="159"/>
    </row>
    <row r="125" spans="1:27" x14ac:dyDescent="0.2">
      <c r="A125" s="121" t="s">
        <v>1211</v>
      </c>
      <c r="B125" s="122" t="s">
        <v>1211</v>
      </c>
      <c r="C125" s="122" t="s">
        <v>3186</v>
      </c>
      <c r="D125" s="122"/>
      <c r="E125" s="122"/>
      <c r="F125" s="122" t="s">
        <v>3187</v>
      </c>
      <c r="G125" s="122" t="s">
        <v>3188</v>
      </c>
      <c r="H125" s="122" t="s">
        <v>102</v>
      </c>
      <c r="I125" s="122" t="s">
        <v>241</v>
      </c>
      <c r="J125" s="122"/>
      <c r="K125" s="122" t="s">
        <v>61</v>
      </c>
      <c r="L125" s="122"/>
      <c r="M125" s="122"/>
      <c r="N125" s="122" t="s">
        <v>930</v>
      </c>
      <c r="O125" s="122" t="s">
        <v>62</v>
      </c>
      <c r="P125" s="145">
        <v>43082</v>
      </c>
      <c r="Q125" s="122" t="s">
        <v>1217</v>
      </c>
      <c r="R125" s="122" t="s">
        <v>303</v>
      </c>
      <c r="S125" s="122" t="s">
        <v>305</v>
      </c>
      <c r="T125" s="145">
        <v>45929</v>
      </c>
      <c r="U125" s="123">
        <v>3.306</v>
      </c>
      <c r="V125" s="148">
        <v>200.42921960072596</v>
      </c>
      <c r="W125" s="123">
        <v>662.61900000000003</v>
      </c>
      <c r="X125" s="125">
        <v>4.81E-3</v>
      </c>
      <c r="Y125" s="125">
        <v>4.3899999999999998E-3</v>
      </c>
      <c r="Z125" s="126">
        <v>5.5999999999999995E-4</v>
      </c>
      <c r="AA125" s="159"/>
    </row>
    <row r="126" spans="1:27" x14ac:dyDescent="0.2">
      <c r="A126" s="121" t="s">
        <v>1211</v>
      </c>
      <c r="B126" s="122" t="s">
        <v>1211</v>
      </c>
      <c r="C126" s="122" t="s">
        <v>3189</v>
      </c>
      <c r="D126" s="122"/>
      <c r="E126" s="122"/>
      <c r="F126" s="122" t="s">
        <v>3190</v>
      </c>
      <c r="G126" s="122" t="s">
        <v>3191</v>
      </c>
      <c r="H126" s="122" t="s">
        <v>102</v>
      </c>
      <c r="I126" s="122" t="s">
        <v>280</v>
      </c>
      <c r="J126" s="122"/>
      <c r="K126" s="122" t="s">
        <v>61</v>
      </c>
      <c r="L126" s="122"/>
      <c r="M126" s="122"/>
      <c r="N126" s="122" t="s">
        <v>1164</v>
      </c>
      <c r="O126" s="122" t="s">
        <v>62</v>
      </c>
      <c r="P126" s="145">
        <v>45503</v>
      </c>
      <c r="Q126" s="122" t="s">
        <v>1217</v>
      </c>
      <c r="R126" s="122" t="s">
        <v>303</v>
      </c>
      <c r="S126" s="122" t="s">
        <v>305</v>
      </c>
      <c r="T126" s="145">
        <v>45930</v>
      </c>
      <c r="U126" s="123">
        <v>3.306</v>
      </c>
      <c r="V126" s="148">
        <v>190.44010889292196</v>
      </c>
      <c r="W126" s="123">
        <v>629.59500000000003</v>
      </c>
      <c r="X126" s="125">
        <v>7.7000000000000002E-3</v>
      </c>
      <c r="Y126" s="125">
        <v>4.1700000000000001E-3</v>
      </c>
      <c r="Z126" s="126">
        <v>5.4000000000000001E-4</v>
      </c>
      <c r="AA126" s="159"/>
    </row>
    <row r="127" spans="1:27" x14ac:dyDescent="0.2">
      <c r="A127" s="121" t="s">
        <v>1211</v>
      </c>
      <c r="B127" s="122" t="s">
        <v>1211</v>
      </c>
      <c r="C127" s="122" t="s">
        <v>3192</v>
      </c>
      <c r="D127" s="122"/>
      <c r="E127" s="122"/>
      <c r="F127" s="122" t="s">
        <v>3193</v>
      </c>
      <c r="G127" s="122" t="s">
        <v>3194</v>
      </c>
      <c r="H127" s="122" t="s">
        <v>102</v>
      </c>
      <c r="I127" s="122" t="s">
        <v>749</v>
      </c>
      <c r="J127" s="122"/>
      <c r="K127" s="122" t="s">
        <v>61</v>
      </c>
      <c r="L127" s="122"/>
      <c r="M127" s="122"/>
      <c r="N127" s="122" t="s">
        <v>314</v>
      </c>
      <c r="O127" s="122" t="s">
        <v>62</v>
      </c>
      <c r="P127" s="145">
        <v>42710</v>
      </c>
      <c r="Q127" s="122" t="s">
        <v>1217</v>
      </c>
      <c r="R127" s="122" t="s">
        <v>303</v>
      </c>
      <c r="S127" s="122" t="s">
        <v>305</v>
      </c>
      <c r="T127" s="145">
        <v>45930</v>
      </c>
      <c r="U127" s="123">
        <v>3.306</v>
      </c>
      <c r="V127" s="148">
        <v>190.40925589836661</v>
      </c>
      <c r="W127" s="123">
        <v>629.49300000000005</v>
      </c>
      <c r="X127" s="122"/>
      <c r="Y127" s="125">
        <v>4.1700000000000001E-3</v>
      </c>
      <c r="Z127" s="126">
        <v>5.4000000000000001E-4</v>
      </c>
      <c r="AA127" s="159"/>
    </row>
    <row r="128" spans="1:27" x14ac:dyDescent="0.2">
      <c r="A128" s="121" t="s">
        <v>1211</v>
      </c>
      <c r="B128" s="122" t="s">
        <v>1211</v>
      </c>
      <c r="C128" s="122" t="s">
        <v>3195</v>
      </c>
      <c r="D128" s="122"/>
      <c r="E128" s="122"/>
      <c r="F128" s="122" t="s">
        <v>3196</v>
      </c>
      <c r="G128" s="122" t="s">
        <v>3197</v>
      </c>
      <c r="H128" s="122" t="s">
        <v>102</v>
      </c>
      <c r="I128" s="122" t="s">
        <v>749</v>
      </c>
      <c r="J128" s="122"/>
      <c r="K128" s="122" t="s">
        <v>61</v>
      </c>
      <c r="L128" s="122"/>
      <c r="M128" s="122"/>
      <c r="N128" s="122" t="s">
        <v>930</v>
      </c>
      <c r="O128" s="122" t="s">
        <v>62</v>
      </c>
      <c r="P128" s="145">
        <v>44525</v>
      </c>
      <c r="Q128" s="122" t="s">
        <v>1217</v>
      </c>
      <c r="R128" s="122" t="s">
        <v>303</v>
      </c>
      <c r="S128" s="122" t="s">
        <v>305</v>
      </c>
      <c r="T128" s="145">
        <v>45894</v>
      </c>
      <c r="U128" s="123">
        <v>3.306</v>
      </c>
      <c r="V128" s="148">
        <v>188.61494252873564</v>
      </c>
      <c r="W128" s="123">
        <v>623.56100000000004</v>
      </c>
      <c r="X128" s="125">
        <v>2.0000000000000002E-5</v>
      </c>
      <c r="Y128" s="125">
        <v>4.13E-3</v>
      </c>
      <c r="Z128" s="126">
        <v>5.2999999999999998E-4</v>
      </c>
      <c r="AA128" s="159"/>
    </row>
    <row r="129" spans="1:27" x14ac:dyDescent="0.2">
      <c r="A129" s="121" t="s">
        <v>1211</v>
      </c>
      <c r="B129" s="122" t="s">
        <v>1211</v>
      </c>
      <c r="C129" s="122" t="s">
        <v>3198</v>
      </c>
      <c r="D129" s="122"/>
      <c r="E129" s="122"/>
      <c r="F129" s="122" t="s">
        <v>3199</v>
      </c>
      <c r="G129" s="122" t="s">
        <v>3200</v>
      </c>
      <c r="H129" s="122" t="s">
        <v>102</v>
      </c>
      <c r="I129" s="122" t="s">
        <v>749</v>
      </c>
      <c r="J129" s="122"/>
      <c r="K129" s="122" t="s">
        <v>61</v>
      </c>
      <c r="L129" s="122"/>
      <c r="M129" s="122"/>
      <c r="N129" s="122" t="s">
        <v>314</v>
      </c>
      <c r="O129" s="122" t="s">
        <v>62</v>
      </c>
      <c r="P129" s="145">
        <v>44088</v>
      </c>
      <c r="Q129" s="122" t="s">
        <v>1217</v>
      </c>
      <c r="R129" s="122" t="s">
        <v>303</v>
      </c>
      <c r="S129" s="122" t="s">
        <v>305</v>
      </c>
      <c r="T129" s="145">
        <v>45897</v>
      </c>
      <c r="U129" s="123">
        <v>3.306</v>
      </c>
      <c r="V129" s="148">
        <v>181.08439201451904</v>
      </c>
      <c r="W129" s="123">
        <v>598.66499999999996</v>
      </c>
      <c r="X129" s="125">
        <v>2.4499999999999999E-3</v>
      </c>
      <c r="Y129" s="125">
        <v>3.9699999999999996E-3</v>
      </c>
      <c r="Z129" s="126">
        <v>5.1000000000000004E-4</v>
      </c>
      <c r="AA129" s="159"/>
    </row>
    <row r="130" spans="1:27" x14ac:dyDescent="0.2">
      <c r="A130" s="121" t="s">
        <v>1211</v>
      </c>
      <c r="B130" s="122" t="s">
        <v>1211</v>
      </c>
      <c r="C130" s="122" t="s">
        <v>3201</v>
      </c>
      <c r="D130" s="122"/>
      <c r="E130" s="122"/>
      <c r="F130" s="122" t="s">
        <v>3202</v>
      </c>
      <c r="G130" s="122" t="s">
        <v>3203</v>
      </c>
      <c r="H130" s="122" t="s">
        <v>102</v>
      </c>
      <c r="I130" s="122" t="s">
        <v>280</v>
      </c>
      <c r="J130" s="122"/>
      <c r="K130" s="122" t="s">
        <v>61</v>
      </c>
      <c r="L130" s="122"/>
      <c r="M130" s="122"/>
      <c r="N130" s="122" t="s">
        <v>930</v>
      </c>
      <c r="O130" s="122" t="s">
        <v>62</v>
      </c>
      <c r="P130" s="145">
        <v>44651</v>
      </c>
      <c r="Q130" s="122" t="s">
        <v>1217</v>
      </c>
      <c r="R130" s="122" t="s">
        <v>303</v>
      </c>
      <c r="S130" s="122" t="s">
        <v>305</v>
      </c>
      <c r="T130" s="145">
        <v>45929</v>
      </c>
      <c r="U130" s="123">
        <v>3.306</v>
      </c>
      <c r="V130" s="148">
        <v>180.38233514821539</v>
      </c>
      <c r="W130" s="123">
        <v>596.34400000000005</v>
      </c>
      <c r="X130" s="125">
        <v>1.2E-4</v>
      </c>
      <c r="Y130" s="125">
        <v>3.9500000000000004E-3</v>
      </c>
      <c r="Z130" s="126">
        <v>5.1000000000000004E-4</v>
      </c>
      <c r="AA130" s="159"/>
    </row>
    <row r="131" spans="1:27" x14ac:dyDescent="0.2">
      <c r="A131" s="121" t="s">
        <v>1211</v>
      </c>
      <c r="B131" s="122" t="s">
        <v>1211</v>
      </c>
      <c r="C131" s="122" t="s">
        <v>3204</v>
      </c>
      <c r="D131" s="122"/>
      <c r="E131" s="122"/>
      <c r="F131" s="122" t="s">
        <v>3205</v>
      </c>
      <c r="G131" s="122" t="s">
        <v>3206</v>
      </c>
      <c r="H131" s="122" t="s">
        <v>102</v>
      </c>
      <c r="I131" s="122" t="s">
        <v>241</v>
      </c>
      <c r="J131" s="122"/>
      <c r="K131" s="122" t="s">
        <v>61</v>
      </c>
      <c r="L131" s="122"/>
      <c r="M131" s="122"/>
      <c r="N131" s="122" t="s">
        <v>313</v>
      </c>
      <c r="O131" s="122" t="s">
        <v>62</v>
      </c>
      <c r="P131" s="145">
        <v>43185</v>
      </c>
      <c r="Q131" s="122" t="s">
        <v>1218</v>
      </c>
      <c r="R131" s="122" t="s">
        <v>303</v>
      </c>
      <c r="S131" s="122" t="s">
        <v>305</v>
      </c>
      <c r="T131" s="145">
        <v>45883</v>
      </c>
      <c r="U131" s="123">
        <v>3.8809999999999998</v>
      </c>
      <c r="V131" s="148">
        <v>137.53104869878899</v>
      </c>
      <c r="W131" s="123">
        <v>533.75800000000004</v>
      </c>
      <c r="X131" s="122"/>
      <c r="Y131" s="125">
        <v>3.5400000000000002E-3</v>
      </c>
      <c r="Z131" s="126">
        <v>4.6000000000000001E-4</v>
      </c>
      <c r="AA131" s="159"/>
    </row>
    <row r="132" spans="1:27" x14ac:dyDescent="0.2">
      <c r="A132" s="121" t="s">
        <v>1211</v>
      </c>
      <c r="B132" s="122" t="s">
        <v>1211</v>
      </c>
      <c r="C132" s="122" t="s">
        <v>3207</v>
      </c>
      <c r="D132" s="122"/>
      <c r="E132" s="122"/>
      <c r="F132" s="122" t="s">
        <v>3208</v>
      </c>
      <c r="G132" s="122" t="s">
        <v>3209</v>
      </c>
      <c r="H132" s="122" t="s">
        <v>102</v>
      </c>
      <c r="I132" s="122" t="s">
        <v>242</v>
      </c>
      <c r="J132" s="122"/>
      <c r="K132" s="122" t="s">
        <v>61</v>
      </c>
      <c r="L132" s="122"/>
      <c r="M132" s="122"/>
      <c r="N132" s="122" t="s">
        <v>314</v>
      </c>
      <c r="O132" s="122" t="s">
        <v>62</v>
      </c>
      <c r="P132" s="145">
        <v>45799</v>
      </c>
      <c r="Q132" s="122" t="s">
        <v>1217</v>
      </c>
      <c r="R132" s="122" t="s">
        <v>303</v>
      </c>
      <c r="S132" s="122" t="s">
        <v>305</v>
      </c>
      <c r="T132" s="145">
        <v>45929</v>
      </c>
      <c r="U132" s="123">
        <v>3.306</v>
      </c>
      <c r="V132" s="148">
        <v>157.66424682395646</v>
      </c>
      <c r="W132" s="123">
        <v>521.23800000000006</v>
      </c>
      <c r="X132" s="125">
        <v>5.0000000000000002E-5</v>
      </c>
      <c r="Y132" s="125">
        <v>3.4499999999999999E-3</v>
      </c>
      <c r="Z132" s="126">
        <v>4.4000000000000002E-4</v>
      </c>
      <c r="AA132" s="159"/>
    </row>
    <row r="133" spans="1:27" x14ac:dyDescent="0.2">
      <c r="A133" s="121" t="s">
        <v>1211</v>
      </c>
      <c r="B133" s="122" t="s">
        <v>1211</v>
      </c>
      <c r="C133" s="122" t="s">
        <v>3210</v>
      </c>
      <c r="D133" s="122"/>
      <c r="E133" s="122"/>
      <c r="F133" s="122" t="s">
        <v>3211</v>
      </c>
      <c r="G133" s="122" t="s">
        <v>3212</v>
      </c>
      <c r="H133" s="122" t="s">
        <v>102</v>
      </c>
      <c r="I133" s="122" t="s">
        <v>749</v>
      </c>
      <c r="J133" s="122"/>
      <c r="K133" s="122" t="s">
        <v>61</v>
      </c>
      <c r="L133" s="122"/>
      <c r="M133" s="122"/>
      <c r="N133" s="122" t="s">
        <v>314</v>
      </c>
      <c r="O133" s="122" t="s">
        <v>62</v>
      </c>
      <c r="P133" s="145">
        <v>45574</v>
      </c>
      <c r="Q133" s="122" t="s">
        <v>1217</v>
      </c>
      <c r="R133" s="122" t="s">
        <v>303</v>
      </c>
      <c r="S133" s="122" t="s">
        <v>305</v>
      </c>
      <c r="T133" s="145">
        <v>45915</v>
      </c>
      <c r="U133" s="123">
        <v>3.306</v>
      </c>
      <c r="V133" s="148">
        <v>145.14156079854811</v>
      </c>
      <c r="W133" s="123">
        <v>479.83800000000002</v>
      </c>
      <c r="X133" s="125">
        <v>9.0000000000000006E-5</v>
      </c>
      <c r="Y133" s="125">
        <v>3.1800000000000001E-3</v>
      </c>
      <c r="Z133" s="126">
        <v>4.0999999999999999E-4</v>
      </c>
      <c r="AA133" s="159"/>
    </row>
    <row r="134" spans="1:27" x14ac:dyDescent="0.2">
      <c r="A134" s="121" t="s">
        <v>1211</v>
      </c>
      <c r="B134" s="122" t="s">
        <v>1211</v>
      </c>
      <c r="C134" s="122" t="s">
        <v>3128</v>
      </c>
      <c r="D134" s="122"/>
      <c r="E134" s="122"/>
      <c r="F134" s="122" t="s">
        <v>3213</v>
      </c>
      <c r="G134" s="122" t="s">
        <v>3214</v>
      </c>
      <c r="H134" s="122" t="s">
        <v>102</v>
      </c>
      <c r="I134" s="122" t="s">
        <v>749</v>
      </c>
      <c r="J134" s="122"/>
      <c r="K134" s="122" t="s">
        <v>61</v>
      </c>
      <c r="L134" s="122"/>
      <c r="M134" s="122"/>
      <c r="N134" s="122" t="s">
        <v>317</v>
      </c>
      <c r="O134" s="122" t="s">
        <v>62</v>
      </c>
      <c r="P134" s="145">
        <v>45089</v>
      </c>
      <c r="Q134" s="122" t="s">
        <v>1218</v>
      </c>
      <c r="R134" s="122" t="s">
        <v>303</v>
      </c>
      <c r="S134" s="122" t="s">
        <v>305</v>
      </c>
      <c r="T134" s="145">
        <v>45929</v>
      </c>
      <c r="U134" s="123">
        <v>3.8809999999999998</v>
      </c>
      <c r="V134" s="148">
        <v>116.13089409945891</v>
      </c>
      <c r="W134" s="123">
        <v>450.70400000000001</v>
      </c>
      <c r="X134" s="122"/>
      <c r="Y134" s="125">
        <v>2.99E-3</v>
      </c>
      <c r="Z134" s="126">
        <v>3.8000000000000002E-4</v>
      </c>
      <c r="AA134" s="159"/>
    </row>
    <row r="135" spans="1:27" x14ac:dyDescent="0.2">
      <c r="A135" s="121" t="s">
        <v>1211</v>
      </c>
      <c r="B135" s="122" t="s">
        <v>1211</v>
      </c>
      <c r="C135" s="122" t="s">
        <v>3095</v>
      </c>
      <c r="D135" s="122"/>
      <c r="E135" s="122"/>
      <c r="F135" s="122" t="s">
        <v>3215</v>
      </c>
      <c r="G135" s="122" t="s">
        <v>3216</v>
      </c>
      <c r="H135" s="122" t="s">
        <v>102</v>
      </c>
      <c r="I135" s="122" t="s">
        <v>749</v>
      </c>
      <c r="J135" s="122"/>
      <c r="K135" s="122" t="s">
        <v>61</v>
      </c>
      <c r="L135" s="122"/>
      <c r="M135" s="122"/>
      <c r="N135" s="122" t="s">
        <v>317</v>
      </c>
      <c r="O135" s="122" t="s">
        <v>62</v>
      </c>
      <c r="P135" s="145">
        <v>45475</v>
      </c>
      <c r="Q135" s="122" t="s">
        <v>1217</v>
      </c>
      <c r="R135" s="122" t="s">
        <v>303</v>
      </c>
      <c r="S135" s="122" t="s">
        <v>305</v>
      </c>
      <c r="T135" s="145">
        <v>45926</v>
      </c>
      <c r="U135" s="123">
        <v>3.306</v>
      </c>
      <c r="V135" s="148">
        <v>136.19993950393223</v>
      </c>
      <c r="W135" s="123">
        <v>450.27699999999999</v>
      </c>
      <c r="X135" s="125">
        <v>1.0000000000000001E-5</v>
      </c>
      <c r="Y135" s="125">
        <v>2.98E-3</v>
      </c>
      <c r="Z135" s="126">
        <v>3.8000000000000002E-4</v>
      </c>
      <c r="AA135" s="159"/>
    </row>
    <row r="136" spans="1:27" x14ac:dyDescent="0.2">
      <c r="A136" s="121" t="s">
        <v>1211</v>
      </c>
      <c r="B136" s="122" t="s">
        <v>1211</v>
      </c>
      <c r="C136" s="122" t="s">
        <v>3217</v>
      </c>
      <c r="D136" s="122"/>
      <c r="E136" s="122"/>
      <c r="F136" s="122" t="s">
        <v>3218</v>
      </c>
      <c r="G136" s="122" t="s">
        <v>3219</v>
      </c>
      <c r="H136" s="122" t="s">
        <v>102</v>
      </c>
      <c r="I136" s="122" t="s">
        <v>280</v>
      </c>
      <c r="J136" s="122"/>
      <c r="K136" s="122" t="s">
        <v>61</v>
      </c>
      <c r="L136" s="122"/>
      <c r="M136" s="122"/>
      <c r="N136" s="122" t="s">
        <v>314</v>
      </c>
      <c r="O136" s="122" t="s">
        <v>62</v>
      </c>
      <c r="P136" s="145">
        <v>45498</v>
      </c>
      <c r="Q136" s="122" t="s">
        <v>1217</v>
      </c>
      <c r="R136" s="122" t="s">
        <v>303</v>
      </c>
      <c r="S136" s="122" t="s">
        <v>305</v>
      </c>
      <c r="T136" s="145">
        <v>45929</v>
      </c>
      <c r="U136" s="123">
        <v>3.306</v>
      </c>
      <c r="V136" s="148">
        <v>134.10949788263761</v>
      </c>
      <c r="W136" s="123">
        <v>443.36599999999999</v>
      </c>
      <c r="X136" s="125">
        <v>2.5699999999999998E-3</v>
      </c>
      <c r="Y136" s="125">
        <v>2.9399999999999999E-3</v>
      </c>
      <c r="Z136" s="126">
        <v>3.8000000000000002E-4</v>
      </c>
      <c r="AA136" s="159"/>
    </row>
    <row r="137" spans="1:27" x14ac:dyDescent="0.2">
      <c r="A137" s="121" t="s">
        <v>1211</v>
      </c>
      <c r="B137" s="122" t="s">
        <v>1211</v>
      </c>
      <c r="C137" s="122" t="s">
        <v>102</v>
      </c>
      <c r="D137" s="122"/>
      <c r="E137" s="122"/>
      <c r="F137" s="122" t="s">
        <v>3220</v>
      </c>
      <c r="G137" s="122" t="s">
        <v>3221</v>
      </c>
      <c r="H137" s="122" t="s">
        <v>102</v>
      </c>
      <c r="I137" s="122" t="s">
        <v>926</v>
      </c>
      <c r="J137" s="122"/>
      <c r="K137" s="122" t="s">
        <v>61</v>
      </c>
      <c r="L137" s="122"/>
      <c r="M137" s="122"/>
      <c r="N137" s="122" t="s">
        <v>157</v>
      </c>
      <c r="O137" s="122" t="s">
        <v>62</v>
      </c>
      <c r="P137" s="145">
        <v>45055</v>
      </c>
      <c r="Q137" s="122" t="s">
        <v>1217</v>
      </c>
      <c r="R137" s="122" t="s">
        <v>303</v>
      </c>
      <c r="S137" s="122" t="s">
        <v>305</v>
      </c>
      <c r="T137" s="145">
        <v>45929</v>
      </c>
      <c r="U137" s="123">
        <v>3.306</v>
      </c>
      <c r="V137" s="148">
        <v>130.72625529340593</v>
      </c>
      <c r="W137" s="123">
        <v>432.18099999999998</v>
      </c>
      <c r="X137" s="125">
        <v>6.9100000000000003E-3</v>
      </c>
      <c r="Y137" s="125">
        <v>2.8600000000000001E-3</v>
      </c>
      <c r="Z137" s="126">
        <v>3.6999999999999999E-4</v>
      </c>
      <c r="AA137" s="159"/>
    </row>
    <row r="138" spans="1:27" x14ac:dyDescent="0.2">
      <c r="A138" s="121" t="s">
        <v>1211</v>
      </c>
      <c r="B138" s="122" t="s">
        <v>1211</v>
      </c>
      <c r="C138" s="122" t="s">
        <v>3222</v>
      </c>
      <c r="D138" s="122"/>
      <c r="E138" s="122"/>
      <c r="F138" s="122" t="s">
        <v>3223</v>
      </c>
      <c r="G138" s="122" t="s">
        <v>3224</v>
      </c>
      <c r="H138" s="122" t="s">
        <v>102</v>
      </c>
      <c r="I138" s="122" t="s">
        <v>749</v>
      </c>
      <c r="J138" s="122"/>
      <c r="K138" s="122" t="s">
        <v>61</v>
      </c>
      <c r="L138" s="122"/>
      <c r="M138" s="122"/>
      <c r="N138" s="122" t="s">
        <v>313</v>
      </c>
      <c r="O138" s="122" t="s">
        <v>62</v>
      </c>
      <c r="P138" s="145">
        <v>43335</v>
      </c>
      <c r="Q138" s="122" t="s">
        <v>1218</v>
      </c>
      <c r="R138" s="122" t="s">
        <v>303</v>
      </c>
      <c r="S138" s="122" t="s">
        <v>305</v>
      </c>
      <c r="T138" s="145">
        <v>45897</v>
      </c>
      <c r="U138" s="123">
        <v>3.8809999999999998</v>
      </c>
      <c r="V138" s="148">
        <v>101.25586189126514</v>
      </c>
      <c r="W138" s="123">
        <v>392.97399999999999</v>
      </c>
      <c r="X138" s="125">
        <v>8.0000000000000007E-5</v>
      </c>
      <c r="Y138" s="125">
        <v>2.5999999999999999E-3</v>
      </c>
      <c r="Z138" s="126">
        <v>3.4000000000000002E-4</v>
      </c>
      <c r="AA138" s="159"/>
    </row>
    <row r="139" spans="1:27" x14ac:dyDescent="0.2">
      <c r="A139" s="121" t="s">
        <v>1211</v>
      </c>
      <c r="B139" s="122" t="s">
        <v>1211</v>
      </c>
      <c r="C139" s="122" t="s">
        <v>3225</v>
      </c>
      <c r="D139" s="122"/>
      <c r="E139" s="122"/>
      <c r="F139" s="122" t="s">
        <v>3178</v>
      </c>
      <c r="G139" s="122" t="s">
        <v>3226</v>
      </c>
      <c r="H139" s="122" t="s">
        <v>102</v>
      </c>
      <c r="I139" s="122" t="s">
        <v>926</v>
      </c>
      <c r="J139" s="122"/>
      <c r="K139" s="122" t="s">
        <v>61</v>
      </c>
      <c r="L139" s="122"/>
      <c r="M139" s="122"/>
      <c r="N139" s="122" t="s">
        <v>314</v>
      </c>
      <c r="O139" s="122" t="s">
        <v>62</v>
      </c>
      <c r="P139" s="145">
        <v>44133</v>
      </c>
      <c r="Q139" s="122" t="s">
        <v>1217</v>
      </c>
      <c r="R139" s="122" t="s">
        <v>303</v>
      </c>
      <c r="S139" s="122" t="s">
        <v>305</v>
      </c>
      <c r="T139" s="145">
        <v>45930</v>
      </c>
      <c r="U139" s="123">
        <v>3.306</v>
      </c>
      <c r="V139" s="148">
        <v>114.25378100423472</v>
      </c>
      <c r="W139" s="123">
        <v>377.72300000000001</v>
      </c>
      <c r="X139" s="125">
        <v>1.6100000000000001E-3</v>
      </c>
      <c r="Y139" s="125">
        <v>2.5000000000000001E-3</v>
      </c>
      <c r="Z139" s="126">
        <v>3.2000000000000003E-4</v>
      </c>
      <c r="AA139" s="159"/>
    </row>
    <row r="140" spans="1:27" x14ac:dyDescent="0.2">
      <c r="A140" s="121" t="s">
        <v>1211</v>
      </c>
      <c r="B140" s="122" t="s">
        <v>1211</v>
      </c>
      <c r="C140" s="122" t="s">
        <v>3227</v>
      </c>
      <c r="D140" s="122"/>
      <c r="E140" s="122"/>
      <c r="F140" s="122" t="s">
        <v>3228</v>
      </c>
      <c r="G140" s="122" t="s">
        <v>3229</v>
      </c>
      <c r="H140" s="122" t="s">
        <v>102</v>
      </c>
      <c r="I140" s="122" t="s">
        <v>241</v>
      </c>
      <c r="J140" s="122"/>
      <c r="K140" s="122" t="s">
        <v>61</v>
      </c>
      <c r="L140" s="122"/>
      <c r="M140" s="122"/>
      <c r="N140" s="122" t="s">
        <v>314</v>
      </c>
      <c r="O140" s="122" t="s">
        <v>62</v>
      </c>
      <c r="P140" s="145">
        <v>45350</v>
      </c>
      <c r="Q140" s="122" t="s">
        <v>1217</v>
      </c>
      <c r="R140" s="122" t="s">
        <v>303</v>
      </c>
      <c r="S140" s="122" t="s">
        <v>305</v>
      </c>
      <c r="T140" s="145">
        <v>45918</v>
      </c>
      <c r="U140" s="123">
        <v>3.306</v>
      </c>
      <c r="V140" s="148">
        <v>113.01603145795522</v>
      </c>
      <c r="W140" s="123">
        <v>373.63099999999997</v>
      </c>
      <c r="X140" s="125">
        <v>6.0000000000000002E-5</v>
      </c>
      <c r="Y140" s="125">
        <v>2.47E-3</v>
      </c>
      <c r="Z140" s="126">
        <v>3.2000000000000003E-4</v>
      </c>
      <c r="AA140" s="159"/>
    </row>
    <row r="141" spans="1:27" x14ac:dyDescent="0.2">
      <c r="A141" s="121" t="s">
        <v>1211</v>
      </c>
      <c r="B141" s="122" t="s">
        <v>1211</v>
      </c>
      <c r="C141" s="122" t="s">
        <v>102</v>
      </c>
      <c r="D141" s="122"/>
      <c r="E141" s="122"/>
      <c r="F141" s="122" t="s">
        <v>3230</v>
      </c>
      <c r="G141" s="122" t="s">
        <v>3231</v>
      </c>
      <c r="H141" s="122" t="s">
        <v>102</v>
      </c>
      <c r="I141" s="122" t="s">
        <v>926</v>
      </c>
      <c r="J141" s="122"/>
      <c r="K141" s="122" t="s">
        <v>61</v>
      </c>
      <c r="L141" s="122"/>
      <c r="M141" s="122"/>
      <c r="N141" s="122" t="s">
        <v>314</v>
      </c>
      <c r="O141" s="122" t="s">
        <v>62</v>
      </c>
      <c r="P141" s="145">
        <v>43521</v>
      </c>
      <c r="Q141" s="122" t="s">
        <v>1217</v>
      </c>
      <c r="R141" s="122" t="s">
        <v>303</v>
      </c>
      <c r="S141" s="122" t="s">
        <v>305</v>
      </c>
      <c r="T141" s="145">
        <v>45897</v>
      </c>
      <c r="U141" s="123">
        <v>3.306</v>
      </c>
      <c r="V141" s="148">
        <v>109.45402298850576</v>
      </c>
      <c r="W141" s="123">
        <v>361.85500000000002</v>
      </c>
      <c r="X141" s="122"/>
      <c r="Y141" s="125">
        <v>2.3999999999999998E-3</v>
      </c>
      <c r="Z141" s="126">
        <v>3.1E-4</v>
      </c>
      <c r="AA141" s="159"/>
    </row>
    <row r="142" spans="1:27" x14ac:dyDescent="0.2">
      <c r="A142" s="121" t="s">
        <v>1211</v>
      </c>
      <c r="B142" s="122" t="s">
        <v>1211</v>
      </c>
      <c r="C142" s="122" t="s">
        <v>3232</v>
      </c>
      <c r="D142" s="122"/>
      <c r="E142" s="122"/>
      <c r="F142" s="122" t="s">
        <v>3233</v>
      </c>
      <c r="G142" s="122" t="s">
        <v>3234</v>
      </c>
      <c r="H142" s="122" t="s">
        <v>102</v>
      </c>
      <c r="I142" s="122" t="s">
        <v>280</v>
      </c>
      <c r="J142" s="122"/>
      <c r="K142" s="122" t="s">
        <v>61</v>
      </c>
      <c r="L142" s="122"/>
      <c r="M142" s="122"/>
      <c r="N142" s="122" t="s">
        <v>1166</v>
      </c>
      <c r="O142" s="122" t="s">
        <v>62</v>
      </c>
      <c r="P142" s="145">
        <v>45749</v>
      </c>
      <c r="Q142" s="122" t="s">
        <v>1217</v>
      </c>
      <c r="R142" s="122" t="s">
        <v>303</v>
      </c>
      <c r="S142" s="122" t="s">
        <v>305</v>
      </c>
      <c r="T142" s="145">
        <v>45918</v>
      </c>
      <c r="U142" s="123">
        <v>3.306</v>
      </c>
      <c r="V142" s="148">
        <v>108.95493042952208</v>
      </c>
      <c r="W142" s="123">
        <v>360.20499999999998</v>
      </c>
      <c r="X142" s="125">
        <v>3.0000000000000001E-5</v>
      </c>
      <c r="Y142" s="125">
        <v>2.3900000000000002E-3</v>
      </c>
      <c r="Z142" s="126">
        <v>3.1E-4</v>
      </c>
      <c r="AA142" s="159"/>
    </row>
    <row r="143" spans="1:27" x14ac:dyDescent="0.2">
      <c r="A143" s="121" t="s">
        <v>1211</v>
      </c>
      <c r="B143" s="122" t="s">
        <v>1211</v>
      </c>
      <c r="C143" s="122" t="s">
        <v>3235</v>
      </c>
      <c r="D143" s="122"/>
      <c r="E143" s="122"/>
      <c r="F143" s="122" t="s">
        <v>3236</v>
      </c>
      <c r="G143" s="122" t="s">
        <v>3237</v>
      </c>
      <c r="H143" s="122" t="s">
        <v>102</v>
      </c>
      <c r="I143" s="122" t="s">
        <v>749</v>
      </c>
      <c r="J143" s="122"/>
      <c r="K143" s="122" t="s">
        <v>61</v>
      </c>
      <c r="L143" s="122"/>
      <c r="M143" s="122"/>
      <c r="N143" s="122" t="s">
        <v>930</v>
      </c>
      <c r="O143" s="122" t="s">
        <v>62</v>
      </c>
      <c r="P143" s="145">
        <v>44393</v>
      </c>
      <c r="Q143" s="122" t="s">
        <v>1217</v>
      </c>
      <c r="R143" s="122" t="s">
        <v>303</v>
      </c>
      <c r="S143" s="122" t="s">
        <v>305</v>
      </c>
      <c r="T143" s="145">
        <v>45929</v>
      </c>
      <c r="U143" s="123">
        <v>3.306</v>
      </c>
      <c r="V143" s="148">
        <v>92.931941923774957</v>
      </c>
      <c r="W143" s="123">
        <v>307.233</v>
      </c>
      <c r="X143" s="122"/>
      <c r="Y143" s="125">
        <v>2.0300000000000001E-3</v>
      </c>
      <c r="Z143" s="126">
        <v>2.5999999999999998E-4</v>
      </c>
      <c r="AA143" s="159"/>
    </row>
    <row r="144" spans="1:27" x14ac:dyDescent="0.2">
      <c r="A144" s="121" t="s">
        <v>1211</v>
      </c>
      <c r="B144" s="122" t="s">
        <v>1211</v>
      </c>
      <c r="C144" s="122" t="s">
        <v>3238</v>
      </c>
      <c r="D144" s="122"/>
      <c r="E144" s="122"/>
      <c r="F144" s="122" t="s">
        <v>3239</v>
      </c>
      <c r="G144" s="122" t="s">
        <v>3240</v>
      </c>
      <c r="H144" s="122" t="s">
        <v>102</v>
      </c>
      <c r="I144" s="122" t="s">
        <v>280</v>
      </c>
      <c r="J144" s="122"/>
      <c r="K144" s="122" t="s">
        <v>61</v>
      </c>
      <c r="L144" s="122"/>
      <c r="M144" s="122"/>
      <c r="N144" s="122" t="s">
        <v>314</v>
      </c>
      <c r="O144" s="122" t="s">
        <v>62</v>
      </c>
      <c r="P144" s="145">
        <v>45771</v>
      </c>
      <c r="Q144" s="122" t="s">
        <v>1217</v>
      </c>
      <c r="R144" s="122" t="s">
        <v>303</v>
      </c>
      <c r="S144" s="122" t="s">
        <v>305</v>
      </c>
      <c r="T144" s="145">
        <v>45901</v>
      </c>
      <c r="U144" s="123">
        <v>3.306</v>
      </c>
      <c r="V144" s="148">
        <v>83.642165759225648</v>
      </c>
      <c r="W144" s="123">
        <v>276.52100000000002</v>
      </c>
      <c r="X144" s="125">
        <v>4.0000000000000002E-4</v>
      </c>
      <c r="Y144" s="125">
        <v>1.83E-3</v>
      </c>
      <c r="Z144" s="126">
        <v>2.4000000000000001E-4</v>
      </c>
      <c r="AA144" s="159"/>
    </row>
    <row r="145" spans="1:27" x14ac:dyDescent="0.2">
      <c r="A145" s="121" t="s">
        <v>1211</v>
      </c>
      <c r="B145" s="122" t="s">
        <v>1211</v>
      </c>
      <c r="C145" s="122" t="s">
        <v>3241</v>
      </c>
      <c r="D145" s="122"/>
      <c r="E145" s="122"/>
      <c r="F145" s="122" t="s">
        <v>3242</v>
      </c>
      <c r="G145" s="122" t="s">
        <v>3243</v>
      </c>
      <c r="H145" s="122" t="s">
        <v>102</v>
      </c>
      <c r="I145" s="122" t="s">
        <v>280</v>
      </c>
      <c r="J145" s="122"/>
      <c r="K145" s="122" t="s">
        <v>61</v>
      </c>
      <c r="L145" s="122"/>
      <c r="M145" s="122"/>
      <c r="N145" s="122" t="s">
        <v>53</v>
      </c>
      <c r="O145" s="122" t="s">
        <v>62</v>
      </c>
      <c r="P145" s="145">
        <v>45119</v>
      </c>
      <c r="Q145" s="122" t="s">
        <v>1216</v>
      </c>
      <c r="R145" s="122" t="s">
        <v>303</v>
      </c>
      <c r="S145" s="122" t="s">
        <v>305</v>
      </c>
      <c r="T145" s="145">
        <v>45897</v>
      </c>
      <c r="U145" s="123">
        <v>1</v>
      </c>
      <c r="V145" s="148">
        <v>273.697</v>
      </c>
      <c r="W145" s="123">
        <v>273.697</v>
      </c>
      <c r="X145" s="125">
        <v>5.2999999999999998E-4</v>
      </c>
      <c r="Y145" s="125">
        <v>1.81E-3</v>
      </c>
      <c r="Z145" s="126">
        <v>2.3000000000000001E-4</v>
      </c>
      <c r="AA145" s="159"/>
    </row>
    <row r="146" spans="1:27" x14ac:dyDescent="0.2">
      <c r="A146" s="121" t="s">
        <v>1211</v>
      </c>
      <c r="B146" s="122" t="s">
        <v>1211</v>
      </c>
      <c r="C146" s="122" t="s">
        <v>3244</v>
      </c>
      <c r="D146" s="122"/>
      <c r="E146" s="122"/>
      <c r="F146" s="122" t="s">
        <v>3245</v>
      </c>
      <c r="G146" s="122" t="s">
        <v>3246</v>
      </c>
      <c r="H146" s="122" t="s">
        <v>102</v>
      </c>
      <c r="I146" s="122" t="s">
        <v>749</v>
      </c>
      <c r="J146" s="122"/>
      <c r="K146" s="122" t="s">
        <v>61</v>
      </c>
      <c r="L146" s="122"/>
      <c r="M146" s="122"/>
      <c r="N146" s="122" t="s">
        <v>314</v>
      </c>
      <c r="O146" s="122" t="s">
        <v>62</v>
      </c>
      <c r="P146" s="145">
        <v>44538</v>
      </c>
      <c r="Q146" s="122" t="s">
        <v>1217</v>
      </c>
      <c r="R146" s="122" t="s">
        <v>303</v>
      </c>
      <c r="S146" s="122" t="s">
        <v>305</v>
      </c>
      <c r="T146" s="145">
        <v>45903</v>
      </c>
      <c r="U146" s="123">
        <v>3.306</v>
      </c>
      <c r="V146" s="148">
        <v>79.581064730792505</v>
      </c>
      <c r="W146" s="123">
        <v>263.09500000000003</v>
      </c>
      <c r="X146" s="122"/>
      <c r="Y146" s="125">
        <v>1.74E-3</v>
      </c>
      <c r="Z146" s="126">
        <v>2.2000000000000001E-4</v>
      </c>
      <c r="AA146" s="159"/>
    </row>
    <row r="147" spans="1:27" x14ac:dyDescent="0.2">
      <c r="A147" s="121" t="s">
        <v>1211</v>
      </c>
      <c r="B147" s="122" t="s">
        <v>1211</v>
      </c>
      <c r="C147" s="122" t="s">
        <v>3247</v>
      </c>
      <c r="D147" s="122"/>
      <c r="E147" s="122"/>
      <c r="F147" s="122" t="s">
        <v>3248</v>
      </c>
      <c r="G147" s="122" t="s">
        <v>3249</v>
      </c>
      <c r="H147" s="122" t="s">
        <v>102</v>
      </c>
      <c r="I147" s="122" t="s">
        <v>749</v>
      </c>
      <c r="J147" s="122"/>
      <c r="K147" s="122" t="s">
        <v>61</v>
      </c>
      <c r="L147" s="122"/>
      <c r="M147" s="122"/>
      <c r="N147" s="122" t="s">
        <v>314</v>
      </c>
      <c r="O147" s="122" t="s">
        <v>62</v>
      </c>
      <c r="P147" s="145">
        <v>45722</v>
      </c>
      <c r="Q147" s="122" t="s">
        <v>1217</v>
      </c>
      <c r="R147" s="122" t="s">
        <v>303</v>
      </c>
      <c r="S147" s="122" t="s">
        <v>305</v>
      </c>
      <c r="T147" s="145">
        <v>45902</v>
      </c>
      <c r="U147" s="123">
        <v>3.306</v>
      </c>
      <c r="V147" s="148">
        <v>70.107683000604965</v>
      </c>
      <c r="W147" s="123">
        <v>231.77600000000001</v>
      </c>
      <c r="X147" s="125">
        <v>1.0000000000000001E-5</v>
      </c>
      <c r="Y147" s="125">
        <v>1.5399999999999999E-3</v>
      </c>
      <c r="Z147" s="126">
        <v>2.0000000000000001E-4</v>
      </c>
      <c r="AA147" s="159"/>
    </row>
    <row r="148" spans="1:27" x14ac:dyDescent="0.2">
      <c r="A148" s="121" t="s">
        <v>1211</v>
      </c>
      <c r="B148" s="122" t="s">
        <v>1211</v>
      </c>
      <c r="C148" s="122" t="s">
        <v>3250</v>
      </c>
      <c r="D148" s="122"/>
      <c r="E148" s="122"/>
      <c r="F148" s="122" t="s">
        <v>3251</v>
      </c>
      <c r="G148" s="122" t="s">
        <v>3252</v>
      </c>
      <c r="H148" s="122" t="s">
        <v>102</v>
      </c>
      <c r="I148" s="122" t="s">
        <v>749</v>
      </c>
      <c r="J148" s="122"/>
      <c r="K148" s="122" t="s">
        <v>61</v>
      </c>
      <c r="L148" s="122"/>
      <c r="M148" s="122"/>
      <c r="N148" s="122" t="s">
        <v>53</v>
      </c>
      <c r="O148" s="122" t="s">
        <v>62</v>
      </c>
      <c r="P148" s="145">
        <v>44742</v>
      </c>
      <c r="Q148" s="122" t="s">
        <v>1217</v>
      </c>
      <c r="R148" s="122" t="s">
        <v>303</v>
      </c>
      <c r="S148" s="122" t="s">
        <v>305</v>
      </c>
      <c r="T148" s="145">
        <v>45869</v>
      </c>
      <c r="U148" s="123">
        <v>3.306</v>
      </c>
      <c r="V148" s="148">
        <v>64.886872353297036</v>
      </c>
      <c r="W148" s="123">
        <v>214.51599999999999</v>
      </c>
      <c r="X148" s="125">
        <v>1.6000000000000001E-4</v>
      </c>
      <c r="Y148" s="125">
        <v>1.42E-3</v>
      </c>
      <c r="Z148" s="126">
        <v>1.8000000000000001E-4</v>
      </c>
      <c r="AA148" s="159"/>
    </row>
    <row r="149" spans="1:27" x14ac:dyDescent="0.2">
      <c r="A149" s="121" t="s">
        <v>1211</v>
      </c>
      <c r="B149" s="122" t="s">
        <v>1211</v>
      </c>
      <c r="C149" s="122" t="s">
        <v>3253</v>
      </c>
      <c r="D149" s="122"/>
      <c r="E149" s="122"/>
      <c r="F149" s="122" t="s">
        <v>3254</v>
      </c>
      <c r="G149" s="122" t="s">
        <v>3255</v>
      </c>
      <c r="H149" s="122" t="s">
        <v>102</v>
      </c>
      <c r="I149" s="122" t="s">
        <v>280</v>
      </c>
      <c r="J149" s="122"/>
      <c r="K149" s="122" t="s">
        <v>61</v>
      </c>
      <c r="L149" s="122"/>
      <c r="M149" s="122"/>
      <c r="N149" s="122" t="s">
        <v>314</v>
      </c>
      <c r="O149" s="122" t="s">
        <v>62</v>
      </c>
      <c r="P149" s="145">
        <v>45832</v>
      </c>
      <c r="Q149" s="122" t="s">
        <v>1217</v>
      </c>
      <c r="R149" s="122" t="s">
        <v>303</v>
      </c>
      <c r="S149" s="122" t="s">
        <v>305</v>
      </c>
      <c r="T149" s="145">
        <v>45916</v>
      </c>
      <c r="U149" s="123">
        <v>3.306</v>
      </c>
      <c r="V149" s="148">
        <v>60.342710223835446</v>
      </c>
      <c r="W149" s="123">
        <v>199.49299999999999</v>
      </c>
      <c r="X149" s="125">
        <v>2.0000000000000002E-5</v>
      </c>
      <c r="Y149" s="125">
        <v>1.32E-3</v>
      </c>
      <c r="Z149" s="126">
        <v>1.7000000000000001E-4</v>
      </c>
      <c r="AA149" s="159"/>
    </row>
    <row r="150" spans="1:27" x14ac:dyDescent="0.2">
      <c r="A150" s="121" t="s">
        <v>1211</v>
      </c>
      <c r="B150" s="122" t="s">
        <v>1211</v>
      </c>
      <c r="C150" s="122" t="s">
        <v>3174</v>
      </c>
      <c r="D150" s="122"/>
      <c r="E150" s="122"/>
      <c r="F150" s="122" t="s">
        <v>3256</v>
      </c>
      <c r="G150" s="122" t="s">
        <v>3257</v>
      </c>
      <c r="H150" s="122" t="s">
        <v>102</v>
      </c>
      <c r="I150" s="122" t="s">
        <v>280</v>
      </c>
      <c r="J150" s="122"/>
      <c r="K150" s="122" t="s">
        <v>61</v>
      </c>
      <c r="L150" s="122"/>
      <c r="M150" s="122"/>
      <c r="N150" s="122" t="s">
        <v>314</v>
      </c>
      <c r="O150" s="122" t="s">
        <v>62</v>
      </c>
      <c r="P150" s="145">
        <v>44560</v>
      </c>
      <c r="Q150" s="122" t="s">
        <v>1217</v>
      </c>
      <c r="R150" s="122" t="s">
        <v>303</v>
      </c>
      <c r="S150" s="122" t="s">
        <v>305</v>
      </c>
      <c r="T150" s="145">
        <v>45887</v>
      </c>
      <c r="U150" s="123">
        <v>3.306</v>
      </c>
      <c r="V150" s="148">
        <v>52.630973986690861</v>
      </c>
      <c r="W150" s="123">
        <v>173.99799999999999</v>
      </c>
      <c r="X150" s="122"/>
      <c r="Y150" s="125">
        <v>1.15E-3</v>
      </c>
      <c r="Z150" s="126">
        <v>1.4999999999999999E-4</v>
      </c>
      <c r="AA150" s="159"/>
    </row>
    <row r="151" spans="1:27" x14ac:dyDescent="0.2">
      <c r="A151" s="121" t="s">
        <v>1211</v>
      </c>
      <c r="B151" s="122" t="s">
        <v>1211</v>
      </c>
      <c r="C151" s="122" t="s">
        <v>3258</v>
      </c>
      <c r="D151" s="122"/>
      <c r="E151" s="122"/>
      <c r="F151" s="122" t="s">
        <v>3259</v>
      </c>
      <c r="G151" s="122" t="s">
        <v>3260</v>
      </c>
      <c r="H151" s="122" t="s">
        <v>102</v>
      </c>
      <c r="I151" s="122" t="s">
        <v>280</v>
      </c>
      <c r="J151" s="122"/>
      <c r="K151" s="122" t="s">
        <v>61</v>
      </c>
      <c r="L151" s="122"/>
      <c r="M151" s="122"/>
      <c r="N151" s="122" t="s">
        <v>317</v>
      </c>
      <c r="O151" s="122" t="s">
        <v>62</v>
      </c>
      <c r="P151" s="145">
        <v>45882</v>
      </c>
      <c r="Q151" s="122" t="s">
        <v>1217</v>
      </c>
      <c r="R151" s="122" t="s">
        <v>303</v>
      </c>
      <c r="S151" s="122" t="s">
        <v>305</v>
      </c>
      <c r="T151" s="145">
        <v>45918</v>
      </c>
      <c r="U151" s="123">
        <v>3.306</v>
      </c>
      <c r="V151" s="148">
        <v>38.443133696309744</v>
      </c>
      <c r="W151" s="123">
        <v>127.093</v>
      </c>
      <c r="X151" s="125">
        <v>3.0000000000000001E-5</v>
      </c>
      <c r="Y151" s="125">
        <v>8.4000000000000003E-4</v>
      </c>
      <c r="Z151" s="126">
        <v>1.1E-4</v>
      </c>
      <c r="AA151" s="159"/>
    </row>
    <row r="152" spans="1:27" x14ac:dyDescent="0.2">
      <c r="A152" s="121" t="s">
        <v>1211</v>
      </c>
      <c r="B152" s="122" t="s">
        <v>1211</v>
      </c>
      <c r="C152" s="122" t="s">
        <v>3201</v>
      </c>
      <c r="D152" s="122"/>
      <c r="E152" s="122"/>
      <c r="F152" s="122" t="s">
        <v>3261</v>
      </c>
      <c r="G152" s="122" t="s">
        <v>3262</v>
      </c>
      <c r="H152" s="122" t="s">
        <v>102</v>
      </c>
      <c r="I152" s="122" t="s">
        <v>280</v>
      </c>
      <c r="J152" s="122"/>
      <c r="K152" s="122" t="s">
        <v>61</v>
      </c>
      <c r="L152" s="122"/>
      <c r="M152" s="122"/>
      <c r="N152" s="122" t="s">
        <v>930</v>
      </c>
      <c r="O152" s="122" t="s">
        <v>62</v>
      </c>
      <c r="P152" s="145">
        <v>44651</v>
      </c>
      <c r="Q152" s="122" t="s">
        <v>1217</v>
      </c>
      <c r="R152" s="122" t="s">
        <v>303</v>
      </c>
      <c r="S152" s="122" t="s">
        <v>305</v>
      </c>
      <c r="T152" s="145">
        <v>45929</v>
      </c>
      <c r="U152" s="123">
        <v>3.306</v>
      </c>
      <c r="V152" s="148">
        <v>29.788263762855415</v>
      </c>
      <c r="W152" s="123">
        <v>98.48</v>
      </c>
      <c r="X152" s="125">
        <v>1.8000000000000001E-4</v>
      </c>
      <c r="Y152" s="125">
        <v>6.4999999999999997E-4</v>
      </c>
      <c r="Z152" s="126">
        <v>8.0000000000000007E-5</v>
      </c>
      <c r="AA152" s="159"/>
    </row>
    <row r="153" spans="1:27" x14ac:dyDescent="0.2">
      <c r="A153" s="121" t="s">
        <v>1211</v>
      </c>
      <c r="B153" s="122" t="s">
        <v>1211</v>
      </c>
      <c r="C153" s="122" t="s">
        <v>3095</v>
      </c>
      <c r="D153" s="122"/>
      <c r="E153" s="122"/>
      <c r="F153" s="122" t="s">
        <v>3263</v>
      </c>
      <c r="G153" s="122" t="s">
        <v>3264</v>
      </c>
      <c r="H153" s="122" t="s">
        <v>102</v>
      </c>
      <c r="I153" s="122" t="s">
        <v>749</v>
      </c>
      <c r="J153" s="122"/>
      <c r="K153" s="122" t="s">
        <v>61</v>
      </c>
      <c r="L153" s="122"/>
      <c r="M153" s="122"/>
      <c r="N153" s="122" t="s">
        <v>317</v>
      </c>
      <c r="O153" s="122" t="s">
        <v>62</v>
      </c>
      <c r="P153" s="145">
        <v>45512</v>
      </c>
      <c r="Q153" s="122" t="s">
        <v>1217</v>
      </c>
      <c r="R153" s="122" t="s">
        <v>303</v>
      </c>
      <c r="S153" s="122" t="s">
        <v>305</v>
      </c>
      <c r="T153" s="145">
        <v>45929</v>
      </c>
      <c r="U153" s="123">
        <v>3.306</v>
      </c>
      <c r="V153" s="148">
        <v>16.650937689050213</v>
      </c>
      <c r="W153" s="123">
        <v>55.048000000000002</v>
      </c>
      <c r="X153" s="125">
        <v>2.0000000000000001E-4</v>
      </c>
      <c r="Y153" s="125">
        <v>3.6000000000000002E-4</v>
      </c>
      <c r="Z153" s="126">
        <v>5.0000000000000002E-5</v>
      </c>
      <c r="AA153" s="159"/>
    </row>
    <row r="154" spans="1:27" x14ac:dyDescent="0.2">
      <c r="A154" s="121" t="s">
        <v>1211</v>
      </c>
      <c r="B154" s="122" t="s">
        <v>1211</v>
      </c>
      <c r="C154" s="122" t="s">
        <v>3125</v>
      </c>
      <c r="D154" s="122"/>
      <c r="E154" s="122"/>
      <c r="F154" s="122" t="s">
        <v>3265</v>
      </c>
      <c r="G154" s="122" t="s">
        <v>3266</v>
      </c>
      <c r="H154" s="122" t="s">
        <v>102</v>
      </c>
      <c r="I154" s="122" t="s">
        <v>241</v>
      </c>
      <c r="J154" s="122"/>
      <c r="K154" s="122" t="s">
        <v>61</v>
      </c>
      <c r="L154" s="122"/>
      <c r="M154" s="122"/>
      <c r="N154" s="122" t="s">
        <v>314</v>
      </c>
      <c r="O154" s="122" t="s">
        <v>62</v>
      </c>
      <c r="P154" s="145">
        <v>45218</v>
      </c>
      <c r="Q154" s="122" t="s">
        <v>1217</v>
      </c>
      <c r="R154" s="122" t="s">
        <v>303</v>
      </c>
      <c r="S154" s="122" t="s">
        <v>305</v>
      </c>
      <c r="T154" s="145">
        <v>45845</v>
      </c>
      <c r="U154" s="123">
        <v>3.306</v>
      </c>
      <c r="V154" s="148">
        <v>12.160919540229886</v>
      </c>
      <c r="W154" s="123">
        <v>40.204000000000001</v>
      </c>
      <c r="X154" s="122"/>
      <c r="Y154" s="125">
        <v>2.7E-4</v>
      </c>
      <c r="Z154" s="126">
        <v>3.0000000000000001E-5</v>
      </c>
      <c r="AA154" s="159"/>
    </row>
    <row r="155" spans="1:27" x14ac:dyDescent="0.2">
      <c r="A155" s="121" t="s">
        <v>1211</v>
      </c>
      <c r="B155" s="122" t="s">
        <v>1211</v>
      </c>
      <c r="C155" s="122" t="s">
        <v>102</v>
      </c>
      <c r="D155" s="122"/>
      <c r="E155" s="122"/>
      <c r="F155" s="122" t="s">
        <v>3267</v>
      </c>
      <c r="G155" s="122" t="s">
        <v>3268</v>
      </c>
      <c r="H155" s="122" t="s">
        <v>102</v>
      </c>
      <c r="I155" s="122" t="s">
        <v>926</v>
      </c>
      <c r="J155" s="122"/>
      <c r="K155" s="122" t="s">
        <v>61</v>
      </c>
      <c r="L155" s="122"/>
      <c r="M155" s="122"/>
      <c r="N155" s="122" t="s">
        <v>314</v>
      </c>
      <c r="O155" s="122" t="s">
        <v>62</v>
      </c>
      <c r="P155" s="145">
        <v>39136</v>
      </c>
      <c r="Q155" s="122" t="s">
        <v>1217</v>
      </c>
      <c r="R155" s="122" t="s">
        <v>303</v>
      </c>
      <c r="S155" s="122" t="s">
        <v>305</v>
      </c>
      <c r="T155" s="145">
        <v>43402</v>
      </c>
      <c r="U155" s="123">
        <v>3.306</v>
      </c>
      <c r="V155" s="148">
        <v>0</v>
      </c>
      <c r="W155" s="123">
        <v>0</v>
      </c>
      <c r="X155" s="122"/>
      <c r="Y155" s="125">
        <v>0</v>
      </c>
      <c r="Z155" s="126">
        <v>0</v>
      </c>
      <c r="AA155" s="159"/>
    </row>
    <row r="156" spans="1:27" x14ac:dyDescent="0.2">
      <c r="A156" s="121" t="s">
        <v>1223</v>
      </c>
      <c r="B156" s="122" t="s">
        <v>1223</v>
      </c>
      <c r="C156" s="122" t="s">
        <v>2845</v>
      </c>
      <c r="D156" s="122"/>
      <c r="E156" s="122"/>
      <c r="F156" s="122" t="s">
        <v>2846</v>
      </c>
      <c r="G156" s="122" t="s">
        <v>2847</v>
      </c>
      <c r="H156" s="122" t="s">
        <v>76</v>
      </c>
      <c r="I156" s="122" t="s">
        <v>281</v>
      </c>
      <c r="J156" s="122"/>
      <c r="K156" s="122" t="s">
        <v>53</v>
      </c>
      <c r="L156" s="122"/>
      <c r="M156" s="122"/>
      <c r="N156" s="122" t="s">
        <v>53</v>
      </c>
      <c r="O156" s="122" t="s">
        <v>62</v>
      </c>
      <c r="P156" s="145">
        <v>43033</v>
      </c>
      <c r="Q156" s="122" t="s">
        <v>1216</v>
      </c>
      <c r="R156" s="122" t="s">
        <v>303</v>
      </c>
      <c r="S156" s="122" t="s">
        <v>305</v>
      </c>
      <c r="T156" s="145">
        <v>45930</v>
      </c>
      <c r="U156" s="123">
        <v>1</v>
      </c>
      <c r="V156" s="148">
        <v>50563.222999999998</v>
      </c>
      <c r="W156" s="123">
        <v>50563.222999999998</v>
      </c>
      <c r="X156" s="122"/>
      <c r="Y156" s="125">
        <v>1.456E-2</v>
      </c>
      <c r="Z156" s="126">
        <v>1.8500000000000001E-3</v>
      </c>
      <c r="AA156" s="159"/>
    </row>
    <row r="157" spans="1:27" x14ac:dyDescent="0.2">
      <c r="A157" s="121" t="s">
        <v>1223</v>
      </c>
      <c r="B157" s="122" t="s">
        <v>1223</v>
      </c>
      <c r="C157" s="122" t="s">
        <v>2848</v>
      </c>
      <c r="D157" s="122"/>
      <c r="E157" s="122"/>
      <c r="F157" s="122" t="s">
        <v>2849</v>
      </c>
      <c r="G157" s="122" t="s">
        <v>2850</v>
      </c>
      <c r="H157" s="122" t="s">
        <v>78</v>
      </c>
      <c r="I157" s="122" t="s">
        <v>749</v>
      </c>
      <c r="J157" s="122"/>
      <c r="K157" s="122" t="s">
        <v>53</v>
      </c>
      <c r="L157" s="122"/>
      <c r="M157" s="122"/>
      <c r="N157" s="122" t="s">
        <v>53</v>
      </c>
      <c r="O157" s="122" t="s">
        <v>62</v>
      </c>
      <c r="P157" s="145">
        <v>43116</v>
      </c>
      <c r="Q157" s="122" t="s">
        <v>1217</v>
      </c>
      <c r="R157" s="122" t="s">
        <v>303</v>
      </c>
      <c r="S157" s="122" t="s">
        <v>305</v>
      </c>
      <c r="T157" s="145">
        <v>45921</v>
      </c>
      <c r="U157" s="123">
        <v>3.306</v>
      </c>
      <c r="V157" s="148">
        <v>12509.931941923775</v>
      </c>
      <c r="W157" s="123">
        <v>41357.834999999999</v>
      </c>
      <c r="X157" s="122"/>
      <c r="Y157" s="125">
        <v>1.191E-2</v>
      </c>
      <c r="Z157" s="126">
        <v>1.5200000000000001E-3</v>
      </c>
      <c r="AA157" s="159"/>
    </row>
    <row r="158" spans="1:27" x14ac:dyDescent="0.2">
      <c r="A158" s="121" t="s">
        <v>1223</v>
      </c>
      <c r="B158" s="122" t="s">
        <v>1223</v>
      </c>
      <c r="C158" s="122" t="s">
        <v>2851</v>
      </c>
      <c r="D158" s="122"/>
      <c r="E158" s="122"/>
      <c r="F158" s="122" t="s">
        <v>2852</v>
      </c>
      <c r="G158" s="122" t="s">
        <v>2853</v>
      </c>
      <c r="H158" s="122" t="s">
        <v>102</v>
      </c>
      <c r="I158" s="122" t="s">
        <v>281</v>
      </c>
      <c r="J158" s="122"/>
      <c r="K158" s="122" t="s">
        <v>53</v>
      </c>
      <c r="L158" s="122"/>
      <c r="M158" s="122"/>
      <c r="N158" s="122" t="s">
        <v>53</v>
      </c>
      <c r="O158" s="122" t="s">
        <v>62</v>
      </c>
      <c r="P158" s="145">
        <v>43038</v>
      </c>
      <c r="Q158" s="122" t="s">
        <v>1216</v>
      </c>
      <c r="R158" s="122" t="s">
        <v>303</v>
      </c>
      <c r="S158" s="122" t="s">
        <v>305</v>
      </c>
      <c r="T158" s="145">
        <v>45903</v>
      </c>
      <c r="U158" s="123">
        <v>1</v>
      </c>
      <c r="V158" s="148">
        <v>58362.076000000001</v>
      </c>
      <c r="W158" s="123">
        <v>58362.076000000001</v>
      </c>
      <c r="X158" s="122"/>
      <c r="Y158" s="125">
        <v>1.6809999999999999E-2</v>
      </c>
      <c r="Z158" s="126">
        <v>2.14E-3</v>
      </c>
      <c r="AA158" s="159"/>
    </row>
    <row r="159" spans="1:27" x14ac:dyDescent="0.2">
      <c r="A159" s="121" t="s">
        <v>1223</v>
      </c>
      <c r="B159" s="122" t="s">
        <v>1223</v>
      </c>
      <c r="C159" s="122" t="s">
        <v>2854</v>
      </c>
      <c r="D159" s="122"/>
      <c r="E159" s="122"/>
      <c r="F159" s="122" t="s">
        <v>2855</v>
      </c>
      <c r="G159" s="122" t="s">
        <v>2856</v>
      </c>
      <c r="H159" s="122" t="s">
        <v>102</v>
      </c>
      <c r="I159" s="122" t="s">
        <v>242</v>
      </c>
      <c r="J159" s="122"/>
      <c r="K159" s="122" t="s">
        <v>53</v>
      </c>
      <c r="L159" s="122"/>
      <c r="M159" s="122"/>
      <c r="N159" s="122" t="s">
        <v>53</v>
      </c>
      <c r="O159" s="122" t="s">
        <v>62</v>
      </c>
      <c r="P159" s="145">
        <v>42662</v>
      </c>
      <c r="Q159" s="122" t="s">
        <v>1217</v>
      </c>
      <c r="R159" s="122" t="s">
        <v>303</v>
      </c>
      <c r="S159" s="122" t="s">
        <v>305</v>
      </c>
      <c r="T159" s="145">
        <v>45896</v>
      </c>
      <c r="U159" s="123">
        <v>3.306</v>
      </c>
      <c r="V159" s="148">
        <v>16594.121597096189</v>
      </c>
      <c r="W159" s="123">
        <v>54860.165999999997</v>
      </c>
      <c r="X159" s="122"/>
      <c r="Y159" s="125">
        <v>1.5800000000000002E-2</v>
      </c>
      <c r="Z159" s="126">
        <v>2.0100000000000001E-3</v>
      </c>
      <c r="AA159" s="159"/>
    </row>
    <row r="160" spans="1:27" x14ac:dyDescent="0.2">
      <c r="A160" s="121" t="s">
        <v>1223</v>
      </c>
      <c r="B160" s="122" t="s">
        <v>1223</v>
      </c>
      <c r="C160" s="122" t="s">
        <v>2860</v>
      </c>
      <c r="D160" s="122"/>
      <c r="E160" s="122"/>
      <c r="F160" s="122" t="s">
        <v>2861</v>
      </c>
      <c r="G160" s="122" t="s">
        <v>2862</v>
      </c>
      <c r="H160" s="122" t="s">
        <v>102</v>
      </c>
      <c r="I160" s="122" t="s">
        <v>281</v>
      </c>
      <c r="J160" s="122"/>
      <c r="K160" s="122" t="s">
        <v>53</v>
      </c>
      <c r="L160" s="122"/>
      <c r="M160" s="122"/>
      <c r="N160" s="122" t="s">
        <v>109</v>
      </c>
      <c r="O160" s="122" t="s">
        <v>62</v>
      </c>
      <c r="P160" s="145">
        <v>42977</v>
      </c>
      <c r="Q160" s="122" t="s">
        <v>1216</v>
      </c>
      <c r="R160" s="122" t="s">
        <v>303</v>
      </c>
      <c r="S160" s="122" t="s">
        <v>305</v>
      </c>
      <c r="T160" s="145">
        <v>45909</v>
      </c>
      <c r="U160" s="123">
        <v>1</v>
      </c>
      <c r="V160" s="148">
        <v>46029.123</v>
      </c>
      <c r="W160" s="123">
        <v>46029.123</v>
      </c>
      <c r="X160" s="122"/>
      <c r="Y160" s="125">
        <v>1.3259999999999999E-2</v>
      </c>
      <c r="Z160" s="126">
        <v>1.6900000000000001E-3</v>
      </c>
      <c r="AA160" s="159"/>
    </row>
    <row r="161" spans="1:27" x14ac:dyDescent="0.2">
      <c r="A161" s="121" t="s">
        <v>1223</v>
      </c>
      <c r="B161" s="122" t="s">
        <v>1223</v>
      </c>
      <c r="C161" s="122" t="s">
        <v>2857</v>
      </c>
      <c r="D161" s="122"/>
      <c r="E161" s="122"/>
      <c r="F161" s="122" t="s">
        <v>2858</v>
      </c>
      <c r="G161" s="122" t="s">
        <v>2859</v>
      </c>
      <c r="H161" s="122" t="s">
        <v>102</v>
      </c>
      <c r="I161" s="122" t="s">
        <v>241</v>
      </c>
      <c r="J161" s="122"/>
      <c r="K161" s="122" t="s">
        <v>53</v>
      </c>
      <c r="L161" s="122"/>
      <c r="M161" s="122"/>
      <c r="N161" s="122" t="s">
        <v>53</v>
      </c>
      <c r="O161" s="122" t="s">
        <v>62</v>
      </c>
      <c r="P161" s="145">
        <v>43615</v>
      </c>
      <c r="Q161" s="122" t="s">
        <v>1216</v>
      </c>
      <c r="R161" s="122" t="s">
        <v>303</v>
      </c>
      <c r="S161" s="122" t="s">
        <v>305</v>
      </c>
      <c r="T161" s="145">
        <v>45922</v>
      </c>
      <c r="U161" s="123">
        <v>1</v>
      </c>
      <c r="V161" s="148">
        <v>44922.936999999998</v>
      </c>
      <c r="W161" s="123">
        <v>44922.936999999998</v>
      </c>
      <c r="X161" s="122"/>
      <c r="Y161" s="125">
        <v>1.294E-2</v>
      </c>
      <c r="Z161" s="126">
        <v>1.65E-3</v>
      </c>
      <c r="AA161" s="159"/>
    </row>
    <row r="162" spans="1:27" x14ac:dyDescent="0.2">
      <c r="A162" s="121" t="s">
        <v>1223</v>
      </c>
      <c r="B162" s="122" t="s">
        <v>1223</v>
      </c>
      <c r="C162" s="122" t="s">
        <v>2863</v>
      </c>
      <c r="D162" s="122"/>
      <c r="E162" s="122"/>
      <c r="F162" s="122" t="s">
        <v>2864</v>
      </c>
      <c r="G162" s="122" t="s">
        <v>2865</v>
      </c>
      <c r="H162" s="122" t="s">
        <v>102</v>
      </c>
      <c r="I162" s="122" t="s">
        <v>281</v>
      </c>
      <c r="J162" s="122"/>
      <c r="K162" s="122" t="s">
        <v>53</v>
      </c>
      <c r="L162" s="122"/>
      <c r="M162" s="122"/>
      <c r="N162" s="122" t="s">
        <v>53</v>
      </c>
      <c r="O162" s="122" t="s">
        <v>62</v>
      </c>
      <c r="P162" s="145">
        <v>42758</v>
      </c>
      <c r="Q162" s="122" t="s">
        <v>1216</v>
      </c>
      <c r="R162" s="122" t="s">
        <v>303</v>
      </c>
      <c r="S162" s="122" t="s">
        <v>305</v>
      </c>
      <c r="T162" s="145">
        <v>45909</v>
      </c>
      <c r="U162" s="123">
        <v>1</v>
      </c>
      <c r="V162" s="148">
        <v>39519.141000000003</v>
      </c>
      <c r="W162" s="123">
        <v>39519.141000000003</v>
      </c>
      <c r="X162" s="122"/>
      <c r="Y162" s="125">
        <v>1.1379999999999999E-2</v>
      </c>
      <c r="Z162" s="126">
        <v>1.4499999999999999E-3</v>
      </c>
      <c r="AA162" s="159"/>
    </row>
    <row r="163" spans="1:27" x14ac:dyDescent="0.2">
      <c r="A163" s="121" t="s">
        <v>1223</v>
      </c>
      <c r="B163" s="122" t="s">
        <v>1223</v>
      </c>
      <c r="C163" s="122" t="s">
        <v>2866</v>
      </c>
      <c r="D163" s="122"/>
      <c r="E163" s="122"/>
      <c r="F163" s="122" t="s">
        <v>2867</v>
      </c>
      <c r="G163" s="122" t="s">
        <v>2868</v>
      </c>
      <c r="H163" s="122" t="s">
        <v>102</v>
      </c>
      <c r="I163" s="122" t="s">
        <v>242</v>
      </c>
      <c r="J163" s="122"/>
      <c r="K163" s="122" t="s">
        <v>53</v>
      </c>
      <c r="L163" s="122"/>
      <c r="M163" s="122"/>
      <c r="N163" s="122" t="s">
        <v>53</v>
      </c>
      <c r="O163" s="122" t="s">
        <v>62</v>
      </c>
      <c r="P163" s="145">
        <v>44286</v>
      </c>
      <c r="Q163" s="122" t="s">
        <v>1216</v>
      </c>
      <c r="R163" s="122" t="s">
        <v>303</v>
      </c>
      <c r="S163" s="122" t="s">
        <v>305</v>
      </c>
      <c r="T163" s="145">
        <v>45883</v>
      </c>
      <c r="U163" s="123">
        <v>1</v>
      </c>
      <c r="V163" s="148">
        <v>36684.620000000003</v>
      </c>
      <c r="W163" s="123">
        <v>36684.620000000003</v>
      </c>
      <c r="X163" s="125">
        <v>1.5480000000000001E-2</v>
      </c>
      <c r="Y163" s="125">
        <v>1.057E-2</v>
      </c>
      <c r="Z163" s="126">
        <v>1.34E-3</v>
      </c>
      <c r="AA163" s="159"/>
    </row>
    <row r="164" spans="1:27" x14ac:dyDescent="0.2">
      <c r="A164" s="121" t="s">
        <v>1223</v>
      </c>
      <c r="B164" s="122" t="s">
        <v>1223</v>
      </c>
      <c r="C164" s="122" t="s">
        <v>2869</v>
      </c>
      <c r="D164" s="122"/>
      <c r="E164" s="122"/>
      <c r="F164" s="122" t="s">
        <v>2870</v>
      </c>
      <c r="G164" s="122" t="s">
        <v>2871</v>
      </c>
      <c r="H164" s="122" t="s">
        <v>102</v>
      </c>
      <c r="I164" s="122" t="s">
        <v>749</v>
      </c>
      <c r="J164" s="122"/>
      <c r="K164" s="122" t="s">
        <v>53</v>
      </c>
      <c r="L164" s="122"/>
      <c r="M164" s="122"/>
      <c r="N164" s="122" t="s">
        <v>53</v>
      </c>
      <c r="O164" s="122" t="s">
        <v>62</v>
      </c>
      <c r="P164" s="145">
        <v>42576</v>
      </c>
      <c r="Q164" s="122" t="s">
        <v>1217</v>
      </c>
      <c r="R164" s="122" t="s">
        <v>303</v>
      </c>
      <c r="S164" s="122" t="s">
        <v>305</v>
      </c>
      <c r="T164" s="145">
        <v>45930</v>
      </c>
      <c r="U164" s="123">
        <v>3.306</v>
      </c>
      <c r="V164" s="148">
        <v>10336.576225045372</v>
      </c>
      <c r="W164" s="123">
        <v>34172.720999999998</v>
      </c>
      <c r="X164" s="122"/>
      <c r="Y164" s="125">
        <v>9.8399999999999998E-3</v>
      </c>
      <c r="Z164" s="126">
        <v>1.25E-3</v>
      </c>
      <c r="AA164" s="159"/>
    </row>
    <row r="165" spans="1:27" x14ac:dyDescent="0.2">
      <c r="A165" s="121" t="s">
        <v>1223</v>
      </c>
      <c r="B165" s="122" t="s">
        <v>1223</v>
      </c>
      <c r="C165" s="122" t="s">
        <v>2872</v>
      </c>
      <c r="D165" s="122"/>
      <c r="E165" s="122"/>
      <c r="F165" s="122" t="s">
        <v>2873</v>
      </c>
      <c r="G165" s="122" t="s">
        <v>2874</v>
      </c>
      <c r="H165" s="122" t="s">
        <v>102</v>
      </c>
      <c r="I165" s="122" t="s">
        <v>280</v>
      </c>
      <c r="J165" s="122"/>
      <c r="K165" s="122" t="s">
        <v>53</v>
      </c>
      <c r="L165" s="122"/>
      <c r="M165" s="122"/>
      <c r="N165" s="122" t="s">
        <v>53</v>
      </c>
      <c r="O165" s="122" t="s">
        <v>62</v>
      </c>
      <c r="P165" s="145">
        <v>43802</v>
      </c>
      <c r="Q165" s="122" t="s">
        <v>1216</v>
      </c>
      <c r="R165" s="122" t="s">
        <v>303</v>
      </c>
      <c r="S165" s="122" t="s">
        <v>305</v>
      </c>
      <c r="T165" s="145">
        <v>45903</v>
      </c>
      <c r="U165" s="123">
        <v>1</v>
      </c>
      <c r="V165" s="148">
        <v>30559.635999999999</v>
      </c>
      <c r="W165" s="123">
        <v>30559.635999999999</v>
      </c>
      <c r="X165" s="122"/>
      <c r="Y165" s="125">
        <v>8.8000000000000005E-3</v>
      </c>
      <c r="Z165" s="126">
        <v>1.1199999999999999E-3</v>
      </c>
      <c r="AA165" s="159"/>
    </row>
    <row r="166" spans="1:27" x14ac:dyDescent="0.2">
      <c r="A166" s="121" t="s">
        <v>1223</v>
      </c>
      <c r="B166" s="122" t="s">
        <v>1223</v>
      </c>
      <c r="C166" s="122" t="s">
        <v>2875</v>
      </c>
      <c r="D166" s="122"/>
      <c r="E166" s="122"/>
      <c r="F166" s="122" t="s">
        <v>2876</v>
      </c>
      <c r="G166" s="122" t="s">
        <v>2877</v>
      </c>
      <c r="H166" s="122" t="s">
        <v>102</v>
      </c>
      <c r="I166" s="122" t="s">
        <v>749</v>
      </c>
      <c r="J166" s="122"/>
      <c r="K166" s="122" t="s">
        <v>53</v>
      </c>
      <c r="L166" s="122"/>
      <c r="M166" s="122"/>
      <c r="N166" s="122" t="s">
        <v>53</v>
      </c>
      <c r="O166" s="122" t="s">
        <v>62</v>
      </c>
      <c r="P166" s="145">
        <v>44286</v>
      </c>
      <c r="Q166" s="122" t="s">
        <v>1217</v>
      </c>
      <c r="R166" s="122" t="s">
        <v>303</v>
      </c>
      <c r="S166" s="122" t="s">
        <v>305</v>
      </c>
      <c r="T166" s="145">
        <v>45926</v>
      </c>
      <c r="U166" s="123">
        <v>3.306</v>
      </c>
      <c r="V166" s="148">
        <v>8913.6751361161532</v>
      </c>
      <c r="W166" s="123">
        <v>29468.61</v>
      </c>
      <c r="X166" s="125">
        <v>5.0600000000000003E-3</v>
      </c>
      <c r="Y166" s="125">
        <v>8.4899999999999993E-3</v>
      </c>
      <c r="Z166" s="126">
        <v>1.08E-3</v>
      </c>
      <c r="AA166" s="159"/>
    </row>
    <row r="167" spans="1:27" x14ac:dyDescent="0.2">
      <c r="A167" s="121" t="s">
        <v>1223</v>
      </c>
      <c r="B167" s="122" t="s">
        <v>1223</v>
      </c>
      <c r="C167" s="122" t="s">
        <v>2878</v>
      </c>
      <c r="D167" s="122"/>
      <c r="E167" s="122"/>
      <c r="F167" s="122" t="s">
        <v>2879</v>
      </c>
      <c r="G167" s="122" t="s">
        <v>2880</v>
      </c>
      <c r="H167" s="122" t="s">
        <v>102</v>
      </c>
      <c r="I167" s="122" t="s">
        <v>749</v>
      </c>
      <c r="J167" s="122"/>
      <c r="K167" s="122" t="s">
        <v>53</v>
      </c>
      <c r="L167" s="122"/>
      <c r="M167" s="122"/>
      <c r="N167" s="122" t="s">
        <v>53</v>
      </c>
      <c r="O167" s="122" t="s">
        <v>62</v>
      </c>
      <c r="P167" s="145">
        <v>43664</v>
      </c>
      <c r="Q167" s="122" t="s">
        <v>1217</v>
      </c>
      <c r="R167" s="122" t="s">
        <v>303</v>
      </c>
      <c r="S167" s="122" t="s">
        <v>305</v>
      </c>
      <c r="T167" s="145">
        <v>45929</v>
      </c>
      <c r="U167" s="123">
        <v>3.306</v>
      </c>
      <c r="V167" s="148">
        <v>8699.8920145190568</v>
      </c>
      <c r="W167" s="123">
        <v>28761.843000000001</v>
      </c>
      <c r="X167" s="122"/>
      <c r="Y167" s="125">
        <v>8.2799999999999992E-3</v>
      </c>
      <c r="Z167" s="126">
        <v>1.0499999999999999E-3</v>
      </c>
      <c r="AA167" s="159"/>
    </row>
    <row r="168" spans="1:27" x14ac:dyDescent="0.2">
      <c r="A168" s="121" t="s">
        <v>1223</v>
      </c>
      <c r="B168" s="122" t="s">
        <v>1223</v>
      </c>
      <c r="C168" s="122" t="s">
        <v>2881</v>
      </c>
      <c r="D168" s="122"/>
      <c r="E168" s="122"/>
      <c r="F168" s="122" t="s">
        <v>2882</v>
      </c>
      <c r="G168" s="122" t="s">
        <v>2883</v>
      </c>
      <c r="H168" s="122" t="s">
        <v>102</v>
      </c>
      <c r="I168" s="122" t="s">
        <v>749</v>
      </c>
      <c r="J168" s="122"/>
      <c r="K168" s="122" t="s">
        <v>53</v>
      </c>
      <c r="L168" s="122"/>
      <c r="M168" s="122"/>
      <c r="N168" s="122" t="s">
        <v>53</v>
      </c>
      <c r="O168" s="122" t="s">
        <v>62</v>
      </c>
      <c r="P168" s="145">
        <v>44560</v>
      </c>
      <c r="Q168" s="122" t="s">
        <v>1217</v>
      </c>
      <c r="R168" s="122" t="s">
        <v>303</v>
      </c>
      <c r="S168" s="122" t="s">
        <v>305</v>
      </c>
      <c r="T168" s="145">
        <v>45930</v>
      </c>
      <c r="U168" s="123">
        <v>3.306</v>
      </c>
      <c r="V168" s="148">
        <v>8328.8033877797952</v>
      </c>
      <c r="W168" s="123">
        <v>27535.024000000001</v>
      </c>
      <c r="X168" s="125">
        <v>1.8180000000000002E-2</v>
      </c>
      <c r="Y168" s="125">
        <v>7.9299999999999995E-3</v>
      </c>
      <c r="Z168" s="126">
        <v>1.01E-3</v>
      </c>
      <c r="AA168" s="159"/>
    </row>
    <row r="169" spans="1:27" x14ac:dyDescent="0.2">
      <c r="A169" s="121" t="s">
        <v>1223</v>
      </c>
      <c r="B169" s="122" t="s">
        <v>1223</v>
      </c>
      <c r="C169" s="122" t="s">
        <v>2889</v>
      </c>
      <c r="D169" s="122"/>
      <c r="E169" s="122"/>
      <c r="F169" s="122" t="s">
        <v>2890</v>
      </c>
      <c r="G169" s="122" t="s">
        <v>2891</v>
      </c>
      <c r="H169" s="122" t="s">
        <v>102</v>
      </c>
      <c r="I169" s="122" t="s">
        <v>926</v>
      </c>
      <c r="J169" s="122"/>
      <c r="K169" s="122" t="s">
        <v>53</v>
      </c>
      <c r="L169" s="122"/>
      <c r="M169" s="122"/>
      <c r="N169" s="122" t="s">
        <v>53</v>
      </c>
      <c r="O169" s="122" t="s">
        <v>62</v>
      </c>
      <c r="P169" s="145">
        <v>43327</v>
      </c>
      <c r="Q169" s="122" t="s">
        <v>1217</v>
      </c>
      <c r="R169" s="122" t="s">
        <v>303</v>
      </c>
      <c r="S169" s="122" t="s">
        <v>305</v>
      </c>
      <c r="T169" s="145">
        <v>45897</v>
      </c>
      <c r="U169" s="123">
        <v>3.306</v>
      </c>
      <c r="V169" s="148">
        <v>7975.8408953418029</v>
      </c>
      <c r="W169" s="123">
        <v>26368.13</v>
      </c>
      <c r="X169" s="125">
        <v>5.2630000000000003E-2</v>
      </c>
      <c r="Y169" s="125">
        <v>7.5900000000000004E-3</v>
      </c>
      <c r="Z169" s="126">
        <v>9.7000000000000005E-4</v>
      </c>
      <c r="AA169" s="159"/>
    </row>
    <row r="170" spans="1:27" x14ac:dyDescent="0.2">
      <c r="A170" s="121" t="s">
        <v>1223</v>
      </c>
      <c r="B170" s="122" t="s">
        <v>1223</v>
      </c>
      <c r="C170" s="122" t="s">
        <v>2884</v>
      </c>
      <c r="D170" s="122"/>
      <c r="E170" s="122"/>
      <c r="F170" s="122" t="s">
        <v>2885</v>
      </c>
      <c r="G170" s="122" t="s">
        <v>2886</v>
      </c>
      <c r="H170" s="122" t="s">
        <v>102</v>
      </c>
      <c r="I170" s="122" t="s">
        <v>749</v>
      </c>
      <c r="J170" s="122"/>
      <c r="K170" s="122" t="s">
        <v>53</v>
      </c>
      <c r="L170" s="122"/>
      <c r="M170" s="122"/>
      <c r="N170" s="122" t="s">
        <v>53</v>
      </c>
      <c r="O170" s="122" t="s">
        <v>62</v>
      </c>
      <c r="P170" s="145">
        <v>44636</v>
      </c>
      <c r="Q170" s="122" t="s">
        <v>1216</v>
      </c>
      <c r="R170" s="122" t="s">
        <v>303</v>
      </c>
      <c r="S170" s="122" t="s">
        <v>305</v>
      </c>
      <c r="T170" s="145">
        <v>45897</v>
      </c>
      <c r="U170" s="123">
        <v>1</v>
      </c>
      <c r="V170" s="148">
        <v>25483.636999999999</v>
      </c>
      <c r="W170" s="123">
        <v>25483.636999999999</v>
      </c>
      <c r="X170" s="125">
        <v>4.7239999999999997E-2</v>
      </c>
      <c r="Y170" s="125">
        <v>7.3400000000000002E-3</v>
      </c>
      <c r="Z170" s="126">
        <v>9.3000000000000005E-4</v>
      </c>
      <c r="AA170" s="159"/>
    </row>
    <row r="171" spans="1:27" x14ac:dyDescent="0.2">
      <c r="A171" s="121" t="s">
        <v>1223</v>
      </c>
      <c r="B171" s="122" t="s">
        <v>1223</v>
      </c>
      <c r="C171" s="122" t="s">
        <v>102</v>
      </c>
      <c r="D171" s="122"/>
      <c r="E171" s="122"/>
      <c r="F171" s="122" t="s">
        <v>2887</v>
      </c>
      <c r="G171" s="122" t="s">
        <v>2888</v>
      </c>
      <c r="H171" s="122" t="s">
        <v>102</v>
      </c>
      <c r="I171" s="122" t="s">
        <v>926</v>
      </c>
      <c r="J171" s="122"/>
      <c r="K171" s="122" t="s">
        <v>53</v>
      </c>
      <c r="L171" s="122"/>
      <c r="M171" s="122"/>
      <c r="N171" s="122" t="s">
        <v>314</v>
      </c>
      <c r="O171" s="122" t="s">
        <v>62</v>
      </c>
      <c r="P171" s="145">
        <v>44560</v>
      </c>
      <c r="Q171" s="122" t="s">
        <v>1217</v>
      </c>
      <c r="R171" s="122" t="s">
        <v>303</v>
      </c>
      <c r="S171" s="122" t="s">
        <v>305</v>
      </c>
      <c r="T171" s="145">
        <v>45930</v>
      </c>
      <c r="U171" s="123">
        <v>3.306</v>
      </c>
      <c r="V171" s="148">
        <v>7609.6297640653365</v>
      </c>
      <c r="W171" s="123">
        <v>25157.436000000002</v>
      </c>
      <c r="X171" s="125">
        <v>2.0000000000000002E-5</v>
      </c>
      <c r="Y171" s="125">
        <v>7.2500000000000004E-3</v>
      </c>
      <c r="Z171" s="126">
        <v>9.2000000000000003E-4</v>
      </c>
      <c r="AA171" s="159"/>
    </row>
    <row r="172" spans="1:27" x14ac:dyDescent="0.2">
      <c r="A172" s="121" t="s">
        <v>1223</v>
      </c>
      <c r="B172" s="122" t="s">
        <v>1223</v>
      </c>
      <c r="C172" s="122" t="s">
        <v>2866</v>
      </c>
      <c r="D172" s="122"/>
      <c r="E172" s="122"/>
      <c r="F172" s="122" t="s">
        <v>2892</v>
      </c>
      <c r="G172" s="122" t="s">
        <v>2893</v>
      </c>
      <c r="H172" s="122" t="s">
        <v>102</v>
      </c>
      <c r="I172" s="122" t="s">
        <v>242</v>
      </c>
      <c r="J172" s="122"/>
      <c r="K172" s="122" t="s">
        <v>53</v>
      </c>
      <c r="L172" s="122"/>
      <c r="M172" s="122"/>
      <c r="N172" s="122" t="s">
        <v>53</v>
      </c>
      <c r="O172" s="122" t="s">
        <v>62</v>
      </c>
      <c r="P172" s="145">
        <v>43611</v>
      </c>
      <c r="Q172" s="122" t="s">
        <v>1216</v>
      </c>
      <c r="R172" s="122" t="s">
        <v>303</v>
      </c>
      <c r="S172" s="122" t="s">
        <v>305</v>
      </c>
      <c r="T172" s="145">
        <v>45883</v>
      </c>
      <c r="U172" s="123">
        <v>1</v>
      </c>
      <c r="V172" s="148">
        <v>25004.620999999999</v>
      </c>
      <c r="W172" s="123">
        <v>25004.620999999999</v>
      </c>
      <c r="X172" s="125">
        <v>1.8450000000000001E-2</v>
      </c>
      <c r="Y172" s="125">
        <v>7.1999999999999998E-3</v>
      </c>
      <c r="Z172" s="126">
        <v>9.2000000000000003E-4</v>
      </c>
      <c r="AA172" s="159"/>
    </row>
    <row r="173" spans="1:27" x14ac:dyDescent="0.2">
      <c r="A173" s="121" t="s">
        <v>1223</v>
      </c>
      <c r="B173" s="122" t="s">
        <v>1223</v>
      </c>
      <c r="C173" s="122" t="s">
        <v>102</v>
      </c>
      <c r="D173" s="122"/>
      <c r="E173" s="122"/>
      <c r="F173" s="122" t="s">
        <v>2894</v>
      </c>
      <c r="G173" s="122" t="s">
        <v>2895</v>
      </c>
      <c r="H173" s="122" t="s">
        <v>102</v>
      </c>
      <c r="I173" s="122" t="s">
        <v>926</v>
      </c>
      <c r="J173" s="122"/>
      <c r="K173" s="122" t="s">
        <v>53</v>
      </c>
      <c r="L173" s="122"/>
      <c r="M173" s="122"/>
      <c r="N173" s="122" t="s">
        <v>117</v>
      </c>
      <c r="O173" s="122" t="s">
        <v>62</v>
      </c>
      <c r="P173" s="145">
        <v>43396</v>
      </c>
      <c r="Q173" s="122" t="s">
        <v>1218</v>
      </c>
      <c r="R173" s="122" t="s">
        <v>303</v>
      </c>
      <c r="S173" s="122" t="s">
        <v>305</v>
      </c>
      <c r="T173" s="145">
        <v>45897</v>
      </c>
      <c r="U173" s="123">
        <v>3.8809999999999998</v>
      </c>
      <c r="V173" s="148">
        <v>6278.9799020870914</v>
      </c>
      <c r="W173" s="123">
        <v>24368.721000000001</v>
      </c>
      <c r="X173" s="122"/>
      <c r="Y173" s="125">
        <v>7.0200000000000002E-3</v>
      </c>
      <c r="Z173" s="126">
        <v>8.8999999999999995E-4</v>
      </c>
      <c r="AA173" s="159"/>
    </row>
    <row r="174" spans="1:27" x14ac:dyDescent="0.2">
      <c r="A174" s="121" t="s">
        <v>1223</v>
      </c>
      <c r="B174" s="122" t="s">
        <v>1223</v>
      </c>
      <c r="C174" s="122" t="s">
        <v>2896</v>
      </c>
      <c r="D174" s="122"/>
      <c r="E174" s="122"/>
      <c r="F174" s="122" t="s">
        <v>2897</v>
      </c>
      <c r="G174" s="122" t="s">
        <v>2898</v>
      </c>
      <c r="H174" s="122" t="s">
        <v>102</v>
      </c>
      <c r="I174" s="122" t="s">
        <v>280</v>
      </c>
      <c r="J174" s="122"/>
      <c r="K174" s="122" t="s">
        <v>53</v>
      </c>
      <c r="L174" s="122"/>
      <c r="M174" s="122"/>
      <c r="N174" s="122" t="s">
        <v>53</v>
      </c>
      <c r="O174" s="122" t="s">
        <v>62</v>
      </c>
      <c r="P174" s="145">
        <v>44651</v>
      </c>
      <c r="Q174" s="122" t="s">
        <v>1216</v>
      </c>
      <c r="R174" s="122" t="s">
        <v>303</v>
      </c>
      <c r="S174" s="122" t="s">
        <v>305</v>
      </c>
      <c r="T174" s="145">
        <v>45904</v>
      </c>
      <c r="U174" s="123">
        <v>1</v>
      </c>
      <c r="V174" s="148">
        <v>22455.648000000001</v>
      </c>
      <c r="W174" s="123">
        <v>22455.648000000001</v>
      </c>
      <c r="X174" s="125">
        <v>0.10351</v>
      </c>
      <c r="Y174" s="125">
        <v>6.4700000000000001E-3</v>
      </c>
      <c r="Z174" s="126">
        <v>8.1999999999999998E-4</v>
      </c>
      <c r="AA174" s="159"/>
    </row>
    <row r="175" spans="1:27" x14ac:dyDescent="0.2">
      <c r="A175" s="121" t="s">
        <v>1223</v>
      </c>
      <c r="B175" s="122" t="s">
        <v>1223</v>
      </c>
      <c r="C175" s="122" t="s">
        <v>2860</v>
      </c>
      <c r="D175" s="122"/>
      <c r="E175" s="122"/>
      <c r="F175" s="122" t="s">
        <v>2899</v>
      </c>
      <c r="G175" s="122" t="s">
        <v>2900</v>
      </c>
      <c r="H175" s="122" t="s">
        <v>102</v>
      </c>
      <c r="I175" s="122" t="s">
        <v>281</v>
      </c>
      <c r="J175" s="122"/>
      <c r="K175" s="122" t="s">
        <v>53</v>
      </c>
      <c r="L175" s="122"/>
      <c r="M175" s="122"/>
      <c r="N175" s="122" t="s">
        <v>53</v>
      </c>
      <c r="O175" s="122" t="s">
        <v>62</v>
      </c>
      <c r="P175" s="145">
        <v>45378</v>
      </c>
      <c r="Q175" s="122" t="s">
        <v>1216</v>
      </c>
      <c r="R175" s="122" t="s">
        <v>303</v>
      </c>
      <c r="S175" s="122" t="s">
        <v>305</v>
      </c>
      <c r="T175" s="145">
        <v>45904</v>
      </c>
      <c r="U175" s="123">
        <v>1</v>
      </c>
      <c r="V175" s="148">
        <v>22156.601999999999</v>
      </c>
      <c r="W175" s="123">
        <v>22156.601999999999</v>
      </c>
      <c r="X175" s="125">
        <v>0.13805000000000001</v>
      </c>
      <c r="Y175" s="125">
        <v>6.3800000000000003E-3</v>
      </c>
      <c r="Z175" s="126">
        <v>8.0999999999999996E-4</v>
      </c>
      <c r="AA175" s="159"/>
    </row>
    <row r="176" spans="1:27" x14ac:dyDescent="0.2">
      <c r="A176" s="121" t="s">
        <v>1223</v>
      </c>
      <c r="B176" s="122" t="s">
        <v>1223</v>
      </c>
      <c r="C176" s="122" t="s">
        <v>2872</v>
      </c>
      <c r="D176" s="122"/>
      <c r="E176" s="122"/>
      <c r="F176" s="122" t="s">
        <v>2901</v>
      </c>
      <c r="G176" s="122" t="s">
        <v>2902</v>
      </c>
      <c r="H176" s="122" t="s">
        <v>102</v>
      </c>
      <c r="I176" s="122" t="s">
        <v>280</v>
      </c>
      <c r="J176" s="122"/>
      <c r="K176" s="122" t="s">
        <v>53</v>
      </c>
      <c r="L176" s="122"/>
      <c r="M176" s="122"/>
      <c r="N176" s="122" t="s">
        <v>53</v>
      </c>
      <c r="O176" s="122" t="s">
        <v>62</v>
      </c>
      <c r="P176" s="145">
        <v>43130</v>
      </c>
      <c r="Q176" s="122" t="s">
        <v>1216</v>
      </c>
      <c r="R176" s="122" t="s">
        <v>303</v>
      </c>
      <c r="S176" s="122" t="s">
        <v>305</v>
      </c>
      <c r="T176" s="145">
        <v>45897</v>
      </c>
      <c r="U176" s="123">
        <v>1</v>
      </c>
      <c r="V176" s="148">
        <v>21384.269</v>
      </c>
      <c r="W176" s="123">
        <v>21384.269</v>
      </c>
      <c r="X176" s="122"/>
      <c r="Y176" s="125">
        <v>6.1599999999999997E-3</v>
      </c>
      <c r="Z176" s="126">
        <v>7.7999999999999999E-4</v>
      </c>
      <c r="AA176" s="159"/>
    </row>
    <row r="177" spans="1:27" x14ac:dyDescent="0.2">
      <c r="A177" s="121" t="s">
        <v>1223</v>
      </c>
      <c r="B177" s="122" t="s">
        <v>1223</v>
      </c>
      <c r="C177" s="122" t="s">
        <v>2909</v>
      </c>
      <c r="D177" s="122"/>
      <c r="E177" s="122"/>
      <c r="F177" s="122" t="s">
        <v>2910</v>
      </c>
      <c r="G177" s="122" t="s">
        <v>2911</v>
      </c>
      <c r="H177" s="122" t="s">
        <v>102</v>
      </c>
      <c r="I177" s="122" t="s">
        <v>241</v>
      </c>
      <c r="J177" s="122"/>
      <c r="K177" s="122" t="s">
        <v>53</v>
      </c>
      <c r="L177" s="122"/>
      <c r="M177" s="122"/>
      <c r="N177" s="122" t="s">
        <v>53</v>
      </c>
      <c r="O177" s="122" t="s">
        <v>62</v>
      </c>
      <c r="P177" s="145">
        <v>44722</v>
      </c>
      <c r="Q177" s="122" t="s">
        <v>1216</v>
      </c>
      <c r="R177" s="122" t="s">
        <v>303</v>
      </c>
      <c r="S177" s="122" t="s">
        <v>305</v>
      </c>
      <c r="T177" s="145">
        <v>45889</v>
      </c>
      <c r="U177" s="123">
        <v>1</v>
      </c>
      <c r="V177" s="148">
        <v>20831.688999999998</v>
      </c>
      <c r="W177" s="123">
        <v>20831.688999999998</v>
      </c>
      <c r="X177" s="125">
        <v>1.4710000000000001E-2</v>
      </c>
      <c r="Y177" s="125">
        <v>6.0000000000000001E-3</v>
      </c>
      <c r="Z177" s="126">
        <v>7.6000000000000004E-4</v>
      </c>
      <c r="AA177" s="159"/>
    </row>
    <row r="178" spans="1:27" x14ac:dyDescent="0.2">
      <c r="A178" s="121" t="s">
        <v>1223</v>
      </c>
      <c r="B178" s="122" t="s">
        <v>1223</v>
      </c>
      <c r="C178" s="122" t="s">
        <v>2903</v>
      </c>
      <c r="D178" s="122"/>
      <c r="E178" s="122"/>
      <c r="F178" s="122" t="s">
        <v>2904</v>
      </c>
      <c r="G178" s="122" t="s">
        <v>2905</v>
      </c>
      <c r="H178" s="122" t="s">
        <v>102</v>
      </c>
      <c r="I178" s="122" t="s">
        <v>926</v>
      </c>
      <c r="J178" s="122"/>
      <c r="K178" s="122" t="s">
        <v>53</v>
      </c>
      <c r="L178" s="122"/>
      <c r="M178" s="122"/>
      <c r="N178" s="122" t="s">
        <v>53</v>
      </c>
      <c r="O178" s="122" t="s">
        <v>62</v>
      </c>
      <c r="P178" s="145">
        <v>44633</v>
      </c>
      <c r="Q178" s="122" t="s">
        <v>1217</v>
      </c>
      <c r="R178" s="122" t="s">
        <v>303</v>
      </c>
      <c r="S178" s="122" t="s">
        <v>305</v>
      </c>
      <c r="T178" s="145">
        <v>45916</v>
      </c>
      <c r="U178" s="123">
        <v>3.306</v>
      </c>
      <c r="V178" s="148">
        <v>5998.5359951603141</v>
      </c>
      <c r="W178" s="123">
        <v>19831.16</v>
      </c>
      <c r="X178" s="125">
        <v>5.1020000000000003E-2</v>
      </c>
      <c r="Y178" s="125">
        <v>5.7099999999999998E-3</v>
      </c>
      <c r="Z178" s="126">
        <v>7.2999999999999996E-4</v>
      </c>
      <c r="AA178" s="159"/>
    </row>
    <row r="179" spans="1:27" x14ac:dyDescent="0.2">
      <c r="A179" s="121" t="s">
        <v>1223</v>
      </c>
      <c r="B179" s="122" t="s">
        <v>1223</v>
      </c>
      <c r="C179" s="122" t="s">
        <v>2906</v>
      </c>
      <c r="D179" s="122"/>
      <c r="E179" s="122"/>
      <c r="F179" s="122" t="s">
        <v>2907</v>
      </c>
      <c r="G179" s="122" t="s">
        <v>2908</v>
      </c>
      <c r="H179" s="122" t="s">
        <v>102</v>
      </c>
      <c r="I179" s="122" t="s">
        <v>749</v>
      </c>
      <c r="J179" s="122"/>
      <c r="K179" s="122" t="s">
        <v>53</v>
      </c>
      <c r="L179" s="122"/>
      <c r="M179" s="122"/>
      <c r="N179" s="122" t="s">
        <v>314</v>
      </c>
      <c r="O179" s="122" t="s">
        <v>62</v>
      </c>
      <c r="P179" s="145">
        <v>45475</v>
      </c>
      <c r="Q179" s="122" t="s">
        <v>1217</v>
      </c>
      <c r="R179" s="122" t="s">
        <v>303</v>
      </c>
      <c r="S179" s="122" t="s">
        <v>305</v>
      </c>
      <c r="T179" s="145">
        <v>45929</v>
      </c>
      <c r="U179" s="123">
        <v>3.306</v>
      </c>
      <c r="V179" s="148">
        <v>5950.7655777374466</v>
      </c>
      <c r="W179" s="123">
        <v>19673.231</v>
      </c>
      <c r="X179" s="125">
        <v>0</v>
      </c>
      <c r="Y179" s="125">
        <v>5.6699999999999997E-3</v>
      </c>
      <c r="Z179" s="126">
        <v>7.2000000000000005E-4</v>
      </c>
      <c r="AA179" s="159"/>
    </row>
    <row r="180" spans="1:27" x14ac:dyDescent="0.2">
      <c r="A180" s="121" t="s">
        <v>1223</v>
      </c>
      <c r="B180" s="122" t="s">
        <v>1223</v>
      </c>
      <c r="C180" s="122" t="s">
        <v>2915</v>
      </c>
      <c r="D180" s="122"/>
      <c r="E180" s="122"/>
      <c r="F180" s="122" t="s">
        <v>2916</v>
      </c>
      <c r="G180" s="122" t="s">
        <v>2917</v>
      </c>
      <c r="H180" s="122" t="s">
        <v>102</v>
      </c>
      <c r="I180" s="122" t="s">
        <v>280</v>
      </c>
      <c r="J180" s="122"/>
      <c r="K180" s="122" t="s">
        <v>53</v>
      </c>
      <c r="L180" s="122"/>
      <c r="M180" s="122"/>
      <c r="N180" s="122" t="s">
        <v>53</v>
      </c>
      <c r="O180" s="122" t="s">
        <v>62</v>
      </c>
      <c r="P180" s="145">
        <v>45056</v>
      </c>
      <c r="Q180" s="122" t="s">
        <v>1216</v>
      </c>
      <c r="R180" s="122" t="s">
        <v>303</v>
      </c>
      <c r="S180" s="122" t="s">
        <v>305</v>
      </c>
      <c r="T180" s="145">
        <v>45915</v>
      </c>
      <c r="U180" s="123">
        <v>1</v>
      </c>
      <c r="V180" s="148">
        <v>18930.467000000001</v>
      </c>
      <c r="W180" s="123">
        <v>18930.467000000001</v>
      </c>
      <c r="X180" s="122"/>
      <c r="Y180" s="125">
        <v>5.45E-3</v>
      </c>
      <c r="Z180" s="126">
        <v>6.8999999999999997E-4</v>
      </c>
      <c r="AA180" s="159"/>
    </row>
    <row r="181" spans="1:27" x14ac:dyDescent="0.2">
      <c r="A181" s="121" t="s">
        <v>1223</v>
      </c>
      <c r="B181" s="122" t="s">
        <v>1223</v>
      </c>
      <c r="C181" s="122" t="s">
        <v>2918</v>
      </c>
      <c r="D181" s="122"/>
      <c r="E181" s="122"/>
      <c r="F181" s="122" t="s">
        <v>2919</v>
      </c>
      <c r="G181" s="122" t="s">
        <v>2920</v>
      </c>
      <c r="H181" s="122" t="s">
        <v>102</v>
      </c>
      <c r="I181" s="122" t="s">
        <v>280</v>
      </c>
      <c r="J181" s="122"/>
      <c r="K181" s="122" t="s">
        <v>53</v>
      </c>
      <c r="L181" s="122"/>
      <c r="M181" s="122"/>
      <c r="N181" s="122" t="s">
        <v>53</v>
      </c>
      <c r="O181" s="122" t="s">
        <v>62</v>
      </c>
      <c r="P181" s="145">
        <v>45034</v>
      </c>
      <c r="Q181" s="122" t="s">
        <v>1216</v>
      </c>
      <c r="R181" s="122" t="s">
        <v>303</v>
      </c>
      <c r="S181" s="122" t="s">
        <v>305</v>
      </c>
      <c r="T181" s="145">
        <v>45893</v>
      </c>
      <c r="U181" s="123">
        <v>1</v>
      </c>
      <c r="V181" s="148">
        <v>18632.806</v>
      </c>
      <c r="W181" s="123">
        <v>18632.806</v>
      </c>
      <c r="X181" s="125">
        <v>5.0600000000000003E-3</v>
      </c>
      <c r="Y181" s="125">
        <v>5.3699999999999998E-3</v>
      </c>
      <c r="Z181" s="126">
        <v>6.8000000000000005E-4</v>
      </c>
      <c r="AA181" s="159"/>
    </row>
    <row r="182" spans="1:27" x14ac:dyDescent="0.2">
      <c r="A182" s="121" t="s">
        <v>1223</v>
      </c>
      <c r="B182" s="122" t="s">
        <v>1223</v>
      </c>
      <c r="C182" s="122" t="s">
        <v>2921</v>
      </c>
      <c r="D182" s="122"/>
      <c r="E182" s="122"/>
      <c r="F182" s="122" t="s">
        <v>2922</v>
      </c>
      <c r="G182" s="122" t="s">
        <v>2923</v>
      </c>
      <c r="H182" s="122" t="s">
        <v>102</v>
      </c>
      <c r="I182" s="122" t="s">
        <v>749</v>
      </c>
      <c r="J182" s="122"/>
      <c r="K182" s="122" t="s">
        <v>53</v>
      </c>
      <c r="L182" s="122"/>
      <c r="M182" s="122"/>
      <c r="N182" s="122" t="s">
        <v>53</v>
      </c>
      <c r="O182" s="122" t="s">
        <v>62</v>
      </c>
      <c r="P182" s="145">
        <v>45215</v>
      </c>
      <c r="Q182" s="122" t="s">
        <v>1217</v>
      </c>
      <c r="R182" s="122" t="s">
        <v>303</v>
      </c>
      <c r="S182" s="122" t="s">
        <v>305</v>
      </c>
      <c r="T182" s="145">
        <v>45882</v>
      </c>
      <c r="U182" s="123">
        <v>3.306</v>
      </c>
      <c r="V182" s="148">
        <v>5624.0420447670895</v>
      </c>
      <c r="W182" s="123">
        <v>18593.082999999999</v>
      </c>
      <c r="X182" s="125">
        <v>4.9100000000000003E-3</v>
      </c>
      <c r="Y182" s="125">
        <v>5.3600000000000002E-3</v>
      </c>
      <c r="Z182" s="126">
        <v>6.8000000000000005E-4</v>
      </c>
      <c r="AA182" s="159"/>
    </row>
    <row r="183" spans="1:27" x14ac:dyDescent="0.2">
      <c r="A183" s="121" t="s">
        <v>1223</v>
      </c>
      <c r="B183" s="122" t="s">
        <v>1223</v>
      </c>
      <c r="C183" s="122" t="s">
        <v>2912</v>
      </c>
      <c r="D183" s="122"/>
      <c r="E183" s="122"/>
      <c r="F183" s="122" t="s">
        <v>2913</v>
      </c>
      <c r="G183" s="122" t="s">
        <v>2914</v>
      </c>
      <c r="H183" s="122" t="s">
        <v>102</v>
      </c>
      <c r="I183" s="122" t="s">
        <v>280</v>
      </c>
      <c r="J183" s="122"/>
      <c r="K183" s="122" t="s">
        <v>53</v>
      </c>
      <c r="L183" s="122"/>
      <c r="M183" s="122"/>
      <c r="N183" s="122" t="s">
        <v>53</v>
      </c>
      <c r="O183" s="122" t="s">
        <v>62</v>
      </c>
      <c r="P183" s="145">
        <v>44560</v>
      </c>
      <c r="Q183" s="122" t="s">
        <v>1216</v>
      </c>
      <c r="R183" s="122" t="s">
        <v>303</v>
      </c>
      <c r="S183" s="122" t="s">
        <v>305</v>
      </c>
      <c r="T183" s="145">
        <v>45929</v>
      </c>
      <c r="U183" s="123">
        <v>1</v>
      </c>
      <c r="V183" s="148">
        <v>17921.868999999999</v>
      </c>
      <c r="W183" s="123">
        <v>17921.868999999999</v>
      </c>
      <c r="X183" s="122"/>
      <c r="Y183" s="125">
        <v>5.1599999999999997E-3</v>
      </c>
      <c r="Z183" s="126">
        <v>6.6E-4</v>
      </c>
      <c r="AA183" s="159"/>
    </row>
    <row r="184" spans="1:27" x14ac:dyDescent="0.2">
      <c r="A184" s="121" t="s">
        <v>1223</v>
      </c>
      <c r="B184" s="122" t="s">
        <v>1223</v>
      </c>
      <c r="C184" s="122" t="s">
        <v>2927</v>
      </c>
      <c r="D184" s="122"/>
      <c r="E184" s="122"/>
      <c r="F184" s="122" t="s">
        <v>2928</v>
      </c>
      <c r="G184" s="122" t="s">
        <v>2929</v>
      </c>
      <c r="H184" s="122" t="s">
        <v>102</v>
      </c>
      <c r="I184" s="122" t="s">
        <v>749</v>
      </c>
      <c r="J184" s="122"/>
      <c r="K184" s="122" t="s">
        <v>53</v>
      </c>
      <c r="L184" s="122"/>
      <c r="M184" s="122"/>
      <c r="N184" s="122" t="s">
        <v>53</v>
      </c>
      <c r="O184" s="122" t="s">
        <v>62</v>
      </c>
      <c r="P184" s="145">
        <v>41631</v>
      </c>
      <c r="Q184" s="122" t="s">
        <v>1217</v>
      </c>
      <c r="R184" s="122" t="s">
        <v>303</v>
      </c>
      <c r="S184" s="122" t="s">
        <v>305</v>
      </c>
      <c r="T184" s="145">
        <v>45921</v>
      </c>
      <c r="U184" s="123">
        <v>3.306</v>
      </c>
      <c r="V184" s="148">
        <v>5290.6064730792496</v>
      </c>
      <c r="W184" s="123">
        <v>17490.744999999999</v>
      </c>
      <c r="X184" s="122"/>
      <c r="Y184" s="125">
        <v>5.0400000000000002E-3</v>
      </c>
      <c r="Z184" s="126">
        <v>6.4000000000000005E-4</v>
      </c>
      <c r="AA184" s="159"/>
    </row>
    <row r="185" spans="1:27" x14ac:dyDescent="0.2">
      <c r="A185" s="121" t="s">
        <v>1223</v>
      </c>
      <c r="B185" s="122" t="s">
        <v>1223</v>
      </c>
      <c r="C185" s="122" t="s">
        <v>2924</v>
      </c>
      <c r="D185" s="122"/>
      <c r="E185" s="122"/>
      <c r="F185" s="122" t="s">
        <v>2925</v>
      </c>
      <c r="G185" s="122" t="s">
        <v>2926</v>
      </c>
      <c r="H185" s="122" t="s">
        <v>102</v>
      </c>
      <c r="I185" s="122" t="s">
        <v>749</v>
      </c>
      <c r="J185" s="122"/>
      <c r="K185" s="122" t="s">
        <v>53</v>
      </c>
      <c r="L185" s="122"/>
      <c r="M185" s="122"/>
      <c r="N185" s="122" t="s">
        <v>317</v>
      </c>
      <c r="O185" s="122" t="s">
        <v>62</v>
      </c>
      <c r="P185" s="145">
        <v>44633</v>
      </c>
      <c r="Q185" s="122" t="s">
        <v>1217</v>
      </c>
      <c r="R185" s="122" t="s">
        <v>303</v>
      </c>
      <c r="S185" s="122" t="s">
        <v>305</v>
      </c>
      <c r="T185" s="145">
        <v>45896</v>
      </c>
      <c r="U185" s="123">
        <v>3.306</v>
      </c>
      <c r="V185" s="148">
        <v>4605.6805807622504</v>
      </c>
      <c r="W185" s="123">
        <v>15226.38</v>
      </c>
      <c r="X185" s="122"/>
      <c r="Y185" s="125">
        <v>4.3899999999999998E-3</v>
      </c>
      <c r="Z185" s="126">
        <v>5.5999999999999995E-4</v>
      </c>
      <c r="AA185" s="159"/>
    </row>
    <row r="186" spans="1:27" x14ac:dyDescent="0.2">
      <c r="A186" s="121" t="s">
        <v>1223</v>
      </c>
      <c r="B186" s="122" t="s">
        <v>1223</v>
      </c>
      <c r="C186" s="122" t="s">
        <v>2932</v>
      </c>
      <c r="D186" s="122"/>
      <c r="E186" s="122"/>
      <c r="F186" s="122" t="s">
        <v>2933</v>
      </c>
      <c r="G186" s="122" t="s">
        <v>2934</v>
      </c>
      <c r="H186" s="122" t="s">
        <v>102</v>
      </c>
      <c r="I186" s="122" t="s">
        <v>749</v>
      </c>
      <c r="J186" s="122"/>
      <c r="K186" s="122" t="s">
        <v>53</v>
      </c>
      <c r="L186" s="122"/>
      <c r="M186" s="122"/>
      <c r="N186" s="122" t="s">
        <v>314</v>
      </c>
      <c r="O186" s="122" t="s">
        <v>62</v>
      </c>
      <c r="P186" s="145">
        <v>44938</v>
      </c>
      <c r="Q186" s="122" t="s">
        <v>1217</v>
      </c>
      <c r="R186" s="122" t="s">
        <v>303</v>
      </c>
      <c r="S186" s="122" t="s">
        <v>305</v>
      </c>
      <c r="T186" s="145">
        <v>45917</v>
      </c>
      <c r="U186" s="123">
        <v>3.306</v>
      </c>
      <c r="V186" s="148">
        <v>4365.4470659407134</v>
      </c>
      <c r="W186" s="123">
        <v>14432.168</v>
      </c>
      <c r="X186" s="125">
        <v>1.1599999999999999E-2</v>
      </c>
      <c r="Y186" s="125">
        <v>4.1599999999999996E-3</v>
      </c>
      <c r="Z186" s="126">
        <v>5.2999999999999998E-4</v>
      </c>
      <c r="AA186" s="159"/>
    </row>
    <row r="187" spans="1:27" x14ac:dyDescent="0.2">
      <c r="A187" s="121" t="s">
        <v>1223</v>
      </c>
      <c r="B187" s="122" t="s">
        <v>1223</v>
      </c>
      <c r="C187" s="122" t="s">
        <v>2930</v>
      </c>
      <c r="D187" s="122"/>
      <c r="E187" s="122"/>
      <c r="F187" s="122" t="s">
        <v>2930</v>
      </c>
      <c r="G187" s="122" t="s">
        <v>2931</v>
      </c>
      <c r="H187" s="122" t="s">
        <v>102</v>
      </c>
      <c r="I187" s="122" t="s">
        <v>241</v>
      </c>
      <c r="J187" s="122"/>
      <c r="K187" s="122" t="s">
        <v>53</v>
      </c>
      <c r="L187" s="122"/>
      <c r="M187" s="122"/>
      <c r="N187" s="122" t="s">
        <v>53</v>
      </c>
      <c r="O187" s="122" t="s">
        <v>62</v>
      </c>
      <c r="P187" s="145">
        <v>44192</v>
      </c>
      <c r="Q187" s="122" t="s">
        <v>1216</v>
      </c>
      <c r="R187" s="122" t="s">
        <v>303</v>
      </c>
      <c r="S187" s="122" t="s">
        <v>305</v>
      </c>
      <c r="T187" s="145">
        <v>45894</v>
      </c>
      <c r="U187" s="123">
        <v>1</v>
      </c>
      <c r="V187" s="148">
        <v>14042.286</v>
      </c>
      <c r="W187" s="123">
        <v>14042.286</v>
      </c>
      <c r="X187" s="125">
        <v>3.8159999999999999E-2</v>
      </c>
      <c r="Y187" s="125">
        <v>4.0400000000000002E-3</v>
      </c>
      <c r="Z187" s="126">
        <v>5.1000000000000004E-4</v>
      </c>
      <c r="AA187" s="159"/>
    </row>
    <row r="188" spans="1:27" x14ac:dyDescent="0.2">
      <c r="A188" s="121" t="s">
        <v>1223</v>
      </c>
      <c r="B188" s="122" t="s">
        <v>1223</v>
      </c>
      <c r="C188" s="122" t="s">
        <v>2935</v>
      </c>
      <c r="D188" s="122"/>
      <c r="E188" s="122"/>
      <c r="F188" s="122" t="s">
        <v>2936</v>
      </c>
      <c r="G188" s="122" t="s">
        <v>2937</v>
      </c>
      <c r="H188" s="122" t="s">
        <v>102</v>
      </c>
      <c r="I188" s="122" t="s">
        <v>926</v>
      </c>
      <c r="J188" s="122"/>
      <c r="K188" s="122" t="s">
        <v>53</v>
      </c>
      <c r="L188" s="122"/>
      <c r="M188" s="122"/>
      <c r="N188" s="122" t="s">
        <v>314</v>
      </c>
      <c r="O188" s="122" t="s">
        <v>62</v>
      </c>
      <c r="P188" s="145">
        <v>44524</v>
      </c>
      <c r="Q188" s="122" t="s">
        <v>1217</v>
      </c>
      <c r="R188" s="122" t="s">
        <v>303</v>
      </c>
      <c r="S188" s="122" t="s">
        <v>305</v>
      </c>
      <c r="T188" s="145">
        <v>45875</v>
      </c>
      <c r="U188" s="123">
        <v>3.306</v>
      </c>
      <c r="V188" s="148">
        <v>3988.823049001815</v>
      </c>
      <c r="W188" s="123">
        <v>13187.049000000001</v>
      </c>
      <c r="X188" s="125">
        <v>5.049E-2</v>
      </c>
      <c r="Y188" s="125">
        <v>3.8E-3</v>
      </c>
      <c r="Z188" s="126">
        <v>4.8000000000000001E-4</v>
      </c>
      <c r="AA188" s="159"/>
    </row>
    <row r="189" spans="1:27" x14ac:dyDescent="0.2">
      <c r="A189" s="121" t="s">
        <v>1223</v>
      </c>
      <c r="B189" s="122" t="s">
        <v>1223</v>
      </c>
      <c r="C189" s="122" t="s">
        <v>2938</v>
      </c>
      <c r="D189" s="122"/>
      <c r="E189" s="122"/>
      <c r="F189" s="122" t="s">
        <v>2939</v>
      </c>
      <c r="G189" s="122" t="s">
        <v>2940</v>
      </c>
      <c r="H189" s="122" t="s">
        <v>102</v>
      </c>
      <c r="I189" s="122" t="s">
        <v>280</v>
      </c>
      <c r="J189" s="122"/>
      <c r="K189" s="122" t="s">
        <v>53</v>
      </c>
      <c r="L189" s="122"/>
      <c r="M189" s="122"/>
      <c r="N189" s="122" t="s">
        <v>53</v>
      </c>
      <c r="O189" s="122" t="s">
        <v>62</v>
      </c>
      <c r="P189" s="145">
        <v>43782</v>
      </c>
      <c r="Q189" s="122" t="s">
        <v>1216</v>
      </c>
      <c r="R189" s="122" t="s">
        <v>303</v>
      </c>
      <c r="S189" s="122" t="s">
        <v>305</v>
      </c>
      <c r="T189" s="145">
        <v>45893</v>
      </c>
      <c r="U189" s="123">
        <v>1</v>
      </c>
      <c r="V189" s="148">
        <v>12924.103999999999</v>
      </c>
      <c r="W189" s="123">
        <v>12924.103999999999</v>
      </c>
      <c r="X189" s="122"/>
      <c r="Y189" s="125">
        <v>3.7200000000000002E-3</v>
      </c>
      <c r="Z189" s="126">
        <v>4.6999999999999999E-4</v>
      </c>
      <c r="AA189" s="159"/>
    </row>
    <row r="190" spans="1:27" x14ac:dyDescent="0.2">
      <c r="A190" s="121" t="s">
        <v>1223</v>
      </c>
      <c r="B190" s="122" t="s">
        <v>1223</v>
      </c>
      <c r="C190" s="122" t="s">
        <v>2944</v>
      </c>
      <c r="D190" s="122"/>
      <c r="E190" s="122"/>
      <c r="F190" s="122" t="s">
        <v>2945</v>
      </c>
      <c r="G190" s="122" t="s">
        <v>2946</v>
      </c>
      <c r="H190" s="122" t="s">
        <v>102</v>
      </c>
      <c r="I190" s="122" t="s">
        <v>926</v>
      </c>
      <c r="J190" s="122"/>
      <c r="K190" s="122" t="s">
        <v>53</v>
      </c>
      <c r="L190" s="122"/>
      <c r="M190" s="122"/>
      <c r="N190" s="122" t="s">
        <v>53</v>
      </c>
      <c r="O190" s="122" t="s">
        <v>62</v>
      </c>
      <c r="P190" s="145">
        <v>43194</v>
      </c>
      <c r="Q190" s="122" t="s">
        <v>1217</v>
      </c>
      <c r="R190" s="122" t="s">
        <v>303</v>
      </c>
      <c r="S190" s="122" t="s">
        <v>305</v>
      </c>
      <c r="T190" s="145">
        <v>45889</v>
      </c>
      <c r="U190" s="123">
        <v>3.306</v>
      </c>
      <c r="V190" s="148">
        <v>3502.0511191772539</v>
      </c>
      <c r="W190" s="123">
        <v>11577.781000000001</v>
      </c>
      <c r="X190" s="125">
        <v>2.5649999999999999E-2</v>
      </c>
      <c r="Y190" s="125">
        <v>3.3300000000000001E-3</v>
      </c>
      <c r="Z190" s="126">
        <v>4.2000000000000002E-4</v>
      </c>
      <c r="AA190" s="159"/>
    </row>
    <row r="191" spans="1:27" x14ac:dyDescent="0.2">
      <c r="A191" s="121" t="s">
        <v>1223</v>
      </c>
      <c r="B191" s="122" t="s">
        <v>1223</v>
      </c>
      <c r="C191" s="122" t="s">
        <v>2941</v>
      </c>
      <c r="D191" s="122"/>
      <c r="E191" s="122"/>
      <c r="F191" s="122" t="s">
        <v>2942</v>
      </c>
      <c r="G191" s="122" t="s">
        <v>2943</v>
      </c>
      <c r="H191" s="122" t="s">
        <v>102</v>
      </c>
      <c r="I191" s="122" t="s">
        <v>926</v>
      </c>
      <c r="J191" s="122"/>
      <c r="K191" s="122" t="s">
        <v>53</v>
      </c>
      <c r="L191" s="122"/>
      <c r="M191" s="122"/>
      <c r="N191" s="122" t="s">
        <v>53</v>
      </c>
      <c r="O191" s="122" t="s">
        <v>62</v>
      </c>
      <c r="P191" s="145">
        <v>44143</v>
      </c>
      <c r="Q191" s="122" t="s">
        <v>1217</v>
      </c>
      <c r="R191" s="122" t="s">
        <v>303</v>
      </c>
      <c r="S191" s="122" t="s">
        <v>305</v>
      </c>
      <c r="T191" s="145">
        <v>45929</v>
      </c>
      <c r="U191" s="123">
        <v>3.306</v>
      </c>
      <c r="V191" s="148">
        <v>3458.4721718088326</v>
      </c>
      <c r="W191" s="123">
        <v>11433.709000000001</v>
      </c>
      <c r="X191" s="125">
        <v>1.1650000000000001E-2</v>
      </c>
      <c r="Y191" s="125">
        <v>3.29E-3</v>
      </c>
      <c r="Z191" s="126">
        <v>4.2000000000000002E-4</v>
      </c>
      <c r="AA191" s="159"/>
    </row>
    <row r="192" spans="1:27" x14ac:dyDescent="0.2">
      <c r="A192" s="121" t="s">
        <v>1223</v>
      </c>
      <c r="B192" s="122" t="s">
        <v>1223</v>
      </c>
      <c r="C192" s="122" t="s">
        <v>2947</v>
      </c>
      <c r="D192" s="122"/>
      <c r="E192" s="122"/>
      <c r="F192" s="122" t="s">
        <v>2948</v>
      </c>
      <c r="G192" s="122" t="s">
        <v>2949</v>
      </c>
      <c r="H192" s="122" t="s">
        <v>102</v>
      </c>
      <c r="I192" s="122" t="s">
        <v>749</v>
      </c>
      <c r="J192" s="122"/>
      <c r="K192" s="122" t="s">
        <v>53</v>
      </c>
      <c r="L192" s="122"/>
      <c r="M192" s="122"/>
      <c r="N192" s="122" t="s">
        <v>109</v>
      </c>
      <c r="O192" s="122" t="s">
        <v>62</v>
      </c>
      <c r="P192" s="145">
        <v>43116</v>
      </c>
      <c r="Q192" s="122" t="s">
        <v>1217</v>
      </c>
      <c r="R192" s="122" t="s">
        <v>303</v>
      </c>
      <c r="S192" s="122" t="s">
        <v>305</v>
      </c>
      <c r="T192" s="145">
        <v>45903</v>
      </c>
      <c r="U192" s="123">
        <v>3.306</v>
      </c>
      <c r="V192" s="148">
        <v>2789.8514821536601</v>
      </c>
      <c r="W192" s="123">
        <v>9223.2489999999998</v>
      </c>
      <c r="X192" s="122"/>
      <c r="Y192" s="125">
        <v>2.66E-3</v>
      </c>
      <c r="Z192" s="126">
        <v>3.4000000000000002E-4</v>
      </c>
      <c r="AA192" s="159"/>
    </row>
    <row r="193" spans="1:27" x14ac:dyDescent="0.2">
      <c r="A193" s="121" t="s">
        <v>1223</v>
      </c>
      <c r="B193" s="122" t="s">
        <v>1223</v>
      </c>
      <c r="C193" s="122" t="s">
        <v>2950</v>
      </c>
      <c r="D193" s="122"/>
      <c r="E193" s="122"/>
      <c r="F193" s="122" t="s">
        <v>2951</v>
      </c>
      <c r="G193" s="122" t="s">
        <v>2952</v>
      </c>
      <c r="H193" s="122" t="s">
        <v>102</v>
      </c>
      <c r="I193" s="122" t="s">
        <v>926</v>
      </c>
      <c r="J193" s="122"/>
      <c r="K193" s="122" t="s">
        <v>53</v>
      </c>
      <c r="L193" s="122"/>
      <c r="M193" s="122"/>
      <c r="N193" s="122" t="s">
        <v>53</v>
      </c>
      <c r="O193" s="122" t="s">
        <v>62</v>
      </c>
      <c r="P193" s="145">
        <v>41673</v>
      </c>
      <c r="Q193" s="122" t="s">
        <v>1217</v>
      </c>
      <c r="R193" s="122" t="s">
        <v>303</v>
      </c>
      <c r="S193" s="122" t="s">
        <v>305</v>
      </c>
      <c r="T193" s="145">
        <v>45882</v>
      </c>
      <c r="U193" s="123">
        <v>3.306</v>
      </c>
      <c r="V193" s="148">
        <v>2742.8542044767091</v>
      </c>
      <c r="W193" s="123">
        <v>9067.8760000000002</v>
      </c>
      <c r="X193" s="122"/>
      <c r="Y193" s="125">
        <v>2.6099999999999999E-3</v>
      </c>
      <c r="Z193" s="126">
        <v>3.3E-4</v>
      </c>
      <c r="AA193" s="159"/>
    </row>
    <row r="194" spans="1:27" x14ac:dyDescent="0.2">
      <c r="A194" s="121" t="s">
        <v>1223</v>
      </c>
      <c r="B194" s="122" t="s">
        <v>1223</v>
      </c>
      <c r="C194" s="122" t="s">
        <v>2857</v>
      </c>
      <c r="D194" s="122"/>
      <c r="E194" s="122"/>
      <c r="F194" s="122" t="s">
        <v>2959</v>
      </c>
      <c r="G194" s="122" t="s">
        <v>2960</v>
      </c>
      <c r="H194" s="122" t="s">
        <v>102</v>
      </c>
      <c r="I194" s="122" t="s">
        <v>241</v>
      </c>
      <c r="J194" s="122"/>
      <c r="K194" s="122" t="s">
        <v>53</v>
      </c>
      <c r="L194" s="122"/>
      <c r="M194" s="122"/>
      <c r="N194" s="122" t="s">
        <v>53</v>
      </c>
      <c r="O194" s="122" t="s">
        <v>62</v>
      </c>
      <c r="P194" s="145">
        <v>45250</v>
      </c>
      <c r="Q194" s="122" t="s">
        <v>1216</v>
      </c>
      <c r="R194" s="122" t="s">
        <v>303</v>
      </c>
      <c r="S194" s="122" t="s">
        <v>305</v>
      </c>
      <c r="T194" s="145">
        <v>45900</v>
      </c>
      <c r="U194" s="123">
        <v>1</v>
      </c>
      <c r="V194" s="148">
        <v>7848.9560000000001</v>
      </c>
      <c r="W194" s="123">
        <v>7848.9560000000001</v>
      </c>
      <c r="X194" s="125">
        <v>5.1999999999999998E-3</v>
      </c>
      <c r="Y194" s="125">
        <v>2.2599999999999999E-3</v>
      </c>
      <c r="Z194" s="126">
        <v>2.9E-4</v>
      </c>
      <c r="AA194" s="159"/>
    </row>
    <row r="195" spans="1:27" x14ac:dyDescent="0.2">
      <c r="A195" s="121" t="s">
        <v>1223</v>
      </c>
      <c r="B195" s="122" t="s">
        <v>1223</v>
      </c>
      <c r="C195" s="122" t="s">
        <v>2956</v>
      </c>
      <c r="D195" s="122"/>
      <c r="E195" s="122"/>
      <c r="F195" s="122" t="s">
        <v>2957</v>
      </c>
      <c r="G195" s="122" t="s">
        <v>2958</v>
      </c>
      <c r="H195" s="122" t="s">
        <v>102</v>
      </c>
      <c r="I195" s="122" t="s">
        <v>242</v>
      </c>
      <c r="J195" s="122"/>
      <c r="K195" s="122" t="s">
        <v>53</v>
      </c>
      <c r="L195" s="122"/>
      <c r="M195" s="122"/>
      <c r="N195" s="122" t="s">
        <v>53</v>
      </c>
      <c r="O195" s="122" t="s">
        <v>62</v>
      </c>
      <c r="P195" s="145">
        <v>43398</v>
      </c>
      <c r="Q195" s="122" t="s">
        <v>1216</v>
      </c>
      <c r="R195" s="122" t="s">
        <v>303</v>
      </c>
      <c r="S195" s="122" t="s">
        <v>305</v>
      </c>
      <c r="T195" s="145">
        <v>45893</v>
      </c>
      <c r="U195" s="123">
        <v>1</v>
      </c>
      <c r="V195" s="148">
        <v>7692.7790000000005</v>
      </c>
      <c r="W195" s="123">
        <v>7692.7790000000005</v>
      </c>
      <c r="X195" s="122"/>
      <c r="Y195" s="125">
        <v>2.2200000000000002E-3</v>
      </c>
      <c r="Z195" s="126">
        <v>2.7999999999999998E-4</v>
      </c>
      <c r="AA195" s="159"/>
    </row>
    <row r="196" spans="1:27" x14ac:dyDescent="0.2">
      <c r="A196" s="121" t="s">
        <v>1223</v>
      </c>
      <c r="B196" s="122" t="s">
        <v>1223</v>
      </c>
      <c r="C196" s="122" t="s">
        <v>2953</v>
      </c>
      <c r="D196" s="122"/>
      <c r="E196" s="122"/>
      <c r="F196" s="122" t="s">
        <v>2954</v>
      </c>
      <c r="G196" s="122" t="s">
        <v>2955</v>
      </c>
      <c r="H196" s="122" t="s">
        <v>102</v>
      </c>
      <c r="I196" s="122" t="s">
        <v>926</v>
      </c>
      <c r="J196" s="122"/>
      <c r="K196" s="122" t="s">
        <v>53</v>
      </c>
      <c r="L196" s="122"/>
      <c r="M196" s="122"/>
      <c r="N196" s="122" t="s">
        <v>53</v>
      </c>
      <c r="O196" s="122" t="s">
        <v>62</v>
      </c>
      <c r="P196" s="145">
        <v>45504</v>
      </c>
      <c r="Q196" s="122" t="s">
        <v>1217</v>
      </c>
      <c r="R196" s="122" t="s">
        <v>303</v>
      </c>
      <c r="S196" s="122" t="s">
        <v>305</v>
      </c>
      <c r="T196" s="145">
        <v>45897</v>
      </c>
      <c r="U196" s="123">
        <v>3.306</v>
      </c>
      <c r="V196" s="148">
        <v>2261.5505142165757</v>
      </c>
      <c r="W196" s="123">
        <v>7476.6859999999997</v>
      </c>
      <c r="X196" s="122"/>
      <c r="Y196" s="125">
        <v>2.15E-3</v>
      </c>
      <c r="Z196" s="126">
        <v>2.7E-4</v>
      </c>
      <c r="AA196" s="159"/>
    </row>
    <row r="197" spans="1:27" x14ac:dyDescent="0.2">
      <c r="A197" s="121" t="s">
        <v>1223</v>
      </c>
      <c r="B197" s="122" t="s">
        <v>1223</v>
      </c>
      <c r="C197" s="122" t="s">
        <v>2961</v>
      </c>
      <c r="D197" s="122"/>
      <c r="E197" s="122"/>
      <c r="F197" s="122" t="s">
        <v>2962</v>
      </c>
      <c r="G197" s="122" t="s">
        <v>2963</v>
      </c>
      <c r="H197" s="122" t="s">
        <v>102</v>
      </c>
      <c r="I197" s="122" t="s">
        <v>749</v>
      </c>
      <c r="J197" s="122"/>
      <c r="K197" s="122" t="s">
        <v>53</v>
      </c>
      <c r="L197" s="122"/>
      <c r="M197" s="122"/>
      <c r="N197" s="122" t="s">
        <v>53</v>
      </c>
      <c r="O197" s="122" t="s">
        <v>62</v>
      </c>
      <c r="P197" s="145">
        <v>41148</v>
      </c>
      <c r="Q197" s="122" t="s">
        <v>1217</v>
      </c>
      <c r="R197" s="122" t="s">
        <v>303</v>
      </c>
      <c r="S197" s="122" t="s">
        <v>305</v>
      </c>
      <c r="T197" s="145">
        <v>45882</v>
      </c>
      <c r="U197" s="123">
        <v>3.306</v>
      </c>
      <c r="V197" s="148">
        <v>2109.9736842105262</v>
      </c>
      <c r="W197" s="123">
        <v>6975.5730000000003</v>
      </c>
      <c r="X197" s="122"/>
      <c r="Y197" s="125">
        <v>2.0100000000000001E-3</v>
      </c>
      <c r="Z197" s="126">
        <v>2.5999999999999998E-4</v>
      </c>
      <c r="AA197" s="159"/>
    </row>
    <row r="198" spans="1:27" x14ac:dyDescent="0.2">
      <c r="A198" s="121" t="s">
        <v>1223</v>
      </c>
      <c r="B198" s="122" t="s">
        <v>1223</v>
      </c>
      <c r="C198" s="122" t="s">
        <v>2964</v>
      </c>
      <c r="D198" s="122"/>
      <c r="E198" s="122"/>
      <c r="F198" s="122" t="s">
        <v>2965</v>
      </c>
      <c r="G198" s="122" t="s">
        <v>2966</v>
      </c>
      <c r="H198" s="122" t="s">
        <v>102</v>
      </c>
      <c r="I198" s="122" t="s">
        <v>749</v>
      </c>
      <c r="J198" s="122"/>
      <c r="K198" s="122" t="s">
        <v>53</v>
      </c>
      <c r="L198" s="122"/>
      <c r="M198" s="122"/>
      <c r="N198" s="122" t="s">
        <v>109</v>
      </c>
      <c r="O198" s="122" t="s">
        <v>62</v>
      </c>
      <c r="P198" s="145">
        <v>44560</v>
      </c>
      <c r="Q198" s="122" t="s">
        <v>1217</v>
      </c>
      <c r="R198" s="122" t="s">
        <v>303</v>
      </c>
      <c r="S198" s="122" t="s">
        <v>305</v>
      </c>
      <c r="T198" s="145">
        <v>45903</v>
      </c>
      <c r="U198" s="123">
        <v>3.306</v>
      </c>
      <c r="V198" s="148">
        <v>1343.7592256503326</v>
      </c>
      <c r="W198" s="123">
        <v>4442.4679999999998</v>
      </c>
      <c r="X198" s="122"/>
      <c r="Y198" s="125">
        <v>1.2800000000000001E-3</v>
      </c>
      <c r="Z198" s="126">
        <v>1.6000000000000001E-4</v>
      </c>
      <c r="AA198" s="159"/>
    </row>
    <row r="199" spans="1:27" x14ac:dyDescent="0.2">
      <c r="A199" s="121" t="s">
        <v>1223</v>
      </c>
      <c r="B199" s="122" t="s">
        <v>1223</v>
      </c>
      <c r="C199" s="122" t="s">
        <v>2967</v>
      </c>
      <c r="D199" s="122"/>
      <c r="E199" s="122"/>
      <c r="F199" s="122" t="s">
        <v>2913</v>
      </c>
      <c r="G199" s="122" t="s">
        <v>2968</v>
      </c>
      <c r="H199" s="122" t="s">
        <v>102</v>
      </c>
      <c r="I199" s="122" t="s">
        <v>280</v>
      </c>
      <c r="J199" s="122"/>
      <c r="K199" s="122" t="s">
        <v>53</v>
      </c>
      <c r="L199" s="122"/>
      <c r="M199" s="122"/>
      <c r="N199" s="122" t="s">
        <v>53</v>
      </c>
      <c r="O199" s="122" t="s">
        <v>62</v>
      </c>
      <c r="P199" s="145">
        <v>42572</v>
      </c>
      <c r="Q199" s="122" t="s">
        <v>1216</v>
      </c>
      <c r="R199" s="122" t="s">
        <v>303</v>
      </c>
      <c r="S199" s="122" t="s">
        <v>305</v>
      </c>
      <c r="T199" s="145">
        <v>45900</v>
      </c>
      <c r="U199" s="123">
        <v>1</v>
      </c>
      <c r="V199" s="148">
        <v>4370.6270000000004</v>
      </c>
      <c r="W199" s="123">
        <v>4370.6270000000004</v>
      </c>
      <c r="X199" s="122"/>
      <c r="Y199" s="125">
        <v>1.2600000000000001E-3</v>
      </c>
      <c r="Z199" s="126">
        <v>1.6000000000000001E-4</v>
      </c>
      <c r="AA199" s="159"/>
    </row>
    <row r="200" spans="1:27" x14ac:dyDescent="0.2">
      <c r="A200" s="121" t="s">
        <v>1223</v>
      </c>
      <c r="B200" s="122" t="s">
        <v>1223</v>
      </c>
      <c r="C200" s="122" t="s">
        <v>2971</v>
      </c>
      <c r="D200" s="122"/>
      <c r="E200" s="122"/>
      <c r="F200" s="122" t="s">
        <v>2972</v>
      </c>
      <c r="G200" s="122" t="s">
        <v>2973</v>
      </c>
      <c r="H200" s="122" t="s">
        <v>102</v>
      </c>
      <c r="I200" s="122" t="s">
        <v>280</v>
      </c>
      <c r="J200" s="122"/>
      <c r="K200" s="122" t="s">
        <v>53</v>
      </c>
      <c r="L200" s="122"/>
      <c r="M200" s="122"/>
      <c r="N200" s="122" t="s">
        <v>53</v>
      </c>
      <c r="O200" s="122" t="s">
        <v>62</v>
      </c>
      <c r="P200" s="145">
        <v>42982</v>
      </c>
      <c r="Q200" s="122" t="s">
        <v>1216</v>
      </c>
      <c r="R200" s="122" t="s">
        <v>303</v>
      </c>
      <c r="S200" s="122" t="s">
        <v>305</v>
      </c>
      <c r="T200" s="145">
        <v>45900</v>
      </c>
      <c r="U200" s="123">
        <v>1</v>
      </c>
      <c r="V200" s="148">
        <v>3752.4960000000001</v>
      </c>
      <c r="W200" s="123">
        <v>3752.4960000000001</v>
      </c>
      <c r="X200" s="122"/>
      <c r="Y200" s="125">
        <v>1.08E-3</v>
      </c>
      <c r="Z200" s="126">
        <v>1.3999999999999999E-4</v>
      </c>
      <c r="AA200" s="159"/>
    </row>
    <row r="201" spans="1:27" x14ac:dyDescent="0.2">
      <c r="A201" s="121" t="s">
        <v>1223</v>
      </c>
      <c r="B201" s="122" t="s">
        <v>1223</v>
      </c>
      <c r="C201" s="122" t="s">
        <v>2969</v>
      </c>
      <c r="D201" s="122"/>
      <c r="E201" s="122"/>
      <c r="F201" s="122" t="s">
        <v>2969</v>
      </c>
      <c r="G201" s="122" t="s">
        <v>2970</v>
      </c>
      <c r="H201" s="122" t="s">
        <v>102</v>
      </c>
      <c r="I201" s="122" t="s">
        <v>242</v>
      </c>
      <c r="J201" s="122"/>
      <c r="K201" s="122" t="s">
        <v>53</v>
      </c>
      <c r="L201" s="122"/>
      <c r="M201" s="122"/>
      <c r="N201" s="122" t="s">
        <v>53</v>
      </c>
      <c r="O201" s="122" t="s">
        <v>62</v>
      </c>
      <c r="P201" s="145">
        <v>45576</v>
      </c>
      <c r="Q201" s="122" t="s">
        <v>1216</v>
      </c>
      <c r="R201" s="122" t="s">
        <v>303</v>
      </c>
      <c r="S201" s="122" t="s">
        <v>305</v>
      </c>
      <c r="T201" s="145">
        <v>45883</v>
      </c>
      <c r="U201" s="123">
        <v>1</v>
      </c>
      <c r="V201" s="148">
        <v>3566.9409999999998</v>
      </c>
      <c r="W201" s="123">
        <v>3566.9409999999998</v>
      </c>
      <c r="X201" s="125">
        <v>1.31E-3</v>
      </c>
      <c r="Y201" s="125">
        <v>1.0300000000000001E-3</v>
      </c>
      <c r="Z201" s="126">
        <v>1.2999999999999999E-4</v>
      </c>
      <c r="AA201" s="159"/>
    </row>
    <row r="202" spans="1:27" x14ac:dyDescent="0.2">
      <c r="A202" s="121" t="s">
        <v>1223</v>
      </c>
      <c r="B202" s="122" t="s">
        <v>1223</v>
      </c>
      <c r="C202" s="122" t="s">
        <v>2974</v>
      </c>
      <c r="D202" s="122"/>
      <c r="E202" s="122"/>
      <c r="F202" s="122" t="s">
        <v>2975</v>
      </c>
      <c r="G202" s="122" t="s">
        <v>2976</v>
      </c>
      <c r="H202" s="122" t="s">
        <v>102</v>
      </c>
      <c r="I202" s="122" t="s">
        <v>281</v>
      </c>
      <c r="J202" s="122"/>
      <c r="K202" s="122" t="s">
        <v>53</v>
      </c>
      <c r="L202" s="122"/>
      <c r="M202" s="122"/>
      <c r="N202" s="122" t="s">
        <v>53</v>
      </c>
      <c r="O202" s="122" t="s">
        <v>62</v>
      </c>
      <c r="P202" s="145">
        <v>45809</v>
      </c>
      <c r="Q202" s="122" t="s">
        <v>1217</v>
      </c>
      <c r="R202" s="122" t="s">
        <v>303</v>
      </c>
      <c r="S202" s="122" t="s">
        <v>305</v>
      </c>
      <c r="T202" s="145">
        <v>45925</v>
      </c>
      <c r="U202" s="123">
        <v>3.306</v>
      </c>
      <c r="V202" s="148">
        <v>645.88384754990921</v>
      </c>
      <c r="W202" s="123">
        <v>2135.2919999999999</v>
      </c>
      <c r="X202" s="125">
        <v>2.9250000000000002E-2</v>
      </c>
      <c r="Y202" s="125">
        <v>6.2E-4</v>
      </c>
      <c r="Z202" s="126">
        <v>8.0000000000000007E-5</v>
      </c>
      <c r="AA202" s="159"/>
    </row>
    <row r="203" spans="1:27" x14ac:dyDescent="0.2">
      <c r="A203" s="121" t="s">
        <v>1223</v>
      </c>
      <c r="B203" s="122" t="s">
        <v>1223</v>
      </c>
      <c r="C203" s="122" t="s">
        <v>2977</v>
      </c>
      <c r="D203" s="122"/>
      <c r="E203" s="122"/>
      <c r="F203" s="122" t="s">
        <v>2978</v>
      </c>
      <c r="G203" s="122" t="s">
        <v>2979</v>
      </c>
      <c r="H203" s="122" t="s">
        <v>102</v>
      </c>
      <c r="I203" s="122" t="s">
        <v>280</v>
      </c>
      <c r="J203" s="122"/>
      <c r="K203" s="122" t="s">
        <v>53</v>
      </c>
      <c r="L203" s="122"/>
      <c r="M203" s="122"/>
      <c r="N203" s="122" t="s">
        <v>53</v>
      </c>
      <c r="O203" s="122" t="s">
        <v>62</v>
      </c>
      <c r="P203" s="145">
        <v>42753</v>
      </c>
      <c r="Q203" s="122" t="s">
        <v>1216</v>
      </c>
      <c r="R203" s="122" t="s">
        <v>303</v>
      </c>
      <c r="S203" s="122" t="s">
        <v>305</v>
      </c>
      <c r="T203" s="145">
        <v>45910</v>
      </c>
      <c r="U203" s="123">
        <v>1</v>
      </c>
      <c r="V203" s="148">
        <v>2013.894</v>
      </c>
      <c r="W203" s="123">
        <v>2013.894</v>
      </c>
      <c r="X203" s="122"/>
      <c r="Y203" s="125">
        <v>5.8E-4</v>
      </c>
      <c r="Z203" s="126">
        <v>6.9999999999999994E-5</v>
      </c>
      <c r="AA203" s="159"/>
    </row>
    <row r="204" spans="1:27" x14ac:dyDescent="0.2">
      <c r="A204" s="121" t="s">
        <v>1223</v>
      </c>
      <c r="B204" s="122" t="s">
        <v>1223</v>
      </c>
      <c r="C204" s="122" t="s">
        <v>2980</v>
      </c>
      <c r="D204" s="122"/>
      <c r="E204" s="122"/>
      <c r="F204" s="122" t="s">
        <v>2981</v>
      </c>
      <c r="G204" s="122" t="s">
        <v>2982</v>
      </c>
      <c r="H204" s="122" t="s">
        <v>102</v>
      </c>
      <c r="I204" s="122" t="s">
        <v>926</v>
      </c>
      <c r="J204" s="122"/>
      <c r="K204" s="122" t="s">
        <v>53</v>
      </c>
      <c r="L204" s="122"/>
      <c r="M204" s="122"/>
      <c r="N204" s="122" t="s">
        <v>53</v>
      </c>
      <c r="O204" s="122" t="s">
        <v>62</v>
      </c>
      <c r="P204" s="145">
        <v>45830</v>
      </c>
      <c r="Q204" s="122" t="s">
        <v>1217</v>
      </c>
      <c r="R204" s="122" t="s">
        <v>303</v>
      </c>
      <c r="S204" s="122" t="s">
        <v>305</v>
      </c>
      <c r="T204" s="145">
        <v>45909</v>
      </c>
      <c r="U204" s="123">
        <v>3.306</v>
      </c>
      <c r="V204" s="148">
        <v>570.05535390199634</v>
      </c>
      <c r="W204" s="123">
        <v>1884.6030000000001</v>
      </c>
      <c r="X204" s="125">
        <v>2.99E-3</v>
      </c>
      <c r="Y204" s="125">
        <v>5.4000000000000001E-4</v>
      </c>
      <c r="Z204" s="126">
        <v>6.9999999999999994E-5</v>
      </c>
      <c r="AA204" s="159"/>
    </row>
    <row r="205" spans="1:27" x14ac:dyDescent="0.2">
      <c r="A205" s="121" t="s">
        <v>1223</v>
      </c>
      <c r="B205" s="122" t="s">
        <v>1223</v>
      </c>
      <c r="C205" s="122" t="s">
        <v>3269</v>
      </c>
      <c r="D205" s="122"/>
      <c r="E205" s="122"/>
      <c r="F205" s="122" t="s">
        <v>3270</v>
      </c>
      <c r="G205" s="122" t="s">
        <v>3271</v>
      </c>
      <c r="H205" s="122" t="s">
        <v>102</v>
      </c>
      <c r="I205" s="122" t="s">
        <v>242</v>
      </c>
      <c r="J205" s="122"/>
      <c r="K205" s="122" t="s">
        <v>53</v>
      </c>
      <c r="L205" s="122"/>
      <c r="M205" s="122"/>
      <c r="N205" s="122" t="s">
        <v>53</v>
      </c>
      <c r="O205" s="122" t="s">
        <v>62</v>
      </c>
      <c r="P205" s="145">
        <v>40785</v>
      </c>
      <c r="Q205" s="122" t="s">
        <v>1217</v>
      </c>
      <c r="R205" s="122" t="s">
        <v>303</v>
      </c>
      <c r="S205" s="122" t="s">
        <v>305</v>
      </c>
      <c r="T205" s="145">
        <v>45895</v>
      </c>
      <c r="U205" s="123">
        <v>3.306</v>
      </c>
      <c r="V205" s="148">
        <v>245.96218995765273</v>
      </c>
      <c r="W205" s="123">
        <v>813.15099999999995</v>
      </c>
      <c r="X205" s="122"/>
      <c r="Y205" s="125">
        <v>2.3000000000000001E-4</v>
      </c>
      <c r="Z205" s="126">
        <v>3.0000000000000001E-5</v>
      </c>
      <c r="AA205" s="159"/>
    </row>
    <row r="206" spans="1:27" x14ac:dyDescent="0.2">
      <c r="A206" s="121" t="s">
        <v>1223</v>
      </c>
      <c r="B206" s="122" t="s">
        <v>1223</v>
      </c>
      <c r="C206" s="122" t="s">
        <v>2983</v>
      </c>
      <c r="D206" s="122"/>
      <c r="E206" s="122"/>
      <c r="F206" s="122" t="s">
        <v>2984</v>
      </c>
      <c r="G206" s="122" t="s">
        <v>2985</v>
      </c>
      <c r="H206" s="122" t="s">
        <v>102</v>
      </c>
      <c r="I206" s="122" t="s">
        <v>926</v>
      </c>
      <c r="J206" s="122"/>
      <c r="K206" s="122" t="s">
        <v>53</v>
      </c>
      <c r="L206" s="122"/>
      <c r="M206" s="122"/>
      <c r="N206" s="122" t="s">
        <v>53</v>
      </c>
      <c r="O206" s="122" t="s">
        <v>62</v>
      </c>
      <c r="P206" s="145">
        <v>45757</v>
      </c>
      <c r="Q206" s="122" t="s">
        <v>1217</v>
      </c>
      <c r="R206" s="122" t="s">
        <v>303</v>
      </c>
      <c r="S206" s="122" t="s">
        <v>305</v>
      </c>
      <c r="T206" s="145">
        <v>45918</v>
      </c>
      <c r="U206" s="123">
        <v>3.306</v>
      </c>
      <c r="V206" s="148">
        <v>187.37507562008469</v>
      </c>
      <c r="W206" s="123">
        <v>619.46199999999999</v>
      </c>
      <c r="X206" s="125">
        <v>3.0300000000000001E-3</v>
      </c>
      <c r="Y206" s="125">
        <v>1.8000000000000001E-4</v>
      </c>
      <c r="Z206" s="126">
        <v>2.0000000000000002E-5</v>
      </c>
      <c r="AA206" s="159"/>
    </row>
    <row r="207" spans="1:27" x14ac:dyDescent="0.2">
      <c r="A207" s="121" t="s">
        <v>1223</v>
      </c>
      <c r="B207" s="122" t="s">
        <v>1223</v>
      </c>
      <c r="C207" s="122" t="s">
        <v>2964</v>
      </c>
      <c r="D207" s="122"/>
      <c r="E207" s="122"/>
      <c r="F207" s="122" t="s">
        <v>2986</v>
      </c>
      <c r="G207" s="122" t="s">
        <v>2987</v>
      </c>
      <c r="H207" s="122" t="s">
        <v>102</v>
      </c>
      <c r="I207" s="122" t="s">
        <v>749</v>
      </c>
      <c r="J207" s="122"/>
      <c r="K207" s="122" t="s">
        <v>53</v>
      </c>
      <c r="L207" s="122"/>
      <c r="M207" s="122"/>
      <c r="N207" s="122" t="s">
        <v>109</v>
      </c>
      <c r="O207" s="122" t="s">
        <v>62</v>
      </c>
      <c r="P207" s="145">
        <v>44560</v>
      </c>
      <c r="Q207" s="122" t="s">
        <v>1217</v>
      </c>
      <c r="R207" s="122" t="s">
        <v>303</v>
      </c>
      <c r="S207" s="122" t="s">
        <v>305</v>
      </c>
      <c r="T207" s="145">
        <v>45895</v>
      </c>
      <c r="U207" s="123">
        <v>3.306</v>
      </c>
      <c r="V207" s="148">
        <v>134.54900181488205</v>
      </c>
      <c r="W207" s="123">
        <v>444.81900000000002</v>
      </c>
      <c r="X207" s="125">
        <v>1.1999999999999999E-3</v>
      </c>
      <c r="Y207" s="125">
        <v>1.2999999999999999E-4</v>
      </c>
      <c r="Z207" s="126">
        <v>2.0000000000000002E-5</v>
      </c>
      <c r="AA207" s="159"/>
    </row>
    <row r="208" spans="1:27" x14ac:dyDescent="0.2">
      <c r="A208" s="121" t="s">
        <v>1223</v>
      </c>
      <c r="B208" s="122" t="s">
        <v>1223</v>
      </c>
      <c r="C208" s="122" t="s">
        <v>2889</v>
      </c>
      <c r="D208" s="122"/>
      <c r="E208" s="122"/>
      <c r="F208" s="122" t="s">
        <v>2988</v>
      </c>
      <c r="G208" s="122" t="s">
        <v>2989</v>
      </c>
      <c r="H208" s="122" t="s">
        <v>102</v>
      </c>
      <c r="I208" s="122" t="s">
        <v>926</v>
      </c>
      <c r="J208" s="122"/>
      <c r="K208" s="122" t="s">
        <v>53</v>
      </c>
      <c r="L208" s="122"/>
      <c r="M208" s="122"/>
      <c r="N208" s="122" t="s">
        <v>53</v>
      </c>
      <c r="O208" s="122" t="s">
        <v>62</v>
      </c>
      <c r="P208" s="145">
        <v>43642</v>
      </c>
      <c r="Q208" s="122" t="s">
        <v>1217</v>
      </c>
      <c r="R208" s="122" t="s">
        <v>303</v>
      </c>
      <c r="S208" s="122" t="s">
        <v>305</v>
      </c>
      <c r="T208" s="145">
        <v>45897</v>
      </c>
      <c r="U208" s="123">
        <v>3.306</v>
      </c>
      <c r="V208" s="148">
        <v>53.75710828796128</v>
      </c>
      <c r="W208" s="123">
        <v>177.721</v>
      </c>
      <c r="X208" s="122"/>
      <c r="Y208" s="125">
        <v>5.0000000000000002E-5</v>
      </c>
      <c r="Z208" s="126">
        <v>1.0000000000000001E-5</v>
      </c>
      <c r="AA208" s="159"/>
    </row>
    <row r="209" spans="1:27" x14ac:dyDescent="0.2">
      <c r="A209" s="121" t="s">
        <v>1223</v>
      </c>
      <c r="B209" s="122" t="s">
        <v>1223</v>
      </c>
      <c r="C209" s="122" t="s">
        <v>102</v>
      </c>
      <c r="D209" s="122"/>
      <c r="E209" s="122"/>
      <c r="F209" s="122" t="s">
        <v>2990</v>
      </c>
      <c r="G209" s="122" t="s">
        <v>2991</v>
      </c>
      <c r="H209" s="122" t="s">
        <v>102</v>
      </c>
      <c r="I209" s="122" t="s">
        <v>926</v>
      </c>
      <c r="J209" s="122"/>
      <c r="K209" s="122" t="s">
        <v>53</v>
      </c>
      <c r="L209" s="122"/>
      <c r="M209" s="122"/>
      <c r="N209" s="122" t="s">
        <v>314</v>
      </c>
      <c r="O209" s="122" t="s">
        <v>62</v>
      </c>
      <c r="P209" s="145">
        <v>39387</v>
      </c>
      <c r="Q209" s="122" t="s">
        <v>1217</v>
      </c>
      <c r="R209" s="122" t="s">
        <v>303</v>
      </c>
      <c r="S209" s="122" t="s">
        <v>305</v>
      </c>
      <c r="T209" s="145">
        <v>45131</v>
      </c>
      <c r="U209" s="123">
        <v>3.306</v>
      </c>
      <c r="V209" s="148">
        <v>47.060798548094375</v>
      </c>
      <c r="W209" s="123">
        <v>155.583</v>
      </c>
      <c r="X209" s="122"/>
      <c r="Y209" s="125">
        <v>4.0000000000000003E-5</v>
      </c>
      <c r="Z209" s="126">
        <v>1.0000000000000001E-5</v>
      </c>
      <c r="AA209" s="159"/>
    </row>
    <row r="210" spans="1:27" x14ac:dyDescent="0.2">
      <c r="A210" s="121" t="s">
        <v>1223</v>
      </c>
      <c r="B210" s="122" t="s">
        <v>1223</v>
      </c>
      <c r="C210" s="122" t="s">
        <v>2872</v>
      </c>
      <c r="D210" s="122"/>
      <c r="E210" s="122"/>
      <c r="F210" s="122" t="s">
        <v>2992</v>
      </c>
      <c r="G210" s="122" t="s">
        <v>2993</v>
      </c>
      <c r="H210" s="122" t="s">
        <v>102</v>
      </c>
      <c r="I210" s="122" t="s">
        <v>280</v>
      </c>
      <c r="J210" s="122"/>
      <c r="K210" s="122" t="s">
        <v>53</v>
      </c>
      <c r="L210" s="122"/>
      <c r="M210" s="122"/>
      <c r="N210" s="122" t="s">
        <v>53</v>
      </c>
      <c r="O210" s="122" t="s">
        <v>62</v>
      </c>
      <c r="P210" s="145">
        <v>42019</v>
      </c>
      <c r="Q210" s="122" t="s">
        <v>1216</v>
      </c>
      <c r="R210" s="122" t="s">
        <v>303</v>
      </c>
      <c r="S210" s="122" t="s">
        <v>305</v>
      </c>
      <c r="T210" s="145">
        <v>45897</v>
      </c>
      <c r="U210" s="123">
        <v>1</v>
      </c>
      <c r="V210" s="148">
        <v>128.624</v>
      </c>
      <c r="W210" s="123">
        <v>128.624</v>
      </c>
      <c r="X210" s="122"/>
      <c r="Y210" s="125">
        <v>4.0000000000000003E-5</v>
      </c>
      <c r="Z210" s="126">
        <v>0</v>
      </c>
      <c r="AA210" s="159"/>
    </row>
    <row r="211" spans="1:27" x14ac:dyDescent="0.2">
      <c r="A211" s="121" t="s">
        <v>1223</v>
      </c>
      <c r="B211" s="122" t="s">
        <v>1223</v>
      </c>
      <c r="C211" s="122" t="s">
        <v>2994</v>
      </c>
      <c r="D211" s="122"/>
      <c r="E211" s="122"/>
      <c r="F211" s="122" t="s">
        <v>2995</v>
      </c>
      <c r="G211" s="122" t="s">
        <v>2996</v>
      </c>
      <c r="H211" s="122" t="s">
        <v>102</v>
      </c>
      <c r="I211" s="122" t="s">
        <v>241</v>
      </c>
      <c r="J211" s="122"/>
      <c r="K211" s="122" t="s">
        <v>53</v>
      </c>
      <c r="L211" s="122"/>
      <c r="M211" s="122"/>
      <c r="N211" s="122" t="s">
        <v>53</v>
      </c>
      <c r="O211" s="122" t="s">
        <v>62</v>
      </c>
      <c r="P211" s="145">
        <v>41015</v>
      </c>
      <c r="Q211" s="122" t="s">
        <v>1217</v>
      </c>
      <c r="R211" s="122" t="s">
        <v>303</v>
      </c>
      <c r="S211" s="122" t="s">
        <v>305</v>
      </c>
      <c r="T211" s="145">
        <v>45806</v>
      </c>
      <c r="U211" s="123">
        <v>3.306</v>
      </c>
      <c r="V211" s="148">
        <v>2.4192377495462796</v>
      </c>
      <c r="W211" s="123">
        <v>7.9980000000000002</v>
      </c>
      <c r="X211" s="122"/>
      <c r="Y211" s="125">
        <v>0</v>
      </c>
      <c r="Z211" s="126">
        <v>0</v>
      </c>
      <c r="AA211" s="159"/>
    </row>
    <row r="212" spans="1:27" x14ac:dyDescent="0.2">
      <c r="A212" s="121" t="s">
        <v>1223</v>
      </c>
      <c r="B212" s="122" t="s">
        <v>1223</v>
      </c>
      <c r="C212" s="122" t="s">
        <v>2994</v>
      </c>
      <c r="D212" s="122"/>
      <c r="E212" s="122"/>
      <c r="F212" s="122" t="s">
        <v>2997</v>
      </c>
      <c r="G212" s="122" t="s">
        <v>2998</v>
      </c>
      <c r="H212" s="122" t="s">
        <v>102</v>
      </c>
      <c r="I212" s="122" t="s">
        <v>241</v>
      </c>
      <c r="J212" s="122"/>
      <c r="K212" s="122" t="s">
        <v>53</v>
      </c>
      <c r="L212" s="122"/>
      <c r="M212" s="122"/>
      <c r="N212" s="122" t="s">
        <v>53</v>
      </c>
      <c r="O212" s="122" t="s">
        <v>62</v>
      </c>
      <c r="P212" s="145">
        <v>42061</v>
      </c>
      <c r="Q212" s="122" t="s">
        <v>1216</v>
      </c>
      <c r="R212" s="122" t="s">
        <v>303</v>
      </c>
      <c r="S212" s="122" t="s">
        <v>305</v>
      </c>
      <c r="T212" s="145">
        <v>45386</v>
      </c>
      <c r="U212" s="123">
        <v>1</v>
      </c>
      <c r="V212" s="148">
        <v>0</v>
      </c>
      <c r="W212" s="123">
        <v>0</v>
      </c>
      <c r="X212" s="122"/>
      <c r="Y212" s="125">
        <v>0</v>
      </c>
      <c r="Z212" s="126">
        <v>0</v>
      </c>
      <c r="AA212" s="159"/>
    </row>
    <row r="213" spans="1:27" x14ac:dyDescent="0.2">
      <c r="A213" s="121" t="s">
        <v>1223</v>
      </c>
      <c r="B213" s="122" t="s">
        <v>1223</v>
      </c>
      <c r="C213" s="122" t="s">
        <v>2999</v>
      </c>
      <c r="D213" s="122"/>
      <c r="E213" s="122"/>
      <c r="F213" s="122" t="s">
        <v>3000</v>
      </c>
      <c r="G213" s="122" t="s">
        <v>3001</v>
      </c>
      <c r="H213" s="122" t="s">
        <v>102</v>
      </c>
      <c r="I213" s="122" t="s">
        <v>242</v>
      </c>
      <c r="J213" s="122"/>
      <c r="K213" s="122" t="s">
        <v>53</v>
      </c>
      <c r="L213" s="122"/>
      <c r="M213" s="122"/>
      <c r="N213" s="122" t="s">
        <v>53</v>
      </c>
      <c r="O213" s="122" t="s">
        <v>62</v>
      </c>
      <c r="P213" s="145">
        <v>39964</v>
      </c>
      <c r="Q213" s="122" t="s">
        <v>1217</v>
      </c>
      <c r="R213" s="122" t="s">
        <v>303</v>
      </c>
      <c r="S213" s="122" t="s">
        <v>305</v>
      </c>
      <c r="T213" s="145">
        <v>45466</v>
      </c>
      <c r="U213" s="123">
        <v>3.306</v>
      </c>
      <c r="V213" s="148">
        <v>0</v>
      </c>
      <c r="W213" s="123">
        <v>0</v>
      </c>
      <c r="X213" s="122"/>
      <c r="Y213" s="125">
        <v>0</v>
      </c>
      <c r="Z213" s="126">
        <v>0</v>
      </c>
      <c r="AA213" s="159"/>
    </row>
    <row r="214" spans="1:27" x14ac:dyDescent="0.2">
      <c r="A214" s="121" t="s">
        <v>1223</v>
      </c>
      <c r="B214" s="122" t="s">
        <v>1223</v>
      </c>
      <c r="C214" s="122" t="s">
        <v>3002</v>
      </c>
      <c r="D214" s="122"/>
      <c r="E214" s="122"/>
      <c r="F214" s="122" t="s">
        <v>3003</v>
      </c>
      <c r="G214" s="122" t="s">
        <v>3004</v>
      </c>
      <c r="H214" s="122" t="s">
        <v>102</v>
      </c>
      <c r="I214" s="122" t="s">
        <v>749</v>
      </c>
      <c r="J214" s="122"/>
      <c r="K214" s="122" t="s">
        <v>61</v>
      </c>
      <c r="L214" s="122"/>
      <c r="M214" s="122"/>
      <c r="N214" s="122" t="s">
        <v>314</v>
      </c>
      <c r="O214" s="122" t="s">
        <v>62</v>
      </c>
      <c r="P214" s="145">
        <v>44679</v>
      </c>
      <c r="Q214" s="122" t="s">
        <v>1217</v>
      </c>
      <c r="R214" s="122" t="s">
        <v>303</v>
      </c>
      <c r="S214" s="122" t="s">
        <v>305</v>
      </c>
      <c r="T214" s="145">
        <v>45930</v>
      </c>
      <c r="U214" s="123">
        <v>3.306</v>
      </c>
      <c r="V214" s="148">
        <v>26165.49032062916</v>
      </c>
      <c r="W214" s="123">
        <v>86503.111000000004</v>
      </c>
      <c r="X214" s="125">
        <v>7.3600000000000002E-3</v>
      </c>
      <c r="Y214" s="125">
        <v>2.4920000000000001E-2</v>
      </c>
      <c r="Z214" s="126">
        <v>3.1700000000000001E-3</v>
      </c>
      <c r="AA214" s="159"/>
    </row>
    <row r="215" spans="1:27" x14ac:dyDescent="0.2">
      <c r="A215" s="121" t="s">
        <v>1223</v>
      </c>
      <c r="B215" s="122" t="s">
        <v>1223</v>
      </c>
      <c r="C215" s="122" t="s">
        <v>3007</v>
      </c>
      <c r="D215" s="122"/>
      <c r="E215" s="122"/>
      <c r="F215" s="122" t="s">
        <v>3008</v>
      </c>
      <c r="G215" s="122" t="s">
        <v>3009</v>
      </c>
      <c r="H215" s="122" t="s">
        <v>102</v>
      </c>
      <c r="I215" s="122" t="s">
        <v>749</v>
      </c>
      <c r="J215" s="122"/>
      <c r="K215" s="122" t="s">
        <v>61</v>
      </c>
      <c r="L215" s="122"/>
      <c r="M215" s="122"/>
      <c r="N215" s="122" t="s">
        <v>314</v>
      </c>
      <c r="O215" s="122" t="s">
        <v>62</v>
      </c>
      <c r="P215" s="145">
        <v>44742</v>
      </c>
      <c r="Q215" s="122" t="s">
        <v>1217</v>
      </c>
      <c r="R215" s="122" t="s">
        <v>303</v>
      </c>
      <c r="S215" s="122" t="s">
        <v>305</v>
      </c>
      <c r="T215" s="145">
        <v>45887</v>
      </c>
      <c r="U215" s="123">
        <v>3.306</v>
      </c>
      <c r="V215" s="148">
        <v>22289.471869328496</v>
      </c>
      <c r="W215" s="123">
        <v>73688.994000000006</v>
      </c>
      <c r="X215" s="122"/>
      <c r="Y215" s="125">
        <v>2.1219999999999999E-2</v>
      </c>
      <c r="Z215" s="126">
        <v>2.7000000000000001E-3</v>
      </c>
      <c r="AA215" s="159"/>
    </row>
    <row r="216" spans="1:27" x14ac:dyDescent="0.2">
      <c r="A216" s="121" t="s">
        <v>1223</v>
      </c>
      <c r="B216" s="122" t="s">
        <v>1223</v>
      </c>
      <c r="C216" s="122" t="s">
        <v>102</v>
      </c>
      <c r="D216" s="122"/>
      <c r="E216" s="122"/>
      <c r="F216" s="122" t="s">
        <v>3005</v>
      </c>
      <c r="G216" s="122" t="s">
        <v>3006</v>
      </c>
      <c r="H216" s="122" t="s">
        <v>102</v>
      </c>
      <c r="I216" s="122" t="s">
        <v>926</v>
      </c>
      <c r="J216" s="122"/>
      <c r="K216" s="122" t="s">
        <v>61</v>
      </c>
      <c r="L216" s="122"/>
      <c r="M216" s="122"/>
      <c r="N216" s="122" t="s">
        <v>314</v>
      </c>
      <c r="O216" s="122" t="s">
        <v>62</v>
      </c>
      <c r="P216" s="145">
        <v>43761</v>
      </c>
      <c r="Q216" s="122" t="s">
        <v>1217</v>
      </c>
      <c r="R216" s="122" t="s">
        <v>303</v>
      </c>
      <c r="S216" s="122" t="s">
        <v>305</v>
      </c>
      <c r="T216" s="145">
        <v>45893</v>
      </c>
      <c r="U216" s="123">
        <v>3.306</v>
      </c>
      <c r="V216" s="148">
        <v>22040.637023593466</v>
      </c>
      <c r="W216" s="123">
        <v>72866.346000000005</v>
      </c>
      <c r="X216" s="125">
        <v>7.9000000000000001E-4</v>
      </c>
      <c r="Y216" s="125">
        <v>2.0990000000000002E-2</v>
      </c>
      <c r="Z216" s="126">
        <v>2.6700000000000001E-3</v>
      </c>
      <c r="AA216" s="159"/>
    </row>
    <row r="217" spans="1:27" x14ac:dyDescent="0.2">
      <c r="A217" s="121" t="s">
        <v>1223</v>
      </c>
      <c r="B217" s="122" t="s">
        <v>1223</v>
      </c>
      <c r="C217" s="122" t="s">
        <v>3010</v>
      </c>
      <c r="D217" s="122"/>
      <c r="E217" s="122"/>
      <c r="F217" s="122" t="s">
        <v>3011</v>
      </c>
      <c r="G217" s="122" t="s">
        <v>3012</v>
      </c>
      <c r="H217" s="122" t="s">
        <v>102</v>
      </c>
      <c r="I217" s="122" t="s">
        <v>241</v>
      </c>
      <c r="J217" s="122"/>
      <c r="K217" s="122" t="s">
        <v>61</v>
      </c>
      <c r="L217" s="122"/>
      <c r="M217" s="122"/>
      <c r="N217" s="122" t="s">
        <v>930</v>
      </c>
      <c r="O217" s="122" t="s">
        <v>62</v>
      </c>
      <c r="P217" s="145">
        <v>43727</v>
      </c>
      <c r="Q217" s="122" t="s">
        <v>1217</v>
      </c>
      <c r="R217" s="122" t="s">
        <v>303</v>
      </c>
      <c r="S217" s="122" t="s">
        <v>305</v>
      </c>
      <c r="T217" s="145">
        <v>45912</v>
      </c>
      <c r="U217" s="123">
        <v>3.306</v>
      </c>
      <c r="V217" s="148">
        <v>17258.714761040534</v>
      </c>
      <c r="W217" s="123">
        <v>57057.311000000002</v>
      </c>
      <c r="X217" s="125">
        <v>7.6000000000000004E-4</v>
      </c>
      <c r="Y217" s="125">
        <v>1.643E-2</v>
      </c>
      <c r="Z217" s="126">
        <v>2.0899999999999998E-3</v>
      </c>
      <c r="AA217" s="159"/>
    </row>
    <row r="218" spans="1:27" x14ac:dyDescent="0.2">
      <c r="A218" s="121" t="s">
        <v>1223</v>
      </c>
      <c r="B218" s="122" t="s">
        <v>1223</v>
      </c>
      <c r="C218" s="122" t="s">
        <v>3013</v>
      </c>
      <c r="D218" s="122"/>
      <c r="E218" s="122"/>
      <c r="F218" s="122" t="s">
        <v>3014</v>
      </c>
      <c r="G218" s="122" t="s">
        <v>3015</v>
      </c>
      <c r="H218" s="122" t="s">
        <v>102</v>
      </c>
      <c r="I218" s="122" t="s">
        <v>926</v>
      </c>
      <c r="J218" s="122"/>
      <c r="K218" s="122" t="s">
        <v>61</v>
      </c>
      <c r="L218" s="122"/>
      <c r="M218" s="122"/>
      <c r="N218" s="122" t="s">
        <v>930</v>
      </c>
      <c r="O218" s="122" t="s">
        <v>62</v>
      </c>
      <c r="P218" s="145">
        <v>43340</v>
      </c>
      <c r="Q218" s="122" t="s">
        <v>1217</v>
      </c>
      <c r="R218" s="122" t="s">
        <v>303</v>
      </c>
      <c r="S218" s="122" t="s">
        <v>305</v>
      </c>
      <c r="T218" s="145">
        <v>45930</v>
      </c>
      <c r="U218" s="123">
        <v>3.306</v>
      </c>
      <c r="V218" s="148">
        <v>17039.503932244403</v>
      </c>
      <c r="W218" s="123">
        <v>56332.6</v>
      </c>
      <c r="X218" s="122"/>
      <c r="Y218" s="125">
        <v>1.6230000000000001E-2</v>
      </c>
      <c r="Z218" s="126">
        <v>2.0600000000000002E-3</v>
      </c>
      <c r="AA218" s="159"/>
    </row>
    <row r="219" spans="1:27" x14ac:dyDescent="0.2">
      <c r="A219" s="121" t="s">
        <v>1223</v>
      </c>
      <c r="B219" s="122" t="s">
        <v>1223</v>
      </c>
      <c r="C219" s="122" t="s">
        <v>3016</v>
      </c>
      <c r="D219" s="122"/>
      <c r="E219" s="122"/>
      <c r="F219" s="122" t="s">
        <v>3017</v>
      </c>
      <c r="G219" s="122" t="s">
        <v>3018</v>
      </c>
      <c r="H219" s="122" t="s">
        <v>102</v>
      </c>
      <c r="I219" s="122" t="s">
        <v>749</v>
      </c>
      <c r="J219" s="122"/>
      <c r="K219" s="122" t="s">
        <v>61</v>
      </c>
      <c r="L219" s="122"/>
      <c r="M219" s="122"/>
      <c r="N219" s="122" t="s">
        <v>314</v>
      </c>
      <c r="O219" s="122" t="s">
        <v>62</v>
      </c>
      <c r="P219" s="145">
        <v>43843</v>
      </c>
      <c r="Q219" s="122" t="s">
        <v>1217</v>
      </c>
      <c r="R219" s="122" t="s">
        <v>303</v>
      </c>
      <c r="S219" s="122" t="s">
        <v>305</v>
      </c>
      <c r="T219" s="145">
        <v>45909</v>
      </c>
      <c r="U219" s="123">
        <v>3.306</v>
      </c>
      <c r="V219" s="148">
        <v>15357.891712038718</v>
      </c>
      <c r="W219" s="123">
        <v>50773.19</v>
      </c>
      <c r="X219" s="125">
        <v>2.0100000000000001E-3</v>
      </c>
      <c r="Y219" s="125">
        <v>1.4619999999999999E-2</v>
      </c>
      <c r="Z219" s="126">
        <v>1.8600000000000001E-3</v>
      </c>
      <c r="AA219" s="159"/>
    </row>
    <row r="220" spans="1:27" x14ac:dyDescent="0.2">
      <c r="A220" s="121" t="s">
        <v>1223</v>
      </c>
      <c r="B220" s="122" t="s">
        <v>1223</v>
      </c>
      <c r="C220" s="122" t="s">
        <v>3025</v>
      </c>
      <c r="D220" s="122"/>
      <c r="E220" s="122"/>
      <c r="F220" s="122" t="s">
        <v>3026</v>
      </c>
      <c r="G220" s="122" t="s">
        <v>3027</v>
      </c>
      <c r="H220" s="122" t="s">
        <v>102</v>
      </c>
      <c r="I220" s="122" t="s">
        <v>281</v>
      </c>
      <c r="J220" s="122"/>
      <c r="K220" s="122" t="s">
        <v>61</v>
      </c>
      <c r="L220" s="122"/>
      <c r="M220" s="122"/>
      <c r="N220" s="122" t="s">
        <v>53</v>
      </c>
      <c r="O220" s="122" t="s">
        <v>62</v>
      </c>
      <c r="P220" s="145">
        <v>43311</v>
      </c>
      <c r="Q220" s="122" t="s">
        <v>1217</v>
      </c>
      <c r="R220" s="122" t="s">
        <v>303</v>
      </c>
      <c r="S220" s="122" t="s">
        <v>305</v>
      </c>
      <c r="T220" s="145">
        <v>45916</v>
      </c>
      <c r="U220" s="123">
        <v>3.306</v>
      </c>
      <c r="V220" s="148">
        <v>15277.319419237749</v>
      </c>
      <c r="W220" s="123">
        <v>50506.817999999999</v>
      </c>
      <c r="X220" s="125">
        <v>2.0000000000000002E-5</v>
      </c>
      <c r="Y220" s="125">
        <v>1.455E-2</v>
      </c>
      <c r="Z220" s="126">
        <v>1.8500000000000001E-3</v>
      </c>
      <c r="AA220" s="159"/>
    </row>
    <row r="221" spans="1:27" x14ac:dyDescent="0.2">
      <c r="A221" s="121" t="s">
        <v>1223</v>
      </c>
      <c r="B221" s="122" t="s">
        <v>1223</v>
      </c>
      <c r="C221" s="122" t="s">
        <v>3028</v>
      </c>
      <c r="D221" s="122"/>
      <c r="E221" s="122"/>
      <c r="F221" s="122" t="s">
        <v>3029</v>
      </c>
      <c r="G221" s="122" t="s">
        <v>3030</v>
      </c>
      <c r="H221" s="122" t="s">
        <v>102</v>
      </c>
      <c r="I221" s="122" t="s">
        <v>241</v>
      </c>
      <c r="J221" s="122"/>
      <c r="K221" s="122" t="s">
        <v>61</v>
      </c>
      <c r="L221" s="122"/>
      <c r="M221" s="122"/>
      <c r="N221" s="122" t="s">
        <v>314</v>
      </c>
      <c r="O221" s="122" t="s">
        <v>62</v>
      </c>
      <c r="P221" s="145">
        <v>43565</v>
      </c>
      <c r="Q221" s="122" t="s">
        <v>1217</v>
      </c>
      <c r="R221" s="122" t="s">
        <v>303</v>
      </c>
      <c r="S221" s="122" t="s">
        <v>305</v>
      </c>
      <c r="T221" s="145">
        <v>45881</v>
      </c>
      <c r="U221" s="123">
        <v>3.306</v>
      </c>
      <c r="V221" s="148">
        <v>15193.443738656988</v>
      </c>
      <c r="W221" s="123">
        <v>50229.525000000001</v>
      </c>
      <c r="X221" s="122"/>
      <c r="Y221" s="125">
        <v>1.447E-2</v>
      </c>
      <c r="Z221" s="126">
        <v>1.8400000000000001E-3</v>
      </c>
      <c r="AA221" s="159"/>
    </row>
    <row r="222" spans="1:27" x14ac:dyDescent="0.2">
      <c r="A222" s="121" t="s">
        <v>1223</v>
      </c>
      <c r="B222" s="122" t="s">
        <v>1223</v>
      </c>
      <c r="C222" s="122" t="s">
        <v>3019</v>
      </c>
      <c r="D222" s="122"/>
      <c r="E222" s="122"/>
      <c r="F222" s="122" t="s">
        <v>3020</v>
      </c>
      <c r="G222" s="122" t="s">
        <v>3021</v>
      </c>
      <c r="H222" s="122" t="s">
        <v>102</v>
      </c>
      <c r="I222" s="122" t="s">
        <v>242</v>
      </c>
      <c r="J222" s="122"/>
      <c r="K222" s="122" t="s">
        <v>61</v>
      </c>
      <c r="L222" s="122"/>
      <c r="M222" s="122"/>
      <c r="N222" s="122" t="s">
        <v>53</v>
      </c>
      <c r="O222" s="122" t="s">
        <v>62</v>
      </c>
      <c r="P222" s="145">
        <v>44116</v>
      </c>
      <c r="Q222" s="122" t="s">
        <v>1217</v>
      </c>
      <c r="R222" s="122" t="s">
        <v>303</v>
      </c>
      <c r="S222" s="122" t="s">
        <v>305</v>
      </c>
      <c r="T222" s="145">
        <v>45896</v>
      </c>
      <c r="U222" s="123">
        <v>3.306</v>
      </c>
      <c r="V222" s="148">
        <v>15083.432546884453</v>
      </c>
      <c r="W222" s="123">
        <v>49865.828000000001</v>
      </c>
      <c r="X222" s="125">
        <v>3.7089999999999998E-2</v>
      </c>
      <c r="Y222" s="125">
        <v>1.436E-2</v>
      </c>
      <c r="Z222" s="126">
        <v>1.83E-3</v>
      </c>
      <c r="AA222" s="159"/>
    </row>
    <row r="223" spans="1:27" x14ac:dyDescent="0.2">
      <c r="A223" s="121" t="s">
        <v>1223</v>
      </c>
      <c r="B223" s="122" t="s">
        <v>1223</v>
      </c>
      <c r="C223" s="122" t="s">
        <v>3022</v>
      </c>
      <c r="D223" s="122"/>
      <c r="E223" s="122"/>
      <c r="F223" s="122" t="s">
        <v>3023</v>
      </c>
      <c r="G223" s="122" t="s">
        <v>3024</v>
      </c>
      <c r="H223" s="122" t="s">
        <v>102</v>
      </c>
      <c r="I223" s="122" t="s">
        <v>241</v>
      </c>
      <c r="J223" s="122"/>
      <c r="K223" s="122" t="s">
        <v>61</v>
      </c>
      <c r="L223" s="122"/>
      <c r="M223" s="122"/>
      <c r="N223" s="122" t="s">
        <v>314</v>
      </c>
      <c r="O223" s="122" t="s">
        <v>62</v>
      </c>
      <c r="P223" s="145">
        <v>44392</v>
      </c>
      <c r="Q223" s="122" t="s">
        <v>1217</v>
      </c>
      <c r="R223" s="122" t="s">
        <v>303</v>
      </c>
      <c r="S223" s="122" t="s">
        <v>305</v>
      </c>
      <c r="T223" s="145">
        <v>45900</v>
      </c>
      <c r="U223" s="123">
        <v>3.306</v>
      </c>
      <c r="V223" s="148">
        <v>14836.616454930429</v>
      </c>
      <c r="W223" s="123">
        <v>49049.853999999999</v>
      </c>
      <c r="X223" s="125">
        <v>7.5069999999999998E-2</v>
      </c>
      <c r="Y223" s="125">
        <v>1.413E-2</v>
      </c>
      <c r="Z223" s="126">
        <v>1.8E-3</v>
      </c>
      <c r="AA223" s="159"/>
    </row>
    <row r="224" spans="1:27" x14ac:dyDescent="0.2">
      <c r="A224" s="121" t="s">
        <v>1223</v>
      </c>
      <c r="B224" s="122" t="s">
        <v>1223</v>
      </c>
      <c r="C224" s="122" t="s">
        <v>2906</v>
      </c>
      <c r="D224" s="122"/>
      <c r="E224" s="122"/>
      <c r="F224" s="122" t="s">
        <v>3031</v>
      </c>
      <c r="G224" s="122" t="s">
        <v>3032</v>
      </c>
      <c r="H224" s="122" t="s">
        <v>102</v>
      </c>
      <c r="I224" s="122" t="s">
        <v>749</v>
      </c>
      <c r="J224" s="122"/>
      <c r="K224" s="122" t="s">
        <v>61</v>
      </c>
      <c r="L224" s="122"/>
      <c r="M224" s="122"/>
      <c r="N224" s="122" t="s">
        <v>314</v>
      </c>
      <c r="O224" s="122" t="s">
        <v>62</v>
      </c>
      <c r="P224" s="145">
        <v>44858</v>
      </c>
      <c r="Q224" s="122" t="s">
        <v>1217</v>
      </c>
      <c r="R224" s="122" t="s">
        <v>303</v>
      </c>
      <c r="S224" s="122" t="s">
        <v>305</v>
      </c>
      <c r="T224" s="145">
        <v>45916</v>
      </c>
      <c r="U224" s="123">
        <v>3.306</v>
      </c>
      <c r="V224" s="148">
        <v>14357.32456140351</v>
      </c>
      <c r="W224" s="123">
        <v>47465.315000000002</v>
      </c>
      <c r="X224" s="125">
        <v>1.37E-2</v>
      </c>
      <c r="Y224" s="125">
        <v>1.367E-2</v>
      </c>
      <c r="Z224" s="126">
        <v>1.74E-3</v>
      </c>
      <c r="AA224" s="159"/>
    </row>
    <row r="225" spans="1:27" x14ac:dyDescent="0.2">
      <c r="A225" s="121" t="s">
        <v>1223</v>
      </c>
      <c r="B225" s="122" t="s">
        <v>1223</v>
      </c>
      <c r="C225" s="122" t="s">
        <v>3033</v>
      </c>
      <c r="D225" s="122"/>
      <c r="E225" s="122"/>
      <c r="F225" s="122" t="s">
        <v>3034</v>
      </c>
      <c r="G225" s="122" t="s">
        <v>3035</v>
      </c>
      <c r="H225" s="122" t="s">
        <v>102</v>
      </c>
      <c r="I225" s="122" t="s">
        <v>749</v>
      </c>
      <c r="J225" s="122"/>
      <c r="K225" s="122" t="s">
        <v>61</v>
      </c>
      <c r="L225" s="122"/>
      <c r="M225" s="122"/>
      <c r="N225" s="122" t="s">
        <v>930</v>
      </c>
      <c r="O225" s="122" t="s">
        <v>62</v>
      </c>
      <c r="P225" s="145">
        <v>43207</v>
      </c>
      <c r="Q225" s="122" t="s">
        <v>1217</v>
      </c>
      <c r="R225" s="122" t="s">
        <v>303</v>
      </c>
      <c r="S225" s="122" t="s">
        <v>305</v>
      </c>
      <c r="T225" s="145">
        <v>45926</v>
      </c>
      <c r="U225" s="123">
        <v>3.306</v>
      </c>
      <c r="V225" s="148">
        <v>13980.956442831217</v>
      </c>
      <c r="W225" s="123">
        <v>46221.042000000001</v>
      </c>
      <c r="X225" s="122"/>
      <c r="Y225" s="125">
        <v>1.3310000000000001E-2</v>
      </c>
      <c r="Z225" s="126">
        <v>1.6900000000000001E-3</v>
      </c>
      <c r="AA225" s="159"/>
    </row>
    <row r="226" spans="1:27" x14ac:dyDescent="0.2">
      <c r="A226" s="121" t="s">
        <v>1223</v>
      </c>
      <c r="B226" s="122" t="s">
        <v>1223</v>
      </c>
      <c r="C226" s="122" t="s">
        <v>102</v>
      </c>
      <c r="D226" s="122"/>
      <c r="E226" s="122"/>
      <c r="F226" s="122" t="s">
        <v>3042</v>
      </c>
      <c r="G226" s="122" t="s">
        <v>3043</v>
      </c>
      <c r="H226" s="122" t="s">
        <v>102</v>
      </c>
      <c r="I226" s="122" t="s">
        <v>926</v>
      </c>
      <c r="J226" s="122"/>
      <c r="K226" s="122" t="s">
        <v>61</v>
      </c>
      <c r="L226" s="122"/>
      <c r="M226" s="122"/>
      <c r="N226" s="122" t="s">
        <v>314</v>
      </c>
      <c r="O226" s="122" t="s">
        <v>62</v>
      </c>
      <c r="P226" s="145">
        <v>44742</v>
      </c>
      <c r="Q226" s="122" t="s">
        <v>1217</v>
      </c>
      <c r="R226" s="122" t="s">
        <v>303</v>
      </c>
      <c r="S226" s="122" t="s">
        <v>305</v>
      </c>
      <c r="T226" s="145">
        <v>45925</v>
      </c>
      <c r="U226" s="123">
        <v>3.306</v>
      </c>
      <c r="V226" s="148">
        <v>13586.243799153055</v>
      </c>
      <c r="W226" s="123">
        <v>44916.122000000003</v>
      </c>
      <c r="X226" s="125">
        <v>2.1800000000000001E-3</v>
      </c>
      <c r="Y226" s="125">
        <v>1.294E-2</v>
      </c>
      <c r="Z226" s="126">
        <v>1.65E-3</v>
      </c>
      <c r="AA226" s="159"/>
    </row>
    <row r="227" spans="1:27" x14ac:dyDescent="0.2">
      <c r="A227" s="121" t="s">
        <v>1223</v>
      </c>
      <c r="B227" s="122" t="s">
        <v>1223</v>
      </c>
      <c r="C227" s="122" t="s">
        <v>3039</v>
      </c>
      <c r="D227" s="122"/>
      <c r="E227" s="122"/>
      <c r="F227" s="122" t="s">
        <v>3040</v>
      </c>
      <c r="G227" s="122" t="s">
        <v>3041</v>
      </c>
      <c r="H227" s="122" t="s">
        <v>102</v>
      </c>
      <c r="I227" s="122" t="s">
        <v>749</v>
      </c>
      <c r="J227" s="122"/>
      <c r="K227" s="122" t="s">
        <v>61</v>
      </c>
      <c r="L227" s="122"/>
      <c r="M227" s="122"/>
      <c r="N227" s="122" t="s">
        <v>930</v>
      </c>
      <c r="O227" s="122" t="s">
        <v>62</v>
      </c>
      <c r="P227" s="145">
        <v>43914</v>
      </c>
      <c r="Q227" s="122" t="s">
        <v>1217</v>
      </c>
      <c r="R227" s="122" t="s">
        <v>303</v>
      </c>
      <c r="S227" s="122" t="s">
        <v>305</v>
      </c>
      <c r="T227" s="145">
        <v>45922</v>
      </c>
      <c r="U227" s="123">
        <v>3.306</v>
      </c>
      <c r="V227" s="148">
        <v>12846.780399274046</v>
      </c>
      <c r="W227" s="123">
        <v>42471.455999999998</v>
      </c>
      <c r="X227" s="125">
        <v>1.1299999999999999E-3</v>
      </c>
      <c r="Y227" s="125">
        <v>1.223E-2</v>
      </c>
      <c r="Z227" s="126">
        <v>1.56E-3</v>
      </c>
      <c r="AA227" s="159"/>
    </row>
    <row r="228" spans="1:27" x14ac:dyDescent="0.2">
      <c r="A228" s="121" t="s">
        <v>1223</v>
      </c>
      <c r="B228" s="122" t="s">
        <v>1223</v>
      </c>
      <c r="C228" s="122" t="s">
        <v>3036</v>
      </c>
      <c r="D228" s="122"/>
      <c r="E228" s="122"/>
      <c r="F228" s="122" t="s">
        <v>3037</v>
      </c>
      <c r="G228" s="122" t="s">
        <v>3038</v>
      </c>
      <c r="H228" s="122" t="s">
        <v>102</v>
      </c>
      <c r="I228" s="122" t="s">
        <v>749</v>
      </c>
      <c r="J228" s="122"/>
      <c r="K228" s="122" t="s">
        <v>61</v>
      </c>
      <c r="L228" s="122"/>
      <c r="M228" s="122"/>
      <c r="N228" s="122" t="s">
        <v>317</v>
      </c>
      <c r="O228" s="122" t="s">
        <v>62</v>
      </c>
      <c r="P228" s="145">
        <v>44143</v>
      </c>
      <c r="Q228" s="122" t="s">
        <v>1218</v>
      </c>
      <c r="R228" s="122" t="s">
        <v>303</v>
      </c>
      <c r="S228" s="122" t="s">
        <v>305</v>
      </c>
      <c r="T228" s="145">
        <v>45881</v>
      </c>
      <c r="U228" s="123">
        <v>3.8809999999999998</v>
      </c>
      <c r="V228" s="148">
        <v>10837.484668899768</v>
      </c>
      <c r="W228" s="123">
        <v>42060.277999999998</v>
      </c>
      <c r="X228" s="125">
        <v>1.9E-3</v>
      </c>
      <c r="Y228" s="125">
        <v>1.2109999999999999E-2</v>
      </c>
      <c r="Z228" s="126">
        <v>1.5399999999999999E-3</v>
      </c>
      <c r="AA228" s="159"/>
    </row>
    <row r="229" spans="1:27" x14ac:dyDescent="0.2">
      <c r="A229" s="121" t="s">
        <v>1223</v>
      </c>
      <c r="B229" s="122" t="s">
        <v>1223</v>
      </c>
      <c r="C229" s="122" t="s">
        <v>2906</v>
      </c>
      <c r="D229" s="122"/>
      <c r="E229" s="122"/>
      <c r="F229" s="122" t="s">
        <v>3047</v>
      </c>
      <c r="G229" s="122" t="s">
        <v>3048</v>
      </c>
      <c r="H229" s="122" t="s">
        <v>102</v>
      </c>
      <c r="I229" s="122" t="s">
        <v>749</v>
      </c>
      <c r="J229" s="122"/>
      <c r="K229" s="122" t="s">
        <v>61</v>
      </c>
      <c r="L229" s="122"/>
      <c r="M229" s="122"/>
      <c r="N229" s="122" t="s">
        <v>314</v>
      </c>
      <c r="O229" s="122" t="s">
        <v>62</v>
      </c>
      <c r="P229" s="145">
        <v>43614</v>
      </c>
      <c r="Q229" s="122" t="s">
        <v>1217</v>
      </c>
      <c r="R229" s="122" t="s">
        <v>303</v>
      </c>
      <c r="S229" s="122" t="s">
        <v>305</v>
      </c>
      <c r="T229" s="145">
        <v>45918</v>
      </c>
      <c r="U229" s="123">
        <v>3.306</v>
      </c>
      <c r="V229" s="148">
        <v>12265.333333333334</v>
      </c>
      <c r="W229" s="123">
        <v>40549.192000000003</v>
      </c>
      <c r="X229" s="125">
        <v>9.0200000000000002E-3</v>
      </c>
      <c r="Y229" s="125">
        <v>1.1679999999999999E-2</v>
      </c>
      <c r="Z229" s="126">
        <v>1.49E-3</v>
      </c>
      <c r="AA229" s="159"/>
    </row>
    <row r="230" spans="1:27" x14ac:dyDescent="0.2">
      <c r="A230" s="121" t="s">
        <v>1223</v>
      </c>
      <c r="B230" s="122" t="s">
        <v>1223</v>
      </c>
      <c r="C230" s="122" t="s">
        <v>3044</v>
      </c>
      <c r="D230" s="122"/>
      <c r="E230" s="122"/>
      <c r="F230" s="122" t="s">
        <v>3045</v>
      </c>
      <c r="G230" s="122" t="s">
        <v>3046</v>
      </c>
      <c r="H230" s="122" t="s">
        <v>102</v>
      </c>
      <c r="I230" s="122" t="s">
        <v>749</v>
      </c>
      <c r="J230" s="122"/>
      <c r="K230" s="122" t="s">
        <v>61</v>
      </c>
      <c r="L230" s="122"/>
      <c r="M230" s="122"/>
      <c r="N230" s="122" t="s">
        <v>313</v>
      </c>
      <c r="O230" s="122" t="s">
        <v>62</v>
      </c>
      <c r="P230" s="145">
        <v>44143</v>
      </c>
      <c r="Q230" s="122" t="s">
        <v>1218</v>
      </c>
      <c r="R230" s="122" t="s">
        <v>303</v>
      </c>
      <c r="S230" s="122" t="s">
        <v>305</v>
      </c>
      <c r="T230" s="145">
        <v>45902</v>
      </c>
      <c r="U230" s="123">
        <v>3.8809999999999998</v>
      </c>
      <c r="V230" s="148">
        <v>10432.875547539294</v>
      </c>
      <c r="W230" s="123">
        <v>40489.99</v>
      </c>
      <c r="X230" s="125">
        <v>4.6999999999999999E-4</v>
      </c>
      <c r="Y230" s="125">
        <v>1.166E-2</v>
      </c>
      <c r="Z230" s="126">
        <v>1.48E-3</v>
      </c>
      <c r="AA230" s="159"/>
    </row>
    <row r="231" spans="1:27" x14ac:dyDescent="0.2">
      <c r="A231" s="121" t="s">
        <v>1223</v>
      </c>
      <c r="B231" s="122" t="s">
        <v>1223</v>
      </c>
      <c r="C231" s="122" t="s">
        <v>3049</v>
      </c>
      <c r="D231" s="122"/>
      <c r="E231" s="122"/>
      <c r="F231" s="122" t="s">
        <v>3023</v>
      </c>
      <c r="G231" s="122" t="s">
        <v>3050</v>
      </c>
      <c r="H231" s="122" t="s">
        <v>102</v>
      </c>
      <c r="I231" s="122" t="s">
        <v>241</v>
      </c>
      <c r="J231" s="122"/>
      <c r="K231" s="122" t="s">
        <v>61</v>
      </c>
      <c r="L231" s="122"/>
      <c r="M231" s="122"/>
      <c r="N231" s="122" t="s">
        <v>314</v>
      </c>
      <c r="O231" s="122" t="s">
        <v>62</v>
      </c>
      <c r="P231" s="145">
        <v>45449</v>
      </c>
      <c r="Q231" s="122" t="s">
        <v>1217</v>
      </c>
      <c r="R231" s="122" t="s">
        <v>303</v>
      </c>
      <c r="S231" s="122" t="s">
        <v>305</v>
      </c>
      <c r="T231" s="145">
        <v>45900</v>
      </c>
      <c r="U231" s="123">
        <v>3.306</v>
      </c>
      <c r="V231" s="148">
        <v>11968.320326678766</v>
      </c>
      <c r="W231" s="123">
        <v>39567.267</v>
      </c>
      <c r="X231" s="125">
        <v>1.2919999999999999E-2</v>
      </c>
      <c r="Y231" s="125">
        <v>1.14E-2</v>
      </c>
      <c r="Z231" s="126">
        <v>1.4499999999999999E-3</v>
      </c>
      <c r="AA231" s="159"/>
    </row>
    <row r="232" spans="1:27" x14ac:dyDescent="0.2">
      <c r="A232" s="121" t="s">
        <v>1223</v>
      </c>
      <c r="B232" s="122" t="s">
        <v>1223</v>
      </c>
      <c r="C232" s="122" t="s">
        <v>3060</v>
      </c>
      <c r="D232" s="122"/>
      <c r="E232" s="122"/>
      <c r="F232" s="122" t="s">
        <v>3061</v>
      </c>
      <c r="G232" s="122" t="s">
        <v>3062</v>
      </c>
      <c r="H232" s="122" t="s">
        <v>102</v>
      </c>
      <c r="I232" s="122" t="s">
        <v>926</v>
      </c>
      <c r="J232" s="122"/>
      <c r="K232" s="122" t="s">
        <v>61</v>
      </c>
      <c r="L232" s="122"/>
      <c r="M232" s="122"/>
      <c r="N232" s="122" t="s">
        <v>314</v>
      </c>
      <c r="O232" s="122" t="s">
        <v>62</v>
      </c>
      <c r="P232" s="145">
        <v>44769</v>
      </c>
      <c r="Q232" s="122" t="s">
        <v>1217</v>
      </c>
      <c r="R232" s="122" t="s">
        <v>303</v>
      </c>
      <c r="S232" s="122" t="s">
        <v>305</v>
      </c>
      <c r="T232" s="145">
        <v>45930</v>
      </c>
      <c r="U232" s="123">
        <v>3.306</v>
      </c>
      <c r="V232" s="148">
        <v>11736.679673321234</v>
      </c>
      <c r="W232" s="123">
        <v>38801.463000000003</v>
      </c>
      <c r="X232" s="125">
        <v>4.9000000000000002E-2</v>
      </c>
      <c r="Y232" s="125">
        <v>1.1180000000000001E-2</v>
      </c>
      <c r="Z232" s="126">
        <v>1.42E-3</v>
      </c>
      <c r="AA232" s="159"/>
    </row>
    <row r="233" spans="1:27" x14ac:dyDescent="0.2">
      <c r="A233" s="121" t="s">
        <v>1223</v>
      </c>
      <c r="B233" s="122" t="s">
        <v>1223</v>
      </c>
      <c r="C233" s="122" t="s">
        <v>3057</v>
      </c>
      <c r="D233" s="122"/>
      <c r="E233" s="122"/>
      <c r="F233" s="122" t="s">
        <v>3058</v>
      </c>
      <c r="G233" s="122" t="s">
        <v>3059</v>
      </c>
      <c r="H233" s="122" t="s">
        <v>102</v>
      </c>
      <c r="I233" s="122" t="s">
        <v>280</v>
      </c>
      <c r="J233" s="122"/>
      <c r="K233" s="122" t="s">
        <v>61</v>
      </c>
      <c r="L233" s="122"/>
      <c r="M233" s="122"/>
      <c r="N233" s="122" t="s">
        <v>313</v>
      </c>
      <c r="O233" s="122" t="s">
        <v>62</v>
      </c>
      <c r="P233" s="145">
        <v>43495</v>
      </c>
      <c r="Q233" s="122" t="s">
        <v>1218</v>
      </c>
      <c r="R233" s="122" t="s">
        <v>303</v>
      </c>
      <c r="S233" s="122" t="s">
        <v>305</v>
      </c>
      <c r="T233" s="145">
        <v>45908</v>
      </c>
      <c r="U233" s="123">
        <v>3.8809999999999998</v>
      </c>
      <c r="V233" s="148">
        <v>9876.0090182942531</v>
      </c>
      <c r="W233" s="123">
        <v>38328.790999999997</v>
      </c>
      <c r="X233" s="122"/>
      <c r="Y233" s="125">
        <v>1.1039999999999999E-2</v>
      </c>
      <c r="Z233" s="126">
        <v>1.4E-3</v>
      </c>
      <c r="AA233" s="159"/>
    </row>
    <row r="234" spans="1:27" x14ac:dyDescent="0.2">
      <c r="A234" s="121" t="s">
        <v>1223</v>
      </c>
      <c r="B234" s="122" t="s">
        <v>1223</v>
      </c>
      <c r="C234" s="122" t="s">
        <v>3051</v>
      </c>
      <c r="D234" s="122"/>
      <c r="E234" s="122"/>
      <c r="F234" s="122" t="s">
        <v>3052</v>
      </c>
      <c r="G234" s="122" t="s">
        <v>3053</v>
      </c>
      <c r="H234" s="122" t="s">
        <v>102</v>
      </c>
      <c r="I234" s="122" t="s">
        <v>749</v>
      </c>
      <c r="J234" s="122"/>
      <c r="K234" s="122" t="s">
        <v>61</v>
      </c>
      <c r="L234" s="122"/>
      <c r="M234" s="122"/>
      <c r="N234" s="122" t="s">
        <v>313</v>
      </c>
      <c r="O234" s="122" t="s">
        <v>62</v>
      </c>
      <c r="P234" s="145">
        <v>44315</v>
      </c>
      <c r="Q234" s="122" t="s">
        <v>1217</v>
      </c>
      <c r="R234" s="122" t="s">
        <v>303</v>
      </c>
      <c r="S234" s="122" t="s">
        <v>305</v>
      </c>
      <c r="T234" s="145">
        <v>45930</v>
      </c>
      <c r="U234" s="123">
        <v>3.306</v>
      </c>
      <c r="V234" s="148">
        <v>11457.38838475499</v>
      </c>
      <c r="W234" s="123">
        <v>37878.125999999997</v>
      </c>
      <c r="X234" s="125">
        <v>5.9100000000000003E-3</v>
      </c>
      <c r="Y234" s="125">
        <v>1.091E-2</v>
      </c>
      <c r="Z234" s="126">
        <v>1.39E-3</v>
      </c>
      <c r="AA234" s="159"/>
    </row>
    <row r="235" spans="1:27" x14ac:dyDescent="0.2">
      <c r="A235" s="121" t="s">
        <v>1223</v>
      </c>
      <c r="B235" s="122" t="s">
        <v>1223</v>
      </c>
      <c r="C235" s="122" t="s">
        <v>3054</v>
      </c>
      <c r="D235" s="122"/>
      <c r="E235" s="122"/>
      <c r="F235" s="122" t="s">
        <v>3055</v>
      </c>
      <c r="G235" s="122" t="s">
        <v>3056</v>
      </c>
      <c r="H235" s="122" t="s">
        <v>102</v>
      </c>
      <c r="I235" s="122" t="s">
        <v>280</v>
      </c>
      <c r="J235" s="122"/>
      <c r="K235" s="122" t="s">
        <v>61</v>
      </c>
      <c r="L235" s="122"/>
      <c r="M235" s="122"/>
      <c r="N235" s="122" t="s">
        <v>316</v>
      </c>
      <c r="O235" s="122" t="s">
        <v>62</v>
      </c>
      <c r="P235" s="145">
        <v>44731</v>
      </c>
      <c r="Q235" s="122" t="s">
        <v>1217</v>
      </c>
      <c r="R235" s="122" t="s">
        <v>303</v>
      </c>
      <c r="S235" s="122" t="s">
        <v>305</v>
      </c>
      <c r="T235" s="145">
        <v>45900</v>
      </c>
      <c r="U235" s="123">
        <v>3.306</v>
      </c>
      <c r="V235" s="148">
        <v>11082.652450090745</v>
      </c>
      <c r="W235" s="123">
        <v>36639.249000000003</v>
      </c>
      <c r="X235" s="125">
        <v>1.098E-2</v>
      </c>
      <c r="Y235" s="125">
        <v>1.055E-2</v>
      </c>
      <c r="Z235" s="126">
        <v>1.34E-3</v>
      </c>
      <c r="AA235" s="159"/>
    </row>
    <row r="236" spans="1:27" x14ac:dyDescent="0.2">
      <c r="A236" s="121" t="s">
        <v>1223</v>
      </c>
      <c r="B236" s="122" t="s">
        <v>1223</v>
      </c>
      <c r="C236" s="122" t="s">
        <v>3063</v>
      </c>
      <c r="D236" s="122"/>
      <c r="E236" s="122"/>
      <c r="F236" s="122" t="s">
        <v>3064</v>
      </c>
      <c r="G236" s="122" t="s">
        <v>3065</v>
      </c>
      <c r="H236" s="122" t="s">
        <v>102</v>
      </c>
      <c r="I236" s="122" t="s">
        <v>241</v>
      </c>
      <c r="J236" s="122"/>
      <c r="K236" s="122" t="s">
        <v>61</v>
      </c>
      <c r="L236" s="122"/>
      <c r="M236" s="122"/>
      <c r="N236" s="122" t="s">
        <v>313</v>
      </c>
      <c r="O236" s="122" t="s">
        <v>62</v>
      </c>
      <c r="P236" s="145">
        <v>43965</v>
      </c>
      <c r="Q236" s="122" t="s">
        <v>1218</v>
      </c>
      <c r="R236" s="122" t="s">
        <v>303</v>
      </c>
      <c r="S236" s="122" t="s">
        <v>305</v>
      </c>
      <c r="T236" s="145">
        <v>45926</v>
      </c>
      <c r="U236" s="123">
        <v>3.8809999999999998</v>
      </c>
      <c r="V236" s="148">
        <v>9072.2968307137344</v>
      </c>
      <c r="W236" s="123">
        <v>35209.584000000003</v>
      </c>
      <c r="X236" s="125">
        <v>2.3279999999999999E-2</v>
      </c>
      <c r="Y236" s="125">
        <v>1.014E-2</v>
      </c>
      <c r="Z236" s="126">
        <v>1.2899999999999999E-3</v>
      </c>
      <c r="AA236" s="159"/>
    </row>
    <row r="237" spans="1:27" x14ac:dyDescent="0.2">
      <c r="A237" s="121" t="s">
        <v>1223</v>
      </c>
      <c r="B237" s="122" t="s">
        <v>1223</v>
      </c>
      <c r="C237" s="122" t="s">
        <v>3074</v>
      </c>
      <c r="D237" s="122"/>
      <c r="E237" s="122"/>
      <c r="F237" s="122" t="s">
        <v>3075</v>
      </c>
      <c r="G237" s="122" t="s">
        <v>3076</v>
      </c>
      <c r="H237" s="122" t="s">
        <v>102</v>
      </c>
      <c r="I237" s="122" t="s">
        <v>749</v>
      </c>
      <c r="J237" s="122"/>
      <c r="K237" s="122" t="s">
        <v>61</v>
      </c>
      <c r="L237" s="122"/>
      <c r="M237" s="122"/>
      <c r="N237" s="122" t="s">
        <v>314</v>
      </c>
      <c r="O237" s="122" t="s">
        <v>62</v>
      </c>
      <c r="P237" s="145">
        <v>43132</v>
      </c>
      <c r="Q237" s="122" t="s">
        <v>1217</v>
      </c>
      <c r="R237" s="122" t="s">
        <v>303</v>
      </c>
      <c r="S237" s="122" t="s">
        <v>305</v>
      </c>
      <c r="T237" s="145">
        <v>45902</v>
      </c>
      <c r="U237" s="123">
        <v>3.306</v>
      </c>
      <c r="V237" s="148">
        <v>10593.365698729584</v>
      </c>
      <c r="W237" s="123">
        <v>35021.667000000001</v>
      </c>
      <c r="X237" s="122"/>
      <c r="Y237" s="125">
        <v>1.009E-2</v>
      </c>
      <c r="Z237" s="126">
        <v>1.2800000000000001E-3</v>
      </c>
      <c r="AA237" s="159"/>
    </row>
    <row r="238" spans="1:27" x14ac:dyDescent="0.2">
      <c r="A238" s="121" t="s">
        <v>1223</v>
      </c>
      <c r="B238" s="122" t="s">
        <v>1223</v>
      </c>
      <c r="C238" s="122" t="s">
        <v>3016</v>
      </c>
      <c r="D238" s="122"/>
      <c r="E238" s="122"/>
      <c r="F238" s="122" t="s">
        <v>3066</v>
      </c>
      <c r="G238" s="122" t="s">
        <v>3067</v>
      </c>
      <c r="H238" s="122" t="s">
        <v>102</v>
      </c>
      <c r="I238" s="122" t="s">
        <v>280</v>
      </c>
      <c r="J238" s="122"/>
      <c r="K238" s="122" t="s">
        <v>61</v>
      </c>
      <c r="L238" s="122"/>
      <c r="M238" s="122"/>
      <c r="N238" s="122" t="s">
        <v>314</v>
      </c>
      <c r="O238" s="122" t="s">
        <v>62</v>
      </c>
      <c r="P238" s="145">
        <v>44453</v>
      </c>
      <c r="Q238" s="122" t="s">
        <v>1217</v>
      </c>
      <c r="R238" s="122" t="s">
        <v>303</v>
      </c>
      <c r="S238" s="122" t="s">
        <v>305</v>
      </c>
      <c r="T238" s="145">
        <v>45926</v>
      </c>
      <c r="U238" s="123">
        <v>3.306</v>
      </c>
      <c r="V238" s="148">
        <v>10404.868421052632</v>
      </c>
      <c r="W238" s="123">
        <v>34398.495000000003</v>
      </c>
      <c r="X238" s="125">
        <v>2.63E-2</v>
      </c>
      <c r="Y238" s="125">
        <v>9.9100000000000004E-3</v>
      </c>
      <c r="Z238" s="126">
        <v>1.2600000000000001E-3</v>
      </c>
      <c r="AA238" s="159"/>
    </row>
    <row r="239" spans="1:27" x14ac:dyDescent="0.2">
      <c r="A239" s="121" t="s">
        <v>1223</v>
      </c>
      <c r="B239" s="122" t="s">
        <v>1223</v>
      </c>
      <c r="C239" s="122" t="s">
        <v>102</v>
      </c>
      <c r="D239" s="122"/>
      <c r="E239" s="122"/>
      <c r="F239" s="122" t="s">
        <v>3079</v>
      </c>
      <c r="G239" s="122" t="s">
        <v>3080</v>
      </c>
      <c r="H239" s="122" t="s">
        <v>102</v>
      </c>
      <c r="I239" s="122" t="s">
        <v>926</v>
      </c>
      <c r="J239" s="122"/>
      <c r="K239" s="122" t="s">
        <v>61</v>
      </c>
      <c r="L239" s="122"/>
      <c r="M239" s="122"/>
      <c r="N239" s="122" t="s">
        <v>930</v>
      </c>
      <c r="O239" s="122" t="s">
        <v>62</v>
      </c>
      <c r="P239" s="145">
        <v>43643</v>
      </c>
      <c r="Q239" s="122" t="s">
        <v>1217</v>
      </c>
      <c r="R239" s="122" t="s">
        <v>303</v>
      </c>
      <c r="S239" s="122" t="s">
        <v>305</v>
      </c>
      <c r="T239" s="145">
        <v>45926</v>
      </c>
      <c r="U239" s="123">
        <v>3.306</v>
      </c>
      <c r="V239" s="148">
        <v>10021.081064730794</v>
      </c>
      <c r="W239" s="123">
        <v>33129.694000000003</v>
      </c>
      <c r="X239" s="125">
        <v>2.5300000000000001E-3</v>
      </c>
      <c r="Y239" s="125">
        <v>9.5399999999999999E-3</v>
      </c>
      <c r="Z239" s="126">
        <v>1.2099999999999999E-3</v>
      </c>
      <c r="AA239" s="159"/>
    </row>
    <row r="240" spans="1:27" x14ac:dyDescent="0.2">
      <c r="A240" s="121" t="s">
        <v>1223</v>
      </c>
      <c r="B240" s="122" t="s">
        <v>1223</v>
      </c>
      <c r="C240" s="122" t="s">
        <v>3068</v>
      </c>
      <c r="D240" s="122"/>
      <c r="E240" s="122"/>
      <c r="F240" s="122" t="s">
        <v>3069</v>
      </c>
      <c r="G240" s="122" t="s">
        <v>3070</v>
      </c>
      <c r="H240" s="122" t="s">
        <v>102</v>
      </c>
      <c r="I240" s="122" t="s">
        <v>749</v>
      </c>
      <c r="J240" s="122"/>
      <c r="K240" s="122" t="s">
        <v>61</v>
      </c>
      <c r="L240" s="122"/>
      <c r="M240" s="122"/>
      <c r="N240" s="122" t="s">
        <v>317</v>
      </c>
      <c r="O240" s="122" t="s">
        <v>62</v>
      </c>
      <c r="P240" s="145">
        <v>44613</v>
      </c>
      <c r="Q240" s="122" t="s">
        <v>1218</v>
      </c>
      <c r="R240" s="122" t="s">
        <v>303</v>
      </c>
      <c r="S240" s="122" t="s">
        <v>305</v>
      </c>
      <c r="T240" s="145">
        <v>45918</v>
      </c>
      <c r="U240" s="123">
        <v>3.8809999999999998</v>
      </c>
      <c r="V240" s="148">
        <v>8487.5416129863443</v>
      </c>
      <c r="W240" s="123">
        <v>32940.148999999998</v>
      </c>
      <c r="X240" s="125">
        <v>1.9619999999999999E-2</v>
      </c>
      <c r="Y240" s="125">
        <v>9.4900000000000002E-3</v>
      </c>
      <c r="Z240" s="126">
        <v>1.2099999999999999E-3</v>
      </c>
      <c r="AA240" s="159"/>
    </row>
    <row r="241" spans="1:27" x14ac:dyDescent="0.2">
      <c r="A241" s="121" t="s">
        <v>1223</v>
      </c>
      <c r="B241" s="122" t="s">
        <v>1223</v>
      </c>
      <c r="C241" s="122" t="s">
        <v>3071</v>
      </c>
      <c r="D241" s="122"/>
      <c r="E241" s="122"/>
      <c r="F241" s="122" t="s">
        <v>3072</v>
      </c>
      <c r="G241" s="122" t="s">
        <v>3073</v>
      </c>
      <c r="H241" s="122" t="s">
        <v>102</v>
      </c>
      <c r="I241" s="122" t="s">
        <v>242</v>
      </c>
      <c r="J241" s="122"/>
      <c r="K241" s="122" t="s">
        <v>61</v>
      </c>
      <c r="L241" s="122"/>
      <c r="M241" s="122"/>
      <c r="N241" s="122" t="s">
        <v>930</v>
      </c>
      <c r="O241" s="122" t="s">
        <v>62</v>
      </c>
      <c r="P241" s="145">
        <v>44651</v>
      </c>
      <c r="Q241" s="122" t="s">
        <v>1217</v>
      </c>
      <c r="R241" s="122" t="s">
        <v>303</v>
      </c>
      <c r="S241" s="122" t="s">
        <v>305</v>
      </c>
      <c r="T241" s="145">
        <v>45929</v>
      </c>
      <c r="U241" s="123">
        <v>3.306</v>
      </c>
      <c r="V241" s="148">
        <v>9841.0798548094372</v>
      </c>
      <c r="W241" s="123">
        <v>32534.61</v>
      </c>
      <c r="X241" s="125">
        <v>3.5200000000000001E-3</v>
      </c>
      <c r="Y241" s="125">
        <v>9.3699999999999999E-3</v>
      </c>
      <c r="Z241" s="126">
        <v>1.1900000000000001E-3</v>
      </c>
      <c r="AA241" s="159"/>
    </row>
    <row r="242" spans="1:27" x14ac:dyDescent="0.2">
      <c r="A242" s="121" t="s">
        <v>1223</v>
      </c>
      <c r="B242" s="122" t="s">
        <v>1223</v>
      </c>
      <c r="C242" s="122" t="s">
        <v>3086</v>
      </c>
      <c r="D242" s="122"/>
      <c r="E242" s="122"/>
      <c r="F242" s="122" t="s">
        <v>3087</v>
      </c>
      <c r="G242" s="122" t="s">
        <v>3088</v>
      </c>
      <c r="H242" s="122" t="s">
        <v>102</v>
      </c>
      <c r="I242" s="122" t="s">
        <v>242</v>
      </c>
      <c r="J242" s="122"/>
      <c r="K242" s="122" t="s">
        <v>61</v>
      </c>
      <c r="L242" s="122"/>
      <c r="M242" s="122"/>
      <c r="N242" s="122" t="s">
        <v>314</v>
      </c>
      <c r="O242" s="122" t="s">
        <v>62</v>
      </c>
      <c r="P242" s="145">
        <v>43230</v>
      </c>
      <c r="Q242" s="122" t="s">
        <v>1217</v>
      </c>
      <c r="R242" s="122" t="s">
        <v>303</v>
      </c>
      <c r="S242" s="122" t="s">
        <v>305</v>
      </c>
      <c r="T242" s="145">
        <v>45918</v>
      </c>
      <c r="U242" s="123">
        <v>3.306</v>
      </c>
      <c r="V242" s="148">
        <v>9695.9395039322444</v>
      </c>
      <c r="W242" s="123">
        <v>32054.776000000002</v>
      </c>
      <c r="X242" s="125">
        <v>1.4999999999999999E-2</v>
      </c>
      <c r="Y242" s="125">
        <v>9.2300000000000004E-3</v>
      </c>
      <c r="Z242" s="126">
        <v>1.17E-3</v>
      </c>
      <c r="AA242" s="159"/>
    </row>
    <row r="243" spans="1:27" x14ac:dyDescent="0.2">
      <c r="A243" s="121" t="s">
        <v>1223</v>
      </c>
      <c r="B243" s="122" t="s">
        <v>1223</v>
      </c>
      <c r="C243" s="122" t="s">
        <v>2906</v>
      </c>
      <c r="D243" s="122"/>
      <c r="E243" s="122"/>
      <c r="F243" s="122" t="s">
        <v>3077</v>
      </c>
      <c r="G243" s="122" t="s">
        <v>3078</v>
      </c>
      <c r="H243" s="122" t="s">
        <v>102</v>
      </c>
      <c r="I243" s="122" t="s">
        <v>749</v>
      </c>
      <c r="J243" s="122"/>
      <c r="K243" s="122" t="s">
        <v>61</v>
      </c>
      <c r="L243" s="122"/>
      <c r="M243" s="122"/>
      <c r="N243" s="122" t="s">
        <v>314</v>
      </c>
      <c r="O243" s="122" t="s">
        <v>62</v>
      </c>
      <c r="P243" s="145">
        <v>44259</v>
      </c>
      <c r="Q243" s="122" t="s">
        <v>1217</v>
      </c>
      <c r="R243" s="122" t="s">
        <v>303</v>
      </c>
      <c r="S243" s="122" t="s">
        <v>305</v>
      </c>
      <c r="T243" s="145">
        <v>45930</v>
      </c>
      <c r="U243" s="123">
        <v>3.306</v>
      </c>
      <c r="V243" s="148">
        <v>9684.3935269207504</v>
      </c>
      <c r="W243" s="123">
        <v>32016.605</v>
      </c>
      <c r="X243" s="125">
        <v>6.2700000000000004E-3</v>
      </c>
      <c r="Y243" s="125">
        <v>9.2200000000000008E-3</v>
      </c>
      <c r="Z243" s="126">
        <v>1.17E-3</v>
      </c>
      <c r="AA243" s="159"/>
    </row>
    <row r="244" spans="1:27" x14ac:dyDescent="0.2">
      <c r="A244" s="121" t="s">
        <v>1223</v>
      </c>
      <c r="B244" s="122" t="s">
        <v>1223</v>
      </c>
      <c r="C244" s="122" t="s">
        <v>3089</v>
      </c>
      <c r="D244" s="122"/>
      <c r="E244" s="122"/>
      <c r="F244" s="122" t="s">
        <v>3090</v>
      </c>
      <c r="G244" s="122" t="s">
        <v>3091</v>
      </c>
      <c r="H244" s="122" t="s">
        <v>102</v>
      </c>
      <c r="I244" s="122" t="s">
        <v>749</v>
      </c>
      <c r="J244" s="122"/>
      <c r="K244" s="122" t="s">
        <v>61</v>
      </c>
      <c r="L244" s="122"/>
      <c r="M244" s="122"/>
      <c r="N244" s="122" t="s">
        <v>313</v>
      </c>
      <c r="O244" s="122" t="s">
        <v>62</v>
      </c>
      <c r="P244" s="145">
        <v>45302</v>
      </c>
      <c r="Q244" s="122" t="s">
        <v>1218</v>
      </c>
      <c r="R244" s="122" t="s">
        <v>303</v>
      </c>
      <c r="S244" s="122" t="s">
        <v>305</v>
      </c>
      <c r="T244" s="145">
        <v>45929</v>
      </c>
      <c r="U244" s="123">
        <v>3.8809999999999998</v>
      </c>
      <c r="V244" s="148">
        <v>8233.2530275702138</v>
      </c>
      <c r="W244" s="123">
        <v>31953.255000000001</v>
      </c>
      <c r="X244" s="125">
        <v>8.8209999999999997E-2</v>
      </c>
      <c r="Y244" s="125">
        <v>9.1999999999999998E-3</v>
      </c>
      <c r="Z244" s="126">
        <v>1.17E-3</v>
      </c>
      <c r="AA244" s="159"/>
    </row>
    <row r="245" spans="1:27" x14ac:dyDescent="0.2">
      <c r="A245" s="121" t="s">
        <v>1223</v>
      </c>
      <c r="B245" s="122" t="s">
        <v>1223</v>
      </c>
      <c r="C245" s="122" t="s">
        <v>3081</v>
      </c>
      <c r="D245" s="122"/>
      <c r="E245" s="122"/>
      <c r="F245" s="122" t="s">
        <v>3082</v>
      </c>
      <c r="G245" s="122" t="s">
        <v>3083</v>
      </c>
      <c r="H245" s="122" t="s">
        <v>102</v>
      </c>
      <c r="I245" s="122" t="s">
        <v>749</v>
      </c>
      <c r="J245" s="122"/>
      <c r="K245" s="122" t="s">
        <v>61</v>
      </c>
      <c r="L245" s="122"/>
      <c r="M245" s="122"/>
      <c r="N245" s="122" t="s">
        <v>188</v>
      </c>
      <c r="O245" s="122" t="s">
        <v>62</v>
      </c>
      <c r="P245" s="145">
        <v>44342</v>
      </c>
      <c r="Q245" s="122" t="s">
        <v>1217</v>
      </c>
      <c r="R245" s="122" t="s">
        <v>303</v>
      </c>
      <c r="S245" s="122" t="s">
        <v>305</v>
      </c>
      <c r="T245" s="145">
        <v>45897</v>
      </c>
      <c r="U245" s="123">
        <v>3.306</v>
      </c>
      <c r="V245" s="148">
        <v>9626.9891107078038</v>
      </c>
      <c r="W245" s="123">
        <v>31826.826000000001</v>
      </c>
      <c r="X245" s="125">
        <v>4.47E-3</v>
      </c>
      <c r="Y245" s="125">
        <v>9.1699999999999993E-3</v>
      </c>
      <c r="Z245" s="126">
        <v>1.17E-3</v>
      </c>
      <c r="AA245" s="159"/>
    </row>
    <row r="246" spans="1:27" x14ac:dyDescent="0.2">
      <c r="A246" s="121" t="s">
        <v>1223</v>
      </c>
      <c r="B246" s="122" t="s">
        <v>1223</v>
      </c>
      <c r="C246" s="122" t="s">
        <v>102</v>
      </c>
      <c r="D246" s="122"/>
      <c r="E246" s="122"/>
      <c r="F246" s="122" t="s">
        <v>3084</v>
      </c>
      <c r="G246" s="122" t="s">
        <v>3085</v>
      </c>
      <c r="H246" s="122" t="s">
        <v>102</v>
      </c>
      <c r="I246" s="122" t="s">
        <v>926</v>
      </c>
      <c r="J246" s="122"/>
      <c r="K246" s="122" t="s">
        <v>61</v>
      </c>
      <c r="L246" s="122"/>
      <c r="M246" s="122"/>
      <c r="N246" s="122" t="s">
        <v>313</v>
      </c>
      <c r="O246" s="122" t="s">
        <v>62</v>
      </c>
      <c r="P246" s="145">
        <v>44026</v>
      </c>
      <c r="Q246" s="122" t="s">
        <v>1218</v>
      </c>
      <c r="R246" s="122" t="s">
        <v>303</v>
      </c>
      <c r="S246" s="122" t="s">
        <v>305</v>
      </c>
      <c r="T246" s="145">
        <v>45900</v>
      </c>
      <c r="U246" s="123">
        <v>3.8809999999999998</v>
      </c>
      <c r="V246" s="148">
        <v>7917.6665807781501</v>
      </c>
      <c r="W246" s="123">
        <v>30728.464</v>
      </c>
      <c r="X246" s="125">
        <v>9.8640000000000005E-2</v>
      </c>
      <c r="Y246" s="125">
        <v>8.8500000000000002E-3</v>
      </c>
      <c r="Z246" s="126">
        <v>1.1299999999999999E-3</v>
      </c>
      <c r="AA246" s="159"/>
    </row>
    <row r="247" spans="1:27" x14ac:dyDescent="0.2">
      <c r="A247" s="121" t="s">
        <v>1223</v>
      </c>
      <c r="B247" s="122" t="s">
        <v>1223</v>
      </c>
      <c r="C247" s="122" t="s">
        <v>3092</v>
      </c>
      <c r="D247" s="122"/>
      <c r="E247" s="122"/>
      <c r="F247" s="122" t="s">
        <v>3093</v>
      </c>
      <c r="G247" s="122" t="s">
        <v>3094</v>
      </c>
      <c r="H247" s="122" t="s">
        <v>102</v>
      </c>
      <c r="I247" s="122" t="s">
        <v>749</v>
      </c>
      <c r="J247" s="122"/>
      <c r="K247" s="122" t="s">
        <v>61</v>
      </c>
      <c r="L247" s="122"/>
      <c r="M247" s="122"/>
      <c r="N247" s="122" t="s">
        <v>930</v>
      </c>
      <c r="O247" s="122" t="s">
        <v>62</v>
      </c>
      <c r="P247" s="145">
        <v>43934</v>
      </c>
      <c r="Q247" s="122" t="s">
        <v>1217</v>
      </c>
      <c r="R247" s="122" t="s">
        <v>303</v>
      </c>
      <c r="S247" s="122" t="s">
        <v>305</v>
      </c>
      <c r="T247" s="145">
        <v>45900</v>
      </c>
      <c r="U247" s="123">
        <v>3.306</v>
      </c>
      <c r="V247" s="148">
        <v>9012.6200846944957</v>
      </c>
      <c r="W247" s="123">
        <v>29795.722000000002</v>
      </c>
      <c r="X247" s="125">
        <v>4.5100000000000001E-2</v>
      </c>
      <c r="Y247" s="125">
        <v>8.5800000000000008E-3</v>
      </c>
      <c r="Z247" s="126">
        <v>1.09E-3</v>
      </c>
      <c r="AA247" s="159"/>
    </row>
    <row r="248" spans="1:27" x14ac:dyDescent="0.2">
      <c r="A248" s="121" t="s">
        <v>1223</v>
      </c>
      <c r="B248" s="122" t="s">
        <v>1223</v>
      </c>
      <c r="C248" s="122" t="s">
        <v>3110</v>
      </c>
      <c r="D248" s="122"/>
      <c r="E248" s="122"/>
      <c r="F248" s="122" t="s">
        <v>3111</v>
      </c>
      <c r="G248" s="122" t="s">
        <v>3112</v>
      </c>
      <c r="H248" s="122" t="s">
        <v>102</v>
      </c>
      <c r="I248" s="122" t="s">
        <v>241</v>
      </c>
      <c r="J248" s="122"/>
      <c r="K248" s="122" t="s">
        <v>61</v>
      </c>
      <c r="L248" s="122"/>
      <c r="M248" s="122"/>
      <c r="N248" s="122" t="s">
        <v>930</v>
      </c>
      <c r="O248" s="122" t="s">
        <v>62</v>
      </c>
      <c r="P248" s="145">
        <v>42908</v>
      </c>
      <c r="Q248" s="122" t="s">
        <v>1217</v>
      </c>
      <c r="R248" s="122" t="s">
        <v>303</v>
      </c>
      <c r="S248" s="122" t="s">
        <v>305</v>
      </c>
      <c r="T248" s="145">
        <v>45889</v>
      </c>
      <c r="U248" s="123">
        <v>3.306</v>
      </c>
      <c r="V248" s="148">
        <v>8739.1336963097401</v>
      </c>
      <c r="W248" s="123">
        <v>28891.576000000001</v>
      </c>
      <c r="X248" s="125">
        <v>7.2450000000000001E-2</v>
      </c>
      <c r="Y248" s="125">
        <v>8.3199999999999993E-3</v>
      </c>
      <c r="Z248" s="126">
        <v>1.06E-3</v>
      </c>
      <c r="AA248" s="159"/>
    </row>
    <row r="249" spans="1:27" x14ac:dyDescent="0.2">
      <c r="A249" s="121" t="s">
        <v>1223</v>
      </c>
      <c r="B249" s="122" t="s">
        <v>1223</v>
      </c>
      <c r="C249" s="122" t="s">
        <v>3095</v>
      </c>
      <c r="D249" s="122"/>
      <c r="E249" s="122"/>
      <c r="F249" s="122" t="s">
        <v>3096</v>
      </c>
      <c r="G249" s="122" t="s">
        <v>3097</v>
      </c>
      <c r="H249" s="122" t="s">
        <v>102</v>
      </c>
      <c r="I249" s="122" t="s">
        <v>749</v>
      </c>
      <c r="J249" s="122"/>
      <c r="K249" s="122" t="s">
        <v>61</v>
      </c>
      <c r="L249" s="122"/>
      <c r="M249" s="122"/>
      <c r="N249" s="122" t="s">
        <v>313</v>
      </c>
      <c r="O249" s="122" t="s">
        <v>62</v>
      </c>
      <c r="P249" s="145">
        <v>44195</v>
      </c>
      <c r="Q249" s="122" t="s">
        <v>1217</v>
      </c>
      <c r="R249" s="122" t="s">
        <v>303</v>
      </c>
      <c r="S249" s="122" t="s">
        <v>305</v>
      </c>
      <c r="T249" s="145">
        <v>45897</v>
      </c>
      <c r="U249" s="123">
        <v>3.306</v>
      </c>
      <c r="V249" s="148">
        <v>8691.6545674531153</v>
      </c>
      <c r="W249" s="123">
        <v>28734.61</v>
      </c>
      <c r="X249" s="125">
        <v>8.1999999999999998E-4</v>
      </c>
      <c r="Y249" s="125">
        <v>8.2799999999999992E-3</v>
      </c>
      <c r="Z249" s="126">
        <v>1.0499999999999999E-3</v>
      </c>
      <c r="AA249" s="159"/>
    </row>
    <row r="250" spans="1:27" x14ac:dyDescent="0.2">
      <c r="A250" s="121" t="s">
        <v>1223</v>
      </c>
      <c r="B250" s="122" t="s">
        <v>1223</v>
      </c>
      <c r="C250" s="122" t="s">
        <v>3098</v>
      </c>
      <c r="D250" s="122"/>
      <c r="E250" s="122"/>
      <c r="F250" s="122" t="s">
        <v>3099</v>
      </c>
      <c r="G250" s="122" t="s">
        <v>3100</v>
      </c>
      <c r="H250" s="122" t="s">
        <v>102</v>
      </c>
      <c r="I250" s="122" t="s">
        <v>926</v>
      </c>
      <c r="J250" s="122"/>
      <c r="K250" s="122" t="s">
        <v>61</v>
      </c>
      <c r="L250" s="122"/>
      <c r="M250" s="122"/>
      <c r="N250" s="122" t="s">
        <v>314</v>
      </c>
      <c r="O250" s="122" t="s">
        <v>62</v>
      </c>
      <c r="P250" s="145">
        <v>45252</v>
      </c>
      <c r="Q250" s="122" t="s">
        <v>1217</v>
      </c>
      <c r="R250" s="122" t="s">
        <v>303</v>
      </c>
      <c r="S250" s="122" t="s">
        <v>305</v>
      </c>
      <c r="T250" s="145">
        <v>45902</v>
      </c>
      <c r="U250" s="123">
        <v>3.306</v>
      </c>
      <c r="V250" s="148">
        <v>8645.5287356321842</v>
      </c>
      <c r="W250" s="123">
        <v>28582.117999999999</v>
      </c>
      <c r="X250" s="125">
        <v>2.2790000000000001E-2</v>
      </c>
      <c r="Y250" s="125">
        <v>8.2299999999999995E-3</v>
      </c>
      <c r="Z250" s="126">
        <v>1.0499999999999999E-3</v>
      </c>
      <c r="AA250" s="159"/>
    </row>
    <row r="251" spans="1:27" x14ac:dyDescent="0.2">
      <c r="A251" s="121" t="s">
        <v>1223</v>
      </c>
      <c r="B251" s="122" t="s">
        <v>1223</v>
      </c>
      <c r="C251" s="122" t="s">
        <v>3113</v>
      </c>
      <c r="D251" s="122"/>
      <c r="E251" s="122"/>
      <c r="F251" s="122" t="s">
        <v>3114</v>
      </c>
      <c r="G251" s="122" t="s">
        <v>3115</v>
      </c>
      <c r="H251" s="122" t="s">
        <v>102</v>
      </c>
      <c r="I251" s="122" t="s">
        <v>280</v>
      </c>
      <c r="J251" s="122"/>
      <c r="K251" s="122" t="s">
        <v>61</v>
      </c>
      <c r="L251" s="122"/>
      <c r="M251" s="122"/>
      <c r="N251" s="122" t="s">
        <v>192</v>
      </c>
      <c r="O251" s="122" t="s">
        <v>62</v>
      </c>
      <c r="P251" s="145">
        <v>44651</v>
      </c>
      <c r="Q251" s="122" t="s">
        <v>1218</v>
      </c>
      <c r="R251" s="122" t="s">
        <v>303</v>
      </c>
      <c r="S251" s="122" t="s">
        <v>305</v>
      </c>
      <c r="T251" s="145">
        <v>45869</v>
      </c>
      <c r="U251" s="123">
        <v>3.8809999999999998</v>
      </c>
      <c r="V251" s="148">
        <v>7257.547539293997</v>
      </c>
      <c r="W251" s="123">
        <v>28166.542000000001</v>
      </c>
      <c r="X251" s="125">
        <v>3.6459999999999999E-2</v>
      </c>
      <c r="Y251" s="125">
        <v>8.1099999999999992E-3</v>
      </c>
      <c r="Z251" s="126">
        <v>1.0300000000000001E-3</v>
      </c>
      <c r="AA251" s="159"/>
    </row>
    <row r="252" spans="1:27" x14ac:dyDescent="0.2">
      <c r="A252" s="121" t="s">
        <v>1223</v>
      </c>
      <c r="B252" s="122" t="s">
        <v>1223</v>
      </c>
      <c r="C252" s="122" t="s">
        <v>3101</v>
      </c>
      <c r="D252" s="122"/>
      <c r="E252" s="122"/>
      <c r="F252" s="122" t="s">
        <v>3102</v>
      </c>
      <c r="G252" s="122" t="s">
        <v>3103</v>
      </c>
      <c r="H252" s="122" t="s">
        <v>102</v>
      </c>
      <c r="I252" s="122" t="s">
        <v>280</v>
      </c>
      <c r="J252" s="122"/>
      <c r="K252" s="122" t="s">
        <v>61</v>
      </c>
      <c r="L252" s="122"/>
      <c r="M252" s="122"/>
      <c r="N252" s="122" t="s">
        <v>313</v>
      </c>
      <c r="O252" s="122" t="s">
        <v>62</v>
      </c>
      <c r="P252" s="145">
        <v>44427</v>
      </c>
      <c r="Q252" s="122" t="s">
        <v>1218</v>
      </c>
      <c r="R252" s="122" t="s">
        <v>303</v>
      </c>
      <c r="S252" s="122" t="s">
        <v>305</v>
      </c>
      <c r="T252" s="145">
        <v>45887</v>
      </c>
      <c r="U252" s="123">
        <v>3.8809999999999998</v>
      </c>
      <c r="V252" s="148">
        <v>7083.8198917804693</v>
      </c>
      <c r="W252" s="123">
        <v>27492.305</v>
      </c>
      <c r="X252" s="125">
        <v>9.0600000000000003E-3</v>
      </c>
      <c r="Y252" s="125">
        <v>7.92E-3</v>
      </c>
      <c r="Z252" s="126">
        <v>1.01E-3</v>
      </c>
      <c r="AA252" s="159"/>
    </row>
    <row r="253" spans="1:27" x14ac:dyDescent="0.2">
      <c r="A253" s="121" t="s">
        <v>1223</v>
      </c>
      <c r="B253" s="122" t="s">
        <v>1223</v>
      </c>
      <c r="C253" s="122" t="s">
        <v>3104</v>
      </c>
      <c r="D253" s="122"/>
      <c r="E253" s="122"/>
      <c r="F253" s="122" t="s">
        <v>3105</v>
      </c>
      <c r="G253" s="122" t="s">
        <v>3106</v>
      </c>
      <c r="H253" s="122" t="s">
        <v>102</v>
      </c>
      <c r="I253" s="122" t="s">
        <v>749</v>
      </c>
      <c r="J253" s="122"/>
      <c r="K253" s="122" t="s">
        <v>61</v>
      </c>
      <c r="L253" s="122"/>
      <c r="M253" s="122"/>
      <c r="N253" s="122" t="s">
        <v>930</v>
      </c>
      <c r="O253" s="122" t="s">
        <v>62</v>
      </c>
      <c r="P253" s="145">
        <v>43971</v>
      </c>
      <c r="Q253" s="122" t="s">
        <v>1217</v>
      </c>
      <c r="R253" s="122" t="s">
        <v>303</v>
      </c>
      <c r="S253" s="122" t="s">
        <v>305</v>
      </c>
      <c r="T253" s="145">
        <v>45930</v>
      </c>
      <c r="U253" s="123">
        <v>3.306</v>
      </c>
      <c r="V253" s="148">
        <v>8290.2495462794905</v>
      </c>
      <c r="W253" s="123">
        <v>27407.564999999999</v>
      </c>
      <c r="X253" s="125">
        <v>5.0800000000000003E-3</v>
      </c>
      <c r="Y253" s="125">
        <v>7.8899999999999994E-3</v>
      </c>
      <c r="Z253" s="126">
        <v>1E-3</v>
      </c>
      <c r="AA253" s="159"/>
    </row>
    <row r="254" spans="1:27" x14ac:dyDescent="0.2">
      <c r="A254" s="121" t="s">
        <v>1223</v>
      </c>
      <c r="B254" s="122" t="s">
        <v>1223</v>
      </c>
      <c r="C254" s="122" t="s">
        <v>3116</v>
      </c>
      <c r="D254" s="122"/>
      <c r="E254" s="122"/>
      <c r="F254" s="122" t="s">
        <v>3117</v>
      </c>
      <c r="G254" s="122" t="s">
        <v>3118</v>
      </c>
      <c r="H254" s="122" t="s">
        <v>102</v>
      </c>
      <c r="I254" s="122" t="s">
        <v>280</v>
      </c>
      <c r="J254" s="122"/>
      <c r="K254" s="122" t="s">
        <v>61</v>
      </c>
      <c r="L254" s="122"/>
      <c r="M254" s="122"/>
      <c r="N254" s="122" t="s">
        <v>930</v>
      </c>
      <c r="O254" s="122" t="s">
        <v>62</v>
      </c>
      <c r="P254" s="145">
        <v>45124</v>
      </c>
      <c r="Q254" s="122" t="s">
        <v>1217</v>
      </c>
      <c r="R254" s="122" t="s">
        <v>303</v>
      </c>
      <c r="S254" s="122" t="s">
        <v>305</v>
      </c>
      <c r="T254" s="145">
        <v>45904</v>
      </c>
      <c r="U254" s="123">
        <v>3.306</v>
      </c>
      <c r="V254" s="148">
        <v>8269.78463399879</v>
      </c>
      <c r="W254" s="123">
        <v>27339.907999999999</v>
      </c>
      <c r="X254" s="122"/>
      <c r="Y254" s="125">
        <v>7.8700000000000003E-3</v>
      </c>
      <c r="Z254" s="126">
        <v>1E-3</v>
      </c>
      <c r="AA254" s="159"/>
    </row>
    <row r="255" spans="1:27" x14ac:dyDescent="0.2">
      <c r="A255" s="121" t="s">
        <v>1223</v>
      </c>
      <c r="B255" s="122" t="s">
        <v>1223</v>
      </c>
      <c r="C255" s="122" t="s">
        <v>3107</v>
      </c>
      <c r="D255" s="122"/>
      <c r="E255" s="122"/>
      <c r="F255" s="122" t="s">
        <v>3108</v>
      </c>
      <c r="G255" s="122" t="s">
        <v>3109</v>
      </c>
      <c r="H255" s="122" t="s">
        <v>102</v>
      </c>
      <c r="I255" s="122" t="s">
        <v>241</v>
      </c>
      <c r="J255" s="122"/>
      <c r="K255" s="122" t="s">
        <v>61</v>
      </c>
      <c r="L255" s="122"/>
      <c r="M255" s="122"/>
      <c r="N255" s="122" t="s">
        <v>930</v>
      </c>
      <c r="O255" s="122" t="s">
        <v>62</v>
      </c>
      <c r="P255" s="145">
        <v>43971</v>
      </c>
      <c r="Q255" s="122" t="s">
        <v>1217</v>
      </c>
      <c r="R255" s="122" t="s">
        <v>303</v>
      </c>
      <c r="S255" s="122" t="s">
        <v>305</v>
      </c>
      <c r="T255" s="145">
        <v>45896</v>
      </c>
      <c r="U255" s="123">
        <v>3.306</v>
      </c>
      <c r="V255" s="148">
        <v>8144.1560798548098</v>
      </c>
      <c r="W255" s="123">
        <v>26924.58</v>
      </c>
      <c r="X255" s="125">
        <v>6.13E-3</v>
      </c>
      <c r="Y255" s="125">
        <v>7.7499999999999999E-3</v>
      </c>
      <c r="Z255" s="126">
        <v>9.8999999999999999E-4</v>
      </c>
      <c r="AA255" s="159"/>
    </row>
    <row r="256" spans="1:27" x14ac:dyDescent="0.2">
      <c r="A256" s="121" t="s">
        <v>1223</v>
      </c>
      <c r="B256" s="122" t="s">
        <v>1223</v>
      </c>
      <c r="C256" s="122" t="s">
        <v>3119</v>
      </c>
      <c r="D256" s="122"/>
      <c r="E256" s="122"/>
      <c r="F256" s="122" t="s">
        <v>3120</v>
      </c>
      <c r="G256" s="122" t="s">
        <v>3121</v>
      </c>
      <c r="H256" s="122" t="s">
        <v>102</v>
      </c>
      <c r="I256" s="122" t="s">
        <v>749</v>
      </c>
      <c r="J256" s="122"/>
      <c r="K256" s="122" t="s">
        <v>61</v>
      </c>
      <c r="L256" s="122"/>
      <c r="M256" s="122"/>
      <c r="N256" s="122" t="s">
        <v>930</v>
      </c>
      <c r="O256" s="122" t="s">
        <v>62</v>
      </c>
      <c r="P256" s="145">
        <v>43300</v>
      </c>
      <c r="Q256" s="122" t="s">
        <v>1217</v>
      </c>
      <c r="R256" s="122" t="s">
        <v>303</v>
      </c>
      <c r="S256" s="122" t="s">
        <v>305</v>
      </c>
      <c r="T256" s="145">
        <v>45904</v>
      </c>
      <c r="U256" s="123">
        <v>3.306</v>
      </c>
      <c r="V256" s="148">
        <v>8041.0747126436781</v>
      </c>
      <c r="W256" s="123">
        <v>26583.793000000001</v>
      </c>
      <c r="X256" s="122"/>
      <c r="Y256" s="125">
        <v>7.6600000000000001E-3</v>
      </c>
      <c r="Z256" s="126">
        <v>9.7000000000000005E-4</v>
      </c>
      <c r="AA256" s="159"/>
    </row>
    <row r="257" spans="1:27" x14ac:dyDescent="0.2">
      <c r="A257" s="121" t="s">
        <v>1223</v>
      </c>
      <c r="B257" s="122" t="s">
        <v>1223</v>
      </c>
      <c r="C257" s="122" t="s">
        <v>3136</v>
      </c>
      <c r="D257" s="122"/>
      <c r="E257" s="122"/>
      <c r="F257" s="122" t="s">
        <v>3137</v>
      </c>
      <c r="G257" s="122" t="s">
        <v>3138</v>
      </c>
      <c r="H257" s="122" t="s">
        <v>102</v>
      </c>
      <c r="I257" s="122" t="s">
        <v>241</v>
      </c>
      <c r="J257" s="122"/>
      <c r="K257" s="122" t="s">
        <v>61</v>
      </c>
      <c r="L257" s="122"/>
      <c r="M257" s="122"/>
      <c r="N257" s="122" t="s">
        <v>314</v>
      </c>
      <c r="O257" s="122" t="s">
        <v>62</v>
      </c>
      <c r="P257" s="145">
        <v>42541</v>
      </c>
      <c r="Q257" s="122" t="s">
        <v>1217</v>
      </c>
      <c r="R257" s="122" t="s">
        <v>303</v>
      </c>
      <c r="S257" s="122" t="s">
        <v>305</v>
      </c>
      <c r="T257" s="145">
        <v>45889</v>
      </c>
      <c r="U257" s="123">
        <v>3.306</v>
      </c>
      <c r="V257" s="148">
        <v>7921.9216575922565</v>
      </c>
      <c r="W257" s="123">
        <v>26189.873</v>
      </c>
      <c r="X257" s="122"/>
      <c r="Y257" s="125">
        <v>7.5399999999999998E-3</v>
      </c>
      <c r="Z257" s="126">
        <v>9.6000000000000002E-4</v>
      </c>
      <c r="AA257" s="159"/>
    </row>
    <row r="258" spans="1:27" x14ac:dyDescent="0.2">
      <c r="A258" s="121" t="s">
        <v>1223</v>
      </c>
      <c r="B258" s="122" t="s">
        <v>1223</v>
      </c>
      <c r="C258" s="122" t="s">
        <v>3071</v>
      </c>
      <c r="D258" s="122"/>
      <c r="E258" s="122"/>
      <c r="F258" s="122" t="s">
        <v>3131</v>
      </c>
      <c r="G258" s="122" t="s">
        <v>3132</v>
      </c>
      <c r="H258" s="122" t="s">
        <v>102</v>
      </c>
      <c r="I258" s="122" t="s">
        <v>749</v>
      </c>
      <c r="J258" s="122"/>
      <c r="K258" s="122" t="s">
        <v>61</v>
      </c>
      <c r="L258" s="122"/>
      <c r="M258" s="122"/>
      <c r="N258" s="122" t="s">
        <v>317</v>
      </c>
      <c r="O258" s="122" t="s">
        <v>62</v>
      </c>
      <c r="P258" s="145">
        <v>45140</v>
      </c>
      <c r="Q258" s="122" t="s">
        <v>1217</v>
      </c>
      <c r="R258" s="122" t="s">
        <v>303</v>
      </c>
      <c r="S258" s="122" t="s">
        <v>305</v>
      </c>
      <c r="T258" s="145">
        <v>45930</v>
      </c>
      <c r="U258" s="123">
        <v>3.306</v>
      </c>
      <c r="V258" s="148">
        <v>7726.4525105868115</v>
      </c>
      <c r="W258" s="123">
        <v>25543.651999999998</v>
      </c>
      <c r="X258" s="125">
        <v>9.171E-2</v>
      </c>
      <c r="Y258" s="125">
        <v>7.3600000000000002E-3</v>
      </c>
      <c r="Z258" s="126">
        <v>9.3999999999999997E-4</v>
      </c>
      <c r="AA258" s="159"/>
    </row>
    <row r="259" spans="1:27" x14ac:dyDescent="0.2">
      <c r="A259" s="121" t="s">
        <v>1223</v>
      </c>
      <c r="B259" s="122" t="s">
        <v>1223</v>
      </c>
      <c r="C259" s="122" t="s">
        <v>3122</v>
      </c>
      <c r="D259" s="122"/>
      <c r="E259" s="122"/>
      <c r="F259" s="122" t="s">
        <v>3123</v>
      </c>
      <c r="G259" s="122" t="s">
        <v>3124</v>
      </c>
      <c r="H259" s="122" t="s">
        <v>102</v>
      </c>
      <c r="I259" s="122" t="s">
        <v>241</v>
      </c>
      <c r="J259" s="122"/>
      <c r="K259" s="122" t="s">
        <v>61</v>
      </c>
      <c r="L259" s="122"/>
      <c r="M259" s="122"/>
      <c r="N259" s="122" t="s">
        <v>930</v>
      </c>
      <c r="O259" s="122" t="s">
        <v>62</v>
      </c>
      <c r="P259" s="145">
        <v>43689</v>
      </c>
      <c r="Q259" s="122" t="s">
        <v>1217</v>
      </c>
      <c r="R259" s="122" t="s">
        <v>303</v>
      </c>
      <c r="S259" s="122" t="s">
        <v>305</v>
      </c>
      <c r="T259" s="145">
        <v>45889</v>
      </c>
      <c r="U259" s="123">
        <v>3.306</v>
      </c>
      <c r="V259" s="148">
        <v>7669.2785843920137</v>
      </c>
      <c r="W259" s="123">
        <v>25354.634999999998</v>
      </c>
      <c r="X259" s="122"/>
      <c r="Y259" s="125">
        <v>7.3000000000000001E-3</v>
      </c>
      <c r="Z259" s="126">
        <v>9.3000000000000005E-4</v>
      </c>
      <c r="AA259" s="159"/>
    </row>
    <row r="260" spans="1:27" x14ac:dyDescent="0.2">
      <c r="A260" s="121" t="s">
        <v>1223</v>
      </c>
      <c r="B260" s="122" t="s">
        <v>1223</v>
      </c>
      <c r="C260" s="122" t="s">
        <v>3125</v>
      </c>
      <c r="D260" s="122"/>
      <c r="E260" s="122"/>
      <c r="F260" s="122" t="s">
        <v>3126</v>
      </c>
      <c r="G260" s="122" t="s">
        <v>3127</v>
      </c>
      <c r="H260" s="122" t="s">
        <v>102</v>
      </c>
      <c r="I260" s="122" t="s">
        <v>241</v>
      </c>
      <c r="J260" s="122"/>
      <c r="K260" s="122" t="s">
        <v>61</v>
      </c>
      <c r="L260" s="122"/>
      <c r="M260" s="122"/>
      <c r="N260" s="122" t="s">
        <v>314</v>
      </c>
      <c r="O260" s="122" t="s">
        <v>62</v>
      </c>
      <c r="P260" s="145">
        <v>45218</v>
      </c>
      <c r="Q260" s="122" t="s">
        <v>1217</v>
      </c>
      <c r="R260" s="122" t="s">
        <v>303</v>
      </c>
      <c r="S260" s="122" t="s">
        <v>305</v>
      </c>
      <c r="T260" s="145">
        <v>45900</v>
      </c>
      <c r="U260" s="123">
        <v>3.306</v>
      </c>
      <c r="V260" s="148">
        <v>7557.2725347852393</v>
      </c>
      <c r="W260" s="123">
        <v>24984.343000000001</v>
      </c>
      <c r="X260" s="122"/>
      <c r="Y260" s="125">
        <v>7.1999999999999998E-3</v>
      </c>
      <c r="Z260" s="126">
        <v>9.2000000000000003E-4</v>
      </c>
      <c r="AA260" s="159"/>
    </row>
    <row r="261" spans="1:27" x14ac:dyDescent="0.2">
      <c r="A261" s="121" t="s">
        <v>1223</v>
      </c>
      <c r="B261" s="122" t="s">
        <v>1223</v>
      </c>
      <c r="C261" s="122" t="s">
        <v>3128</v>
      </c>
      <c r="D261" s="122"/>
      <c r="E261" s="122"/>
      <c r="F261" s="122" t="s">
        <v>3129</v>
      </c>
      <c r="G261" s="122" t="s">
        <v>3130</v>
      </c>
      <c r="H261" s="122" t="s">
        <v>102</v>
      </c>
      <c r="I261" s="122" t="s">
        <v>749</v>
      </c>
      <c r="J261" s="122"/>
      <c r="K261" s="122" t="s">
        <v>61</v>
      </c>
      <c r="L261" s="122"/>
      <c r="M261" s="122"/>
      <c r="N261" s="122" t="s">
        <v>317</v>
      </c>
      <c r="O261" s="122" t="s">
        <v>62</v>
      </c>
      <c r="P261" s="145">
        <v>44143</v>
      </c>
      <c r="Q261" s="122" t="s">
        <v>1218</v>
      </c>
      <c r="R261" s="122" t="s">
        <v>303</v>
      </c>
      <c r="S261" s="122" t="s">
        <v>305</v>
      </c>
      <c r="T261" s="145">
        <v>45888</v>
      </c>
      <c r="U261" s="123">
        <v>3.8809999999999998</v>
      </c>
      <c r="V261" s="148">
        <v>6281.7289358412781</v>
      </c>
      <c r="W261" s="123">
        <v>24379.39</v>
      </c>
      <c r="X261" s="125">
        <v>4.2000000000000002E-4</v>
      </c>
      <c r="Y261" s="125">
        <v>7.0200000000000002E-3</v>
      </c>
      <c r="Z261" s="126">
        <v>8.8999999999999995E-4</v>
      </c>
      <c r="AA261" s="159"/>
    </row>
    <row r="262" spans="1:27" x14ac:dyDescent="0.2">
      <c r="A262" s="121" t="s">
        <v>1223</v>
      </c>
      <c r="B262" s="122" t="s">
        <v>1223</v>
      </c>
      <c r="C262" s="122" t="s">
        <v>3133</v>
      </c>
      <c r="D262" s="122"/>
      <c r="E262" s="122"/>
      <c r="F262" s="122" t="s">
        <v>3134</v>
      </c>
      <c r="G262" s="122" t="s">
        <v>3135</v>
      </c>
      <c r="H262" s="122" t="s">
        <v>102</v>
      </c>
      <c r="I262" s="122" t="s">
        <v>749</v>
      </c>
      <c r="J262" s="122"/>
      <c r="K262" s="122" t="s">
        <v>61</v>
      </c>
      <c r="L262" s="122"/>
      <c r="M262" s="122"/>
      <c r="N262" s="122" t="s">
        <v>53</v>
      </c>
      <c r="O262" s="122" t="s">
        <v>62</v>
      </c>
      <c r="P262" s="145">
        <v>43934</v>
      </c>
      <c r="Q262" s="122" t="s">
        <v>1217</v>
      </c>
      <c r="R262" s="122" t="s">
        <v>303</v>
      </c>
      <c r="S262" s="122" t="s">
        <v>305</v>
      </c>
      <c r="T262" s="145">
        <v>45882</v>
      </c>
      <c r="U262" s="123">
        <v>3.306</v>
      </c>
      <c r="V262" s="148">
        <v>7183.9573502722324</v>
      </c>
      <c r="W262" s="123">
        <v>23750.163</v>
      </c>
      <c r="X262" s="125">
        <v>1.3729999999999999E-2</v>
      </c>
      <c r="Y262" s="125">
        <v>6.8399999999999997E-3</v>
      </c>
      <c r="Z262" s="126">
        <v>8.7000000000000001E-4</v>
      </c>
      <c r="AA262" s="159"/>
    </row>
    <row r="263" spans="1:27" x14ac:dyDescent="0.2">
      <c r="A263" s="121" t="s">
        <v>1223</v>
      </c>
      <c r="B263" s="122" t="s">
        <v>1223</v>
      </c>
      <c r="C263" s="122" t="s">
        <v>3139</v>
      </c>
      <c r="D263" s="122"/>
      <c r="E263" s="122"/>
      <c r="F263" s="122" t="s">
        <v>3140</v>
      </c>
      <c r="G263" s="122" t="s">
        <v>3141</v>
      </c>
      <c r="H263" s="122" t="s">
        <v>102</v>
      </c>
      <c r="I263" s="122" t="s">
        <v>749</v>
      </c>
      <c r="J263" s="122"/>
      <c r="K263" s="122" t="s">
        <v>61</v>
      </c>
      <c r="L263" s="122"/>
      <c r="M263" s="122"/>
      <c r="N263" s="122" t="s">
        <v>314</v>
      </c>
      <c r="O263" s="122" t="s">
        <v>62</v>
      </c>
      <c r="P263" s="145">
        <v>44769</v>
      </c>
      <c r="Q263" s="122" t="s">
        <v>1217</v>
      </c>
      <c r="R263" s="122" t="s">
        <v>303</v>
      </c>
      <c r="S263" s="122" t="s">
        <v>305</v>
      </c>
      <c r="T263" s="145">
        <v>45902</v>
      </c>
      <c r="U263" s="123">
        <v>3.306</v>
      </c>
      <c r="V263" s="148">
        <v>7153.8284936479131</v>
      </c>
      <c r="W263" s="123">
        <v>23650.557000000001</v>
      </c>
      <c r="X263" s="125">
        <v>8.9029999999999998E-2</v>
      </c>
      <c r="Y263" s="125">
        <v>6.8100000000000001E-3</v>
      </c>
      <c r="Z263" s="126">
        <v>8.7000000000000001E-4</v>
      </c>
      <c r="AA263" s="159"/>
    </row>
    <row r="264" spans="1:27" x14ac:dyDescent="0.2">
      <c r="A264" s="121" t="s">
        <v>1223</v>
      </c>
      <c r="B264" s="122" t="s">
        <v>1223</v>
      </c>
      <c r="C264" s="122" t="s">
        <v>3142</v>
      </c>
      <c r="D264" s="122"/>
      <c r="E264" s="122"/>
      <c r="F264" s="122" t="s">
        <v>3143</v>
      </c>
      <c r="G264" s="122" t="s">
        <v>3144</v>
      </c>
      <c r="H264" s="122" t="s">
        <v>102</v>
      </c>
      <c r="I264" s="122" t="s">
        <v>926</v>
      </c>
      <c r="J264" s="122"/>
      <c r="K264" s="122" t="s">
        <v>61</v>
      </c>
      <c r="L264" s="122"/>
      <c r="M264" s="122"/>
      <c r="N264" s="122" t="s">
        <v>930</v>
      </c>
      <c r="O264" s="122" t="s">
        <v>62</v>
      </c>
      <c r="P264" s="145">
        <v>44742</v>
      </c>
      <c r="Q264" s="122" t="s">
        <v>1217</v>
      </c>
      <c r="R264" s="122" t="s">
        <v>303</v>
      </c>
      <c r="S264" s="122" t="s">
        <v>305</v>
      </c>
      <c r="T264" s="145">
        <v>45930</v>
      </c>
      <c r="U264" s="123">
        <v>3.306</v>
      </c>
      <c r="V264" s="148">
        <v>7097.0986085904424</v>
      </c>
      <c r="W264" s="123">
        <v>23463.008000000002</v>
      </c>
      <c r="X264" s="125">
        <v>1.695E-2</v>
      </c>
      <c r="Y264" s="125">
        <v>6.7600000000000004E-3</v>
      </c>
      <c r="Z264" s="126">
        <v>8.5999999999999998E-4</v>
      </c>
      <c r="AA264" s="159"/>
    </row>
    <row r="265" spans="1:27" x14ac:dyDescent="0.2">
      <c r="A265" s="121" t="s">
        <v>1223</v>
      </c>
      <c r="B265" s="122" t="s">
        <v>1223</v>
      </c>
      <c r="C265" s="122" t="s">
        <v>3145</v>
      </c>
      <c r="D265" s="122"/>
      <c r="E265" s="122"/>
      <c r="F265" s="122" t="s">
        <v>3146</v>
      </c>
      <c r="G265" s="122" t="s">
        <v>3147</v>
      </c>
      <c r="H265" s="122" t="s">
        <v>102</v>
      </c>
      <c r="I265" s="122" t="s">
        <v>242</v>
      </c>
      <c r="J265" s="122"/>
      <c r="K265" s="122" t="s">
        <v>61</v>
      </c>
      <c r="L265" s="122"/>
      <c r="M265" s="122"/>
      <c r="N265" s="122" t="s">
        <v>314</v>
      </c>
      <c r="O265" s="122" t="s">
        <v>62</v>
      </c>
      <c r="P265" s="145">
        <v>45862</v>
      </c>
      <c r="Q265" s="122" t="s">
        <v>1217</v>
      </c>
      <c r="R265" s="122" t="s">
        <v>303</v>
      </c>
      <c r="S265" s="122" t="s">
        <v>305</v>
      </c>
      <c r="T265" s="145">
        <v>45869</v>
      </c>
      <c r="U265" s="123">
        <v>3.306</v>
      </c>
      <c r="V265" s="148">
        <v>6311.8941318814277</v>
      </c>
      <c r="W265" s="123">
        <v>20867.121999999999</v>
      </c>
      <c r="X265" s="125">
        <v>1.244E-2</v>
      </c>
      <c r="Y265" s="125">
        <v>6.0099999999999997E-3</v>
      </c>
      <c r="Z265" s="126">
        <v>7.6000000000000004E-4</v>
      </c>
      <c r="AA265" s="159"/>
    </row>
    <row r="266" spans="1:27" x14ac:dyDescent="0.2">
      <c r="A266" s="121" t="s">
        <v>1223</v>
      </c>
      <c r="B266" s="122" t="s">
        <v>1223</v>
      </c>
      <c r="C266" s="122" t="s">
        <v>3148</v>
      </c>
      <c r="D266" s="122"/>
      <c r="E266" s="122"/>
      <c r="F266" s="122" t="s">
        <v>3149</v>
      </c>
      <c r="G266" s="122" t="s">
        <v>3150</v>
      </c>
      <c r="H266" s="122" t="s">
        <v>102</v>
      </c>
      <c r="I266" s="122" t="s">
        <v>749</v>
      </c>
      <c r="J266" s="122"/>
      <c r="K266" s="122" t="s">
        <v>61</v>
      </c>
      <c r="L266" s="122"/>
      <c r="M266" s="122"/>
      <c r="N266" s="122" t="s">
        <v>317</v>
      </c>
      <c r="O266" s="122" t="s">
        <v>62</v>
      </c>
      <c r="P266" s="145">
        <v>44420</v>
      </c>
      <c r="Q266" s="122" t="s">
        <v>1217</v>
      </c>
      <c r="R266" s="122" t="s">
        <v>303</v>
      </c>
      <c r="S266" s="122" t="s">
        <v>305</v>
      </c>
      <c r="T266" s="145">
        <v>45918</v>
      </c>
      <c r="U266" s="123">
        <v>3.306</v>
      </c>
      <c r="V266" s="148">
        <v>6074.1494252873563</v>
      </c>
      <c r="W266" s="123">
        <v>20081.137999999999</v>
      </c>
      <c r="X266" s="125">
        <v>3.0400000000000002E-3</v>
      </c>
      <c r="Y266" s="125">
        <v>5.7800000000000004E-3</v>
      </c>
      <c r="Z266" s="126">
        <v>7.3999999999999999E-4</v>
      </c>
      <c r="AA266" s="159"/>
    </row>
    <row r="267" spans="1:27" x14ac:dyDescent="0.2">
      <c r="A267" s="121" t="s">
        <v>1223</v>
      </c>
      <c r="B267" s="122" t="s">
        <v>1223</v>
      </c>
      <c r="C267" s="122" t="s">
        <v>3156</v>
      </c>
      <c r="D267" s="122"/>
      <c r="E267" s="122"/>
      <c r="F267" s="122" t="s">
        <v>3157</v>
      </c>
      <c r="G267" s="122" t="s">
        <v>3158</v>
      </c>
      <c r="H267" s="122" t="s">
        <v>102</v>
      </c>
      <c r="I267" s="122" t="s">
        <v>280</v>
      </c>
      <c r="J267" s="122"/>
      <c r="K267" s="122" t="s">
        <v>61</v>
      </c>
      <c r="L267" s="122"/>
      <c r="M267" s="122"/>
      <c r="N267" s="122" t="s">
        <v>317</v>
      </c>
      <c r="O267" s="122" t="s">
        <v>62</v>
      </c>
      <c r="P267" s="145">
        <v>45012</v>
      </c>
      <c r="Q267" s="122" t="s">
        <v>1217</v>
      </c>
      <c r="R267" s="122" t="s">
        <v>303</v>
      </c>
      <c r="S267" s="122" t="s">
        <v>305</v>
      </c>
      <c r="T267" s="145">
        <v>45869</v>
      </c>
      <c r="U267" s="123">
        <v>3.306</v>
      </c>
      <c r="V267" s="148">
        <v>5929.3711433756807</v>
      </c>
      <c r="W267" s="123">
        <v>19602.501</v>
      </c>
      <c r="X267" s="125">
        <v>6.6199999999999995E-2</v>
      </c>
      <c r="Y267" s="125">
        <v>5.6499999999999996E-3</v>
      </c>
      <c r="Z267" s="126">
        <v>7.2000000000000005E-4</v>
      </c>
      <c r="AA267" s="159"/>
    </row>
    <row r="268" spans="1:27" x14ac:dyDescent="0.2">
      <c r="A268" s="121" t="s">
        <v>1223</v>
      </c>
      <c r="B268" s="122" t="s">
        <v>1223</v>
      </c>
      <c r="C268" s="122" t="s">
        <v>3151</v>
      </c>
      <c r="D268" s="122"/>
      <c r="E268" s="122"/>
      <c r="F268" s="122" t="s">
        <v>3152</v>
      </c>
      <c r="G268" s="122" t="s">
        <v>3153</v>
      </c>
      <c r="H268" s="122" t="s">
        <v>102</v>
      </c>
      <c r="I268" s="122" t="s">
        <v>749</v>
      </c>
      <c r="J268" s="122"/>
      <c r="K268" s="122" t="s">
        <v>61</v>
      </c>
      <c r="L268" s="122"/>
      <c r="M268" s="122"/>
      <c r="N268" s="122" t="s">
        <v>188</v>
      </c>
      <c r="O268" s="122" t="s">
        <v>62</v>
      </c>
      <c r="P268" s="145">
        <v>44567</v>
      </c>
      <c r="Q268" s="122" t="s">
        <v>1217</v>
      </c>
      <c r="R268" s="122" t="s">
        <v>303</v>
      </c>
      <c r="S268" s="122" t="s">
        <v>305</v>
      </c>
      <c r="T268" s="145">
        <v>45897</v>
      </c>
      <c r="U268" s="123">
        <v>3.306</v>
      </c>
      <c r="V268" s="148">
        <v>5902.656382335148</v>
      </c>
      <c r="W268" s="123">
        <v>19514.182000000001</v>
      </c>
      <c r="X268" s="125">
        <v>1.8440000000000002E-2</v>
      </c>
      <c r="Y268" s="125">
        <v>5.62E-3</v>
      </c>
      <c r="Z268" s="126">
        <v>7.1000000000000002E-4</v>
      </c>
      <c r="AA268" s="159"/>
    </row>
    <row r="269" spans="1:27" x14ac:dyDescent="0.2">
      <c r="A269" s="121" t="s">
        <v>1223</v>
      </c>
      <c r="B269" s="122" t="s">
        <v>1223</v>
      </c>
      <c r="C269" s="122" t="s">
        <v>3016</v>
      </c>
      <c r="D269" s="122"/>
      <c r="E269" s="122"/>
      <c r="F269" s="122" t="s">
        <v>3154</v>
      </c>
      <c r="G269" s="122" t="s">
        <v>3155</v>
      </c>
      <c r="H269" s="122" t="s">
        <v>102</v>
      </c>
      <c r="I269" s="122" t="s">
        <v>749</v>
      </c>
      <c r="J269" s="122"/>
      <c r="K269" s="122" t="s">
        <v>61</v>
      </c>
      <c r="L269" s="122"/>
      <c r="M269" s="122"/>
      <c r="N269" s="122" t="s">
        <v>317</v>
      </c>
      <c r="O269" s="122" t="s">
        <v>62</v>
      </c>
      <c r="P269" s="145">
        <v>45371</v>
      </c>
      <c r="Q269" s="122" t="s">
        <v>1217</v>
      </c>
      <c r="R269" s="122" t="s">
        <v>303</v>
      </c>
      <c r="S269" s="122" t="s">
        <v>305</v>
      </c>
      <c r="T269" s="145">
        <v>45915</v>
      </c>
      <c r="U269" s="123">
        <v>3.306</v>
      </c>
      <c r="V269" s="148">
        <v>5730.6784633998786</v>
      </c>
      <c r="W269" s="123">
        <v>18945.623</v>
      </c>
      <c r="X269" s="125">
        <v>3.8400000000000001E-3</v>
      </c>
      <c r="Y269" s="125">
        <v>5.4599999999999996E-3</v>
      </c>
      <c r="Z269" s="126">
        <v>6.8999999999999997E-4</v>
      </c>
      <c r="AA269" s="159"/>
    </row>
    <row r="270" spans="1:27" x14ac:dyDescent="0.2">
      <c r="A270" s="121" t="s">
        <v>1223</v>
      </c>
      <c r="B270" s="122" t="s">
        <v>1223</v>
      </c>
      <c r="C270" s="122" t="s">
        <v>3162</v>
      </c>
      <c r="D270" s="122"/>
      <c r="E270" s="122"/>
      <c r="F270" s="122" t="s">
        <v>3163</v>
      </c>
      <c r="G270" s="122" t="s">
        <v>3164</v>
      </c>
      <c r="H270" s="122" t="s">
        <v>102</v>
      </c>
      <c r="I270" s="122" t="s">
        <v>749</v>
      </c>
      <c r="J270" s="122"/>
      <c r="K270" s="122" t="s">
        <v>61</v>
      </c>
      <c r="L270" s="122"/>
      <c r="M270" s="122"/>
      <c r="N270" s="122" t="s">
        <v>930</v>
      </c>
      <c r="O270" s="122" t="s">
        <v>62</v>
      </c>
      <c r="P270" s="145">
        <v>44769</v>
      </c>
      <c r="Q270" s="122" t="s">
        <v>1217</v>
      </c>
      <c r="R270" s="122" t="s">
        <v>303</v>
      </c>
      <c r="S270" s="122" t="s">
        <v>305</v>
      </c>
      <c r="T270" s="145">
        <v>45900</v>
      </c>
      <c r="U270" s="123">
        <v>3.306</v>
      </c>
      <c r="V270" s="148">
        <v>5566.4491833030852</v>
      </c>
      <c r="W270" s="123">
        <v>18402.681</v>
      </c>
      <c r="X270" s="125">
        <v>2.7089999999999999E-2</v>
      </c>
      <c r="Y270" s="125">
        <v>5.3E-3</v>
      </c>
      <c r="Z270" s="126">
        <v>6.7000000000000002E-4</v>
      </c>
      <c r="AA270" s="159"/>
    </row>
    <row r="271" spans="1:27" x14ac:dyDescent="0.2">
      <c r="A271" s="121" t="s">
        <v>1223</v>
      </c>
      <c r="B271" s="122" t="s">
        <v>1223</v>
      </c>
      <c r="C271" s="122" t="s">
        <v>3165</v>
      </c>
      <c r="D271" s="122"/>
      <c r="E271" s="122"/>
      <c r="F271" s="122" t="s">
        <v>3166</v>
      </c>
      <c r="G271" s="122" t="s">
        <v>3167</v>
      </c>
      <c r="H271" s="122" t="s">
        <v>102</v>
      </c>
      <c r="I271" s="122" t="s">
        <v>280</v>
      </c>
      <c r="J271" s="122"/>
      <c r="K271" s="122" t="s">
        <v>61</v>
      </c>
      <c r="L271" s="122"/>
      <c r="M271" s="122"/>
      <c r="N271" s="122" t="s">
        <v>313</v>
      </c>
      <c r="O271" s="122" t="s">
        <v>62</v>
      </c>
      <c r="P271" s="145">
        <v>45271</v>
      </c>
      <c r="Q271" s="122" t="s">
        <v>1218</v>
      </c>
      <c r="R271" s="122" t="s">
        <v>303</v>
      </c>
      <c r="S271" s="122" t="s">
        <v>305</v>
      </c>
      <c r="T271" s="145">
        <v>45887</v>
      </c>
      <c r="U271" s="123">
        <v>3.8809999999999998</v>
      </c>
      <c r="V271" s="148">
        <v>4708.9969080133988</v>
      </c>
      <c r="W271" s="123">
        <v>18275.616999999998</v>
      </c>
      <c r="X271" s="125">
        <v>3.0899999999999999E-3</v>
      </c>
      <c r="Y271" s="125">
        <v>5.2599999999999999E-3</v>
      </c>
      <c r="Z271" s="126">
        <v>6.7000000000000002E-4</v>
      </c>
      <c r="AA271" s="159"/>
    </row>
    <row r="272" spans="1:27" x14ac:dyDescent="0.2">
      <c r="A272" s="121" t="s">
        <v>1223</v>
      </c>
      <c r="B272" s="122" t="s">
        <v>1223</v>
      </c>
      <c r="C272" s="122" t="s">
        <v>3159</v>
      </c>
      <c r="D272" s="122"/>
      <c r="E272" s="122"/>
      <c r="F272" s="122" t="s">
        <v>3160</v>
      </c>
      <c r="G272" s="122" t="s">
        <v>3161</v>
      </c>
      <c r="H272" s="122" t="s">
        <v>102</v>
      </c>
      <c r="I272" s="122" t="s">
        <v>280</v>
      </c>
      <c r="J272" s="122"/>
      <c r="K272" s="122" t="s">
        <v>61</v>
      </c>
      <c r="L272" s="122"/>
      <c r="M272" s="122"/>
      <c r="N272" s="122" t="s">
        <v>314</v>
      </c>
      <c r="O272" s="122" t="s">
        <v>62</v>
      </c>
      <c r="P272" s="145">
        <v>45671</v>
      </c>
      <c r="Q272" s="122" t="s">
        <v>1218</v>
      </c>
      <c r="R272" s="122" t="s">
        <v>303</v>
      </c>
      <c r="S272" s="122" t="s">
        <v>305</v>
      </c>
      <c r="T272" s="145">
        <v>45929</v>
      </c>
      <c r="U272" s="123">
        <v>3.8809999999999998</v>
      </c>
      <c r="V272" s="148">
        <v>4522.0301468693642</v>
      </c>
      <c r="W272" s="123">
        <v>17549.999</v>
      </c>
      <c r="X272" s="125">
        <v>5.7400000000000003E-3</v>
      </c>
      <c r="Y272" s="125">
        <v>5.0499999999999998E-3</v>
      </c>
      <c r="Z272" s="126">
        <v>6.4000000000000005E-4</v>
      </c>
      <c r="AA272" s="159"/>
    </row>
    <row r="273" spans="1:27" x14ac:dyDescent="0.2">
      <c r="A273" s="121" t="s">
        <v>1223</v>
      </c>
      <c r="B273" s="122" t="s">
        <v>1223</v>
      </c>
      <c r="C273" s="122" t="s">
        <v>3180</v>
      </c>
      <c r="D273" s="122"/>
      <c r="E273" s="122"/>
      <c r="F273" s="122" t="s">
        <v>3181</v>
      </c>
      <c r="G273" s="122" t="s">
        <v>3182</v>
      </c>
      <c r="H273" s="122" t="s">
        <v>102</v>
      </c>
      <c r="I273" s="122" t="s">
        <v>749</v>
      </c>
      <c r="J273" s="122"/>
      <c r="K273" s="122" t="s">
        <v>61</v>
      </c>
      <c r="L273" s="122"/>
      <c r="M273" s="122"/>
      <c r="N273" s="122" t="s">
        <v>314</v>
      </c>
      <c r="O273" s="122" t="s">
        <v>62</v>
      </c>
      <c r="P273" s="145">
        <v>42209</v>
      </c>
      <c r="Q273" s="122" t="s">
        <v>1217</v>
      </c>
      <c r="R273" s="122" t="s">
        <v>303</v>
      </c>
      <c r="S273" s="122" t="s">
        <v>305</v>
      </c>
      <c r="T273" s="145">
        <v>45896</v>
      </c>
      <c r="U273" s="123">
        <v>3.306</v>
      </c>
      <c r="V273" s="148">
        <v>5286.1663641863279</v>
      </c>
      <c r="W273" s="123">
        <v>17476.065999999999</v>
      </c>
      <c r="X273" s="122"/>
      <c r="Y273" s="125">
        <v>5.0299999999999997E-3</v>
      </c>
      <c r="Z273" s="126">
        <v>6.4000000000000005E-4</v>
      </c>
      <c r="AA273" s="159"/>
    </row>
    <row r="274" spans="1:27" x14ac:dyDescent="0.2">
      <c r="A274" s="121" t="s">
        <v>1223</v>
      </c>
      <c r="B274" s="122" t="s">
        <v>1223</v>
      </c>
      <c r="C274" s="122" t="s">
        <v>3192</v>
      </c>
      <c r="D274" s="122"/>
      <c r="E274" s="122"/>
      <c r="F274" s="122" t="s">
        <v>3193</v>
      </c>
      <c r="G274" s="122" t="s">
        <v>3194</v>
      </c>
      <c r="H274" s="122" t="s">
        <v>102</v>
      </c>
      <c r="I274" s="122" t="s">
        <v>749</v>
      </c>
      <c r="J274" s="122"/>
      <c r="K274" s="122" t="s">
        <v>61</v>
      </c>
      <c r="L274" s="122"/>
      <c r="M274" s="122"/>
      <c r="N274" s="122" t="s">
        <v>314</v>
      </c>
      <c r="O274" s="122" t="s">
        <v>62</v>
      </c>
      <c r="P274" s="145">
        <v>42710</v>
      </c>
      <c r="Q274" s="122" t="s">
        <v>1217</v>
      </c>
      <c r="R274" s="122" t="s">
        <v>303</v>
      </c>
      <c r="S274" s="122" t="s">
        <v>305</v>
      </c>
      <c r="T274" s="145">
        <v>45930</v>
      </c>
      <c r="U274" s="123">
        <v>3.306</v>
      </c>
      <c r="V274" s="148">
        <v>5242.3160919540232</v>
      </c>
      <c r="W274" s="123">
        <v>17331.097000000002</v>
      </c>
      <c r="X274" s="122"/>
      <c r="Y274" s="125">
        <v>4.9899999999999996E-3</v>
      </c>
      <c r="Z274" s="126">
        <v>6.3000000000000003E-4</v>
      </c>
      <c r="AA274" s="159"/>
    </row>
    <row r="275" spans="1:27" x14ac:dyDescent="0.2">
      <c r="A275" s="121" t="s">
        <v>1223</v>
      </c>
      <c r="B275" s="122" t="s">
        <v>1223</v>
      </c>
      <c r="C275" s="122" t="s">
        <v>3168</v>
      </c>
      <c r="D275" s="122"/>
      <c r="E275" s="122"/>
      <c r="F275" s="122" t="s">
        <v>3169</v>
      </c>
      <c r="G275" s="122" t="s">
        <v>3170</v>
      </c>
      <c r="H275" s="122" t="s">
        <v>102</v>
      </c>
      <c r="I275" s="122" t="s">
        <v>280</v>
      </c>
      <c r="J275" s="122"/>
      <c r="K275" s="122" t="s">
        <v>61</v>
      </c>
      <c r="L275" s="122"/>
      <c r="M275" s="122"/>
      <c r="N275" s="122" t="s">
        <v>313</v>
      </c>
      <c r="O275" s="122" t="s">
        <v>62</v>
      </c>
      <c r="P275" s="145">
        <v>44029</v>
      </c>
      <c r="Q275" s="122" t="s">
        <v>1218</v>
      </c>
      <c r="R275" s="122" t="s">
        <v>303</v>
      </c>
      <c r="S275" s="122" t="s">
        <v>305</v>
      </c>
      <c r="T275" s="145">
        <v>45900</v>
      </c>
      <c r="U275" s="123">
        <v>3.8809999999999998</v>
      </c>
      <c r="V275" s="148">
        <v>4288.7802112857516</v>
      </c>
      <c r="W275" s="123">
        <v>16644.756000000001</v>
      </c>
      <c r="X275" s="125">
        <v>1.289E-2</v>
      </c>
      <c r="Y275" s="125">
        <v>4.79E-3</v>
      </c>
      <c r="Z275" s="126">
        <v>6.0999999999999997E-4</v>
      </c>
      <c r="AA275" s="159"/>
    </row>
    <row r="276" spans="1:27" x14ac:dyDescent="0.2">
      <c r="A276" s="121" t="s">
        <v>1223</v>
      </c>
      <c r="B276" s="122" t="s">
        <v>1223</v>
      </c>
      <c r="C276" s="122" t="s">
        <v>3186</v>
      </c>
      <c r="D276" s="122"/>
      <c r="E276" s="122"/>
      <c r="F276" s="122" t="s">
        <v>3187</v>
      </c>
      <c r="G276" s="122" t="s">
        <v>3188</v>
      </c>
      <c r="H276" s="122" t="s">
        <v>102</v>
      </c>
      <c r="I276" s="122" t="s">
        <v>241</v>
      </c>
      <c r="J276" s="122"/>
      <c r="K276" s="122" t="s">
        <v>61</v>
      </c>
      <c r="L276" s="122"/>
      <c r="M276" s="122"/>
      <c r="N276" s="122" t="s">
        <v>930</v>
      </c>
      <c r="O276" s="122" t="s">
        <v>62</v>
      </c>
      <c r="P276" s="145">
        <v>43082</v>
      </c>
      <c r="Q276" s="122" t="s">
        <v>1217</v>
      </c>
      <c r="R276" s="122" t="s">
        <v>303</v>
      </c>
      <c r="S276" s="122" t="s">
        <v>305</v>
      </c>
      <c r="T276" s="145">
        <v>45929</v>
      </c>
      <c r="U276" s="123">
        <v>3.306</v>
      </c>
      <c r="V276" s="148">
        <v>4811.8968542044768</v>
      </c>
      <c r="W276" s="123">
        <v>15908.130999999999</v>
      </c>
      <c r="X276" s="125">
        <v>0.11556</v>
      </c>
      <c r="Y276" s="125">
        <v>4.5799999999999999E-3</v>
      </c>
      <c r="Z276" s="126">
        <v>5.8E-4</v>
      </c>
      <c r="AA276" s="159"/>
    </row>
    <row r="277" spans="1:27" x14ac:dyDescent="0.2">
      <c r="A277" s="121" t="s">
        <v>1223</v>
      </c>
      <c r="B277" s="122" t="s">
        <v>1223</v>
      </c>
      <c r="C277" s="122" t="s">
        <v>3171</v>
      </c>
      <c r="D277" s="122"/>
      <c r="E277" s="122"/>
      <c r="F277" s="122" t="s">
        <v>3172</v>
      </c>
      <c r="G277" s="122" t="s">
        <v>3173</v>
      </c>
      <c r="H277" s="122" t="s">
        <v>102</v>
      </c>
      <c r="I277" s="122" t="s">
        <v>749</v>
      </c>
      <c r="J277" s="122"/>
      <c r="K277" s="122" t="s">
        <v>61</v>
      </c>
      <c r="L277" s="122"/>
      <c r="M277" s="122"/>
      <c r="N277" s="122" t="s">
        <v>930</v>
      </c>
      <c r="O277" s="122" t="s">
        <v>62</v>
      </c>
      <c r="P277" s="145">
        <v>44525</v>
      </c>
      <c r="Q277" s="122" t="s">
        <v>1217</v>
      </c>
      <c r="R277" s="122" t="s">
        <v>303</v>
      </c>
      <c r="S277" s="122" t="s">
        <v>305</v>
      </c>
      <c r="T277" s="145">
        <v>45887</v>
      </c>
      <c r="U277" s="123">
        <v>3.306</v>
      </c>
      <c r="V277" s="148">
        <v>4753.43073200242</v>
      </c>
      <c r="W277" s="123">
        <v>15714.842000000001</v>
      </c>
      <c r="X277" s="125">
        <v>6.0999999999999997E-4</v>
      </c>
      <c r="Y277" s="125">
        <v>4.5300000000000002E-3</v>
      </c>
      <c r="Z277" s="126">
        <v>5.8E-4</v>
      </c>
      <c r="AA277" s="159"/>
    </row>
    <row r="278" spans="1:27" x14ac:dyDescent="0.2">
      <c r="A278" s="121" t="s">
        <v>1223</v>
      </c>
      <c r="B278" s="122" t="s">
        <v>1223</v>
      </c>
      <c r="C278" s="122" t="s">
        <v>3174</v>
      </c>
      <c r="D278" s="122"/>
      <c r="E278" s="122"/>
      <c r="F278" s="122" t="s">
        <v>3175</v>
      </c>
      <c r="G278" s="122" t="s">
        <v>3176</v>
      </c>
      <c r="H278" s="122" t="s">
        <v>102</v>
      </c>
      <c r="I278" s="122" t="s">
        <v>280</v>
      </c>
      <c r="J278" s="122"/>
      <c r="K278" s="122" t="s">
        <v>61</v>
      </c>
      <c r="L278" s="122"/>
      <c r="M278" s="122"/>
      <c r="N278" s="122" t="s">
        <v>314</v>
      </c>
      <c r="O278" s="122" t="s">
        <v>62</v>
      </c>
      <c r="P278" s="145">
        <v>44560</v>
      </c>
      <c r="Q278" s="122" t="s">
        <v>1217</v>
      </c>
      <c r="R278" s="122" t="s">
        <v>303</v>
      </c>
      <c r="S278" s="122" t="s">
        <v>305</v>
      </c>
      <c r="T278" s="145">
        <v>45887</v>
      </c>
      <c r="U278" s="123">
        <v>3.306</v>
      </c>
      <c r="V278" s="148">
        <v>4708.635813672111</v>
      </c>
      <c r="W278" s="123">
        <v>15566.75</v>
      </c>
      <c r="X278" s="125">
        <v>1.0000000000000001E-5</v>
      </c>
      <c r="Y278" s="125">
        <v>4.4799999999999996E-3</v>
      </c>
      <c r="Z278" s="126">
        <v>5.6999999999999998E-4</v>
      </c>
      <c r="AA278" s="159"/>
    </row>
    <row r="279" spans="1:27" x14ac:dyDescent="0.2">
      <c r="A279" s="121" t="s">
        <v>1223</v>
      </c>
      <c r="B279" s="122" t="s">
        <v>1223</v>
      </c>
      <c r="C279" s="122" t="s">
        <v>3177</v>
      </c>
      <c r="D279" s="122"/>
      <c r="E279" s="122"/>
      <c r="F279" s="122" t="s">
        <v>3178</v>
      </c>
      <c r="G279" s="122" t="s">
        <v>3179</v>
      </c>
      <c r="H279" s="122" t="s">
        <v>102</v>
      </c>
      <c r="I279" s="122" t="s">
        <v>926</v>
      </c>
      <c r="J279" s="122"/>
      <c r="K279" s="122" t="s">
        <v>61</v>
      </c>
      <c r="L279" s="122"/>
      <c r="M279" s="122"/>
      <c r="N279" s="122" t="s">
        <v>314</v>
      </c>
      <c r="O279" s="122" t="s">
        <v>62</v>
      </c>
      <c r="P279" s="145">
        <v>44139</v>
      </c>
      <c r="Q279" s="122" t="s">
        <v>1217</v>
      </c>
      <c r="R279" s="122" t="s">
        <v>303</v>
      </c>
      <c r="S279" s="122" t="s">
        <v>305</v>
      </c>
      <c r="T279" s="145">
        <v>45930</v>
      </c>
      <c r="U279" s="123">
        <v>3.306</v>
      </c>
      <c r="V279" s="148">
        <v>4576.7952208106472</v>
      </c>
      <c r="W279" s="123">
        <v>15130.885</v>
      </c>
      <c r="X279" s="125">
        <v>3.8879999999999998E-2</v>
      </c>
      <c r="Y279" s="125">
        <v>4.3600000000000002E-3</v>
      </c>
      <c r="Z279" s="126">
        <v>5.5000000000000003E-4</v>
      </c>
      <c r="AA279" s="159"/>
    </row>
    <row r="280" spans="1:27" x14ac:dyDescent="0.2">
      <c r="A280" s="121" t="s">
        <v>1223</v>
      </c>
      <c r="B280" s="122" t="s">
        <v>1223</v>
      </c>
      <c r="C280" s="122" t="s">
        <v>3183</v>
      </c>
      <c r="D280" s="122"/>
      <c r="E280" s="122"/>
      <c r="F280" s="122" t="s">
        <v>3184</v>
      </c>
      <c r="G280" s="122" t="s">
        <v>3185</v>
      </c>
      <c r="H280" s="122" t="s">
        <v>102</v>
      </c>
      <c r="I280" s="122" t="s">
        <v>749</v>
      </c>
      <c r="J280" s="122"/>
      <c r="K280" s="122" t="s">
        <v>61</v>
      </c>
      <c r="L280" s="122"/>
      <c r="M280" s="122"/>
      <c r="N280" s="122" t="s">
        <v>316</v>
      </c>
      <c r="O280" s="122" t="s">
        <v>62</v>
      </c>
      <c r="P280" s="145">
        <v>44525</v>
      </c>
      <c r="Q280" s="122" t="s">
        <v>1217</v>
      </c>
      <c r="R280" s="122" t="s">
        <v>303</v>
      </c>
      <c r="S280" s="122" t="s">
        <v>305</v>
      </c>
      <c r="T280" s="145">
        <v>45930</v>
      </c>
      <c r="U280" s="123">
        <v>3.306</v>
      </c>
      <c r="V280" s="148">
        <v>4508.3163944343614</v>
      </c>
      <c r="W280" s="123">
        <v>14904.494000000001</v>
      </c>
      <c r="X280" s="125">
        <v>8.3499999999999998E-3</v>
      </c>
      <c r="Y280" s="125">
        <v>4.2900000000000004E-3</v>
      </c>
      <c r="Z280" s="126">
        <v>5.5000000000000003E-4</v>
      </c>
      <c r="AA280" s="159"/>
    </row>
    <row r="281" spans="1:27" x14ac:dyDescent="0.2">
      <c r="A281" s="121" t="s">
        <v>1223</v>
      </c>
      <c r="B281" s="122" t="s">
        <v>1223</v>
      </c>
      <c r="C281" s="122" t="s">
        <v>3201</v>
      </c>
      <c r="D281" s="122"/>
      <c r="E281" s="122"/>
      <c r="F281" s="122" t="s">
        <v>3202</v>
      </c>
      <c r="G281" s="122" t="s">
        <v>3203</v>
      </c>
      <c r="H281" s="122" t="s">
        <v>102</v>
      </c>
      <c r="I281" s="122" t="s">
        <v>280</v>
      </c>
      <c r="J281" s="122"/>
      <c r="K281" s="122" t="s">
        <v>61</v>
      </c>
      <c r="L281" s="122"/>
      <c r="M281" s="122"/>
      <c r="N281" s="122" t="s">
        <v>930</v>
      </c>
      <c r="O281" s="122" t="s">
        <v>62</v>
      </c>
      <c r="P281" s="145">
        <v>44651</v>
      </c>
      <c r="Q281" s="122" t="s">
        <v>1217</v>
      </c>
      <c r="R281" s="122" t="s">
        <v>303</v>
      </c>
      <c r="S281" s="122" t="s">
        <v>305</v>
      </c>
      <c r="T281" s="145">
        <v>45929</v>
      </c>
      <c r="U281" s="123">
        <v>3.306</v>
      </c>
      <c r="V281" s="148">
        <v>4299.4888082274656</v>
      </c>
      <c r="W281" s="123">
        <v>14214.11</v>
      </c>
      <c r="X281" s="125">
        <v>2.8700000000000002E-3</v>
      </c>
      <c r="Y281" s="125">
        <v>4.0899999999999999E-3</v>
      </c>
      <c r="Z281" s="126">
        <v>5.1999999999999995E-4</v>
      </c>
      <c r="AA281" s="159"/>
    </row>
    <row r="282" spans="1:27" x14ac:dyDescent="0.2">
      <c r="A282" s="121" t="s">
        <v>1223</v>
      </c>
      <c r="B282" s="122" t="s">
        <v>1223</v>
      </c>
      <c r="C282" s="122" t="s">
        <v>3189</v>
      </c>
      <c r="D282" s="122"/>
      <c r="E282" s="122"/>
      <c r="F282" s="122" t="s">
        <v>3190</v>
      </c>
      <c r="G282" s="122" t="s">
        <v>3191</v>
      </c>
      <c r="H282" s="122" t="s">
        <v>102</v>
      </c>
      <c r="I282" s="122" t="s">
        <v>280</v>
      </c>
      <c r="J282" s="122"/>
      <c r="K282" s="122" t="s">
        <v>61</v>
      </c>
      <c r="L282" s="122"/>
      <c r="M282" s="122"/>
      <c r="N282" s="122" t="s">
        <v>1164</v>
      </c>
      <c r="O282" s="122" t="s">
        <v>62</v>
      </c>
      <c r="P282" s="145">
        <v>45503</v>
      </c>
      <c r="Q282" s="122" t="s">
        <v>1217</v>
      </c>
      <c r="R282" s="122" t="s">
        <v>303</v>
      </c>
      <c r="S282" s="122" t="s">
        <v>305</v>
      </c>
      <c r="T282" s="145">
        <v>45930</v>
      </c>
      <c r="U282" s="123">
        <v>3.306</v>
      </c>
      <c r="V282" s="148">
        <v>4244.0925589836661</v>
      </c>
      <c r="W282" s="123">
        <v>14030.97</v>
      </c>
      <c r="X282" s="125">
        <v>0.1716</v>
      </c>
      <c r="Y282" s="125">
        <v>4.0400000000000002E-3</v>
      </c>
      <c r="Z282" s="126">
        <v>5.1000000000000004E-4</v>
      </c>
      <c r="AA282" s="159"/>
    </row>
    <row r="283" spans="1:27" x14ac:dyDescent="0.2">
      <c r="A283" s="121" t="s">
        <v>1223</v>
      </c>
      <c r="B283" s="122" t="s">
        <v>1223</v>
      </c>
      <c r="C283" s="122" t="s">
        <v>3195</v>
      </c>
      <c r="D283" s="122"/>
      <c r="E283" s="122"/>
      <c r="F283" s="122" t="s">
        <v>3196</v>
      </c>
      <c r="G283" s="122" t="s">
        <v>3197</v>
      </c>
      <c r="H283" s="122" t="s">
        <v>102</v>
      </c>
      <c r="I283" s="122" t="s">
        <v>749</v>
      </c>
      <c r="J283" s="122"/>
      <c r="K283" s="122" t="s">
        <v>61</v>
      </c>
      <c r="L283" s="122"/>
      <c r="M283" s="122"/>
      <c r="N283" s="122" t="s">
        <v>930</v>
      </c>
      <c r="O283" s="122" t="s">
        <v>62</v>
      </c>
      <c r="P283" s="145">
        <v>44525</v>
      </c>
      <c r="Q283" s="122" t="s">
        <v>1217</v>
      </c>
      <c r="R283" s="122" t="s">
        <v>303</v>
      </c>
      <c r="S283" s="122" t="s">
        <v>305</v>
      </c>
      <c r="T283" s="145">
        <v>45894</v>
      </c>
      <c r="U283" s="123">
        <v>3.306</v>
      </c>
      <c r="V283" s="148">
        <v>4133.0226860254079</v>
      </c>
      <c r="W283" s="123">
        <v>13663.772999999999</v>
      </c>
      <c r="X283" s="125">
        <v>4.4000000000000002E-4</v>
      </c>
      <c r="Y283" s="125">
        <v>3.9399999999999999E-3</v>
      </c>
      <c r="Z283" s="126">
        <v>5.0000000000000001E-4</v>
      </c>
      <c r="AA283" s="159"/>
    </row>
    <row r="284" spans="1:27" x14ac:dyDescent="0.2">
      <c r="A284" s="121" t="s">
        <v>1223</v>
      </c>
      <c r="B284" s="122" t="s">
        <v>1223</v>
      </c>
      <c r="C284" s="122" t="s">
        <v>3198</v>
      </c>
      <c r="D284" s="122"/>
      <c r="E284" s="122"/>
      <c r="F284" s="122" t="s">
        <v>3199</v>
      </c>
      <c r="G284" s="122" t="s">
        <v>3200</v>
      </c>
      <c r="H284" s="122" t="s">
        <v>102</v>
      </c>
      <c r="I284" s="122" t="s">
        <v>749</v>
      </c>
      <c r="J284" s="122"/>
      <c r="K284" s="122" t="s">
        <v>61</v>
      </c>
      <c r="L284" s="122"/>
      <c r="M284" s="122"/>
      <c r="N284" s="122" t="s">
        <v>314</v>
      </c>
      <c r="O284" s="122" t="s">
        <v>62</v>
      </c>
      <c r="P284" s="145">
        <v>44088</v>
      </c>
      <c r="Q284" s="122" t="s">
        <v>1217</v>
      </c>
      <c r="R284" s="122" t="s">
        <v>303</v>
      </c>
      <c r="S284" s="122" t="s">
        <v>305</v>
      </c>
      <c r="T284" s="145">
        <v>45897</v>
      </c>
      <c r="U284" s="123">
        <v>3.306</v>
      </c>
      <c r="V284" s="148">
        <v>3961.0211736237147</v>
      </c>
      <c r="W284" s="123">
        <v>13095.136</v>
      </c>
      <c r="X284" s="125">
        <v>5.364E-2</v>
      </c>
      <c r="Y284" s="125">
        <v>3.7699999999999999E-3</v>
      </c>
      <c r="Z284" s="126">
        <v>4.8000000000000001E-4</v>
      </c>
      <c r="AA284" s="159"/>
    </row>
    <row r="285" spans="1:27" x14ac:dyDescent="0.2">
      <c r="A285" s="121" t="s">
        <v>1223</v>
      </c>
      <c r="B285" s="122" t="s">
        <v>1223</v>
      </c>
      <c r="C285" s="122" t="s">
        <v>3204</v>
      </c>
      <c r="D285" s="122"/>
      <c r="E285" s="122"/>
      <c r="F285" s="122" t="s">
        <v>3205</v>
      </c>
      <c r="G285" s="122" t="s">
        <v>3206</v>
      </c>
      <c r="H285" s="122" t="s">
        <v>102</v>
      </c>
      <c r="I285" s="122" t="s">
        <v>241</v>
      </c>
      <c r="J285" s="122"/>
      <c r="K285" s="122" t="s">
        <v>61</v>
      </c>
      <c r="L285" s="122"/>
      <c r="M285" s="122"/>
      <c r="N285" s="122" t="s">
        <v>313</v>
      </c>
      <c r="O285" s="122" t="s">
        <v>62</v>
      </c>
      <c r="P285" s="145">
        <v>43185</v>
      </c>
      <c r="Q285" s="122" t="s">
        <v>1218</v>
      </c>
      <c r="R285" s="122" t="s">
        <v>303</v>
      </c>
      <c r="S285" s="122" t="s">
        <v>305</v>
      </c>
      <c r="T285" s="145">
        <v>45883</v>
      </c>
      <c r="U285" s="123">
        <v>3.8809999999999998</v>
      </c>
      <c r="V285" s="148">
        <v>3276.3991239371298</v>
      </c>
      <c r="W285" s="123">
        <v>12715.705</v>
      </c>
      <c r="X285" s="122"/>
      <c r="Y285" s="125">
        <v>3.6600000000000001E-3</v>
      </c>
      <c r="Z285" s="126">
        <v>4.6999999999999999E-4</v>
      </c>
      <c r="AA285" s="159"/>
    </row>
    <row r="286" spans="1:27" x14ac:dyDescent="0.2">
      <c r="A286" s="121" t="s">
        <v>1223</v>
      </c>
      <c r="B286" s="122" t="s">
        <v>1223</v>
      </c>
      <c r="C286" s="122" t="s">
        <v>3207</v>
      </c>
      <c r="D286" s="122"/>
      <c r="E286" s="122"/>
      <c r="F286" s="122" t="s">
        <v>3208</v>
      </c>
      <c r="G286" s="122" t="s">
        <v>3209</v>
      </c>
      <c r="H286" s="122" t="s">
        <v>102</v>
      </c>
      <c r="I286" s="122" t="s">
        <v>242</v>
      </c>
      <c r="J286" s="122"/>
      <c r="K286" s="122" t="s">
        <v>61</v>
      </c>
      <c r="L286" s="122"/>
      <c r="M286" s="122"/>
      <c r="N286" s="122" t="s">
        <v>314</v>
      </c>
      <c r="O286" s="122" t="s">
        <v>62</v>
      </c>
      <c r="P286" s="145">
        <v>45799</v>
      </c>
      <c r="Q286" s="122" t="s">
        <v>1217</v>
      </c>
      <c r="R286" s="122" t="s">
        <v>303</v>
      </c>
      <c r="S286" s="122" t="s">
        <v>305</v>
      </c>
      <c r="T286" s="145">
        <v>45929</v>
      </c>
      <c r="U286" s="123">
        <v>3.306</v>
      </c>
      <c r="V286" s="148">
        <v>3513.6518451300662</v>
      </c>
      <c r="W286" s="123">
        <v>11616.133</v>
      </c>
      <c r="X286" s="125">
        <v>1.01E-3</v>
      </c>
      <c r="Y286" s="125">
        <v>3.3500000000000001E-3</v>
      </c>
      <c r="Z286" s="126">
        <v>4.2999999999999999E-4</v>
      </c>
      <c r="AA286" s="159"/>
    </row>
    <row r="287" spans="1:27" x14ac:dyDescent="0.2">
      <c r="A287" s="121" t="s">
        <v>1223</v>
      </c>
      <c r="B287" s="122" t="s">
        <v>1223</v>
      </c>
      <c r="C287" s="122" t="s">
        <v>3128</v>
      </c>
      <c r="D287" s="122"/>
      <c r="E287" s="122"/>
      <c r="F287" s="122" t="s">
        <v>3213</v>
      </c>
      <c r="G287" s="122" t="s">
        <v>3214</v>
      </c>
      <c r="H287" s="122" t="s">
        <v>102</v>
      </c>
      <c r="I287" s="122" t="s">
        <v>749</v>
      </c>
      <c r="J287" s="122"/>
      <c r="K287" s="122" t="s">
        <v>61</v>
      </c>
      <c r="L287" s="122"/>
      <c r="M287" s="122"/>
      <c r="N287" s="122" t="s">
        <v>317</v>
      </c>
      <c r="O287" s="122" t="s">
        <v>62</v>
      </c>
      <c r="P287" s="145">
        <v>45089</v>
      </c>
      <c r="Q287" s="122" t="s">
        <v>1218</v>
      </c>
      <c r="R287" s="122" t="s">
        <v>303</v>
      </c>
      <c r="S287" s="122" t="s">
        <v>305</v>
      </c>
      <c r="T287" s="145">
        <v>45929</v>
      </c>
      <c r="U287" s="123">
        <v>3.8809999999999998</v>
      </c>
      <c r="V287" s="148">
        <v>2768.0208709095596</v>
      </c>
      <c r="W287" s="123">
        <v>10742.689</v>
      </c>
      <c r="X287" s="122"/>
      <c r="Y287" s="125">
        <v>3.0899999999999999E-3</v>
      </c>
      <c r="Z287" s="126">
        <v>3.8999999999999999E-4</v>
      </c>
      <c r="AA287" s="159"/>
    </row>
    <row r="288" spans="1:27" x14ac:dyDescent="0.2">
      <c r="A288" s="121" t="s">
        <v>1223</v>
      </c>
      <c r="B288" s="122" t="s">
        <v>1223</v>
      </c>
      <c r="C288" s="122" t="s">
        <v>3095</v>
      </c>
      <c r="D288" s="122"/>
      <c r="E288" s="122"/>
      <c r="F288" s="122" t="s">
        <v>3215</v>
      </c>
      <c r="G288" s="122" t="s">
        <v>3216</v>
      </c>
      <c r="H288" s="122" t="s">
        <v>102</v>
      </c>
      <c r="I288" s="122" t="s">
        <v>749</v>
      </c>
      <c r="J288" s="122"/>
      <c r="K288" s="122" t="s">
        <v>61</v>
      </c>
      <c r="L288" s="122"/>
      <c r="M288" s="122"/>
      <c r="N288" s="122" t="s">
        <v>317</v>
      </c>
      <c r="O288" s="122" t="s">
        <v>62</v>
      </c>
      <c r="P288" s="145">
        <v>45475</v>
      </c>
      <c r="Q288" s="122" t="s">
        <v>1217</v>
      </c>
      <c r="R288" s="122" t="s">
        <v>303</v>
      </c>
      <c r="S288" s="122" t="s">
        <v>305</v>
      </c>
      <c r="T288" s="145">
        <v>45926</v>
      </c>
      <c r="U288" s="123">
        <v>3.306</v>
      </c>
      <c r="V288" s="148">
        <v>3246.3841500302483</v>
      </c>
      <c r="W288" s="123">
        <v>10732.546</v>
      </c>
      <c r="X288" s="125">
        <v>2.4000000000000001E-4</v>
      </c>
      <c r="Y288" s="125">
        <v>3.0899999999999999E-3</v>
      </c>
      <c r="Z288" s="126">
        <v>3.8999999999999999E-4</v>
      </c>
      <c r="AA288" s="159"/>
    </row>
    <row r="289" spans="1:27" x14ac:dyDescent="0.2">
      <c r="A289" s="121" t="s">
        <v>1223</v>
      </c>
      <c r="B289" s="122" t="s">
        <v>1223</v>
      </c>
      <c r="C289" s="122" t="s">
        <v>3210</v>
      </c>
      <c r="D289" s="122"/>
      <c r="E289" s="122"/>
      <c r="F289" s="122" t="s">
        <v>3211</v>
      </c>
      <c r="G289" s="122" t="s">
        <v>3212</v>
      </c>
      <c r="H289" s="122" t="s">
        <v>102</v>
      </c>
      <c r="I289" s="122" t="s">
        <v>749</v>
      </c>
      <c r="J289" s="122"/>
      <c r="K289" s="122" t="s">
        <v>61</v>
      </c>
      <c r="L289" s="122"/>
      <c r="M289" s="122"/>
      <c r="N289" s="122" t="s">
        <v>314</v>
      </c>
      <c r="O289" s="122" t="s">
        <v>62</v>
      </c>
      <c r="P289" s="145">
        <v>45574</v>
      </c>
      <c r="Q289" s="122" t="s">
        <v>1217</v>
      </c>
      <c r="R289" s="122" t="s">
        <v>303</v>
      </c>
      <c r="S289" s="122" t="s">
        <v>305</v>
      </c>
      <c r="T289" s="145">
        <v>45915</v>
      </c>
      <c r="U289" s="123">
        <v>3.306</v>
      </c>
      <c r="V289" s="148">
        <v>3234.644888082275</v>
      </c>
      <c r="W289" s="123">
        <v>10693.736000000001</v>
      </c>
      <c r="X289" s="125">
        <v>1.92E-3</v>
      </c>
      <c r="Y289" s="125">
        <v>3.0799999999999998E-3</v>
      </c>
      <c r="Z289" s="126">
        <v>3.8999999999999999E-4</v>
      </c>
      <c r="AA289" s="159"/>
    </row>
    <row r="290" spans="1:27" x14ac:dyDescent="0.2">
      <c r="A290" s="121" t="s">
        <v>1223</v>
      </c>
      <c r="B290" s="122" t="s">
        <v>1223</v>
      </c>
      <c r="C290" s="122" t="s">
        <v>3217</v>
      </c>
      <c r="D290" s="122"/>
      <c r="E290" s="122"/>
      <c r="F290" s="122" t="s">
        <v>3218</v>
      </c>
      <c r="G290" s="122" t="s">
        <v>3219</v>
      </c>
      <c r="H290" s="122" t="s">
        <v>102</v>
      </c>
      <c r="I290" s="122" t="s">
        <v>280</v>
      </c>
      <c r="J290" s="122"/>
      <c r="K290" s="122" t="s">
        <v>61</v>
      </c>
      <c r="L290" s="122"/>
      <c r="M290" s="122"/>
      <c r="N290" s="122" t="s">
        <v>314</v>
      </c>
      <c r="O290" s="122" t="s">
        <v>62</v>
      </c>
      <c r="P290" s="145">
        <v>45498</v>
      </c>
      <c r="Q290" s="122" t="s">
        <v>1217</v>
      </c>
      <c r="R290" s="122" t="s">
        <v>303</v>
      </c>
      <c r="S290" s="122" t="s">
        <v>305</v>
      </c>
      <c r="T290" s="145">
        <v>45929</v>
      </c>
      <c r="U290" s="123">
        <v>3.306</v>
      </c>
      <c r="V290" s="148">
        <v>3196.5565638233516</v>
      </c>
      <c r="W290" s="123">
        <v>10567.816000000001</v>
      </c>
      <c r="X290" s="125">
        <v>6.1199999999999997E-2</v>
      </c>
      <c r="Y290" s="125">
        <v>3.0400000000000002E-3</v>
      </c>
      <c r="Z290" s="126">
        <v>3.8999999999999999E-4</v>
      </c>
      <c r="AA290" s="159"/>
    </row>
    <row r="291" spans="1:27" x14ac:dyDescent="0.2">
      <c r="A291" s="121" t="s">
        <v>1223</v>
      </c>
      <c r="B291" s="122" t="s">
        <v>1223</v>
      </c>
      <c r="C291" s="122" t="s">
        <v>102</v>
      </c>
      <c r="D291" s="122"/>
      <c r="E291" s="122"/>
      <c r="F291" s="122" t="s">
        <v>3220</v>
      </c>
      <c r="G291" s="122" t="s">
        <v>3221</v>
      </c>
      <c r="H291" s="122" t="s">
        <v>102</v>
      </c>
      <c r="I291" s="122" t="s">
        <v>926</v>
      </c>
      <c r="J291" s="122"/>
      <c r="K291" s="122" t="s">
        <v>61</v>
      </c>
      <c r="L291" s="122"/>
      <c r="M291" s="122"/>
      <c r="N291" s="122" t="s">
        <v>157</v>
      </c>
      <c r="O291" s="122" t="s">
        <v>62</v>
      </c>
      <c r="P291" s="145">
        <v>45055</v>
      </c>
      <c r="Q291" s="122" t="s">
        <v>1217</v>
      </c>
      <c r="R291" s="122" t="s">
        <v>303</v>
      </c>
      <c r="S291" s="122" t="s">
        <v>305</v>
      </c>
      <c r="T291" s="145">
        <v>45929</v>
      </c>
      <c r="U291" s="123">
        <v>3.306</v>
      </c>
      <c r="V291" s="148">
        <v>3115.9125831820934</v>
      </c>
      <c r="W291" s="123">
        <v>10301.207</v>
      </c>
      <c r="X291" s="125">
        <v>0.16458999999999999</v>
      </c>
      <c r="Y291" s="125">
        <v>2.97E-3</v>
      </c>
      <c r="Z291" s="126">
        <v>3.8000000000000002E-4</v>
      </c>
      <c r="AA291" s="159"/>
    </row>
    <row r="292" spans="1:27" x14ac:dyDescent="0.2">
      <c r="A292" s="121" t="s">
        <v>1223</v>
      </c>
      <c r="B292" s="122" t="s">
        <v>1223</v>
      </c>
      <c r="C292" s="122" t="s">
        <v>3222</v>
      </c>
      <c r="D292" s="122"/>
      <c r="E292" s="122"/>
      <c r="F292" s="122" t="s">
        <v>3223</v>
      </c>
      <c r="G292" s="122" t="s">
        <v>3224</v>
      </c>
      <c r="H292" s="122" t="s">
        <v>102</v>
      </c>
      <c r="I292" s="122" t="s">
        <v>749</v>
      </c>
      <c r="J292" s="122"/>
      <c r="K292" s="122" t="s">
        <v>61</v>
      </c>
      <c r="L292" s="122"/>
      <c r="M292" s="122"/>
      <c r="N292" s="122" t="s">
        <v>313</v>
      </c>
      <c r="O292" s="122" t="s">
        <v>62</v>
      </c>
      <c r="P292" s="145">
        <v>43335</v>
      </c>
      <c r="Q292" s="122" t="s">
        <v>1218</v>
      </c>
      <c r="R292" s="122" t="s">
        <v>303</v>
      </c>
      <c r="S292" s="122" t="s">
        <v>305</v>
      </c>
      <c r="T292" s="145">
        <v>45897</v>
      </c>
      <c r="U292" s="123">
        <v>3.8809999999999998</v>
      </c>
      <c r="V292" s="148">
        <v>2396.3697500644166</v>
      </c>
      <c r="W292" s="123">
        <v>9300.3109999999997</v>
      </c>
      <c r="X292" s="125">
        <v>1.82E-3</v>
      </c>
      <c r="Y292" s="125">
        <v>2.6800000000000001E-3</v>
      </c>
      <c r="Z292" s="126">
        <v>3.4000000000000002E-4</v>
      </c>
      <c r="AA292" s="159"/>
    </row>
    <row r="293" spans="1:27" x14ac:dyDescent="0.2">
      <c r="A293" s="121" t="s">
        <v>1223</v>
      </c>
      <c r="B293" s="122" t="s">
        <v>1223</v>
      </c>
      <c r="C293" s="122" t="s">
        <v>102</v>
      </c>
      <c r="D293" s="122"/>
      <c r="E293" s="122"/>
      <c r="F293" s="122" t="s">
        <v>3230</v>
      </c>
      <c r="G293" s="122" t="s">
        <v>3231</v>
      </c>
      <c r="H293" s="122" t="s">
        <v>102</v>
      </c>
      <c r="I293" s="122" t="s">
        <v>926</v>
      </c>
      <c r="J293" s="122"/>
      <c r="K293" s="122" t="s">
        <v>61</v>
      </c>
      <c r="L293" s="122"/>
      <c r="M293" s="122"/>
      <c r="N293" s="122" t="s">
        <v>314</v>
      </c>
      <c r="O293" s="122" t="s">
        <v>62</v>
      </c>
      <c r="P293" s="145">
        <v>43521</v>
      </c>
      <c r="Q293" s="122" t="s">
        <v>1217</v>
      </c>
      <c r="R293" s="122" t="s">
        <v>303</v>
      </c>
      <c r="S293" s="122" t="s">
        <v>305</v>
      </c>
      <c r="T293" s="145">
        <v>45897</v>
      </c>
      <c r="U293" s="123">
        <v>3.306</v>
      </c>
      <c r="V293" s="148">
        <v>2590.3771929824561</v>
      </c>
      <c r="W293" s="123">
        <v>8563.7870000000003</v>
      </c>
      <c r="X293" s="122"/>
      <c r="Y293" s="125">
        <v>2.47E-3</v>
      </c>
      <c r="Z293" s="126">
        <v>3.1E-4</v>
      </c>
      <c r="AA293" s="159"/>
    </row>
    <row r="294" spans="1:27" x14ac:dyDescent="0.2">
      <c r="A294" s="121" t="s">
        <v>1223</v>
      </c>
      <c r="B294" s="122" t="s">
        <v>1223</v>
      </c>
      <c r="C294" s="122" t="s">
        <v>3227</v>
      </c>
      <c r="D294" s="122"/>
      <c r="E294" s="122"/>
      <c r="F294" s="122" t="s">
        <v>3228</v>
      </c>
      <c r="G294" s="122" t="s">
        <v>3229</v>
      </c>
      <c r="H294" s="122" t="s">
        <v>102</v>
      </c>
      <c r="I294" s="122" t="s">
        <v>241</v>
      </c>
      <c r="J294" s="122"/>
      <c r="K294" s="122" t="s">
        <v>61</v>
      </c>
      <c r="L294" s="122"/>
      <c r="M294" s="122"/>
      <c r="N294" s="122" t="s">
        <v>314</v>
      </c>
      <c r="O294" s="122" t="s">
        <v>62</v>
      </c>
      <c r="P294" s="145">
        <v>45350</v>
      </c>
      <c r="Q294" s="122" t="s">
        <v>1217</v>
      </c>
      <c r="R294" s="122" t="s">
        <v>303</v>
      </c>
      <c r="S294" s="122" t="s">
        <v>305</v>
      </c>
      <c r="T294" s="145">
        <v>45918</v>
      </c>
      <c r="U294" s="123">
        <v>3.306</v>
      </c>
      <c r="V294" s="148">
        <v>2518.6409558378705</v>
      </c>
      <c r="W294" s="123">
        <v>8326.6270000000004</v>
      </c>
      <c r="X294" s="125">
        <v>1.2700000000000001E-3</v>
      </c>
      <c r="Y294" s="125">
        <v>2.3999999999999998E-3</v>
      </c>
      <c r="Z294" s="126">
        <v>3.1E-4</v>
      </c>
      <c r="AA294" s="159"/>
    </row>
    <row r="295" spans="1:27" x14ac:dyDescent="0.2">
      <c r="A295" s="121" t="s">
        <v>1223</v>
      </c>
      <c r="B295" s="122" t="s">
        <v>1223</v>
      </c>
      <c r="C295" s="122" t="s">
        <v>3225</v>
      </c>
      <c r="D295" s="122"/>
      <c r="E295" s="122"/>
      <c r="F295" s="122" t="s">
        <v>3178</v>
      </c>
      <c r="G295" s="122" t="s">
        <v>3226</v>
      </c>
      <c r="H295" s="122" t="s">
        <v>102</v>
      </c>
      <c r="I295" s="122" t="s">
        <v>926</v>
      </c>
      <c r="J295" s="122"/>
      <c r="K295" s="122" t="s">
        <v>61</v>
      </c>
      <c r="L295" s="122"/>
      <c r="M295" s="122"/>
      <c r="N295" s="122" t="s">
        <v>314</v>
      </c>
      <c r="O295" s="122" t="s">
        <v>62</v>
      </c>
      <c r="P295" s="145">
        <v>44133</v>
      </c>
      <c r="Q295" s="122" t="s">
        <v>1217</v>
      </c>
      <c r="R295" s="122" t="s">
        <v>303</v>
      </c>
      <c r="S295" s="122" t="s">
        <v>305</v>
      </c>
      <c r="T295" s="145">
        <v>45930</v>
      </c>
      <c r="U295" s="123">
        <v>3.306</v>
      </c>
      <c r="V295" s="148">
        <v>2499.2084089534178</v>
      </c>
      <c r="W295" s="123">
        <v>8262.3829999999998</v>
      </c>
      <c r="X295" s="125">
        <v>3.5150000000000001E-2</v>
      </c>
      <c r="Y295" s="125">
        <v>2.3800000000000002E-3</v>
      </c>
      <c r="Z295" s="126">
        <v>2.9999999999999997E-4</v>
      </c>
      <c r="AA295" s="159"/>
    </row>
    <row r="296" spans="1:27" x14ac:dyDescent="0.2">
      <c r="A296" s="121" t="s">
        <v>1223</v>
      </c>
      <c r="B296" s="122" t="s">
        <v>1223</v>
      </c>
      <c r="C296" s="122" t="s">
        <v>3232</v>
      </c>
      <c r="D296" s="122"/>
      <c r="E296" s="122"/>
      <c r="F296" s="122" t="s">
        <v>3233</v>
      </c>
      <c r="G296" s="122" t="s">
        <v>3234</v>
      </c>
      <c r="H296" s="122" t="s">
        <v>102</v>
      </c>
      <c r="I296" s="122" t="s">
        <v>280</v>
      </c>
      <c r="J296" s="122"/>
      <c r="K296" s="122" t="s">
        <v>61</v>
      </c>
      <c r="L296" s="122"/>
      <c r="M296" s="122"/>
      <c r="N296" s="122" t="s">
        <v>1166</v>
      </c>
      <c r="O296" s="122" t="s">
        <v>62</v>
      </c>
      <c r="P296" s="145">
        <v>45749</v>
      </c>
      <c r="Q296" s="122" t="s">
        <v>1217</v>
      </c>
      <c r="R296" s="122" t="s">
        <v>303</v>
      </c>
      <c r="S296" s="122" t="s">
        <v>305</v>
      </c>
      <c r="T296" s="145">
        <v>45918</v>
      </c>
      <c r="U296" s="123">
        <v>3.306</v>
      </c>
      <c r="V296" s="148">
        <v>2428.1388384754991</v>
      </c>
      <c r="W296" s="123">
        <v>8027.4269999999997</v>
      </c>
      <c r="X296" s="125">
        <v>6.6E-4</v>
      </c>
      <c r="Y296" s="125">
        <v>2.31E-3</v>
      </c>
      <c r="Z296" s="126">
        <v>2.9E-4</v>
      </c>
      <c r="AA296" s="159"/>
    </row>
    <row r="297" spans="1:27" x14ac:dyDescent="0.2">
      <c r="A297" s="121" t="s">
        <v>1223</v>
      </c>
      <c r="B297" s="122" t="s">
        <v>1223</v>
      </c>
      <c r="C297" s="122" t="s">
        <v>3235</v>
      </c>
      <c r="D297" s="122"/>
      <c r="E297" s="122"/>
      <c r="F297" s="122" t="s">
        <v>3236</v>
      </c>
      <c r="G297" s="122" t="s">
        <v>3237</v>
      </c>
      <c r="H297" s="122" t="s">
        <v>102</v>
      </c>
      <c r="I297" s="122" t="s">
        <v>749</v>
      </c>
      <c r="J297" s="122"/>
      <c r="K297" s="122" t="s">
        <v>61</v>
      </c>
      <c r="L297" s="122"/>
      <c r="M297" s="122"/>
      <c r="N297" s="122" t="s">
        <v>930</v>
      </c>
      <c r="O297" s="122" t="s">
        <v>62</v>
      </c>
      <c r="P297" s="145">
        <v>44393</v>
      </c>
      <c r="Q297" s="122" t="s">
        <v>1217</v>
      </c>
      <c r="R297" s="122" t="s">
        <v>303</v>
      </c>
      <c r="S297" s="122" t="s">
        <v>305</v>
      </c>
      <c r="T297" s="145">
        <v>45929</v>
      </c>
      <c r="U297" s="123">
        <v>3.306</v>
      </c>
      <c r="V297" s="148">
        <v>2046.727465214761</v>
      </c>
      <c r="W297" s="123">
        <v>6766.4809999999998</v>
      </c>
      <c r="X297" s="122"/>
      <c r="Y297" s="125">
        <v>1.9499999999999999E-3</v>
      </c>
      <c r="Z297" s="126">
        <v>2.5000000000000001E-4</v>
      </c>
      <c r="AA297" s="159"/>
    </row>
    <row r="298" spans="1:27" x14ac:dyDescent="0.2">
      <c r="A298" s="121" t="s">
        <v>1223</v>
      </c>
      <c r="B298" s="122" t="s">
        <v>1223</v>
      </c>
      <c r="C298" s="122" t="s">
        <v>3241</v>
      </c>
      <c r="D298" s="122"/>
      <c r="E298" s="122"/>
      <c r="F298" s="122" t="s">
        <v>3242</v>
      </c>
      <c r="G298" s="122" t="s">
        <v>3243</v>
      </c>
      <c r="H298" s="122" t="s">
        <v>102</v>
      </c>
      <c r="I298" s="122" t="s">
        <v>280</v>
      </c>
      <c r="J298" s="122"/>
      <c r="K298" s="122" t="s">
        <v>61</v>
      </c>
      <c r="L298" s="122"/>
      <c r="M298" s="122"/>
      <c r="N298" s="122" t="s">
        <v>53</v>
      </c>
      <c r="O298" s="122" t="s">
        <v>62</v>
      </c>
      <c r="P298" s="145">
        <v>45119</v>
      </c>
      <c r="Q298" s="122" t="s">
        <v>1216</v>
      </c>
      <c r="R298" s="122" t="s">
        <v>303</v>
      </c>
      <c r="S298" s="122" t="s">
        <v>305</v>
      </c>
      <c r="T298" s="145">
        <v>45897</v>
      </c>
      <c r="U298" s="123">
        <v>1</v>
      </c>
      <c r="V298" s="148">
        <v>6523.701</v>
      </c>
      <c r="W298" s="123">
        <v>6523.701</v>
      </c>
      <c r="X298" s="125">
        <v>1.261E-2</v>
      </c>
      <c r="Y298" s="125">
        <v>1.8799999999999999E-3</v>
      </c>
      <c r="Z298" s="126">
        <v>2.4000000000000001E-4</v>
      </c>
      <c r="AA298" s="159"/>
    </row>
    <row r="299" spans="1:27" x14ac:dyDescent="0.2">
      <c r="A299" s="121" t="s">
        <v>1223</v>
      </c>
      <c r="B299" s="122" t="s">
        <v>1223</v>
      </c>
      <c r="C299" s="122" t="s">
        <v>3238</v>
      </c>
      <c r="D299" s="122"/>
      <c r="E299" s="122"/>
      <c r="F299" s="122" t="s">
        <v>3239</v>
      </c>
      <c r="G299" s="122" t="s">
        <v>3240</v>
      </c>
      <c r="H299" s="122" t="s">
        <v>102</v>
      </c>
      <c r="I299" s="122" t="s">
        <v>280</v>
      </c>
      <c r="J299" s="122"/>
      <c r="K299" s="122" t="s">
        <v>61</v>
      </c>
      <c r="L299" s="122"/>
      <c r="M299" s="122"/>
      <c r="N299" s="122" t="s">
        <v>314</v>
      </c>
      <c r="O299" s="122" t="s">
        <v>62</v>
      </c>
      <c r="P299" s="145">
        <v>45771</v>
      </c>
      <c r="Q299" s="122" t="s">
        <v>1217</v>
      </c>
      <c r="R299" s="122" t="s">
        <v>303</v>
      </c>
      <c r="S299" s="122" t="s">
        <v>305</v>
      </c>
      <c r="T299" s="145">
        <v>45901</v>
      </c>
      <c r="U299" s="123">
        <v>3.306</v>
      </c>
      <c r="V299" s="148">
        <v>1864.0232909860858</v>
      </c>
      <c r="W299" s="123">
        <v>6162.4610000000002</v>
      </c>
      <c r="X299" s="125">
        <v>8.9700000000000005E-3</v>
      </c>
      <c r="Y299" s="125">
        <v>1.7700000000000001E-3</v>
      </c>
      <c r="Z299" s="126">
        <v>2.3000000000000001E-4</v>
      </c>
      <c r="AA299" s="159"/>
    </row>
    <row r="300" spans="1:27" x14ac:dyDescent="0.2">
      <c r="A300" s="121" t="s">
        <v>1223</v>
      </c>
      <c r="B300" s="122" t="s">
        <v>1223</v>
      </c>
      <c r="C300" s="122" t="s">
        <v>3244</v>
      </c>
      <c r="D300" s="122"/>
      <c r="E300" s="122"/>
      <c r="F300" s="122" t="s">
        <v>3245</v>
      </c>
      <c r="G300" s="122" t="s">
        <v>3246</v>
      </c>
      <c r="H300" s="122" t="s">
        <v>102</v>
      </c>
      <c r="I300" s="122" t="s">
        <v>749</v>
      </c>
      <c r="J300" s="122"/>
      <c r="K300" s="122" t="s">
        <v>61</v>
      </c>
      <c r="L300" s="122"/>
      <c r="M300" s="122"/>
      <c r="N300" s="122" t="s">
        <v>314</v>
      </c>
      <c r="O300" s="122" t="s">
        <v>62</v>
      </c>
      <c r="P300" s="145">
        <v>44538</v>
      </c>
      <c r="Q300" s="122" t="s">
        <v>1217</v>
      </c>
      <c r="R300" s="122" t="s">
        <v>303</v>
      </c>
      <c r="S300" s="122" t="s">
        <v>305</v>
      </c>
      <c r="T300" s="145">
        <v>45903</v>
      </c>
      <c r="U300" s="123">
        <v>3.306</v>
      </c>
      <c r="V300" s="148">
        <v>1743.7876588021779</v>
      </c>
      <c r="W300" s="123">
        <v>5764.9620000000004</v>
      </c>
      <c r="X300" s="122"/>
      <c r="Y300" s="125">
        <v>1.66E-3</v>
      </c>
      <c r="Z300" s="126">
        <v>2.1000000000000001E-4</v>
      </c>
      <c r="AA300" s="159"/>
    </row>
    <row r="301" spans="1:27" x14ac:dyDescent="0.2">
      <c r="A301" s="121" t="s">
        <v>1223</v>
      </c>
      <c r="B301" s="122" t="s">
        <v>1223</v>
      </c>
      <c r="C301" s="122" t="s">
        <v>3247</v>
      </c>
      <c r="D301" s="122"/>
      <c r="E301" s="122"/>
      <c r="F301" s="122" t="s">
        <v>3248</v>
      </c>
      <c r="G301" s="122" t="s">
        <v>3249</v>
      </c>
      <c r="H301" s="122" t="s">
        <v>102</v>
      </c>
      <c r="I301" s="122" t="s">
        <v>749</v>
      </c>
      <c r="J301" s="122"/>
      <c r="K301" s="122" t="s">
        <v>61</v>
      </c>
      <c r="L301" s="122"/>
      <c r="M301" s="122"/>
      <c r="N301" s="122" t="s">
        <v>314</v>
      </c>
      <c r="O301" s="122" t="s">
        <v>62</v>
      </c>
      <c r="P301" s="145">
        <v>45722</v>
      </c>
      <c r="Q301" s="122" t="s">
        <v>1217</v>
      </c>
      <c r="R301" s="122" t="s">
        <v>303</v>
      </c>
      <c r="S301" s="122" t="s">
        <v>305</v>
      </c>
      <c r="T301" s="145">
        <v>45902</v>
      </c>
      <c r="U301" s="123">
        <v>3.306</v>
      </c>
      <c r="V301" s="148">
        <v>1562.3714458560194</v>
      </c>
      <c r="W301" s="123">
        <v>5165.2</v>
      </c>
      <c r="X301" s="125">
        <v>1.9000000000000001E-4</v>
      </c>
      <c r="Y301" s="125">
        <v>1.49E-3</v>
      </c>
      <c r="Z301" s="126">
        <v>1.9000000000000001E-4</v>
      </c>
      <c r="AA301" s="159"/>
    </row>
    <row r="302" spans="1:27" x14ac:dyDescent="0.2">
      <c r="A302" s="121" t="s">
        <v>1223</v>
      </c>
      <c r="B302" s="122" t="s">
        <v>1223</v>
      </c>
      <c r="C302" s="122" t="s">
        <v>3250</v>
      </c>
      <c r="D302" s="122"/>
      <c r="E302" s="122"/>
      <c r="F302" s="122" t="s">
        <v>3251</v>
      </c>
      <c r="G302" s="122" t="s">
        <v>3252</v>
      </c>
      <c r="H302" s="122" t="s">
        <v>102</v>
      </c>
      <c r="I302" s="122" t="s">
        <v>749</v>
      </c>
      <c r="J302" s="122"/>
      <c r="K302" s="122" t="s">
        <v>61</v>
      </c>
      <c r="L302" s="122"/>
      <c r="M302" s="122"/>
      <c r="N302" s="122" t="s">
        <v>53</v>
      </c>
      <c r="O302" s="122" t="s">
        <v>62</v>
      </c>
      <c r="P302" s="145">
        <v>44742</v>
      </c>
      <c r="Q302" s="122" t="s">
        <v>1217</v>
      </c>
      <c r="R302" s="122" t="s">
        <v>303</v>
      </c>
      <c r="S302" s="122" t="s">
        <v>305</v>
      </c>
      <c r="T302" s="145">
        <v>45869</v>
      </c>
      <c r="U302" s="123">
        <v>3.306</v>
      </c>
      <c r="V302" s="148">
        <v>1546.6055656382337</v>
      </c>
      <c r="W302" s="123">
        <v>5113.0780000000004</v>
      </c>
      <c r="X302" s="125">
        <v>3.8800000000000002E-3</v>
      </c>
      <c r="Y302" s="125">
        <v>1.47E-3</v>
      </c>
      <c r="Z302" s="126">
        <v>1.9000000000000001E-4</v>
      </c>
      <c r="AA302" s="159"/>
    </row>
    <row r="303" spans="1:27" x14ac:dyDescent="0.2">
      <c r="A303" s="121" t="s">
        <v>1223</v>
      </c>
      <c r="B303" s="122" t="s">
        <v>1223</v>
      </c>
      <c r="C303" s="122" t="s">
        <v>3253</v>
      </c>
      <c r="D303" s="122"/>
      <c r="E303" s="122"/>
      <c r="F303" s="122" t="s">
        <v>3254</v>
      </c>
      <c r="G303" s="122" t="s">
        <v>3255</v>
      </c>
      <c r="H303" s="122" t="s">
        <v>102</v>
      </c>
      <c r="I303" s="122" t="s">
        <v>280</v>
      </c>
      <c r="J303" s="122"/>
      <c r="K303" s="122" t="s">
        <v>61</v>
      </c>
      <c r="L303" s="122"/>
      <c r="M303" s="122"/>
      <c r="N303" s="122" t="s">
        <v>314</v>
      </c>
      <c r="O303" s="122" t="s">
        <v>62</v>
      </c>
      <c r="P303" s="145">
        <v>45832</v>
      </c>
      <c r="Q303" s="122" t="s">
        <v>1217</v>
      </c>
      <c r="R303" s="122" t="s">
        <v>303</v>
      </c>
      <c r="S303" s="122" t="s">
        <v>305</v>
      </c>
      <c r="T303" s="145">
        <v>45916</v>
      </c>
      <c r="U303" s="123">
        <v>3.306</v>
      </c>
      <c r="V303" s="148">
        <v>1344.7779794313369</v>
      </c>
      <c r="W303" s="123">
        <v>4445.8360000000002</v>
      </c>
      <c r="X303" s="125">
        <v>3.6999999999999999E-4</v>
      </c>
      <c r="Y303" s="125">
        <v>1.2800000000000001E-3</v>
      </c>
      <c r="Z303" s="126">
        <v>1.6000000000000001E-4</v>
      </c>
      <c r="AA303" s="159"/>
    </row>
    <row r="304" spans="1:27" x14ac:dyDescent="0.2">
      <c r="A304" s="121" t="s">
        <v>1223</v>
      </c>
      <c r="B304" s="122" t="s">
        <v>1223</v>
      </c>
      <c r="C304" s="122" t="s">
        <v>3174</v>
      </c>
      <c r="D304" s="122"/>
      <c r="E304" s="122"/>
      <c r="F304" s="122" t="s">
        <v>3256</v>
      </c>
      <c r="G304" s="122" t="s">
        <v>3257</v>
      </c>
      <c r="H304" s="122" t="s">
        <v>102</v>
      </c>
      <c r="I304" s="122" t="s">
        <v>280</v>
      </c>
      <c r="J304" s="122"/>
      <c r="K304" s="122" t="s">
        <v>61</v>
      </c>
      <c r="L304" s="122"/>
      <c r="M304" s="122"/>
      <c r="N304" s="122" t="s">
        <v>314</v>
      </c>
      <c r="O304" s="122" t="s">
        <v>62</v>
      </c>
      <c r="P304" s="145">
        <v>44560</v>
      </c>
      <c r="Q304" s="122" t="s">
        <v>1217</v>
      </c>
      <c r="R304" s="122" t="s">
        <v>303</v>
      </c>
      <c r="S304" s="122" t="s">
        <v>305</v>
      </c>
      <c r="T304" s="145">
        <v>45887</v>
      </c>
      <c r="U304" s="123">
        <v>3.306</v>
      </c>
      <c r="V304" s="148">
        <v>1153.0399274047186</v>
      </c>
      <c r="W304" s="123">
        <v>3811.95</v>
      </c>
      <c r="X304" s="122"/>
      <c r="Y304" s="125">
        <v>1.1000000000000001E-3</v>
      </c>
      <c r="Z304" s="126">
        <v>1.3999999999999999E-4</v>
      </c>
      <c r="AA304" s="159"/>
    </row>
    <row r="305" spans="1:27" x14ac:dyDescent="0.2">
      <c r="A305" s="121" t="s">
        <v>1223</v>
      </c>
      <c r="B305" s="122" t="s">
        <v>1223</v>
      </c>
      <c r="C305" s="122" t="s">
        <v>3258</v>
      </c>
      <c r="D305" s="122"/>
      <c r="E305" s="122"/>
      <c r="F305" s="122" t="s">
        <v>3259</v>
      </c>
      <c r="G305" s="122" t="s">
        <v>3260</v>
      </c>
      <c r="H305" s="122" t="s">
        <v>102</v>
      </c>
      <c r="I305" s="122" t="s">
        <v>280</v>
      </c>
      <c r="J305" s="122"/>
      <c r="K305" s="122" t="s">
        <v>61</v>
      </c>
      <c r="L305" s="122"/>
      <c r="M305" s="122"/>
      <c r="N305" s="122" t="s">
        <v>317</v>
      </c>
      <c r="O305" s="122" t="s">
        <v>62</v>
      </c>
      <c r="P305" s="145">
        <v>45882</v>
      </c>
      <c r="Q305" s="122" t="s">
        <v>1217</v>
      </c>
      <c r="R305" s="122" t="s">
        <v>303</v>
      </c>
      <c r="S305" s="122" t="s">
        <v>305</v>
      </c>
      <c r="T305" s="145">
        <v>45918</v>
      </c>
      <c r="U305" s="123">
        <v>3.306</v>
      </c>
      <c r="V305" s="148">
        <v>856.73502722323042</v>
      </c>
      <c r="W305" s="123">
        <v>2832.366</v>
      </c>
      <c r="X305" s="125">
        <v>5.6999999999999998E-4</v>
      </c>
      <c r="Y305" s="125">
        <v>8.1999999999999998E-4</v>
      </c>
      <c r="Z305" s="126">
        <v>1E-4</v>
      </c>
      <c r="AA305" s="159"/>
    </row>
    <row r="306" spans="1:27" x14ac:dyDescent="0.2">
      <c r="A306" s="121" t="s">
        <v>1223</v>
      </c>
      <c r="B306" s="122" t="s">
        <v>1223</v>
      </c>
      <c r="C306" s="122" t="s">
        <v>3201</v>
      </c>
      <c r="D306" s="122"/>
      <c r="E306" s="122"/>
      <c r="F306" s="122" t="s">
        <v>3261</v>
      </c>
      <c r="G306" s="122" t="s">
        <v>3262</v>
      </c>
      <c r="H306" s="122" t="s">
        <v>102</v>
      </c>
      <c r="I306" s="122" t="s">
        <v>280</v>
      </c>
      <c r="J306" s="122"/>
      <c r="K306" s="122" t="s">
        <v>61</v>
      </c>
      <c r="L306" s="122"/>
      <c r="M306" s="122"/>
      <c r="N306" s="122" t="s">
        <v>930</v>
      </c>
      <c r="O306" s="122" t="s">
        <v>62</v>
      </c>
      <c r="P306" s="145">
        <v>44651</v>
      </c>
      <c r="Q306" s="122" t="s">
        <v>1217</v>
      </c>
      <c r="R306" s="122" t="s">
        <v>303</v>
      </c>
      <c r="S306" s="122" t="s">
        <v>305</v>
      </c>
      <c r="T306" s="145">
        <v>45929</v>
      </c>
      <c r="U306" s="123">
        <v>3.306</v>
      </c>
      <c r="V306" s="148">
        <v>710.01693889897149</v>
      </c>
      <c r="W306" s="123">
        <v>2347.3159999999998</v>
      </c>
      <c r="X306" s="125">
        <v>4.3600000000000002E-3</v>
      </c>
      <c r="Y306" s="125">
        <v>6.8000000000000005E-4</v>
      </c>
      <c r="Z306" s="126">
        <v>9.0000000000000006E-5</v>
      </c>
      <c r="AA306" s="159"/>
    </row>
    <row r="307" spans="1:27" x14ac:dyDescent="0.2">
      <c r="A307" s="121" t="s">
        <v>1223</v>
      </c>
      <c r="B307" s="122" t="s">
        <v>1223</v>
      </c>
      <c r="C307" s="122" t="s">
        <v>3095</v>
      </c>
      <c r="D307" s="122"/>
      <c r="E307" s="122"/>
      <c r="F307" s="122" t="s">
        <v>3263</v>
      </c>
      <c r="G307" s="122" t="s">
        <v>3264</v>
      </c>
      <c r="H307" s="122" t="s">
        <v>102</v>
      </c>
      <c r="I307" s="122" t="s">
        <v>749</v>
      </c>
      <c r="J307" s="122"/>
      <c r="K307" s="122" t="s">
        <v>61</v>
      </c>
      <c r="L307" s="122"/>
      <c r="M307" s="122"/>
      <c r="N307" s="122" t="s">
        <v>317</v>
      </c>
      <c r="O307" s="122" t="s">
        <v>62</v>
      </c>
      <c r="P307" s="145">
        <v>45512</v>
      </c>
      <c r="Q307" s="122" t="s">
        <v>1217</v>
      </c>
      <c r="R307" s="122" t="s">
        <v>303</v>
      </c>
      <c r="S307" s="122" t="s">
        <v>305</v>
      </c>
      <c r="T307" s="145">
        <v>45929</v>
      </c>
      <c r="U307" s="123">
        <v>3.306</v>
      </c>
      <c r="V307" s="148">
        <v>396.88082274652146</v>
      </c>
      <c r="W307" s="123">
        <v>1312.088</v>
      </c>
      <c r="X307" s="125">
        <v>4.81E-3</v>
      </c>
      <c r="Y307" s="125">
        <v>3.8000000000000002E-4</v>
      </c>
      <c r="Z307" s="126">
        <v>5.0000000000000002E-5</v>
      </c>
      <c r="AA307" s="159"/>
    </row>
    <row r="308" spans="1:27" x14ac:dyDescent="0.2">
      <c r="A308" s="121" t="s">
        <v>1223</v>
      </c>
      <c r="B308" s="122" t="s">
        <v>1223</v>
      </c>
      <c r="C308" s="122" t="s">
        <v>3125</v>
      </c>
      <c r="D308" s="122"/>
      <c r="E308" s="122"/>
      <c r="F308" s="122" t="s">
        <v>3265</v>
      </c>
      <c r="G308" s="122" t="s">
        <v>3266</v>
      </c>
      <c r="H308" s="122" t="s">
        <v>102</v>
      </c>
      <c r="I308" s="122" t="s">
        <v>241</v>
      </c>
      <c r="J308" s="122"/>
      <c r="K308" s="122" t="s">
        <v>61</v>
      </c>
      <c r="L308" s="122"/>
      <c r="M308" s="122"/>
      <c r="N308" s="122" t="s">
        <v>314</v>
      </c>
      <c r="O308" s="122" t="s">
        <v>62</v>
      </c>
      <c r="P308" s="145">
        <v>45218</v>
      </c>
      <c r="Q308" s="122" t="s">
        <v>1217</v>
      </c>
      <c r="R308" s="122" t="s">
        <v>303</v>
      </c>
      <c r="S308" s="122" t="s">
        <v>305</v>
      </c>
      <c r="T308" s="145">
        <v>45845</v>
      </c>
      <c r="U308" s="123">
        <v>3.306</v>
      </c>
      <c r="V308" s="148">
        <v>271.01693889897155</v>
      </c>
      <c r="W308" s="123">
        <v>895.98199999999997</v>
      </c>
      <c r="X308" s="122"/>
      <c r="Y308" s="125">
        <v>2.5999999999999998E-4</v>
      </c>
      <c r="Z308" s="126">
        <v>3.0000000000000001E-5</v>
      </c>
      <c r="AA308" s="159"/>
    </row>
    <row r="309" spans="1:27" x14ac:dyDescent="0.2">
      <c r="A309" s="121" t="s">
        <v>1223</v>
      </c>
      <c r="B309" s="122" t="s">
        <v>1223</v>
      </c>
      <c r="C309" s="122" t="s">
        <v>102</v>
      </c>
      <c r="D309" s="122"/>
      <c r="E309" s="122"/>
      <c r="F309" s="122" t="s">
        <v>3272</v>
      </c>
      <c r="G309" s="122" t="s">
        <v>3273</v>
      </c>
      <c r="H309" s="122" t="s">
        <v>102</v>
      </c>
      <c r="I309" s="122" t="s">
        <v>926</v>
      </c>
      <c r="J309" s="122"/>
      <c r="K309" s="122" t="s">
        <v>61</v>
      </c>
      <c r="L309" s="122"/>
      <c r="M309" s="122"/>
      <c r="N309" s="122" t="s">
        <v>314</v>
      </c>
      <c r="O309" s="122" t="s">
        <v>62</v>
      </c>
      <c r="P309" s="145">
        <v>39136</v>
      </c>
      <c r="Q309" s="122" t="s">
        <v>1217</v>
      </c>
      <c r="R309" s="122" t="s">
        <v>303</v>
      </c>
      <c r="S309" s="122" t="s">
        <v>305</v>
      </c>
      <c r="T309" s="145">
        <v>43402</v>
      </c>
      <c r="U309" s="123">
        <v>3.306</v>
      </c>
      <c r="V309" s="148">
        <v>0</v>
      </c>
      <c r="W309" s="123">
        <v>0</v>
      </c>
      <c r="X309" s="122"/>
      <c r="Y309" s="125">
        <v>0</v>
      </c>
      <c r="Z309" s="126">
        <v>0</v>
      </c>
      <c r="AA309" s="159"/>
    </row>
    <row r="310" spans="1:27" x14ac:dyDescent="0.2">
      <c r="A310" s="121" t="s">
        <v>1211</v>
      </c>
      <c r="B310" s="122" t="s">
        <v>1212</v>
      </c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43"/>
      <c r="AA310" s="159"/>
    </row>
    <row r="311" spans="1:27" x14ac:dyDescent="0.2">
      <c r="A311" s="121" t="s">
        <v>1211</v>
      </c>
      <c r="B311" s="122" t="s">
        <v>1220</v>
      </c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43"/>
      <c r="AA311" s="159"/>
    </row>
    <row r="312" spans="1:27" x14ac:dyDescent="0.2">
      <c r="A312" s="121" t="s">
        <v>1223</v>
      </c>
      <c r="B312" s="122" t="s">
        <v>1224</v>
      </c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43"/>
      <c r="AA312" s="159"/>
    </row>
    <row r="313" spans="1:27" x14ac:dyDescent="0.2">
      <c r="A313" s="127" t="s">
        <v>1223</v>
      </c>
      <c r="B313" s="128" t="s">
        <v>1225</v>
      </c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44"/>
      <c r="AA313" s="159"/>
    </row>
    <row r="314" spans="1:27" x14ac:dyDescent="0.2">
      <c r="A314" s="159" t="s">
        <v>3483</v>
      </c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</row>
    <row r="315" spans="1:27" x14ac:dyDescent="0.2">
      <c r="A315" t="s">
        <v>3482</v>
      </c>
    </row>
    <row r="316" spans="1:27" x14ac:dyDescent="0.2">
      <c r="A316" s="1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  <pageSetup orientation="portrait"/>
    </customSheetView>
  </customSheetViews>
  <mergeCells count="2">
    <mergeCell ref="A314:Z314"/>
    <mergeCell ref="AA2:AA313"/>
  </mergeCells>
  <dataValidations count="10">
    <dataValidation type="list" allowBlank="1" showInputMessage="1" showErrorMessage="1" sqref="J3:J21" xr:uid="{00000000-0002-0000-1400-000000000000}">
      <formula1>Fund_Strategy</formula1>
    </dataValidation>
    <dataValidation type="list" allowBlank="1" showInputMessage="1" showErrorMessage="1" sqref="K3:K21" xr:uid="{00000000-0002-0000-1400-000001000000}">
      <formula1>israel_abroad</formula1>
    </dataValidation>
    <dataValidation type="list" allowBlank="1" showInputMessage="1" showErrorMessage="1" sqref="O3:O21" xr:uid="{00000000-0002-0000-1400-000002000000}">
      <formula1>Holding_interest</formula1>
    </dataValidation>
    <dataValidation type="list" allowBlank="1" showInputMessage="1" showErrorMessage="1" sqref="R3:R21" xr:uid="{00000000-0002-0000-1400-000003000000}">
      <formula1>Valuation</formula1>
    </dataValidation>
    <dataValidation type="list" allowBlank="1" showInputMessage="1" showErrorMessage="1" sqref="S3:S21" xr:uid="{00000000-0002-0000-1400-000004000000}">
      <formula1>Dependence_Independence</formula1>
    </dataValidation>
    <dataValidation type="list" allowBlank="1" showInputMessage="1" showErrorMessage="1" sqref="L3:M21" xr:uid="{00000000-0002-0000-1400-000005000000}">
      <formula1>Country_list</formula1>
    </dataValidation>
    <dataValidation type="list" allowBlank="1" showInputMessage="1" showErrorMessage="1" sqref="E3:E21" xr:uid="{00000000-0002-0000-1400-000006000000}">
      <formula1>Issuer_Number_Fund</formula1>
    </dataValidation>
    <dataValidation type="list" allowBlank="1" showInputMessage="1" showErrorMessage="1" sqref="H3:H21" xr:uid="{00000000-0002-0000-1400-000007000000}">
      <formula1>Type_of_Security_ID_Fund</formula1>
    </dataValidation>
    <dataValidation type="list" allowBlank="1" showInputMessage="1" showErrorMessage="1" sqref="N3:N21" xr:uid="{00000000-0002-0000-1400-000008000000}">
      <formula1>Country_list_funds</formula1>
    </dataValidation>
    <dataValidation type="list" allowBlank="1" showInputMessage="1" showErrorMessage="1" sqref="L22:L313 L315:L1048576" xr:uid="{00000000-0002-0000-1400-000009000000}">
      <formula1>Country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A000000}">
          <x14:formula1>
            <xm:f>'אפשרויות בחירה'!$C$956:$C$963</xm:f>
          </x14:formula1>
          <xm:sqref>I3:I21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A1:AC25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9" width="11.625" customWidth="1"/>
    <col min="10" max="10" width="19.875" customWidth="1"/>
    <col min="11" max="11" width="13.75" style="3" customWidth="1"/>
    <col min="12" max="12" width="18.625" customWidth="1"/>
    <col min="13" max="13" width="11.625" customWidth="1"/>
    <col min="14" max="14" width="12" customWidth="1"/>
    <col min="15" max="15" width="15.125" customWidth="1"/>
    <col min="16" max="16" width="12" customWidth="1"/>
    <col min="17" max="17" width="11.75" customWidth="1"/>
    <col min="18" max="18" width="14" customWidth="1"/>
    <col min="19" max="19" width="18.625" customWidth="1"/>
    <col min="20" max="20" width="16.375" customWidth="1"/>
    <col min="21" max="22" width="11.625" customWidth="1"/>
    <col min="23" max="23" width="14.875" customWidth="1"/>
    <col min="24" max="24" width="12.875" customWidth="1"/>
    <col min="25" max="25" width="11.625" customWidth="1"/>
    <col min="26" max="26" width="17.875" customWidth="1"/>
    <col min="27" max="27" width="21.75" customWidth="1"/>
    <col min="28" max="28" width="20.125" customWidth="1"/>
    <col min="29" max="29" width="11.625" hidden="1" customWidth="1"/>
    <col min="30" max="16384" width="9" hidden="1"/>
  </cols>
  <sheetData>
    <row r="1" spans="1:29" x14ac:dyDescent="0.2">
      <c r="A1" t="s">
        <v>3505</v>
      </c>
    </row>
    <row r="2" spans="1:29" x14ac:dyDescent="0.2">
      <c r="A2" s="118" t="s">
        <v>651</v>
      </c>
      <c r="B2" s="119" t="s">
        <v>0</v>
      </c>
      <c r="C2" s="119" t="s">
        <v>724</v>
      </c>
      <c r="D2" s="119" t="s">
        <v>2</v>
      </c>
      <c r="E2" s="119" t="s">
        <v>740</v>
      </c>
      <c r="F2" s="119" t="s">
        <v>1145</v>
      </c>
      <c r="G2" s="119" t="s">
        <v>29</v>
      </c>
      <c r="H2" s="119" t="s">
        <v>28</v>
      </c>
      <c r="I2" s="119" t="s">
        <v>604</v>
      </c>
      <c r="J2" s="119" t="s">
        <v>605</v>
      </c>
      <c r="K2" s="119" t="s">
        <v>609</v>
      </c>
      <c r="L2" s="119" t="s">
        <v>738</v>
      </c>
      <c r="M2" s="119" t="s">
        <v>9</v>
      </c>
      <c r="N2" s="119" t="s">
        <v>666</v>
      </c>
      <c r="O2" s="119" t="s">
        <v>606</v>
      </c>
      <c r="P2" s="119" t="s">
        <v>12</v>
      </c>
      <c r="Q2" s="119" t="s">
        <v>396</v>
      </c>
      <c r="R2" s="119" t="s">
        <v>917</v>
      </c>
      <c r="S2" s="119" t="s">
        <v>372</v>
      </c>
      <c r="T2" s="119" t="s">
        <v>16</v>
      </c>
      <c r="U2" s="119" t="s">
        <v>23</v>
      </c>
      <c r="V2" s="119" t="s">
        <v>613</v>
      </c>
      <c r="W2" s="119" t="s">
        <v>773</v>
      </c>
      <c r="X2" s="119" t="s">
        <v>15</v>
      </c>
      <c r="Y2" s="119" t="s">
        <v>11</v>
      </c>
      <c r="Z2" s="119" t="s">
        <v>1153</v>
      </c>
      <c r="AA2" s="119" t="s">
        <v>19</v>
      </c>
      <c r="AB2" s="120" t="s">
        <v>30</v>
      </c>
      <c r="AC2" s="159" t="s">
        <v>3484</v>
      </c>
    </row>
    <row r="3" spans="1:29" x14ac:dyDescent="0.2">
      <c r="A3" s="121" t="s">
        <v>1211</v>
      </c>
      <c r="B3" s="122" t="s">
        <v>1211</v>
      </c>
      <c r="C3" s="122" t="s">
        <v>2812</v>
      </c>
      <c r="D3" s="122" t="s">
        <v>2813</v>
      </c>
      <c r="E3" s="122" t="s">
        <v>102</v>
      </c>
      <c r="F3" s="122" t="s">
        <v>3274</v>
      </c>
      <c r="G3" s="122" t="s">
        <v>3275</v>
      </c>
      <c r="H3" s="122" t="s">
        <v>78</v>
      </c>
      <c r="I3" s="122" t="s">
        <v>53</v>
      </c>
      <c r="J3" s="122" t="s">
        <v>53</v>
      </c>
      <c r="K3" s="122" t="s">
        <v>102</v>
      </c>
      <c r="L3" s="122" t="s">
        <v>2642</v>
      </c>
      <c r="M3" s="122" t="s">
        <v>66</v>
      </c>
      <c r="N3" s="122" t="s">
        <v>3276</v>
      </c>
      <c r="O3" s="122" t="s">
        <v>62</v>
      </c>
      <c r="P3" s="122" t="s">
        <v>3277</v>
      </c>
      <c r="Q3" s="122" t="s">
        <v>1217</v>
      </c>
      <c r="R3" s="122" t="s">
        <v>102</v>
      </c>
      <c r="S3" s="122" t="s">
        <v>305</v>
      </c>
      <c r="T3" s="146">
        <v>45250</v>
      </c>
      <c r="U3" s="123">
        <v>0</v>
      </c>
      <c r="V3" s="123">
        <v>1</v>
      </c>
      <c r="W3" s="123">
        <v>165.23</v>
      </c>
      <c r="X3" s="123">
        <v>0</v>
      </c>
      <c r="Y3" s="123">
        <v>3.306</v>
      </c>
      <c r="Z3" s="123">
        <v>0</v>
      </c>
      <c r="AA3" s="125">
        <v>0.60694999999999999</v>
      </c>
      <c r="AB3" s="126">
        <v>0</v>
      </c>
      <c r="AC3" s="159"/>
    </row>
    <row r="4" spans="1:29" x14ac:dyDescent="0.2">
      <c r="A4" s="121" t="s">
        <v>1211</v>
      </c>
      <c r="B4" s="122" t="s">
        <v>1211</v>
      </c>
      <c r="C4" s="122" t="s">
        <v>2812</v>
      </c>
      <c r="D4" s="122" t="s">
        <v>2813</v>
      </c>
      <c r="E4" s="122" t="s">
        <v>102</v>
      </c>
      <c r="F4" s="122" t="s">
        <v>3278</v>
      </c>
      <c r="G4" s="122" t="s">
        <v>3279</v>
      </c>
      <c r="H4" s="122" t="s">
        <v>78</v>
      </c>
      <c r="I4" s="122" t="s">
        <v>53</v>
      </c>
      <c r="J4" s="122" t="s">
        <v>53</v>
      </c>
      <c r="K4" s="122" t="s">
        <v>102</v>
      </c>
      <c r="L4" s="122" t="s">
        <v>3280</v>
      </c>
      <c r="M4" s="122" t="s">
        <v>66</v>
      </c>
      <c r="N4" s="122" t="s">
        <v>3281</v>
      </c>
      <c r="O4" s="122" t="s">
        <v>62</v>
      </c>
      <c r="P4" s="122" t="s">
        <v>3282</v>
      </c>
      <c r="Q4" s="122" t="s">
        <v>1217</v>
      </c>
      <c r="R4" s="122" t="s">
        <v>102</v>
      </c>
      <c r="S4" s="122" t="s">
        <v>305</v>
      </c>
      <c r="T4" s="146">
        <v>45796</v>
      </c>
      <c r="U4" s="123">
        <v>0</v>
      </c>
      <c r="V4" s="123">
        <v>1</v>
      </c>
      <c r="W4" s="123">
        <v>107</v>
      </c>
      <c r="X4" s="123">
        <v>0</v>
      </c>
      <c r="Y4" s="123">
        <v>3.306</v>
      </c>
      <c r="Z4" s="123">
        <v>0</v>
      </c>
      <c r="AA4" s="125">
        <v>0.39305000000000001</v>
      </c>
      <c r="AB4" s="126">
        <v>0</v>
      </c>
      <c r="AC4" s="159"/>
    </row>
    <row r="5" spans="1:29" x14ac:dyDescent="0.2">
      <c r="A5" s="121" t="s">
        <v>1211</v>
      </c>
      <c r="B5" s="122" t="s">
        <v>1211</v>
      </c>
      <c r="C5" s="122" t="s">
        <v>2812</v>
      </c>
      <c r="D5" s="122" t="s">
        <v>2813</v>
      </c>
      <c r="E5" s="122" t="s">
        <v>102</v>
      </c>
      <c r="F5" s="122" t="s">
        <v>3283</v>
      </c>
      <c r="G5" s="122" t="s">
        <v>3284</v>
      </c>
      <c r="H5" s="122" t="s">
        <v>78</v>
      </c>
      <c r="I5" s="122" t="s">
        <v>53</v>
      </c>
      <c r="J5" s="122" t="s">
        <v>53</v>
      </c>
      <c r="K5" s="122" t="s">
        <v>958</v>
      </c>
      <c r="L5" s="122" t="s">
        <v>3280</v>
      </c>
      <c r="M5" s="122" t="s">
        <v>66</v>
      </c>
      <c r="N5" s="122" t="s">
        <v>3281</v>
      </c>
      <c r="O5" s="122" t="s">
        <v>62</v>
      </c>
      <c r="P5" s="122" t="s">
        <v>3285</v>
      </c>
      <c r="Q5" s="122" t="s">
        <v>1217</v>
      </c>
      <c r="R5" s="122" t="s">
        <v>102</v>
      </c>
      <c r="S5" s="122" t="s">
        <v>305</v>
      </c>
      <c r="T5" s="146">
        <v>45897</v>
      </c>
      <c r="U5" s="123">
        <v>0</v>
      </c>
      <c r="V5" s="123">
        <v>1</v>
      </c>
      <c r="W5" s="123">
        <v>320.02999999999997</v>
      </c>
      <c r="X5" s="123">
        <v>0</v>
      </c>
      <c r="Y5" s="123">
        <v>3.306</v>
      </c>
      <c r="Z5" s="123">
        <v>0</v>
      </c>
      <c r="AA5" s="135"/>
      <c r="AB5" s="140"/>
      <c r="AC5" s="159"/>
    </row>
    <row r="6" spans="1:29" x14ac:dyDescent="0.2">
      <c r="A6" s="121" t="s">
        <v>1223</v>
      </c>
      <c r="B6" s="122" t="s">
        <v>1223</v>
      </c>
      <c r="C6" s="122" t="s">
        <v>2812</v>
      </c>
      <c r="D6" s="122" t="s">
        <v>2813</v>
      </c>
      <c r="E6" s="122" t="s">
        <v>102</v>
      </c>
      <c r="F6" s="122" t="s">
        <v>3274</v>
      </c>
      <c r="G6" s="122" t="s">
        <v>3275</v>
      </c>
      <c r="H6" s="122" t="s">
        <v>78</v>
      </c>
      <c r="I6" s="122" t="s">
        <v>53</v>
      </c>
      <c r="J6" s="122" t="s">
        <v>53</v>
      </c>
      <c r="K6" s="122" t="s">
        <v>102</v>
      </c>
      <c r="L6" s="122" t="s">
        <v>2642</v>
      </c>
      <c r="M6" s="122" t="s">
        <v>66</v>
      </c>
      <c r="N6" s="122" t="s">
        <v>3276</v>
      </c>
      <c r="O6" s="122" t="s">
        <v>62</v>
      </c>
      <c r="P6" s="122" t="s">
        <v>3277</v>
      </c>
      <c r="Q6" s="122" t="s">
        <v>1217</v>
      </c>
      <c r="R6" s="122" t="s">
        <v>102</v>
      </c>
      <c r="S6" s="122" t="s">
        <v>305</v>
      </c>
      <c r="T6" s="146">
        <v>45250</v>
      </c>
      <c r="U6" s="123">
        <v>0</v>
      </c>
      <c r="V6" s="123">
        <v>1</v>
      </c>
      <c r="W6" s="123">
        <v>3656.77</v>
      </c>
      <c r="X6" s="123">
        <v>0</v>
      </c>
      <c r="Y6" s="123">
        <v>3.306</v>
      </c>
      <c r="Z6" s="123">
        <v>0</v>
      </c>
      <c r="AA6" s="125">
        <v>0.59828999999999999</v>
      </c>
      <c r="AB6" s="126">
        <v>0</v>
      </c>
      <c r="AC6" s="159"/>
    </row>
    <row r="7" spans="1:29" x14ac:dyDescent="0.2">
      <c r="A7" s="121" t="s">
        <v>1223</v>
      </c>
      <c r="B7" s="122" t="s">
        <v>1223</v>
      </c>
      <c r="C7" s="122" t="s">
        <v>2812</v>
      </c>
      <c r="D7" s="122" t="s">
        <v>2813</v>
      </c>
      <c r="E7" s="122" t="s">
        <v>102</v>
      </c>
      <c r="F7" s="122" t="s">
        <v>3278</v>
      </c>
      <c r="G7" s="122" t="s">
        <v>3279</v>
      </c>
      <c r="H7" s="122" t="s">
        <v>78</v>
      </c>
      <c r="I7" s="122" t="s">
        <v>53</v>
      </c>
      <c r="J7" s="122" t="s">
        <v>53</v>
      </c>
      <c r="K7" s="122" t="s">
        <v>102</v>
      </c>
      <c r="L7" s="122" t="s">
        <v>3280</v>
      </c>
      <c r="M7" s="122" t="s">
        <v>66</v>
      </c>
      <c r="N7" s="122" t="s">
        <v>3281</v>
      </c>
      <c r="O7" s="122" t="s">
        <v>62</v>
      </c>
      <c r="P7" s="122" t="s">
        <v>3282</v>
      </c>
      <c r="Q7" s="122" t="s">
        <v>1217</v>
      </c>
      <c r="R7" s="122" t="s">
        <v>102</v>
      </c>
      <c r="S7" s="122" t="s">
        <v>305</v>
      </c>
      <c r="T7" s="146">
        <v>45796</v>
      </c>
      <c r="U7" s="123">
        <v>0</v>
      </c>
      <c r="V7" s="123">
        <v>1</v>
      </c>
      <c r="W7" s="123">
        <v>2376</v>
      </c>
      <c r="X7" s="123">
        <v>0</v>
      </c>
      <c r="Y7" s="123">
        <v>3.306</v>
      </c>
      <c r="Z7" s="123">
        <v>0</v>
      </c>
      <c r="AA7" s="125">
        <v>0.38873999999999997</v>
      </c>
      <c r="AB7" s="126">
        <v>0</v>
      </c>
      <c r="AC7" s="159"/>
    </row>
    <row r="8" spans="1:29" x14ac:dyDescent="0.2">
      <c r="A8" s="121" t="s">
        <v>1223</v>
      </c>
      <c r="B8" s="122" t="s">
        <v>1223</v>
      </c>
      <c r="C8" s="122" t="s">
        <v>2812</v>
      </c>
      <c r="D8" s="122" t="s">
        <v>2813</v>
      </c>
      <c r="E8" s="122" t="s">
        <v>102</v>
      </c>
      <c r="F8" s="122" t="s">
        <v>3283</v>
      </c>
      <c r="G8" s="122" t="s">
        <v>3284</v>
      </c>
      <c r="H8" s="122" t="s">
        <v>78</v>
      </c>
      <c r="I8" s="122" t="s">
        <v>53</v>
      </c>
      <c r="J8" s="122" t="s">
        <v>53</v>
      </c>
      <c r="K8" s="122" t="s">
        <v>958</v>
      </c>
      <c r="L8" s="122" t="s">
        <v>3280</v>
      </c>
      <c r="M8" s="122" t="s">
        <v>66</v>
      </c>
      <c r="N8" s="122" t="s">
        <v>3281</v>
      </c>
      <c r="O8" s="122" t="s">
        <v>62</v>
      </c>
      <c r="P8" s="122" t="s">
        <v>3285</v>
      </c>
      <c r="Q8" s="122" t="s">
        <v>1217</v>
      </c>
      <c r="R8" s="122" t="s">
        <v>102</v>
      </c>
      <c r="S8" s="122" t="s">
        <v>305</v>
      </c>
      <c r="T8" s="146">
        <v>45897</v>
      </c>
      <c r="U8" s="123">
        <v>0</v>
      </c>
      <c r="V8" s="123">
        <v>1</v>
      </c>
      <c r="W8" s="123">
        <v>7926.87</v>
      </c>
      <c r="X8" s="123">
        <v>0</v>
      </c>
      <c r="Y8" s="123">
        <v>3.306</v>
      </c>
      <c r="Z8" s="123">
        <v>0</v>
      </c>
      <c r="AA8" s="125">
        <v>1.2970000000000001E-2</v>
      </c>
      <c r="AB8" s="126">
        <v>0</v>
      </c>
      <c r="AC8" s="159"/>
    </row>
    <row r="9" spans="1:29" x14ac:dyDescent="0.2">
      <c r="A9" s="121" t="s">
        <v>1211</v>
      </c>
      <c r="B9" s="122" t="s">
        <v>1212</v>
      </c>
      <c r="C9" s="135"/>
      <c r="D9" s="135"/>
      <c r="E9" s="132"/>
      <c r="F9" s="135"/>
      <c r="G9" s="135"/>
      <c r="H9" s="135"/>
      <c r="I9" s="132"/>
      <c r="J9" s="132"/>
      <c r="K9" s="135"/>
      <c r="L9" s="135"/>
      <c r="M9" s="135"/>
      <c r="N9" s="135"/>
      <c r="O9" s="135"/>
      <c r="P9" s="135"/>
      <c r="Q9" s="132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40"/>
      <c r="AC9" s="159"/>
    </row>
    <row r="10" spans="1:29" x14ac:dyDescent="0.2">
      <c r="A10" s="121" t="s">
        <v>1211</v>
      </c>
      <c r="B10" s="122" t="s">
        <v>1220</v>
      </c>
      <c r="C10" s="135"/>
      <c r="D10" s="135"/>
      <c r="E10" s="132"/>
      <c r="F10" s="135"/>
      <c r="G10" s="135"/>
      <c r="H10" s="135"/>
      <c r="I10" s="132"/>
      <c r="J10" s="132"/>
      <c r="K10" s="135"/>
      <c r="L10" s="135"/>
      <c r="M10" s="135"/>
      <c r="N10" s="135"/>
      <c r="O10" s="135"/>
      <c r="P10" s="135"/>
      <c r="Q10" s="132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40"/>
      <c r="AC10" s="159"/>
    </row>
    <row r="11" spans="1:29" x14ac:dyDescent="0.2">
      <c r="A11" s="121" t="s">
        <v>1223</v>
      </c>
      <c r="B11" s="122" t="s">
        <v>1224</v>
      </c>
      <c r="C11" s="135"/>
      <c r="D11" s="135"/>
      <c r="E11" s="132"/>
      <c r="F11" s="135"/>
      <c r="G11" s="135"/>
      <c r="H11" s="135"/>
      <c r="I11" s="132"/>
      <c r="J11" s="132"/>
      <c r="K11" s="135"/>
      <c r="L11" s="135"/>
      <c r="M11" s="135"/>
      <c r="N11" s="135"/>
      <c r="O11" s="135"/>
      <c r="P11" s="135"/>
      <c r="Q11" s="132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40"/>
      <c r="AC11" s="159"/>
    </row>
    <row r="12" spans="1:29" x14ac:dyDescent="0.2">
      <c r="A12" s="127" t="s">
        <v>1223</v>
      </c>
      <c r="B12" s="128" t="s">
        <v>1225</v>
      </c>
      <c r="C12" s="138"/>
      <c r="D12" s="138"/>
      <c r="E12" s="137"/>
      <c r="F12" s="138"/>
      <c r="G12" s="138"/>
      <c r="H12" s="138"/>
      <c r="I12" s="137"/>
      <c r="J12" s="137"/>
      <c r="K12" s="138"/>
      <c r="L12" s="138"/>
      <c r="M12" s="138"/>
      <c r="N12" s="138"/>
      <c r="O12" s="138"/>
      <c r="P12" s="138"/>
      <c r="Q12" s="137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41"/>
      <c r="AC12" s="159"/>
    </row>
    <row r="13" spans="1:29" x14ac:dyDescent="0.2">
      <c r="A13" s="162" t="s">
        <v>3483</v>
      </c>
      <c r="B13" s="162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</row>
    <row r="14" spans="1:29" x14ac:dyDescent="0.2">
      <c r="A14" s="9" t="s">
        <v>3482</v>
      </c>
      <c r="B14" s="9"/>
      <c r="C14" s="9"/>
      <c r="D14" s="9"/>
      <c r="E14" s="11"/>
      <c r="F14" s="9"/>
      <c r="G14" s="9"/>
      <c r="H14" s="9"/>
      <c r="I14" s="11"/>
      <c r="J14" s="11"/>
      <c r="K14" s="9"/>
      <c r="L14" s="9"/>
      <c r="M14" s="9"/>
      <c r="N14" s="9"/>
      <c r="O14" s="9"/>
      <c r="P14" s="9"/>
      <c r="Q14" s="11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9" x14ac:dyDescent="0.2">
      <c r="A15" s="157"/>
      <c r="B15" s="9"/>
      <c r="C15" s="9"/>
      <c r="D15" s="9"/>
      <c r="E15" s="11"/>
      <c r="F15" s="9"/>
      <c r="G15" s="9"/>
      <c r="H15" s="9"/>
      <c r="I15" s="11"/>
      <c r="J15" s="11"/>
      <c r="K15" s="9"/>
      <c r="L15" s="9"/>
      <c r="M15" s="9"/>
      <c r="N15" s="9"/>
      <c r="O15" s="9"/>
      <c r="P15" s="9"/>
      <c r="Q15" s="11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9" x14ac:dyDescent="0.2">
      <c r="A16" s="9"/>
      <c r="B16" s="9"/>
      <c r="C16" s="9"/>
      <c r="D16" s="9"/>
      <c r="E16" s="11"/>
      <c r="F16" s="9"/>
      <c r="G16" s="9"/>
      <c r="H16" s="9"/>
      <c r="I16" s="11"/>
      <c r="J16" s="11"/>
      <c r="K16" s="9"/>
      <c r="L16" s="9"/>
      <c r="M16" s="9"/>
      <c r="N16" s="9"/>
      <c r="O16" s="9"/>
      <c r="P16" s="9"/>
      <c r="Q16" s="11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x14ac:dyDescent="0.2">
      <c r="A17" s="9"/>
      <c r="B17" s="9"/>
      <c r="C17" s="9"/>
      <c r="D17" s="9"/>
      <c r="E17" s="11"/>
      <c r="F17" s="9"/>
      <c r="G17" s="9"/>
      <c r="H17" s="9"/>
      <c r="I17" s="11"/>
      <c r="J17" s="11"/>
      <c r="K17" s="9"/>
      <c r="L17" s="9"/>
      <c r="M17" s="9"/>
      <c r="N17" s="9"/>
      <c r="O17" s="9"/>
      <c r="P17" s="9"/>
      <c r="Q17" s="11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x14ac:dyDescent="0.2">
      <c r="A18" s="9"/>
      <c r="B18" s="9"/>
      <c r="C18" s="9"/>
      <c r="D18" s="9"/>
      <c r="E18" s="11"/>
      <c r="F18" s="9"/>
      <c r="G18" s="9"/>
      <c r="H18" s="9"/>
      <c r="I18" s="11"/>
      <c r="J18" s="11"/>
      <c r="K18" s="9"/>
      <c r="L18" s="9"/>
      <c r="M18" s="9"/>
      <c r="N18" s="9"/>
      <c r="O18" s="9"/>
      <c r="P18" s="9"/>
      <c r="Q18" s="11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x14ac:dyDescent="0.2">
      <c r="A19" s="9"/>
      <c r="B19" s="9"/>
      <c r="C19" s="9"/>
      <c r="D19" s="9"/>
      <c r="E19" s="11"/>
      <c r="F19" s="9"/>
      <c r="G19" s="9"/>
      <c r="H19" s="9"/>
      <c r="I19" s="11"/>
      <c r="J19" s="11"/>
      <c r="K19" s="9"/>
      <c r="L19" s="9"/>
      <c r="M19" s="9"/>
      <c r="N19" s="9"/>
      <c r="O19" s="9"/>
      <c r="P19" s="9"/>
      <c r="Q19" s="11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x14ac:dyDescent="0.2">
      <c r="A20" s="9"/>
      <c r="B20" s="9"/>
      <c r="C20" s="9"/>
      <c r="D20" s="9"/>
      <c r="E20" s="11"/>
      <c r="F20" s="9"/>
      <c r="G20" s="9"/>
      <c r="H20" s="9"/>
      <c r="I20" s="11"/>
      <c r="J20" s="11"/>
      <c r="K20" s="9"/>
      <c r="L20" s="9"/>
      <c r="M20" s="9"/>
      <c r="N20" s="9"/>
      <c r="O20" s="9"/>
      <c r="P20" s="9"/>
      <c r="Q20" s="11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x14ac:dyDescent="0.2">
      <c r="E21" s="11"/>
      <c r="H21" s="9"/>
      <c r="I21" s="11"/>
      <c r="J21" s="11"/>
      <c r="K21" s="9"/>
      <c r="M21" s="9"/>
      <c r="O21" s="9"/>
      <c r="S21" s="9"/>
    </row>
    <row r="22" spans="1:28" x14ac:dyDescent="0.2">
      <c r="E22"/>
      <c r="K22"/>
    </row>
    <row r="25" spans="1:28" x14ac:dyDescent="0.2">
      <c r="K25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I3:I12 I14:I21" xr:uid="{00000000-0002-0000-1500-000000000000}">
      <formula1>israel_abroad</formula1>
    </dataValidation>
    <dataValidation type="list" allowBlank="1" showInputMessage="1" showErrorMessage="1" sqref="O3:O12 O14:O21" xr:uid="{00000000-0002-0000-1500-000001000000}">
      <formula1>Holding_interest</formula1>
    </dataValidation>
    <dataValidation type="list" allowBlank="1" showInputMessage="1" showErrorMessage="1" sqref="R3:R12 R14:R20" xr:uid="{00000000-0002-0000-1500-000002000000}">
      <formula1>Valuation</formula1>
    </dataValidation>
    <dataValidation type="list" allowBlank="1" showInputMessage="1" showErrorMessage="1" sqref="S3:S12 S14:S21" xr:uid="{00000000-0002-0000-1500-000003000000}">
      <formula1>Dependence_Independence</formula1>
    </dataValidation>
    <dataValidation type="list" allowBlank="1" showInputMessage="1" showErrorMessage="1" sqref="J3:J12 J14:J21" xr:uid="{00000000-0002-0000-1500-000004000000}">
      <formula1>Country_list</formula1>
    </dataValidation>
    <dataValidation type="list" allowBlank="1" showInputMessage="1" showErrorMessage="1" sqref="H3:H12 H14:H21" xr:uid="{00000000-0002-0000-1500-000005000000}">
      <formula1>Type_of_Security_ID</formula1>
    </dataValidation>
    <dataValidation type="list" allowBlank="1" showInputMessage="1" showErrorMessage="1" sqref="E3" xr:uid="{00000000-0002-0000-1500-000006000000}">
      <formula1>Issuer_Number_Type_3</formula1>
    </dataValidation>
    <dataValidation type="list" allowBlank="1" showInputMessage="1" showErrorMessage="1" sqref="E4:E12 E14:E21" xr:uid="{00000000-0002-0000-1500-000007000000}">
      <formula1>Issuer_Number_Type_2</formula1>
    </dataValidation>
    <dataValidation type="list" allowBlank="1" showInputMessage="1" showErrorMessage="1" sqref="M3:M12 M14:M21" xr:uid="{00000000-0002-0000-1500-000008000000}">
      <formula1>Industry_Sector</formula1>
    </dataValidation>
    <dataValidation type="list" allowBlank="1" showInputMessage="1" showErrorMessage="1" sqref="K3:K12 K14:K21" xr:uid="{00000000-0002-0000-1500-000009000000}">
      <formula1>tradeable_status_warrants_v2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1:AC22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3" width="11.625" customWidth="1"/>
    <col min="14" max="14" width="12" customWidth="1"/>
    <col min="15" max="15" width="15.125" customWidth="1"/>
    <col min="16" max="16" width="12" customWidth="1"/>
    <col min="17" max="17" width="11.75" customWidth="1"/>
    <col min="18" max="18" width="14" customWidth="1"/>
    <col min="19" max="19" width="18.625" customWidth="1"/>
    <col min="20" max="20" width="16.375" customWidth="1"/>
    <col min="21" max="22" width="11.625" customWidth="1"/>
    <col min="23" max="23" width="14.875" customWidth="1"/>
    <col min="24" max="24" width="12.875" customWidth="1"/>
    <col min="25" max="25" width="10.5" customWidth="1"/>
    <col min="26" max="26" width="14.125" customWidth="1"/>
    <col min="27" max="27" width="21.75" customWidth="1"/>
    <col min="28" max="28" width="20.125" customWidth="1"/>
    <col min="29" max="29" width="11.625" hidden="1" customWidth="1"/>
    <col min="30" max="16384" width="9" hidden="1"/>
  </cols>
  <sheetData>
    <row r="1" spans="1:29" x14ac:dyDescent="0.2">
      <c r="A1" t="s">
        <v>3506</v>
      </c>
    </row>
    <row r="2" spans="1:29" x14ac:dyDescent="0.2">
      <c r="A2" s="118" t="s">
        <v>651</v>
      </c>
      <c r="B2" s="119" t="s">
        <v>0</v>
      </c>
      <c r="C2" s="119" t="s">
        <v>724</v>
      </c>
      <c r="D2" s="119" t="s">
        <v>2</v>
      </c>
      <c r="E2" s="119" t="s">
        <v>740</v>
      </c>
      <c r="F2" s="119" t="s">
        <v>1145</v>
      </c>
      <c r="G2" s="119" t="s">
        <v>29</v>
      </c>
      <c r="H2" s="119" t="s">
        <v>28</v>
      </c>
      <c r="I2" s="119" t="s">
        <v>1</v>
      </c>
      <c r="J2" s="119" t="s">
        <v>604</v>
      </c>
      <c r="K2" s="119" t="s">
        <v>605</v>
      </c>
      <c r="L2" s="119" t="s">
        <v>9</v>
      </c>
      <c r="M2" s="119" t="s">
        <v>10</v>
      </c>
      <c r="N2" s="119" t="s">
        <v>666</v>
      </c>
      <c r="O2" s="119" t="s">
        <v>606</v>
      </c>
      <c r="P2" s="119" t="s">
        <v>12</v>
      </c>
      <c r="Q2" s="119" t="s">
        <v>396</v>
      </c>
      <c r="R2" s="119" t="s">
        <v>917</v>
      </c>
      <c r="S2" s="119" t="s">
        <v>372</v>
      </c>
      <c r="T2" s="119" t="s">
        <v>16</v>
      </c>
      <c r="U2" s="119" t="s">
        <v>23</v>
      </c>
      <c r="V2" s="119" t="s">
        <v>613</v>
      </c>
      <c r="W2" s="119" t="s">
        <v>773</v>
      </c>
      <c r="X2" s="119" t="s">
        <v>15</v>
      </c>
      <c r="Y2" s="119" t="s">
        <v>11</v>
      </c>
      <c r="Z2" s="119" t="s">
        <v>771</v>
      </c>
      <c r="AA2" s="119" t="s">
        <v>19</v>
      </c>
      <c r="AB2" s="120" t="s">
        <v>30</v>
      </c>
      <c r="AC2" s="159" t="s">
        <v>3484</v>
      </c>
    </row>
    <row r="3" spans="1:29" x14ac:dyDescent="0.2">
      <c r="A3" s="121" t="s">
        <v>1211</v>
      </c>
      <c r="B3" s="122" t="s">
        <v>1212</v>
      </c>
      <c r="C3" s="135"/>
      <c r="D3" s="135"/>
      <c r="E3" s="132"/>
      <c r="F3" s="135"/>
      <c r="G3" s="135"/>
      <c r="H3" s="135"/>
      <c r="I3" s="135"/>
      <c r="J3" s="132"/>
      <c r="K3" s="132"/>
      <c r="L3" s="135"/>
      <c r="M3" s="135"/>
      <c r="N3" s="135"/>
      <c r="O3" s="135"/>
      <c r="P3" s="135"/>
      <c r="Q3" s="132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40"/>
      <c r="AC3" s="159"/>
    </row>
    <row r="4" spans="1:29" x14ac:dyDescent="0.2">
      <c r="A4" s="121" t="s">
        <v>1211</v>
      </c>
      <c r="B4" s="122" t="s">
        <v>1220</v>
      </c>
      <c r="C4" s="135"/>
      <c r="D4" s="135"/>
      <c r="E4" s="132"/>
      <c r="F4" s="135"/>
      <c r="G4" s="135"/>
      <c r="H4" s="135"/>
      <c r="I4" s="135"/>
      <c r="J4" s="132"/>
      <c r="K4" s="132"/>
      <c r="L4" s="135"/>
      <c r="M4" s="135"/>
      <c r="N4" s="135"/>
      <c r="O4" s="135"/>
      <c r="P4" s="135"/>
      <c r="Q4" s="132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40"/>
      <c r="AC4" s="159"/>
    </row>
    <row r="5" spans="1:29" x14ac:dyDescent="0.2">
      <c r="A5" s="121" t="s">
        <v>1211</v>
      </c>
      <c r="B5" s="122" t="s">
        <v>1211</v>
      </c>
      <c r="C5" s="135"/>
      <c r="D5" s="135"/>
      <c r="E5" s="132"/>
      <c r="F5" s="135"/>
      <c r="G5" s="135"/>
      <c r="H5" s="135"/>
      <c r="I5" s="135"/>
      <c r="J5" s="132"/>
      <c r="K5" s="132"/>
      <c r="L5" s="135"/>
      <c r="M5" s="135"/>
      <c r="N5" s="135"/>
      <c r="O5" s="135"/>
      <c r="P5" s="135"/>
      <c r="Q5" s="132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40"/>
      <c r="AC5" s="159"/>
    </row>
    <row r="6" spans="1:29" x14ac:dyDescent="0.2">
      <c r="A6" s="121" t="s">
        <v>1223</v>
      </c>
      <c r="B6" s="122" t="s">
        <v>1224</v>
      </c>
      <c r="C6" s="135"/>
      <c r="D6" s="135"/>
      <c r="E6" s="132"/>
      <c r="F6" s="135"/>
      <c r="G6" s="135"/>
      <c r="H6" s="135"/>
      <c r="I6" s="135"/>
      <c r="J6" s="132"/>
      <c r="K6" s="132"/>
      <c r="L6" s="135"/>
      <c r="M6" s="135"/>
      <c r="N6" s="135"/>
      <c r="O6" s="135"/>
      <c r="P6" s="135"/>
      <c r="Q6" s="132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40"/>
      <c r="AC6" s="159"/>
    </row>
    <row r="7" spans="1:29" x14ac:dyDescent="0.2">
      <c r="A7" s="121" t="s">
        <v>1223</v>
      </c>
      <c r="B7" s="122" t="s">
        <v>1225</v>
      </c>
      <c r="C7" s="135"/>
      <c r="D7" s="135"/>
      <c r="E7" s="132"/>
      <c r="F7" s="135"/>
      <c r="G7" s="135"/>
      <c r="H7" s="135"/>
      <c r="I7" s="135"/>
      <c r="J7" s="132"/>
      <c r="K7" s="132"/>
      <c r="L7" s="135"/>
      <c r="M7" s="135"/>
      <c r="N7" s="135"/>
      <c r="O7" s="135"/>
      <c r="P7" s="135"/>
      <c r="Q7" s="132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40"/>
      <c r="AC7" s="159"/>
    </row>
    <row r="8" spans="1:29" x14ac:dyDescent="0.2">
      <c r="A8" s="127" t="s">
        <v>1223</v>
      </c>
      <c r="B8" s="128" t="s">
        <v>1223</v>
      </c>
      <c r="C8" s="138"/>
      <c r="D8" s="138"/>
      <c r="E8" s="137"/>
      <c r="F8" s="138"/>
      <c r="G8" s="138"/>
      <c r="H8" s="138"/>
      <c r="I8" s="138"/>
      <c r="J8" s="137"/>
      <c r="K8" s="137"/>
      <c r="L8" s="138"/>
      <c r="M8" s="138"/>
      <c r="N8" s="138"/>
      <c r="O8" s="138"/>
      <c r="P8" s="138"/>
      <c r="Q8" s="137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41"/>
      <c r="AC8" s="159"/>
    </row>
    <row r="9" spans="1:29" x14ac:dyDescent="0.2">
      <c r="A9" s="162" t="s">
        <v>3483</v>
      </c>
      <c r="B9" s="162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</row>
    <row r="10" spans="1:29" x14ac:dyDescent="0.2">
      <c r="A10" s="9" t="s">
        <v>3482</v>
      </c>
      <c r="B10" s="9"/>
      <c r="C10" s="9"/>
      <c r="D10" s="9"/>
      <c r="E10" s="11"/>
      <c r="F10" s="9"/>
      <c r="G10" s="9"/>
      <c r="H10" s="9"/>
      <c r="I10" s="9"/>
      <c r="J10" s="11"/>
      <c r="K10" s="11"/>
      <c r="L10" s="9"/>
      <c r="M10" s="9"/>
      <c r="N10" s="9"/>
      <c r="O10" s="9"/>
      <c r="P10" s="9"/>
      <c r="Q10" s="11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9" x14ac:dyDescent="0.2">
      <c r="A11" s="157"/>
      <c r="B11" s="9"/>
      <c r="C11" s="9"/>
      <c r="D11" s="9"/>
      <c r="E11" s="11"/>
      <c r="F11" s="9"/>
      <c r="G11" s="9"/>
      <c r="H11" s="9"/>
      <c r="I11" s="9"/>
      <c r="J11" s="11"/>
      <c r="K11" s="11"/>
      <c r="L11" s="9"/>
      <c r="M11" s="9"/>
      <c r="N11" s="9"/>
      <c r="O11" s="9"/>
      <c r="P11" s="9"/>
      <c r="Q11" s="11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9" x14ac:dyDescent="0.2">
      <c r="A12" s="9"/>
      <c r="B12" s="9"/>
      <c r="C12" s="9"/>
      <c r="D12" s="9"/>
      <c r="E12" s="11"/>
      <c r="F12" s="9"/>
      <c r="G12" s="9"/>
      <c r="H12" s="9"/>
      <c r="I12" s="9"/>
      <c r="J12" s="11"/>
      <c r="K12" s="11"/>
      <c r="L12" s="9"/>
      <c r="M12" s="9"/>
      <c r="N12" s="9"/>
      <c r="O12" s="9"/>
      <c r="P12" s="9"/>
      <c r="Q12" s="11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9" x14ac:dyDescent="0.2">
      <c r="A13" s="9"/>
      <c r="B13" s="9"/>
      <c r="C13" s="9"/>
      <c r="D13" s="9"/>
      <c r="E13" s="11"/>
      <c r="F13" s="9"/>
      <c r="G13" s="9"/>
      <c r="H13" s="9"/>
      <c r="I13" s="9"/>
      <c r="J13" s="11"/>
      <c r="K13" s="11"/>
      <c r="L13" s="9"/>
      <c r="M13" s="9"/>
      <c r="N13" s="9"/>
      <c r="O13" s="9"/>
      <c r="P13" s="9"/>
      <c r="Q13" s="11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9" x14ac:dyDescent="0.2">
      <c r="A14" s="9"/>
      <c r="B14" s="9"/>
      <c r="C14" s="9"/>
      <c r="D14" s="9"/>
      <c r="E14" s="11"/>
      <c r="F14" s="9"/>
      <c r="G14" s="9"/>
      <c r="H14" s="9"/>
      <c r="I14" s="9"/>
      <c r="J14" s="11"/>
      <c r="K14" s="11"/>
      <c r="L14" s="9"/>
      <c r="M14" s="9"/>
      <c r="N14" s="9"/>
      <c r="O14" s="9"/>
      <c r="P14" s="9"/>
      <c r="Q14" s="11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9" x14ac:dyDescent="0.2">
      <c r="A15" s="9"/>
      <c r="B15" s="9"/>
      <c r="C15" s="9"/>
      <c r="D15" s="9"/>
      <c r="E15" s="11"/>
      <c r="F15" s="9"/>
      <c r="G15" s="9"/>
      <c r="H15" s="9"/>
      <c r="I15" s="9"/>
      <c r="J15" s="11"/>
      <c r="K15" s="11"/>
      <c r="L15" s="9"/>
      <c r="M15" s="9"/>
      <c r="N15" s="9"/>
      <c r="O15" s="9"/>
      <c r="P15" s="9"/>
      <c r="Q15" s="11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9" x14ac:dyDescent="0.2">
      <c r="A16" s="9"/>
      <c r="B16" s="9"/>
      <c r="C16" s="9"/>
      <c r="D16" s="9"/>
      <c r="E16" s="11"/>
      <c r="F16" s="9"/>
      <c r="G16" s="9"/>
      <c r="H16" s="9"/>
      <c r="I16" s="9"/>
      <c r="J16" s="11"/>
      <c r="K16" s="11"/>
      <c r="L16" s="9"/>
      <c r="M16" s="9"/>
      <c r="N16" s="9"/>
      <c r="O16" s="9"/>
      <c r="P16" s="9"/>
      <c r="Q16" s="11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x14ac:dyDescent="0.2">
      <c r="A17" s="9"/>
      <c r="B17" s="9"/>
      <c r="C17" s="9"/>
      <c r="D17" s="9"/>
      <c r="E17" s="11"/>
      <c r="F17" s="9"/>
      <c r="G17" s="9"/>
      <c r="H17" s="9"/>
      <c r="I17" s="9"/>
      <c r="J17" s="11"/>
      <c r="K17" s="11"/>
      <c r="L17" s="9"/>
      <c r="M17" s="9"/>
      <c r="N17" s="9"/>
      <c r="O17" s="9"/>
      <c r="P17" s="9"/>
      <c r="Q17" s="11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x14ac:dyDescent="0.2">
      <c r="A18" s="9"/>
      <c r="B18" s="9"/>
      <c r="C18" s="9"/>
      <c r="D18" s="9"/>
      <c r="E18" s="11"/>
      <c r="F18" s="9"/>
      <c r="G18" s="9"/>
      <c r="H18" s="9"/>
      <c r="I18" s="9"/>
      <c r="J18" s="11"/>
      <c r="K18" s="11"/>
      <c r="L18" s="9"/>
      <c r="M18" s="9"/>
      <c r="N18" s="9"/>
      <c r="O18" s="9"/>
      <c r="P18" s="9"/>
      <c r="Q18" s="11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x14ac:dyDescent="0.2">
      <c r="A19" s="9"/>
      <c r="B19" s="9"/>
      <c r="C19" s="9"/>
      <c r="D19" s="9"/>
      <c r="E19" s="11"/>
      <c r="F19" s="9"/>
      <c r="G19" s="9"/>
      <c r="H19" s="9"/>
      <c r="I19" s="9"/>
      <c r="J19" s="11"/>
      <c r="K19" s="11"/>
      <c r="L19" s="9"/>
      <c r="M19" s="9"/>
      <c r="N19" s="9"/>
      <c r="O19" s="9"/>
      <c r="P19" s="9"/>
      <c r="Q19" s="11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x14ac:dyDescent="0.2">
      <c r="A20" s="9"/>
      <c r="B20" s="9"/>
      <c r="C20" s="9"/>
      <c r="D20" s="9"/>
      <c r="E20" s="11"/>
      <c r="F20" s="9"/>
      <c r="G20" s="9"/>
      <c r="H20" s="9"/>
      <c r="I20" s="9"/>
      <c r="J20" s="11"/>
      <c r="K20" s="11"/>
      <c r="L20" s="9"/>
      <c r="M20" s="9"/>
      <c r="N20" s="9"/>
      <c r="O20" s="9"/>
      <c r="P20" s="9"/>
      <c r="Q20" s="11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x14ac:dyDescent="0.2">
      <c r="E21" s="11"/>
      <c r="H21" s="9"/>
      <c r="I21" s="9"/>
      <c r="J21" s="11"/>
      <c r="K21" s="11"/>
      <c r="L21" s="9"/>
      <c r="M21" s="9"/>
      <c r="O21" s="9"/>
      <c r="R21" s="9"/>
      <c r="S21" s="9"/>
    </row>
    <row r="22" spans="1:28" x14ac:dyDescent="0.2">
      <c r="E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B9"/>
    <mergeCell ref="AC2:AC8"/>
  </mergeCells>
  <dataValidations count="10">
    <dataValidation type="list" allowBlank="1" showInputMessage="1" showErrorMessage="1" sqref="J3:J8 J10:J21" xr:uid="{00000000-0002-0000-1600-000000000000}">
      <formula1>israel_abroad</formula1>
    </dataValidation>
    <dataValidation type="list" allowBlank="1" showInputMessage="1" showErrorMessage="1" sqref="O3:O8 O10:O21" xr:uid="{00000000-0002-0000-1600-000001000000}">
      <formula1>Holding_interest</formula1>
    </dataValidation>
    <dataValidation type="list" allowBlank="1" showInputMessage="1" showErrorMessage="1" sqref="M3:M8 M10:M21" xr:uid="{00000000-0002-0000-1600-000002000000}">
      <formula1>Underlying_Asset</formula1>
    </dataValidation>
    <dataValidation type="list" allowBlank="1" showInputMessage="1" showErrorMessage="1" sqref="R3:R8 R10:R21" xr:uid="{00000000-0002-0000-1600-000003000000}">
      <formula1>Valuation</formula1>
    </dataValidation>
    <dataValidation type="list" allowBlank="1" showInputMessage="1" showErrorMessage="1" sqref="S3:S8 S10:S21" xr:uid="{00000000-0002-0000-1600-000004000000}">
      <formula1>Dependence_Independence</formula1>
    </dataValidation>
    <dataValidation type="list" allowBlank="1" showInputMessage="1" showErrorMessage="1" sqref="K3:K8 K10:K21" xr:uid="{00000000-0002-0000-1600-000005000000}">
      <formula1>Country_list</formula1>
    </dataValidation>
    <dataValidation type="list" allowBlank="1" showInputMessage="1" showErrorMessage="1" sqref="H3:H8 H10:H21" xr:uid="{00000000-0002-0000-1600-000006000000}">
      <formula1>Type_of_Security_ID</formula1>
    </dataValidation>
    <dataValidation type="list" allowBlank="1" showInputMessage="1" showErrorMessage="1" sqref="E4:E8 E10:E21" xr:uid="{00000000-0002-0000-1600-000007000000}">
      <formula1>Issuer_Number_Type_2</formula1>
    </dataValidation>
    <dataValidation type="list" allowBlank="1" showInputMessage="1" showErrorMessage="1" sqref="E3" xr:uid="{00000000-0002-0000-1600-000008000000}">
      <formula1>Issuer_Number_Type_3</formula1>
    </dataValidation>
    <dataValidation type="list" allowBlank="1" showInputMessage="1" showErrorMessage="1" sqref="L3:L8 L10:L21" xr:uid="{00000000-0002-0000-1600-000009000000}">
      <formula1>Industry_Sector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A000000}">
          <x14:formula1>
            <xm:f>'אפשרויות בחירה'!$C$964:$C$969</xm:f>
          </x14:formula1>
          <xm:sqref>I3:I8 I10:I21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/>
  <dimension ref="A1:AP42"/>
  <sheetViews>
    <sheetView rightToLeft="1" workbookViewId="0"/>
  </sheetViews>
  <sheetFormatPr defaultColWidth="0" defaultRowHeight="14.25" x14ac:dyDescent="0.2"/>
  <cols>
    <col min="1" max="1" width="29.375" customWidth="1"/>
    <col min="2" max="3" width="11.625" customWidth="1"/>
    <col min="4" max="4" width="16.25" customWidth="1"/>
    <col min="5" max="5" width="17" customWidth="1"/>
    <col min="6" max="6" width="11.625" customWidth="1"/>
    <col min="7" max="7" width="14.125" customWidth="1"/>
    <col min="8" max="8" width="24.125" customWidth="1"/>
    <col min="9" max="9" width="27" customWidth="1"/>
    <col min="10" max="10" width="25.375" customWidth="1"/>
    <col min="11" max="11" width="16.25" customWidth="1"/>
    <col min="12" max="12" width="17" customWidth="1"/>
    <col min="13" max="13" width="11.625" customWidth="1"/>
    <col min="14" max="14" width="14.125" customWidth="1"/>
    <col min="15" max="15" width="24.125" customWidth="1"/>
    <col min="16" max="16" width="23" customWidth="1"/>
    <col min="17" max="17" width="26" customWidth="1"/>
    <col min="18" max="18" width="21" customWidth="1"/>
    <col min="19" max="19" width="11.625" customWidth="1"/>
    <col min="20" max="20" width="19.875" customWidth="1"/>
    <col min="21" max="24" width="11.625" customWidth="1"/>
    <col min="25" max="25" width="15.125" customWidth="1"/>
    <col min="26" max="26" width="19.625" customWidth="1"/>
    <col min="27" max="28" width="12.625" customWidth="1"/>
    <col min="29" max="29" width="11.625" customWidth="1"/>
    <col min="30" max="30" width="25.375" customWidth="1"/>
    <col min="31" max="32" width="11.625" customWidth="1"/>
    <col min="33" max="33" width="15" customWidth="1"/>
    <col min="34" max="34" width="14.25" customWidth="1"/>
    <col min="35" max="35" width="31.75" customWidth="1"/>
    <col min="36" max="36" width="28.375" customWidth="1"/>
    <col min="37" max="37" width="25.875" customWidth="1"/>
    <col min="38" max="38" width="24.375" customWidth="1"/>
    <col min="39" max="39" width="19.5" customWidth="1"/>
    <col min="40" max="40" width="21.75" customWidth="1"/>
    <col min="41" max="41" width="20.125" customWidth="1"/>
    <col min="42" max="16384" width="9" hidden="1"/>
  </cols>
  <sheetData>
    <row r="1" spans="1:42" x14ac:dyDescent="0.2">
      <c r="A1" t="s">
        <v>3507</v>
      </c>
    </row>
    <row r="2" spans="1:42" x14ac:dyDescent="0.2">
      <c r="A2" s="118" t="s">
        <v>651</v>
      </c>
      <c r="B2" s="119" t="s">
        <v>0</v>
      </c>
      <c r="C2" s="119" t="s">
        <v>1</v>
      </c>
      <c r="D2" s="119" t="s">
        <v>418</v>
      </c>
      <c r="E2" s="119" t="s">
        <v>798</v>
      </c>
      <c r="F2" s="119" t="s">
        <v>11</v>
      </c>
      <c r="G2" s="119" t="s">
        <v>326</v>
      </c>
      <c r="H2" s="119" t="s">
        <v>330</v>
      </c>
      <c r="I2" s="119" t="s">
        <v>328</v>
      </c>
      <c r="J2" s="119" t="s">
        <v>329</v>
      </c>
      <c r="K2" s="119" t="s">
        <v>419</v>
      </c>
      <c r="L2" s="119" t="s">
        <v>799</v>
      </c>
      <c r="M2" s="119" t="s">
        <v>3481</v>
      </c>
      <c r="N2" s="119" t="s">
        <v>327</v>
      </c>
      <c r="O2" s="119" t="s">
        <v>331</v>
      </c>
      <c r="P2" s="119" t="s">
        <v>943</v>
      </c>
      <c r="Q2" s="119" t="s">
        <v>348</v>
      </c>
      <c r="R2" s="119" t="s">
        <v>1155</v>
      </c>
      <c r="S2" s="119" t="s">
        <v>604</v>
      </c>
      <c r="T2" s="119" t="s">
        <v>605</v>
      </c>
      <c r="U2" s="119" t="s">
        <v>464</v>
      </c>
      <c r="V2" s="119" t="s">
        <v>343</v>
      </c>
      <c r="W2" s="119" t="s">
        <v>463</v>
      </c>
      <c r="X2" s="119" t="s">
        <v>99</v>
      </c>
      <c r="Y2" s="119" t="s">
        <v>606</v>
      </c>
      <c r="Z2" s="119" t="s">
        <v>365</v>
      </c>
      <c r="AA2" s="119" t="s">
        <v>366</v>
      </c>
      <c r="AB2" s="119" t="s">
        <v>612</v>
      </c>
      <c r="AC2" s="119" t="s">
        <v>308</v>
      </c>
      <c r="AD2" s="119" t="s">
        <v>368</v>
      </c>
      <c r="AE2" s="119" t="s">
        <v>737</v>
      </c>
      <c r="AF2" s="119" t="s">
        <v>309</v>
      </c>
      <c r="AG2" s="119" t="s">
        <v>310</v>
      </c>
      <c r="AH2" s="119" t="s">
        <v>349</v>
      </c>
      <c r="AI2" s="119" t="s">
        <v>367</v>
      </c>
      <c r="AJ2" s="119" t="s">
        <v>617</v>
      </c>
      <c r="AK2" s="119" t="s">
        <v>364</v>
      </c>
      <c r="AL2" s="119" t="s">
        <v>458</v>
      </c>
      <c r="AM2" s="119" t="s">
        <v>436</v>
      </c>
      <c r="AN2" s="119" t="s">
        <v>19</v>
      </c>
      <c r="AO2" s="120" t="s">
        <v>30</v>
      </c>
      <c r="AP2" s="159" t="s">
        <v>3484</v>
      </c>
    </row>
    <row r="3" spans="1:42" x14ac:dyDescent="0.2">
      <c r="A3" s="121" t="s">
        <v>1211</v>
      </c>
      <c r="B3" s="122" t="s">
        <v>1212</v>
      </c>
      <c r="C3" s="122" t="s">
        <v>352</v>
      </c>
      <c r="D3" s="122" t="s">
        <v>3286</v>
      </c>
      <c r="E3" s="122" t="s">
        <v>1217</v>
      </c>
      <c r="F3" s="123">
        <v>3.355</v>
      </c>
      <c r="G3" s="123">
        <v>-1590900</v>
      </c>
      <c r="H3" s="123">
        <v>-53.374695000000003</v>
      </c>
      <c r="I3" s="125">
        <v>-1.9066797544532526E-4</v>
      </c>
      <c r="J3" s="125">
        <v>-1.7796661262003763E-6</v>
      </c>
      <c r="K3" s="122" t="s">
        <v>3286</v>
      </c>
      <c r="L3" s="122" t="s">
        <v>1216</v>
      </c>
      <c r="M3" s="123">
        <v>1</v>
      </c>
      <c r="N3" s="123">
        <v>5337628.59</v>
      </c>
      <c r="O3" s="123">
        <v>131.27469500000001</v>
      </c>
      <c r="P3" s="125">
        <v>4.6894657333128672E-4</v>
      </c>
      <c r="Q3" s="125">
        <v>4.3770765887989784E-6</v>
      </c>
      <c r="R3" s="123">
        <v>77.900000000000006</v>
      </c>
      <c r="S3" s="122" t="s">
        <v>53</v>
      </c>
      <c r="T3" s="122" t="s">
        <v>53</v>
      </c>
      <c r="U3" s="122" t="s">
        <v>72</v>
      </c>
      <c r="V3" s="122" t="s">
        <v>102</v>
      </c>
      <c r="W3" s="122" t="s">
        <v>691</v>
      </c>
      <c r="X3" s="122" t="s">
        <v>3287</v>
      </c>
      <c r="Y3" s="122" t="s">
        <v>62</v>
      </c>
      <c r="Z3" s="122" t="s">
        <v>3288</v>
      </c>
      <c r="AA3" s="122" t="s">
        <v>3289</v>
      </c>
      <c r="AB3" s="122" t="s">
        <v>102</v>
      </c>
      <c r="AC3" s="122" t="s">
        <v>363</v>
      </c>
      <c r="AD3" s="122" t="s">
        <v>62</v>
      </c>
      <c r="AE3" s="122" t="s">
        <v>341</v>
      </c>
      <c r="AF3" s="122" t="s">
        <v>362</v>
      </c>
      <c r="AG3" s="122" t="s">
        <v>362</v>
      </c>
      <c r="AH3" s="122"/>
      <c r="AI3" s="123">
        <v>3.355</v>
      </c>
      <c r="AJ3" s="122"/>
      <c r="AK3" s="149"/>
      <c r="AL3" s="122"/>
      <c r="AM3" s="122" t="s">
        <v>1213</v>
      </c>
      <c r="AN3" s="125">
        <v>0.88753000000000004</v>
      </c>
      <c r="AO3" s="126">
        <v>2.2200000000000002E-3</v>
      </c>
      <c r="AP3" s="159"/>
    </row>
    <row r="4" spans="1:42" x14ac:dyDescent="0.2">
      <c r="A4" s="121" t="s">
        <v>1211</v>
      </c>
      <c r="B4" s="122" t="s">
        <v>1212</v>
      </c>
      <c r="C4" s="122" t="s">
        <v>352</v>
      </c>
      <c r="D4" s="122" t="s">
        <v>3290</v>
      </c>
      <c r="E4" s="122" t="s">
        <v>1218</v>
      </c>
      <c r="F4" s="123">
        <v>3.911</v>
      </c>
      <c r="G4" s="123">
        <v>-87100</v>
      </c>
      <c r="H4" s="123">
        <v>-3.4064809999999999</v>
      </c>
      <c r="I4" s="125">
        <v>-1.2168815871696635E-5</v>
      </c>
      <c r="J4" s="125">
        <v>-1.1358189204163478E-7</v>
      </c>
      <c r="K4" s="122" t="s">
        <v>3290</v>
      </c>
      <c r="L4" s="122" t="s">
        <v>1216</v>
      </c>
      <c r="M4" s="123">
        <v>1</v>
      </c>
      <c r="N4" s="123">
        <v>342477.2</v>
      </c>
      <c r="O4" s="123">
        <v>7.5504809999999996</v>
      </c>
      <c r="P4" s="125">
        <v>2.6972237048069218E-5</v>
      </c>
      <c r="Q4" s="125">
        <v>2.5175479264508286E-7</v>
      </c>
      <c r="R4" s="123">
        <v>4.1440000000000001</v>
      </c>
      <c r="S4" s="122" t="s">
        <v>53</v>
      </c>
      <c r="T4" s="122" t="s">
        <v>53</v>
      </c>
      <c r="U4" s="122" t="s">
        <v>72</v>
      </c>
      <c r="V4" s="122" t="s">
        <v>102</v>
      </c>
      <c r="W4" s="122" t="s">
        <v>691</v>
      </c>
      <c r="X4" s="122" t="s">
        <v>3291</v>
      </c>
      <c r="Y4" s="122" t="s">
        <v>62</v>
      </c>
      <c r="Z4" s="122" t="s">
        <v>3288</v>
      </c>
      <c r="AA4" s="122" t="s">
        <v>3289</v>
      </c>
      <c r="AB4" s="122" t="s">
        <v>102</v>
      </c>
      <c r="AC4" s="122" t="s">
        <v>363</v>
      </c>
      <c r="AD4" s="122" t="s">
        <v>62</v>
      </c>
      <c r="AE4" s="122" t="s">
        <v>341</v>
      </c>
      <c r="AF4" s="122" t="s">
        <v>362</v>
      </c>
      <c r="AG4" s="122" t="s">
        <v>362</v>
      </c>
      <c r="AH4" s="122"/>
      <c r="AI4" s="123">
        <v>3.911</v>
      </c>
      <c r="AJ4" s="122"/>
      <c r="AK4" s="149"/>
      <c r="AL4" s="122"/>
      <c r="AM4" s="122" t="s">
        <v>1213</v>
      </c>
      <c r="AN4" s="125">
        <v>4.7219999999999998E-2</v>
      </c>
      <c r="AO4" s="126">
        <v>1.2E-4</v>
      </c>
      <c r="AP4" s="159"/>
    </row>
    <row r="5" spans="1:42" x14ac:dyDescent="0.2">
      <c r="A5" s="121" t="s">
        <v>1211</v>
      </c>
      <c r="B5" s="122" t="s">
        <v>1212</v>
      </c>
      <c r="C5" s="122" t="s">
        <v>352</v>
      </c>
      <c r="D5" s="122" t="s">
        <v>3292</v>
      </c>
      <c r="E5" s="122" t="s">
        <v>1217</v>
      </c>
      <c r="F5" s="123">
        <v>3.3559999999999999</v>
      </c>
      <c r="G5" s="123">
        <v>-70000</v>
      </c>
      <c r="H5" s="123">
        <v>-2.3492000000000002</v>
      </c>
      <c r="I5" s="125">
        <v>-8.3919394371463502E-6</v>
      </c>
      <c r="J5" s="125">
        <v>-7.8329097031279028E-8</v>
      </c>
      <c r="K5" s="122" t="s">
        <v>3292</v>
      </c>
      <c r="L5" s="122" t="s">
        <v>1216</v>
      </c>
      <c r="M5" s="123">
        <v>1</v>
      </c>
      <c r="N5" s="123">
        <v>234500</v>
      </c>
      <c r="O5" s="123">
        <v>5.4202000000000004</v>
      </c>
      <c r="P5" s="125">
        <v>1.936233191606532E-5</v>
      </c>
      <c r="Q5" s="125">
        <v>1.8072508587133434E-7</v>
      </c>
      <c r="R5" s="123">
        <v>3.0710000000000002</v>
      </c>
      <c r="S5" s="122" t="s">
        <v>53</v>
      </c>
      <c r="T5" s="122" t="s">
        <v>53</v>
      </c>
      <c r="U5" s="122" t="s">
        <v>72</v>
      </c>
      <c r="V5" s="122" t="s">
        <v>102</v>
      </c>
      <c r="W5" s="122" t="s">
        <v>691</v>
      </c>
      <c r="X5" s="122" t="s">
        <v>3287</v>
      </c>
      <c r="Y5" s="122" t="s">
        <v>62</v>
      </c>
      <c r="Z5" s="122" t="s">
        <v>3293</v>
      </c>
      <c r="AA5" s="122" t="s">
        <v>3289</v>
      </c>
      <c r="AB5" s="122" t="s">
        <v>102</v>
      </c>
      <c r="AC5" s="122" t="s">
        <v>363</v>
      </c>
      <c r="AD5" s="122" t="s">
        <v>62</v>
      </c>
      <c r="AE5" s="122" t="s">
        <v>341</v>
      </c>
      <c r="AF5" s="122" t="s">
        <v>362</v>
      </c>
      <c r="AG5" s="122" t="s">
        <v>362</v>
      </c>
      <c r="AH5" s="122"/>
      <c r="AI5" s="123">
        <v>3.3559999999999999</v>
      </c>
      <c r="AJ5" s="122"/>
      <c r="AK5" s="149"/>
      <c r="AL5" s="122"/>
      <c r="AM5" s="122" t="s">
        <v>1213</v>
      </c>
      <c r="AN5" s="125">
        <v>3.499E-2</v>
      </c>
      <c r="AO5" s="126">
        <v>9.0000000000000006E-5</v>
      </c>
      <c r="AP5" s="159"/>
    </row>
    <row r="6" spans="1:42" x14ac:dyDescent="0.2">
      <c r="A6" s="121" t="s">
        <v>1211</v>
      </c>
      <c r="B6" s="122" t="s">
        <v>1212</v>
      </c>
      <c r="C6" s="122" t="s">
        <v>352</v>
      </c>
      <c r="D6" s="122" t="s">
        <v>3294</v>
      </c>
      <c r="E6" s="122" t="s">
        <v>1217</v>
      </c>
      <c r="F6" s="123">
        <v>3.3540000000000001</v>
      </c>
      <c r="G6" s="123">
        <v>-60000</v>
      </c>
      <c r="H6" s="123">
        <v>-2.0124</v>
      </c>
      <c r="I6" s="125">
        <v>-7.1888042411515894E-6</v>
      </c>
      <c r="J6" s="125">
        <v>-6.7099214569106898E-8</v>
      </c>
      <c r="K6" s="122" t="s">
        <v>3294</v>
      </c>
      <c r="L6" s="122" t="s">
        <v>1216</v>
      </c>
      <c r="M6" s="123">
        <v>1</v>
      </c>
      <c r="N6" s="123">
        <v>201024</v>
      </c>
      <c r="O6" s="123">
        <v>4.6684000000000001</v>
      </c>
      <c r="P6" s="125">
        <v>1.6676711249946374E-5</v>
      </c>
      <c r="Q6" s="125">
        <v>1.5565790761996553E-7</v>
      </c>
      <c r="R6" s="123">
        <v>2.6560000000000001</v>
      </c>
      <c r="S6" s="122" t="s">
        <v>53</v>
      </c>
      <c r="T6" s="122" t="s">
        <v>53</v>
      </c>
      <c r="U6" s="122" t="s">
        <v>72</v>
      </c>
      <c r="V6" s="122" t="s">
        <v>102</v>
      </c>
      <c r="W6" s="122" t="s">
        <v>691</v>
      </c>
      <c r="X6" s="122" t="s">
        <v>3287</v>
      </c>
      <c r="Y6" s="122" t="s">
        <v>62</v>
      </c>
      <c r="Z6" s="122" t="s">
        <v>3295</v>
      </c>
      <c r="AA6" s="122" t="s">
        <v>3289</v>
      </c>
      <c r="AB6" s="122" t="s">
        <v>102</v>
      </c>
      <c r="AC6" s="122" t="s">
        <v>363</v>
      </c>
      <c r="AD6" s="122" t="s">
        <v>62</v>
      </c>
      <c r="AE6" s="122" t="s">
        <v>341</v>
      </c>
      <c r="AF6" s="122" t="s">
        <v>362</v>
      </c>
      <c r="AG6" s="122" t="s">
        <v>362</v>
      </c>
      <c r="AH6" s="122"/>
      <c r="AI6" s="123">
        <v>3.3540000000000001</v>
      </c>
      <c r="AJ6" s="122"/>
      <c r="AK6" s="149"/>
      <c r="AL6" s="122"/>
      <c r="AM6" s="122" t="s">
        <v>1213</v>
      </c>
      <c r="AN6" s="125">
        <v>3.0269999999999998E-2</v>
      </c>
      <c r="AO6" s="126">
        <v>8.0000000000000007E-5</v>
      </c>
      <c r="AP6" s="159"/>
    </row>
    <row r="7" spans="1:42" x14ac:dyDescent="0.2">
      <c r="A7" s="121" t="s">
        <v>1211</v>
      </c>
      <c r="B7" s="122" t="s">
        <v>1211</v>
      </c>
      <c r="C7" s="122" t="s">
        <v>352</v>
      </c>
      <c r="D7" s="122" t="s">
        <v>3286</v>
      </c>
      <c r="E7" s="122" t="s">
        <v>1217</v>
      </c>
      <c r="F7" s="123">
        <v>3.355</v>
      </c>
      <c r="G7" s="123">
        <v>-50080000</v>
      </c>
      <c r="H7" s="123">
        <v>-1680.184</v>
      </c>
      <c r="I7" s="125">
        <v>-6.0020442581569479E-3</v>
      </c>
      <c r="J7" s="125">
        <v>-5.6022175875362898E-5</v>
      </c>
      <c r="K7" s="122" t="s">
        <v>3286</v>
      </c>
      <c r="L7" s="122" t="s">
        <v>1216</v>
      </c>
      <c r="M7" s="123">
        <v>1</v>
      </c>
      <c r="N7" s="123">
        <v>168023408</v>
      </c>
      <c r="O7" s="123">
        <v>4132.3919999999998</v>
      </c>
      <c r="P7" s="125">
        <v>1.4761954450258845E-2</v>
      </c>
      <c r="Q7" s="125">
        <v>1.3778585643592763E-4</v>
      </c>
      <c r="R7" s="123">
        <v>2452.2080000000001</v>
      </c>
      <c r="S7" s="122" t="s">
        <v>53</v>
      </c>
      <c r="T7" s="122" t="s">
        <v>53</v>
      </c>
      <c r="U7" s="122" t="s">
        <v>72</v>
      </c>
      <c r="V7" s="122" t="s">
        <v>102</v>
      </c>
      <c r="W7" s="122" t="s">
        <v>691</v>
      </c>
      <c r="X7" s="122" t="s">
        <v>3287</v>
      </c>
      <c r="Y7" s="122" t="s">
        <v>62</v>
      </c>
      <c r="Z7" s="122" t="s">
        <v>3288</v>
      </c>
      <c r="AA7" s="122" t="s">
        <v>3289</v>
      </c>
      <c r="AB7" s="122" t="s">
        <v>102</v>
      </c>
      <c r="AC7" s="122" t="s">
        <v>363</v>
      </c>
      <c r="AD7" s="122" t="s">
        <v>62</v>
      </c>
      <c r="AE7" s="122" t="s">
        <v>341</v>
      </c>
      <c r="AF7" s="122" t="s">
        <v>362</v>
      </c>
      <c r="AG7" s="122" t="s">
        <v>362</v>
      </c>
      <c r="AH7" s="122"/>
      <c r="AI7" s="123">
        <v>3.355</v>
      </c>
      <c r="AJ7" s="122"/>
      <c r="AK7" s="149"/>
      <c r="AL7" s="122"/>
      <c r="AM7" s="122" t="s">
        <v>1213</v>
      </c>
      <c r="AN7" s="125">
        <v>0.57082999999999995</v>
      </c>
      <c r="AO7" s="126">
        <v>2.0899999999999998E-3</v>
      </c>
      <c r="AP7" s="159"/>
    </row>
    <row r="8" spans="1:42" x14ac:dyDescent="0.2">
      <c r="A8" s="121" t="s">
        <v>1211</v>
      </c>
      <c r="B8" s="122" t="s">
        <v>1211</v>
      </c>
      <c r="C8" s="122" t="s">
        <v>352</v>
      </c>
      <c r="D8" s="122" t="s">
        <v>3296</v>
      </c>
      <c r="E8" s="122" t="s">
        <v>1217</v>
      </c>
      <c r="F8" s="123">
        <v>3.3650000000000002</v>
      </c>
      <c r="G8" s="123">
        <v>-24777000</v>
      </c>
      <c r="H8" s="123">
        <v>-833.74604999999997</v>
      </c>
      <c r="I8" s="125">
        <v>-2.9783527828877881E-3</v>
      </c>
      <c r="J8" s="125">
        <v>-2.7799495679335779E-5</v>
      </c>
      <c r="K8" s="122" t="s">
        <v>3296</v>
      </c>
      <c r="L8" s="122" t="s">
        <v>1216</v>
      </c>
      <c r="M8" s="123">
        <v>1</v>
      </c>
      <c r="N8" s="123">
        <v>83002950</v>
      </c>
      <c r="O8" s="123">
        <v>1921.2200499999999</v>
      </c>
      <c r="P8" s="125">
        <v>6.863086286834361E-3</v>
      </c>
      <c r="Q8" s="125">
        <v>6.4059012308398066E-5</v>
      </c>
      <c r="R8" s="123">
        <v>1087.4739999999999</v>
      </c>
      <c r="S8" s="122" t="s">
        <v>53</v>
      </c>
      <c r="T8" s="122" t="s">
        <v>53</v>
      </c>
      <c r="U8" s="122" t="s">
        <v>72</v>
      </c>
      <c r="V8" s="122" t="s">
        <v>102</v>
      </c>
      <c r="W8" s="122" t="s">
        <v>691</v>
      </c>
      <c r="X8" s="122" t="s">
        <v>3287</v>
      </c>
      <c r="Y8" s="122" t="s">
        <v>62</v>
      </c>
      <c r="Z8" s="122" t="s">
        <v>3297</v>
      </c>
      <c r="AA8" s="122" t="s">
        <v>3298</v>
      </c>
      <c r="AB8" s="122" t="s">
        <v>102</v>
      </c>
      <c r="AC8" s="122" t="s">
        <v>363</v>
      </c>
      <c r="AD8" s="122" t="s">
        <v>62</v>
      </c>
      <c r="AE8" s="122" t="s">
        <v>341</v>
      </c>
      <c r="AF8" s="122" t="s">
        <v>362</v>
      </c>
      <c r="AG8" s="122" t="s">
        <v>362</v>
      </c>
      <c r="AH8" s="122"/>
      <c r="AI8" s="123">
        <v>3.3650000000000002</v>
      </c>
      <c r="AJ8" s="122"/>
      <c r="AK8" s="149"/>
      <c r="AL8" s="122"/>
      <c r="AM8" s="122" t="s">
        <v>1213</v>
      </c>
      <c r="AN8" s="125">
        <v>0.25314999999999999</v>
      </c>
      <c r="AO8" s="126">
        <v>9.3000000000000005E-4</v>
      </c>
      <c r="AP8" s="159"/>
    </row>
    <row r="9" spans="1:42" x14ac:dyDescent="0.2">
      <c r="A9" s="121" t="s">
        <v>1211</v>
      </c>
      <c r="B9" s="122" t="s">
        <v>1211</v>
      </c>
      <c r="C9" s="122" t="s">
        <v>352</v>
      </c>
      <c r="D9" s="122" t="s">
        <v>3299</v>
      </c>
      <c r="E9" s="122" t="s">
        <v>1218</v>
      </c>
      <c r="F9" s="123">
        <v>3.9329999999999998</v>
      </c>
      <c r="G9" s="123">
        <v>-7720000</v>
      </c>
      <c r="H9" s="123">
        <v>-303.62759999999997</v>
      </c>
      <c r="I9" s="125">
        <v>-1.0846349525992238E-3</v>
      </c>
      <c r="J9" s="125">
        <v>-1.0123819062563585E-5</v>
      </c>
      <c r="K9" s="122" t="s">
        <v>3299</v>
      </c>
      <c r="L9" s="122" t="s">
        <v>1216</v>
      </c>
      <c r="M9" s="123">
        <v>1</v>
      </c>
      <c r="N9" s="123">
        <v>30393640</v>
      </c>
      <c r="O9" s="123">
        <v>718.72460000000001</v>
      </c>
      <c r="P9" s="125">
        <v>2.567466931375462E-3</v>
      </c>
      <c r="Q9" s="125">
        <v>2.3964349111257962E-5</v>
      </c>
      <c r="R9" s="123">
        <v>415.09699999999998</v>
      </c>
      <c r="S9" s="122" t="s">
        <v>53</v>
      </c>
      <c r="T9" s="122" t="s">
        <v>53</v>
      </c>
      <c r="U9" s="122" t="s">
        <v>72</v>
      </c>
      <c r="V9" s="122" t="s">
        <v>102</v>
      </c>
      <c r="W9" s="122" t="s">
        <v>691</v>
      </c>
      <c r="X9" s="122" t="s">
        <v>3291</v>
      </c>
      <c r="Y9" s="122" t="s">
        <v>62</v>
      </c>
      <c r="Z9" s="122" t="s">
        <v>3297</v>
      </c>
      <c r="AA9" s="122" t="s">
        <v>3298</v>
      </c>
      <c r="AB9" s="122" t="s">
        <v>102</v>
      </c>
      <c r="AC9" s="122" t="s">
        <v>363</v>
      </c>
      <c r="AD9" s="122" t="s">
        <v>62</v>
      </c>
      <c r="AE9" s="122" t="s">
        <v>341</v>
      </c>
      <c r="AF9" s="122" t="s">
        <v>362</v>
      </c>
      <c r="AG9" s="122" t="s">
        <v>362</v>
      </c>
      <c r="AH9" s="122"/>
      <c r="AI9" s="123">
        <v>3.9329999999999998</v>
      </c>
      <c r="AJ9" s="122"/>
      <c r="AK9" s="149"/>
      <c r="AL9" s="122"/>
      <c r="AM9" s="122" t="s">
        <v>1213</v>
      </c>
      <c r="AN9" s="125">
        <v>9.6629999999999994E-2</v>
      </c>
      <c r="AO9" s="126">
        <v>3.5E-4</v>
      </c>
      <c r="AP9" s="159"/>
    </row>
    <row r="10" spans="1:42" x14ac:dyDescent="0.2">
      <c r="A10" s="121" t="s">
        <v>1211</v>
      </c>
      <c r="B10" s="122" t="s">
        <v>1211</v>
      </c>
      <c r="C10" s="122" t="s">
        <v>352</v>
      </c>
      <c r="D10" s="122" t="s">
        <v>3290</v>
      </c>
      <c r="E10" s="122" t="s">
        <v>1218</v>
      </c>
      <c r="F10" s="123">
        <v>3.911</v>
      </c>
      <c r="G10" s="123">
        <v>-4100000</v>
      </c>
      <c r="H10" s="123">
        <v>-160.351</v>
      </c>
      <c r="I10" s="125">
        <v>-5.7281452438526063E-4</v>
      </c>
      <c r="J10" s="125">
        <v>-5.346564378538491E-6</v>
      </c>
      <c r="K10" s="122" t="s">
        <v>3290</v>
      </c>
      <c r="L10" s="122" t="s">
        <v>1216</v>
      </c>
      <c r="M10" s="123">
        <v>1</v>
      </c>
      <c r="N10" s="123">
        <v>16121200</v>
      </c>
      <c r="O10" s="123">
        <v>355.43100000000004</v>
      </c>
      <c r="P10" s="125">
        <v>1.2696898629679741E-3</v>
      </c>
      <c r="Q10" s="125">
        <v>1.1851093685903516E-5</v>
      </c>
      <c r="R10" s="123">
        <v>195.08</v>
      </c>
      <c r="S10" s="122" t="s">
        <v>53</v>
      </c>
      <c r="T10" s="122" t="s">
        <v>53</v>
      </c>
      <c r="U10" s="122" t="s">
        <v>72</v>
      </c>
      <c r="V10" s="122" t="s">
        <v>102</v>
      </c>
      <c r="W10" s="122" t="s">
        <v>691</v>
      </c>
      <c r="X10" s="122" t="s">
        <v>3291</v>
      </c>
      <c r="Y10" s="122" t="s">
        <v>62</v>
      </c>
      <c r="Z10" s="122" t="s">
        <v>3288</v>
      </c>
      <c r="AA10" s="122" t="s">
        <v>3289</v>
      </c>
      <c r="AB10" s="122" t="s">
        <v>102</v>
      </c>
      <c r="AC10" s="122" t="s">
        <v>363</v>
      </c>
      <c r="AD10" s="122" t="s">
        <v>62</v>
      </c>
      <c r="AE10" s="122" t="s">
        <v>341</v>
      </c>
      <c r="AF10" s="122" t="s">
        <v>362</v>
      </c>
      <c r="AG10" s="122" t="s">
        <v>362</v>
      </c>
      <c r="AH10" s="122"/>
      <c r="AI10" s="123">
        <v>3.911</v>
      </c>
      <c r="AJ10" s="122"/>
      <c r="AK10" s="149"/>
      <c r="AL10" s="122"/>
      <c r="AM10" s="122" t="s">
        <v>1213</v>
      </c>
      <c r="AN10" s="125">
        <v>4.5409999999999999E-2</v>
      </c>
      <c r="AO10" s="126">
        <v>1.7000000000000001E-4</v>
      </c>
      <c r="AP10" s="159"/>
    </row>
    <row r="11" spans="1:42" x14ac:dyDescent="0.2">
      <c r="A11" s="121" t="s">
        <v>1211</v>
      </c>
      <c r="B11" s="122" t="s">
        <v>1211</v>
      </c>
      <c r="C11" s="122" t="s">
        <v>352</v>
      </c>
      <c r="D11" s="122" t="s">
        <v>3300</v>
      </c>
      <c r="E11" s="122" t="s">
        <v>1217</v>
      </c>
      <c r="F11" s="123">
        <v>3.419</v>
      </c>
      <c r="G11" s="123">
        <v>-700000</v>
      </c>
      <c r="H11" s="123">
        <v>-23.933</v>
      </c>
      <c r="I11" s="125">
        <v>-8.5494758449354501E-5</v>
      </c>
      <c r="J11" s="125">
        <v>-7.979951810189005E-7</v>
      </c>
      <c r="K11" s="122" t="s">
        <v>3300</v>
      </c>
      <c r="L11" s="122" t="s">
        <v>1216</v>
      </c>
      <c r="M11" s="123">
        <v>1</v>
      </c>
      <c r="N11" s="123">
        <v>2384830</v>
      </c>
      <c r="O11" s="123">
        <v>94.44</v>
      </c>
      <c r="P11" s="125">
        <v>3.3736368144223616E-4</v>
      </c>
      <c r="Q11" s="125">
        <v>3.1489017212812834E-6</v>
      </c>
      <c r="R11" s="123">
        <v>70.507000000000005</v>
      </c>
      <c r="S11" s="122" t="s">
        <v>53</v>
      </c>
      <c r="T11" s="122" t="s">
        <v>53</v>
      </c>
      <c r="U11" s="122" t="s">
        <v>72</v>
      </c>
      <c r="V11" s="122" t="s">
        <v>102</v>
      </c>
      <c r="W11" s="122" t="s">
        <v>691</v>
      </c>
      <c r="X11" s="122" t="s">
        <v>3287</v>
      </c>
      <c r="Y11" s="122" t="s">
        <v>62</v>
      </c>
      <c r="Z11" s="122" t="s">
        <v>3301</v>
      </c>
      <c r="AA11" s="122" t="s">
        <v>3298</v>
      </c>
      <c r="AB11" s="122" t="s">
        <v>102</v>
      </c>
      <c r="AC11" s="122" t="s">
        <v>363</v>
      </c>
      <c r="AD11" s="122" t="s">
        <v>62</v>
      </c>
      <c r="AE11" s="122" t="s">
        <v>341</v>
      </c>
      <c r="AF11" s="122" t="s">
        <v>362</v>
      </c>
      <c r="AG11" s="122" t="s">
        <v>362</v>
      </c>
      <c r="AH11" s="122"/>
      <c r="AI11" s="123">
        <v>3.419</v>
      </c>
      <c r="AJ11" s="122"/>
      <c r="AK11" s="149"/>
      <c r="AL11" s="122"/>
      <c r="AM11" s="122" t="s">
        <v>1213</v>
      </c>
      <c r="AN11" s="125">
        <v>1.6410000000000001E-2</v>
      </c>
      <c r="AO11" s="126">
        <v>6.0000000000000002E-5</v>
      </c>
      <c r="AP11" s="159"/>
    </row>
    <row r="12" spans="1:42" x14ac:dyDescent="0.2">
      <c r="A12" s="121" t="s">
        <v>1211</v>
      </c>
      <c r="B12" s="122" t="s">
        <v>1211</v>
      </c>
      <c r="C12" s="122" t="s">
        <v>352</v>
      </c>
      <c r="D12" s="122" t="s">
        <v>3302</v>
      </c>
      <c r="E12" s="122" t="s">
        <v>1217</v>
      </c>
      <c r="F12" s="123">
        <v>3.3559999999999999</v>
      </c>
      <c r="G12" s="123">
        <v>-1200000</v>
      </c>
      <c r="H12" s="123">
        <v>-40.271999999999998</v>
      </c>
      <c r="I12" s="125">
        <v>-1.4386181892250884E-4</v>
      </c>
      <c r="J12" s="125">
        <v>-1.3427845205362119E-6</v>
      </c>
      <c r="K12" s="122" t="s">
        <v>3302</v>
      </c>
      <c r="L12" s="122" t="s">
        <v>1216</v>
      </c>
      <c r="M12" s="123">
        <v>1</v>
      </c>
      <c r="N12" s="123">
        <v>4014360</v>
      </c>
      <c r="O12" s="123">
        <v>87.307999999999993</v>
      </c>
      <c r="P12" s="125">
        <v>3.1188636488096945E-4</v>
      </c>
      <c r="Q12" s="125">
        <v>2.9111002909956194E-6</v>
      </c>
      <c r="R12" s="123">
        <v>47.036000000000001</v>
      </c>
      <c r="S12" s="122" t="s">
        <v>53</v>
      </c>
      <c r="T12" s="122" t="s">
        <v>53</v>
      </c>
      <c r="U12" s="122" t="s">
        <v>72</v>
      </c>
      <c r="V12" s="122" t="s">
        <v>102</v>
      </c>
      <c r="W12" s="122" t="s">
        <v>691</v>
      </c>
      <c r="X12" s="122" t="s">
        <v>3287</v>
      </c>
      <c r="Y12" s="122" t="s">
        <v>62</v>
      </c>
      <c r="Z12" s="122" t="s">
        <v>3293</v>
      </c>
      <c r="AA12" s="122" t="s">
        <v>3298</v>
      </c>
      <c r="AB12" s="122" t="s">
        <v>102</v>
      </c>
      <c r="AC12" s="122" t="s">
        <v>363</v>
      </c>
      <c r="AD12" s="122" t="s">
        <v>62</v>
      </c>
      <c r="AE12" s="122" t="s">
        <v>341</v>
      </c>
      <c r="AF12" s="122" t="s">
        <v>362</v>
      </c>
      <c r="AG12" s="122" t="s">
        <v>362</v>
      </c>
      <c r="AH12" s="122"/>
      <c r="AI12" s="123">
        <v>3.3559999999999999</v>
      </c>
      <c r="AJ12" s="122"/>
      <c r="AK12" s="149"/>
      <c r="AL12" s="122"/>
      <c r="AM12" s="122" t="s">
        <v>1213</v>
      </c>
      <c r="AN12" s="125">
        <v>1.095E-2</v>
      </c>
      <c r="AO12" s="126">
        <v>4.0000000000000003E-5</v>
      </c>
      <c r="AP12" s="159"/>
    </row>
    <row r="13" spans="1:42" x14ac:dyDescent="0.2">
      <c r="A13" s="121" t="s">
        <v>1211</v>
      </c>
      <c r="B13" s="122" t="s">
        <v>1211</v>
      </c>
      <c r="C13" s="122" t="s">
        <v>352</v>
      </c>
      <c r="D13" s="122" t="s">
        <v>3303</v>
      </c>
      <c r="E13" s="122" t="s">
        <v>1217</v>
      </c>
      <c r="F13" s="123">
        <v>3.34</v>
      </c>
      <c r="G13" s="123">
        <v>-1100000</v>
      </c>
      <c r="H13" s="123">
        <v>-36.74</v>
      </c>
      <c r="I13" s="125">
        <v>-1.3124461728280135E-4</v>
      </c>
      <c r="J13" s="125">
        <v>-1.2250174633616514E-6</v>
      </c>
      <c r="K13" s="122" t="s">
        <v>3303</v>
      </c>
      <c r="L13" s="122" t="s">
        <v>1216</v>
      </c>
      <c r="M13" s="123">
        <v>1</v>
      </c>
      <c r="N13" s="123">
        <v>3654090</v>
      </c>
      <c r="O13" s="123">
        <v>54.146000000000001</v>
      </c>
      <c r="P13" s="125">
        <v>1.9342327292854003E-4</v>
      </c>
      <c r="Q13" s="125">
        <v>1.8053836573538372E-6</v>
      </c>
      <c r="R13" s="123">
        <v>17.405999999999999</v>
      </c>
      <c r="S13" s="122" t="s">
        <v>53</v>
      </c>
      <c r="T13" s="122" t="s">
        <v>53</v>
      </c>
      <c r="U13" s="122" t="s">
        <v>72</v>
      </c>
      <c r="V13" s="122" t="s">
        <v>102</v>
      </c>
      <c r="W13" s="122" t="s">
        <v>691</v>
      </c>
      <c r="X13" s="122" t="s">
        <v>3287</v>
      </c>
      <c r="Y13" s="122" t="s">
        <v>62</v>
      </c>
      <c r="Z13" s="122" t="s">
        <v>3304</v>
      </c>
      <c r="AA13" s="122" t="s">
        <v>3298</v>
      </c>
      <c r="AB13" s="122" t="s">
        <v>102</v>
      </c>
      <c r="AC13" s="122" t="s">
        <v>363</v>
      </c>
      <c r="AD13" s="122" t="s">
        <v>62</v>
      </c>
      <c r="AE13" s="122" t="s">
        <v>341</v>
      </c>
      <c r="AF13" s="122" t="s">
        <v>362</v>
      </c>
      <c r="AG13" s="122" t="s">
        <v>362</v>
      </c>
      <c r="AH13" s="122"/>
      <c r="AI13" s="123">
        <v>3.34</v>
      </c>
      <c r="AJ13" s="122"/>
      <c r="AK13" s="149"/>
      <c r="AL13" s="122"/>
      <c r="AM13" s="122" t="s">
        <v>1213</v>
      </c>
      <c r="AN13" s="125">
        <v>4.0499999999999998E-3</v>
      </c>
      <c r="AO13" s="126">
        <v>1.0000000000000001E-5</v>
      </c>
      <c r="AP13" s="159"/>
    </row>
    <row r="14" spans="1:42" x14ac:dyDescent="0.2">
      <c r="A14" s="121" t="s">
        <v>1211</v>
      </c>
      <c r="B14" s="122" t="s">
        <v>1211</v>
      </c>
      <c r="C14" s="122" t="s">
        <v>352</v>
      </c>
      <c r="D14" s="122" t="s">
        <v>3305</v>
      </c>
      <c r="E14" s="122" t="s">
        <v>1221</v>
      </c>
      <c r="F14" s="123">
        <v>4.5179999999999998</v>
      </c>
      <c r="G14" s="123">
        <v>-150000</v>
      </c>
      <c r="H14" s="123">
        <v>-6.7770000000000001</v>
      </c>
      <c r="I14" s="125">
        <v>-2.4209166339835184E-5</v>
      </c>
      <c r="J14" s="125">
        <v>-2.2596470738165247E-7</v>
      </c>
      <c r="K14" s="122" t="s">
        <v>3305</v>
      </c>
      <c r="L14" s="122" t="s">
        <v>1216</v>
      </c>
      <c r="M14" s="123">
        <v>1</v>
      </c>
      <c r="N14" s="123">
        <v>677250</v>
      </c>
      <c r="O14" s="123">
        <v>17.800999999999998</v>
      </c>
      <c r="P14" s="125">
        <v>6.3589696032965331E-5</v>
      </c>
      <c r="Q14" s="125">
        <v>5.935366321529873E-7</v>
      </c>
      <c r="R14" s="123">
        <v>11.023999999999999</v>
      </c>
      <c r="S14" s="122" t="s">
        <v>53</v>
      </c>
      <c r="T14" s="122" t="s">
        <v>53</v>
      </c>
      <c r="U14" s="122" t="s">
        <v>72</v>
      </c>
      <c r="V14" s="122" t="s">
        <v>102</v>
      </c>
      <c r="W14" s="122" t="s">
        <v>691</v>
      </c>
      <c r="X14" s="122" t="s">
        <v>3306</v>
      </c>
      <c r="Y14" s="122" t="s">
        <v>62</v>
      </c>
      <c r="Z14" s="122" t="s">
        <v>3288</v>
      </c>
      <c r="AA14" s="122" t="s">
        <v>3289</v>
      </c>
      <c r="AB14" s="122" t="s">
        <v>102</v>
      </c>
      <c r="AC14" s="122" t="s">
        <v>363</v>
      </c>
      <c r="AD14" s="122" t="s">
        <v>62</v>
      </c>
      <c r="AE14" s="122" t="s">
        <v>341</v>
      </c>
      <c r="AF14" s="122" t="s">
        <v>362</v>
      </c>
      <c r="AG14" s="122" t="s">
        <v>362</v>
      </c>
      <c r="AH14" s="122"/>
      <c r="AI14" s="123">
        <v>4.5179999999999998</v>
      </c>
      <c r="AJ14" s="122"/>
      <c r="AK14" s="149"/>
      <c r="AL14" s="122"/>
      <c r="AM14" s="122" t="s">
        <v>1213</v>
      </c>
      <c r="AN14" s="125">
        <v>2.5699999999999998E-3</v>
      </c>
      <c r="AO14" s="126">
        <v>1.0000000000000001E-5</v>
      </c>
      <c r="AP14" s="159"/>
    </row>
    <row r="15" spans="1:42" x14ac:dyDescent="0.2">
      <c r="A15" s="121" t="s">
        <v>1223</v>
      </c>
      <c r="B15" s="122" t="s">
        <v>1224</v>
      </c>
      <c r="C15" s="122" t="s">
        <v>352</v>
      </c>
      <c r="D15" s="122" t="s">
        <v>3286</v>
      </c>
      <c r="E15" s="122" t="s">
        <v>1217</v>
      </c>
      <c r="F15" s="123">
        <v>3.355</v>
      </c>
      <c r="G15" s="123">
        <v>-55105000</v>
      </c>
      <c r="H15" s="123">
        <v>-1848.7727500000001</v>
      </c>
      <c r="I15" s="125">
        <v>-6.6042861191241741E-3</v>
      </c>
      <c r="J15" s="125">
        <v>-6.1643410575316942E-5</v>
      </c>
      <c r="K15" s="122" t="s">
        <v>3286</v>
      </c>
      <c r="L15" s="122" t="s">
        <v>1216</v>
      </c>
      <c r="M15" s="123">
        <v>1</v>
      </c>
      <c r="N15" s="123">
        <v>184882785.5</v>
      </c>
      <c r="O15" s="123">
        <v>4547.0347500000007</v>
      </c>
      <c r="P15" s="125">
        <v>1.6243163732589775E-2</v>
      </c>
      <c r="Q15" s="125">
        <v>1.5161124048073711E-4</v>
      </c>
      <c r="R15" s="123">
        <v>2698.2620000000002</v>
      </c>
      <c r="S15" s="122" t="s">
        <v>53</v>
      </c>
      <c r="T15" s="122" t="s">
        <v>53</v>
      </c>
      <c r="U15" s="122" t="s">
        <v>72</v>
      </c>
      <c r="V15" s="122" t="s">
        <v>102</v>
      </c>
      <c r="W15" s="122" t="s">
        <v>691</v>
      </c>
      <c r="X15" s="122" t="s">
        <v>3287</v>
      </c>
      <c r="Y15" s="122" t="s">
        <v>62</v>
      </c>
      <c r="Z15" s="122" t="s">
        <v>3288</v>
      </c>
      <c r="AA15" s="122" t="s">
        <v>3289</v>
      </c>
      <c r="AB15" s="122" t="s">
        <v>102</v>
      </c>
      <c r="AC15" s="122" t="s">
        <v>363</v>
      </c>
      <c r="AD15" s="122" t="s">
        <v>62</v>
      </c>
      <c r="AE15" s="122" t="s">
        <v>341</v>
      </c>
      <c r="AF15" s="122" t="s">
        <v>362</v>
      </c>
      <c r="AG15" s="122" t="s">
        <v>362</v>
      </c>
      <c r="AH15" s="122"/>
      <c r="AI15" s="123">
        <v>3.355</v>
      </c>
      <c r="AJ15" s="122"/>
      <c r="AK15" s="149"/>
      <c r="AL15" s="122"/>
      <c r="AM15" s="122" t="s">
        <v>1213</v>
      </c>
      <c r="AN15" s="125">
        <v>0.83809</v>
      </c>
      <c r="AO15" s="126">
        <v>1.83E-3</v>
      </c>
      <c r="AP15" s="159"/>
    </row>
    <row r="16" spans="1:42" x14ac:dyDescent="0.2">
      <c r="A16" s="121" t="s">
        <v>1223</v>
      </c>
      <c r="B16" s="122" t="s">
        <v>1224</v>
      </c>
      <c r="C16" s="122" t="s">
        <v>352</v>
      </c>
      <c r="D16" s="122" t="s">
        <v>3307</v>
      </c>
      <c r="E16" s="122" t="s">
        <v>1217</v>
      </c>
      <c r="F16" s="123">
        <v>3.4169999999999998</v>
      </c>
      <c r="G16" s="123">
        <v>-1750000</v>
      </c>
      <c r="H16" s="123">
        <v>-59.797499999999999</v>
      </c>
      <c r="I16" s="125">
        <v>-2.1361186722831553E-4</v>
      </c>
      <c r="J16" s="125">
        <v>-1.9938209516975597E-6</v>
      </c>
      <c r="K16" s="122" t="s">
        <v>3307</v>
      </c>
      <c r="L16" s="122" t="s">
        <v>1216</v>
      </c>
      <c r="M16" s="123">
        <v>1</v>
      </c>
      <c r="N16" s="123">
        <v>5971350</v>
      </c>
      <c r="O16" s="123">
        <v>245.23849999999999</v>
      </c>
      <c r="P16" s="125">
        <v>8.7605424810855402E-4</v>
      </c>
      <c r="Q16" s="125">
        <v>8.1769582250576027E-6</v>
      </c>
      <c r="R16" s="123">
        <v>185.441</v>
      </c>
      <c r="S16" s="122" t="s">
        <v>53</v>
      </c>
      <c r="T16" s="122" t="s">
        <v>53</v>
      </c>
      <c r="U16" s="122" t="s">
        <v>72</v>
      </c>
      <c r="V16" s="122" t="s">
        <v>102</v>
      </c>
      <c r="W16" s="122" t="s">
        <v>691</v>
      </c>
      <c r="X16" s="122" t="s">
        <v>3287</v>
      </c>
      <c r="Y16" s="122" t="s">
        <v>62</v>
      </c>
      <c r="Z16" s="122" t="s">
        <v>3308</v>
      </c>
      <c r="AA16" s="122" t="s">
        <v>3289</v>
      </c>
      <c r="AB16" s="122" t="s">
        <v>102</v>
      </c>
      <c r="AC16" s="122" t="s">
        <v>363</v>
      </c>
      <c r="AD16" s="122" t="s">
        <v>62</v>
      </c>
      <c r="AE16" s="122" t="s">
        <v>341</v>
      </c>
      <c r="AF16" s="122" t="s">
        <v>362</v>
      </c>
      <c r="AG16" s="122" t="s">
        <v>362</v>
      </c>
      <c r="AH16" s="122"/>
      <c r="AI16" s="123">
        <v>3.4169999999999998</v>
      </c>
      <c r="AJ16" s="122"/>
      <c r="AK16" s="149"/>
      <c r="AL16" s="122"/>
      <c r="AM16" s="122" t="s">
        <v>1213</v>
      </c>
      <c r="AN16" s="125">
        <v>5.7599999999999998E-2</v>
      </c>
      <c r="AO16" s="126">
        <v>1.2999999999999999E-4</v>
      </c>
      <c r="AP16" s="159"/>
    </row>
    <row r="17" spans="1:42" x14ac:dyDescent="0.2">
      <c r="A17" s="121" t="s">
        <v>1223</v>
      </c>
      <c r="B17" s="122" t="s">
        <v>1224</v>
      </c>
      <c r="C17" s="122" t="s">
        <v>352</v>
      </c>
      <c r="D17" s="122" t="s">
        <v>3294</v>
      </c>
      <c r="E17" s="122" t="s">
        <v>1217</v>
      </c>
      <c r="F17" s="123">
        <v>3.3540000000000001</v>
      </c>
      <c r="G17" s="123">
        <v>-2900000</v>
      </c>
      <c r="H17" s="123">
        <v>-97.266000000000005</v>
      </c>
      <c r="I17" s="125">
        <v>-3.4745887165566017E-4</v>
      </c>
      <c r="J17" s="125">
        <v>-3.2431287041735002E-6</v>
      </c>
      <c r="K17" s="122" t="s">
        <v>3294</v>
      </c>
      <c r="L17" s="122" t="s">
        <v>1216</v>
      </c>
      <c r="M17" s="123">
        <v>1</v>
      </c>
      <c r="N17" s="123">
        <v>9716160</v>
      </c>
      <c r="O17" s="123">
        <v>225.66000000000003</v>
      </c>
      <c r="P17" s="125">
        <v>8.0611487033306888E-4</v>
      </c>
      <c r="Q17" s="125">
        <v>7.5241546211810096E-6</v>
      </c>
      <c r="R17" s="123">
        <v>128.39400000000001</v>
      </c>
      <c r="S17" s="122" t="s">
        <v>53</v>
      </c>
      <c r="T17" s="122" t="s">
        <v>53</v>
      </c>
      <c r="U17" s="122" t="s">
        <v>72</v>
      </c>
      <c r="V17" s="122" t="s">
        <v>102</v>
      </c>
      <c r="W17" s="122" t="s">
        <v>691</v>
      </c>
      <c r="X17" s="122" t="s">
        <v>3287</v>
      </c>
      <c r="Y17" s="122" t="s">
        <v>62</v>
      </c>
      <c r="Z17" s="122" t="s">
        <v>3295</v>
      </c>
      <c r="AA17" s="122" t="s">
        <v>3289</v>
      </c>
      <c r="AB17" s="122" t="s">
        <v>102</v>
      </c>
      <c r="AC17" s="122" t="s">
        <v>363</v>
      </c>
      <c r="AD17" s="122" t="s">
        <v>62</v>
      </c>
      <c r="AE17" s="122" t="s">
        <v>341</v>
      </c>
      <c r="AF17" s="122" t="s">
        <v>362</v>
      </c>
      <c r="AG17" s="122" t="s">
        <v>362</v>
      </c>
      <c r="AH17" s="122"/>
      <c r="AI17" s="123">
        <v>3.3540000000000001</v>
      </c>
      <c r="AJ17" s="122"/>
      <c r="AK17" s="149"/>
      <c r="AL17" s="122"/>
      <c r="AM17" s="122" t="s">
        <v>1213</v>
      </c>
      <c r="AN17" s="125">
        <v>3.9879999999999999E-2</v>
      </c>
      <c r="AO17" s="126">
        <v>9.0000000000000006E-5</v>
      </c>
      <c r="AP17" s="159"/>
    </row>
    <row r="18" spans="1:42" x14ac:dyDescent="0.2">
      <c r="A18" s="121" t="s">
        <v>1223</v>
      </c>
      <c r="B18" s="122" t="s">
        <v>1224</v>
      </c>
      <c r="C18" s="122" t="s">
        <v>352</v>
      </c>
      <c r="D18" s="122" t="s">
        <v>3290</v>
      </c>
      <c r="E18" s="122" t="s">
        <v>1218</v>
      </c>
      <c r="F18" s="123">
        <v>3.911</v>
      </c>
      <c r="G18" s="123">
        <v>-1930000</v>
      </c>
      <c r="H18" s="123">
        <v>-75.482299999999995</v>
      </c>
      <c r="I18" s="125">
        <v>-2.6964195903989095E-4</v>
      </c>
      <c r="J18" s="125">
        <v>-2.5167973781900702E-6</v>
      </c>
      <c r="K18" s="122" t="s">
        <v>3290</v>
      </c>
      <c r="L18" s="122" t="s">
        <v>1216</v>
      </c>
      <c r="M18" s="123">
        <v>1</v>
      </c>
      <c r="N18" s="123">
        <v>7588760</v>
      </c>
      <c r="O18" s="123">
        <v>167.31229999999999</v>
      </c>
      <c r="P18" s="125">
        <v>5.9768205716399672E-4</v>
      </c>
      <c r="Q18" s="125">
        <v>5.5786741789658037E-6</v>
      </c>
      <c r="R18" s="123">
        <v>91.83</v>
      </c>
      <c r="S18" s="122" t="s">
        <v>53</v>
      </c>
      <c r="T18" s="122" t="s">
        <v>53</v>
      </c>
      <c r="U18" s="122" t="s">
        <v>72</v>
      </c>
      <c r="V18" s="122" t="s">
        <v>102</v>
      </c>
      <c r="W18" s="122" t="s">
        <v>691</v>
      </c>
      <c r="X18" s="122" t="s">
        <v>3291</v>
      </c>
      <c r="Y18" s="122" t="s">
        <v>62</v>
      </c>
      <c r="Z18" s="122" t="s">
        <v>3288</v>
      </c>
      <c r="AA18" s="122" t="s">
        <v>3289</v>
      </c>
      <c r="AB18" s="122" t="s">
        <v>102</v>
      </c>
      <c r="AC18" s="122" t="s">
        <v>363</v>
      </c>
      <c r="AD18" s="122" t="s">
        <v>62</v>
      </c>
      <c r="AE18" s="122" t="s">
        <v>341</v>
      </c>
      <c r="AF18" s="122" t="s">
        <v>362</v>
      </c>
      <c r="AG18" s="122" t="s">
        <v>362</v>
      </c>
      <c r="AH18" s="122"/>
      <c r="AI18" s="123">
        <v>3.911</v>
      </c>
      <c r="AJ18" s="122"/>
      <c r="AK18" s="149"/>
      <c r="AL18" s="122"/>
      <c r="AM18" s="122" t="s">
        <v>1213</v>
      </c>
      <c r="AN18" s="125">
        <v>2.852E-2</v>
      </c>
      <c r="AO18" s="126">
        <v>6.0000000000000002E-5</v>
      </c>
      <c r="AP18" s="159"/>
    </row>
    <row r="19" spans="1:42" x14ac:dyDescent="0.2">
      <c r="A19" s="121" t="s">
        <v>1223</v>
      </c>
      <c r="B19" s="122" t="s">
        <v>1224</v>
      </c>
      <c r="C19" s="122" t="s">
        <v>352</v>
      </c>
      <c r="D19" s="122" t="s">
        <v>3292</v>
      </c>
      <c r="E19" s="122" t="s">
        <v>1217</v>
      </c>
      <c r="F19" s="123">
        <v>3.3559999999999999</v>
      </c>
      <c r="G19" s="123">
        <v>-2000000</v>
      </c>
      <c r="H19" s="123">
        <v>-67.12</v>
      </c>
      <c r="I19" s="125">
        <v>-2.3976969820418143E-4</v>
      </c>
      <c r="J19" s="125">
        <v>-2.2379742008936867E-6</v>
      </c>
      <c r="K19" s="122" t="s">
        <v>3292</v>
      </c>
      <c r="L19" s="122" t="s">
        <v>1216</v>
      </c>
      <c r="M19" s="123">
        <v>1</v>
      </c>
      <c r="N19" s="123">
        <v>6700000</v>
      </c>
      <c r="O19" s="123">
        <v>154.869</v>
      </c>
      <c r="P19" s="125">
        <v>5.5323142716304187E-4</v>
      </c>
      <c r="Q19" s="125">
        <v>5.1637787025954163E-6</v>
      </c>
      <c r="R19" s="123">
        <v>87.748999999999995</v>
      </c>
      <c r="S19" s="122" t="s">
        <v>53</v>
      </c>
      <c r="T19" s="122" t="s">
        <v>53</v>
      </c>
      <c r="U19" s="122" t="s">
        <v>72</v>
      </c>
      <c r="V19" s="122" t="s">
        <v>102</v>
      </c>
      <c r="W19" s="122" t="s">
        <v>691</v>
      </c>
      <c r="X19" s="122" t="s">
        <v>3287</v>
      </c>
      <c r="Y19" s="122" t="s">
        <v>62</v>
      </c>
      <c r="Z19" s="122" t="s">
        <v>3293</v>
      </c>
      <c r="AA19" s="122" t="s">
        <v>3289</v>
      </c>
      <c r="AB19" s="122" t="s">
        <v>102</v>
      </c>
      <c r="AC19" s="122" t="s">
        <v>363</v>
      </c>
      <c r="AD19" s="122" t="s">
        <v>62</v>
      </c>
      <c r="AE19" s="122" t="s">
        <v>341</v>
      </c>
      <c r="AF19" s="122" t="s">
        <v>362</v>
      </c>
      <c r="AG19" s="122" t="s">
        <v>362</v>
      </c>
      <c r="AH19" s="122"/>
      <c r="AI19" s="123">
        <v>3.3559999999999999</v>
      </c>
      <c r="AJ19" s="122"/>
      <c r="AK19" s="149"/>
      <c r="AL19" s="122"/>
      <c r="AM19" s="122" t="s">
        <v>1213</v>
      </c>
      <c r="AN19" s="125">
        <v>2.726E-2</v>
      </c>
      <c r="AO19" s="126">
        <v>6.0000000000000002E-5</v>
      </c>
      <c r="AP19" s="159"/>
    </row>
    <row r="20" spans="1:42" x14ac:dyDescent="0.2">
      <c r="A20" s="121" t="s">
        <v>1223</v>
      </c>
      <c r="B20" s="122" t="s">
        <v>1224</v>
      </c>
      <c r="C20" s="122" t="s">
        <v>352</v>
      </c>
      <c r="D20" s="122" t="s">
        <v>3309</v>
      </c>
      <c r="E20" s="122" t="s">
        <v>1217</v>
      </c>
      <c r="F20" s="123">
        <v>3.343</v>
      </c>
      <c r="G20" s="123">
        <v>-860000</v>
      </c>
      <c r="H20" s="123">
        <v>-28.7498</v>
      </c>
      <c r="I20" s="125">
        <v>-1.0270159221440071E-4</v>
      </c>
      <c r="J20" s="125">
        <v>-9.586011722415571E-7</v>
      </c>
      <c r="K20" s="122" t="s">
        <v>3309</v>
      </c>
      <c r="L20" s="122" t="s">
        <v>1216</v>
      </c>
      <c r="M20" s="123">
        <v>1</v>
      </c>
      <c r="N20" s="123">
        <v>2871110</v>
      </c>
      <c r="O20" s="123">
        <v>56.617800000000003</v>
      </c>
      <c r="P20" s="125">
        <v>2.0225317072384839E-4</v>
      </c>
      <c r="Q20" s="125">
        <v>1.8878005916471777E-6</v>
      </c>
      <c r="R20" s="123">
        <v>27.867999999999999</v>
      </c>
      <c r="S20" s="122" t="s">
        <v>53</v>
      </c>
      <c r="T20" s="122" t="s">
        <v>53</v>
      </c>
      <c r="U20" s="122" t="s">
        <v>72</v>
      </c>
      <c r="V20" s="122" t="s">
        <v>102</v>
      </c>
      <c r="W20" s="122" t="s">
        <v>691</v>
      </c>
      <c r="X20" s="122" t="s">
        <v>3287</v>
      </c>
      <c r="Y20" s="122" t="s">
        <v>62</v>
      </c>
      <c r="Z20" s="122" t="s">
        <v>3310</v>
      </c>
      <c r="AA20" s="122" t="s">
        <v>3298</v>
      </c>
      <c r="AB20" s="122" t="s">
        <v>102</v>
      </c>
      <c r="AC20" s="122" t="s">
        <v>363</v>
      </c>
      <c r="AD20" s="122" t="s">
        <v>62</v>
      </c>
      <c r="AE20" s="122" t="s">
        <v>341</v>
      </c>
      <c r="AF20" s="122" t="s">
        <v>362</v>
      </c>
      <c r="AG20" s="122" t="s">
        <v>362</v>
      </c>
      <c r="AH20" s="122"/>
      <c r="AI20" s="123">
        <v>3.343</v>
      </c>
      <c r="AJ20" s="122"/>
      <c r="AK20" s="149"/>
      <c r="AL20" s="122"/>
      <c r="AM20" s="122" t="s">
        <v>1213</v>
      </c>
      <c r="AN20" s="125">
        <v>8.6599999999999993E-3</v>
      </c>
      <c r="AO20" s="126">
        <v>2.0000000000000002E-5</v>
      </c>
      <c r="AP20" s="159"/>
    </row>
    <row r="21" spans="1:42" x14ac:dyDescent="0.2">
      <c r="A21" s="121" t="s">
        <v>1223</v>
      </c>
      <c r="B21" s="122" t="s">
        <v>1223</v>
      </c>
      <c r="C21" s="122" t="s">
        <v>352</v>
      </c>
      <c r="D21" s="122" t="s">
        <v>3311</v>
      </c>
      <c r="E21" s="122" t="s">
        <v>1217</v>
      </c>
      <c r="F21" s="123">
        <v>3.57</v>
      </c>
      <c r="G21" s="123">
        <v>-221550000</v>
      </c>
      <c r="H21" s="123">
        <v>-7909.335</v>
      </c>
      <c r="I21" s="125">
        <v>-2.8254154736975109E-2</v>
      </c>
      <c r="J21" s="125">
        <v>-2.6372001901408621E-4</v>
      </c>
      <c r="K21" s="122" t="s">
        <v>3311</v>
      </c>
      <c r="L21" s="122" t="s">
        <v>1216</v>
      </c>
      <c r="M21" s="123">
        <v>1</v>
      </c>
      <c r="N21" s="123">
        <v>792041250</v>
      </c>
      <c r="O21" s="123">
        <v>67212.639999999999</v>
      </c>
      <c r="P21" s="125">
        <v>0.24010063182816288</v>
      </c>
      <c r="Q21" s="125">
        <v>2.2410630854284123E-3</v>
      </c>
      <c r="R21" s="123">
        <v>59303.305</v>
      </c>
      <c r="S21" s="122" t="s">
        <v>53</v>
      </c>
      <c r="T21" s="122" t="s">
        <v>53</v>
      </c>
      <c r="U21" s="122" t="s">
        <v>72</v>
      </c>
      <c r="V21" s="122" t="s">
        <v>102</v>
      </c>
      <c r="W21" s="122" t="s">
        <v>691</v>
      </c>
      <c r="X21" s="122" t="s">
        <v>3287</v>
      </c>
      <c r="Y21" s="122" t="s">
        <v>62</v>
      </c>
      <c r="Z21" s="122" t="s">
        <v>3312</v>
      </c>
      <c r="AA21" s="122" t="s">
        <v>3313</v>
      </c>
      <c r="AB21" s="122" t="s">
        <v>102</v>
      </c>
      <c r="AC21" s="122" t="s">
        <v>363</v>
      </c>
      <c r="AD21" s="122" t="s">
        <v>62</v>
      </c>
      <c r="AE21" s="122" t="s">
        <v>341</v>
      </c>
      <c r="AF21" s="122" t="s">
        <v>362</v>
      </c>
      <c r="AG21" s="122" t="s">
        <v>362</v>
      </c>
      <c r="AH21" s="122"/>
      <c r="AI21" s="123">
        <v>3.57</v>
      </c>
      <c r="AJ21" s="122"/>
      <c r="AK21" s="149"/>
      <c r="AL21" s="122"/>
      <c r="AM21" s="122" t="s">
        <v>1213</v>
      </c>
      <c r="AN21" s="125">
        <v>0.21776000000000001</v>
      </c>
      <c r="AO21" s="126">
        <v>2.1700000000000001E-3</v>
      </c>
      <c r="AP21" s="159"/>
    </row>
    <row r="22" spans="1:42" x14ac:dyDescent="0.2">
      <c r="A22" s="121" t="s">
        <v>1223</v>
      </c>
      <c r="B22" s="122" t="s">
        <v>1223</v>
      </c>
      <c r="C22" s="122" t="s">
        <v>352</v>
      </c>
      <c r="D22" s="122" t="s">
        <v>3314</v>
      </c>
      <c r="E22" s="122" t="s">
        <v>1217</v>
      </c>
      <c r="F22" s="123">
        <v>3.54</v>
      </c>
      <c r="G22" s="123">
        <v>-230800000</v>
      </c>
      <c r="H22" s="123">
        <v>-8170.32</v>
      </c>
      <c r="I22" s="125">
        <v>-2.9186459484975974E-2</v>
      </c>
      <c r="J22" s="125">
        <v>-2.7242201092141988E-4</v>
      </c>
      <c r="K22" s="122" t="s">
        <v>3314</v>
      </c>
      <c r="L22" s="122" t="s">
        <v>1216</v>
      </c>
      <c r="M22" s="123">
        <v>1</v>
      </c>
      <c r="N22" s="123">
        <v>817493600</v>
      </c>
      <c r="O22" s="123">
        <v>62402.536999999997</v>
      </c>
      <c r="P22" s="125">
        <v>0.22291772144912492</v>
      </c>
      <c r="Q22" s="125">
        <v>2.0806803914826238E-3</v>
      </c>
      <c r="R22" s="123">
        <v>54232.216999999997</v>
      </c>
      <c r="S22" s="122" t="s">
        <v>53</v>
      </c>
      <c r="T22" s="122" t="s">
        <v>53</v>
      </c>
      <c r="U22" s="122" t="s">
        <v>72</v>
      </c>
      <c r="V22" s="122" t="s">
        <v>102</v>
      </c>
      <c r="W22" s="122" t="s">
        <v>691</v>
      </c>
      <c r="X22" s="122" t="s">
        <v>3287</v>
      </c>
      <c r="Y22" s="122" t="s">
        <v>62</v>
      </c>
      <c r="Z22" s="122" t="s">
        <v>3315</v>
      </c>
      <c r="AA22" s="122" t="s">
        <v>3316</v>
      </c>
      <c r="AB22" s="122" t="s">
        <v>102</v>
      </c>
      <c r="AC22" s="122" t="s">
        <v>363</v>
      </c>
      <c r="AD22" s="122" t="s">
        <v>62</v>
      </c>
      <c r="AE22" s="122" t="s">
        <v>341</v>
      </c>
      <c r="AF22" s="122" t="s">
        <v>362</v>
      </c>
      <c r="AG22" s="122" t="s">
        <v>362</v>
      </c>
      <c r="AH22" s="122"/>
      <c r="AI22" s="123">
        <v>3.54</v>
      </c>
      <c r="AJ22" s="122"/>
      <c r="AK22" s="122"/>
      <c r="AL22" s="122"/>
      <c r="AM22" s="122" t="s">
        <v>1213</v>
      </c>
      <c r="AN22" s="125">
        <v>0.19914000000000001</v>
      </c>
      <c r="AO22" s="126">
        <v>1.99E-3</v>
      </c>
      <c r="AP22" s="159"/>
    </row>
    <row r="23" spans="1:42" x14ac:dyDescent="0.2">
      <c r="A23" s="121" t="s">
        <v>1223</v>
      </c>
      <c r="B23" s="122" t="s">
        <v>1223</v>
      </c>
      <c r="C23" s="122" t="s">
        <v>352</v>
      </c>
      <c r="D23" s="122" t="s">
        <v>3317</v>
      </c>
      <c r="E23" s="122" t="s">
        <v>1217</v>
      </c>
      <c r="F23" s="123">
        <v>3.5489999999999999</v>
      </c>
      <c r="G23" s="123">
        <v>-160000000</v>
      </c>
      <c r="H23" s="123">
        <v>-5678.4</v>
      </c>
      <c r="I23" s="125">
        <v>-2.0284687936272701E-2</v>
      </c>
      <c r="J23" s="125">
        <v>-1.8933421785391401E-4</v>
      </c>
      <c r="K23" s="122" t="s">
        <v>3317</v>
      </c>
      <c r="L23" s="122" t="s">
        <v>1216</v>
      </c>
      <c r="M23" s="123">
        <v>1</v>
      </c>
      <c r="N23" s="123">
        <v>566448000</v>
      </c>
      <c r="O23" s="123">
        <v>43044.292999999998</v>
      </c>
      <c r="P23" s="125">
        <v>0.15376515408257388</v>
      </c>
      <c r="Q23" s="125">
        <v>1.4352207572960176E-3</v>
      </c>
      <c r="R23" s="123">
        <v>37365.892999999996</v>
      </c>
      <c r="S23" s="122" t="s">
        <v>53</v>
      </c>
      <c r="T23" s="122" t="s">
        <v>53</v>
      </c>
      <c r="U23" s="122" t="s">
        <v>72</v>
      </c>
      <c r="V23" s="122" t="s">
        <v>102</v>
      </c>
      <c r="W23" s="122" t="s">
        <v>691</v>
      </c>
      <c r="X23" s="122" t="s">
        <v>3287</v>
      </c>
      <c r="Y23" s="122" t="s">
        <v>62</v>
      </c>
      <c r="Z23" s="122" t="s">
        <v>3318</v>
      </c>
      <c r="AA23" s="122" t="s">
        <v>3319</v>
      </c>
      <c r="AB23" s="122" t="s">
        <v>102</v>
      </c>
      <c r="AC23" s="122" t="s">
        <v>363</v>
      </c>
      <c r="AD23" s="122" t="s">
        <v>62</v>
      </c>
      <c r="AE23" s="122" t="s">
        <v>341</v>
      </c>
      <c r="AF23" s="122" t="s">
        <v>362</v>
      </c>
      <c r="AG23" s="122" t="s">
        <v>362</v>
      </c>
      <c r="AH23" s="122"/>
      <c r="AI23" s="123">
        <v>3.5489999999999999</v>
      </c>
      <c r="AJ23" s="122"/>
      <c r="AK23" s="122"/>
      <c r="AL23" s="122"/>
      <c r="AM23" s="122" t="s">
        <v>1213</v>
      </c>
      <c r="AN23" s="125">
        <v>0.13721</v>
      </c>
      <c r="AO23" s="126">
        <v>1.3699999999999999E-3</v>
      </c>
      <c r="AP23" s="159"/>
    </row>
    <row r="24" spans="1:42" x14ac:dyDescent="0.2">
      <c r="A24" s="121" t="s">
        <v>1223</v>
      </c>
      <c r="B24" s="122" t="s">
        <v>1223</v>
      </c>
      <c r="C24" s="122" t="s">
        <v>352</v>
      </c>
      <c r="D24" s="122" t="s">
        <v>3320</v>
      </c>
      <c r="E24" s="122" t="s">
        <v>1217</v>
      </c>
      <c r="F24" s="123">
        <v>3.5489999999999999</v>
      </c>
      <c r="G24" s="123">
        <v>-160000000</v>
      </c>
      <c r="H24" s="123">
        <v>-5678.4</v>
      </c>
      <c r="I24" s="125">
        <v>-2.0284687936272701E-2</v>
      </c>
      <c r="J24" s="125">
        <v>-1.8933421785391401E-4</v>
      </c>
      <c r="K24" s="122" t="s">
        <v>3320</v>
      </c>
      <c r="L24" s="122" t="s">
        <v>1216</v>
      </c>
      <c r="M24" s="123">
        <v>1</v>
      </c>
      <c r="N24" s="123">
        <v>566400000</v>
      </c>
      <c r="O24" s="123">
        <v>42985.843000000001</v>
      </c>
      <c r="P24" s="125">
        <v>0.1535563558278058</v>
      </c>
      <c r="Q24" s="125">
        <v>1.4332718658770331E-3</v>
      </c>
      <c r="R24" s="123">
        <v>37307.442999999999</v>
      </c>
      <c r="S24" s="122" t="s">
        <v>53</v>
      </c>
      <c r="T24" s="122" t="s">
        <v>53</v>
      </c>
      <c r="U24" s="122" t="s">
        <v>72</v>
      </c>
      <c r="V24" s="122" t="s">
        <v>102</v>
      </c>
      <c r="W24" s="122" t="s">
        <v>691</v>
      </c>
      <c r="X24" s="122" t="s">
        <v>3287</v>
      </c>
      <c r="Y24" s="122" t="s">
        <v>62</v>
      </c>
      <c r="Z24" s="122" t="s">
        <v>3318</v>
      </c>
      <c r="AA24" s="122" t="s">
        <v>3321</v>
      </c>
      <c r="AB24" s="122" t="s">
        <v>102</v>
      </c>
      <c r="AC24" s="122" t="s">
        <v>363</v>
      </c>
      <c r="AD24" s="122" t="s">
        <v>62</v>
      </c>
      <c r="AE24" s="122" t="s">
        <v>341</v>
      </c>
      <c r="AF24" s="122" t="s">
        <v>362</v>
      </c>
      <c r="AG24" s="122" t="s">
        <v>362</v>
      </c>
      <c r="AH24" s="122"/>
      <c r="AI24" s="123">
        <v>3.5489999999999999</v>
      </c>
      <c r="AJ24" s="122"/>
      <c r="AK24" s="122"/>
      <c r="AL24" s="122"/>
      <c r="AM24" s="122" t="s">
        <v>1213</v>
      </c>
      <c r="AN24" s="125">
        <v>0.13699</v>
      </c>
      <c r="AO24" s="126">
        <v>1.3699999999999999E-3</v>
      </c>
      <c r="AP24" s="159"/>
    </row>
    <row r="25" spans="1:42" x14ac:dyDescent="0.2">
      <c r="A25" s="121" t="s">
        <v>1223</v>
      </c>
      <c r="B25" s="122" t="s">
        <v>1223</v>
      </c>
      <c r="C25" s="122" t="s">
        <v>352</v>
      </c>
      <c r="D25" s="122" t="s">
        <v>3322</v>
      </c>
      <c r="E25" s="122" t="s">
        <v>1217</v>
      </c>
      <c r="F25" s="123">
        <v>3.4169999999999998</v>
      </c>
      <c r="G25" s="123">
        <v>-194250000</v>
      </c>
      <c r="H25" s="123">
        <v>-6637.5225</v>
      </c>
      <c r="I25" s="125">
        <v>-2.3710917262343024E-2</v>
      </c>
      <c r="J25" s="125">
        <v>-2.2131412563842915E-4</v>
      </c>
      <c r="K25" s="122" t="s">
        <v>3322</v>
      </c>
      <c r="L25" s="122" t="s">
        <v>1216</v>
      </c>
      <c r="M25" s="123">
        <v>1</v>
      </c>
      <c r="N25" s="123">
        <v>663558000</v>
      </c>
      <c r="O25" s="123">
        <v>27930.889499999997</v>
      </c>
      <c r="P25" s="125">
        <v>9.9776235786491946E-2</v>
      </c>
      <c r="Q25" s="125">
        <v>9.31296336546668E-4</v>
      </c>
      <c r="R25" s="123">
        <v>21293.366999999998</v>
      </c>
      <c r="S25" s="122" t="s">
        <v>53</v>
      </c>
      <c r="T25" s="122" t="s">
        <v>53</v>
      </c>
      <c r="U25" s="122" t="s">
        <v>72</v>
      </c>
      <c r="V25" s="122" t="s">
        <v>102</v>
      </c>
      <c r="W25" s="122" t="s">
        <v>691</v>
      </c>
      <c r="X25" s="122" t="s">
        <v>3287</v>
      </c>
      <c r="Y25" s="122" t="s">
        <v>62</v>
      </c>
      <c r="Z25" s="122" t="s">
        <v>3308</v>
      </c>
      <c r="AA25" s="122" t="s">
        <v>3323</v>
      </c>
      <c r="AB25" s="122" t="s">
        <v>102</v>
      </c>
      <c r="AC25" s="122" t="s">
        <v>363</v>
      </c>
      <c r="AD25" s="122" t="s">
        <v>62</v>
      </c>
      <c r="AE25" s="122" t="s">
        <v>341</v>
      </c>
      <c r="AF25" s="122" t="s">
        <v>362</v>
      </c>
      <c r="AG25" s="122" t="s">
        <v>362</v>
      </c>
      <c r="AH25" s="122"/>
      <c r="AI25" s="123">
        <v>3.4169999999999998</v>
      </c>
      <c r="AJ25" s="122"/>
      <c r="AK25" s="122"/>
      <c r="AL25" s="122"/>
      <c r="AM25" s="122" t="s">
        <v>1213</v>
      </c>
      <c r="AN25" s="125">
        <v>7.8189999999999996E-2</v>
      </c>
      <c r="AO25" s="126">
        <v>7.7999999999999999E-4</v>
      </c>
      <c r="AP25" s="159"/>
    </row>
    <row r="26" spans="1:42" x14ac:dyDescent="0.2">
      <c r="A26" s="121" t="s">
        <v>1223</v>
      </c>
      <c r="B26" s="122" t="s">
        <v>1223</v>
      </c>
      <c r="C26" s="122" t="s">
        <v>352</v>
      </c>
      <c r="D26" s="122" t="s">
        <v>3324</v>
      </c>
      <c r="E26" s="122" t="s">
        <v>1218</v>
      </c>
      <c r="F26" s="123">
        <v>4.0339999999999998</v>
      </c>
      <c r="G26" s="123">
        <v>-90000000</v>
      </c>
      <c r="H26" s="123">
        <v>-3630.6</v>
      </c>
      <c r="I26" s="125">
        <v>-1.2969425898392447E-2</v>
      </c>
      <c r="J26" s="125">
        <v>-1.2105466528254795E-4</v>
      </c>
      <c r="K26" s="122" t="s">
        <v>3324</v>
      </c>
      <c r="L26" s="122" t="s">
        <v>1216</v>
      </c>
      <c r="M26" s="123">
        <v>1</v>
      </c>
      <c r="N26" s="123">
        <v>368010000</v>
      </c>
      <c r="O26" s="123">
        <v>21361.145999999997</v>
      </c>
      <c r="P26" s="125">
        <v>7.6307442337834569E-2</v>
      </c>
      <c r="Q26" s="125">
        <v>7.1224215806798814E-4</v>
      </c>
      <c r="R26" s="123">
        <v>17730.545999999998</v>
      </c>
      <c r="S26" s="122" t="s">
        <v>53</v>
      </c>
      <c r="T26" s="122" t="s">
        <v>53</v>
      </c>
      <c r="U26" s="122" t="s">
        <v>72</v>
      </c>
      <c r="V26" s="122" t="s">
        <v>102</v>
      </c>
      <c r="W26" s="122" t="s">
        <v>691</v>
      </c>
      <c r="X26" s="122" t="s">
        <v>3291</v>
      </c>
      <c r="Y26" s="122" t="s">
        <v>62</v>
      </c>
      <c r="Z26" s="122" t="s">
        <v>3312</v>
      </c>
      <c r="AA26" s="122" t="s">
        <v>3325</v>
      </c>
      <c r="AB26" s="122" t="s">
        <v>102</v>
      </c>
      <c r="AC26" s="122" t="s">
        <v>363</v>
      </c>
      <c r="AD26" s="122" t="s">
        <v>62</v>
      </c>
      <c r="AE26" s="122" t="s">
        <v>341</v>
      </c>
      <c r="AF26" s="122" t="s">
        <v>362</v>
      </c>
      <c r="AG26" s="122" t="s">
        <v>362</v>
      </c>
      <c r="AH26" s="122"/>
      <c r="AI26" s="123">
        <v>4.0339999999999998</v>
      </c>
      <c r="AJ26" s="122"/>
      <c r="AK26" s="122"/>
      <c r="AL26" s="122"/>
      <c r="AM26" s="122" t="s">
        <v>1213</v>
      </c>
      <c r="AN26" s="125">
        <v>6.5110000000000001E-2</v>
      </c>
      <c r="AO26" s="126">
        <v>6.4999999999999997E-4</v>
      </c>
      <c r="AP26" s="159"/>
    </row>
    <row r="27" spans="1:42" x14ac:dyDescent="0.2">
      <c r="A27" s="121" t="s">
        <v>1223</v>
      </c>
      <c r="B27" s="122" t="s">
        <v>1223</v>
      </c>
      <c r="C27" s="122" t="s">
        <v>352</v>
      </c>
      <c r="D27" s="122" t="s">
        <v>3296</v>
      </c>
      <c r="E27" s="122" t="s">
        <v>1217</v>
      </c>
      <c r="F27" s="123">
        <v>3.3650000000000002</v>
      </c>
      <c r="G27" s="123">
        <v>-346700000</v>
      </c>
      <c r="H27" s="123">
        <v>-11666.455</v>
      </c>
      <c r="I27" s="125">
        <v>-4.1675542229777464E-2</v>
      </c>
      <c r="J27" s="125">
        <v>-3.8899322565386102E-4</v>
      </c>
      <c r="K27" s="122" t="s">
        <v>3296</v>
      </c>
      <c r="L27" s="122" t="s">
        <v>1216</v>
      </c>
      <c r="M27" s="123">
        <v>1</v>
      </c>
      <c r="N27" s="123">
        <v>1161445000</v>
      </c>
      <c r="O27" s="123">
        <v>26883.275999999998</v>
      </c>
      <c r="P27" s="125">
        <v>9.6033894118887256E-2</v>
      </c>
      <c r="Q27" s="125">
        <v>8.963658838424377E-4</v>
      </c>
      <c r="R27" s="123">
        <v>15216.821</v>
      </c>
      <c r="S27" s="122" t="s">
        <v>53</v>
      </c>
      <c r="T27" s="122" t="s">
        <v>53</v>
      </c>
      <c r="U27" s="122" t="s">
        <v>72</v>
      </c>
      <c r="V27" s="122" t="s">
        <v>102</v>
      </c>
      <c r="W27" s="122" t="s">
        <v>691</v>
      </c>
      <c r="X27" s="122" t="s">
        <v>3287</v>
      </c>
      <c r="Y27" s="122" t="s">
        <v>62</v>
      </c>
      <c r="Z27" s="122" t="s">
        <v>3297</v>
      </c>
      <c r="AA27" s="122" t="s">
        <v>3298</v>
      </c>
      <c r="AB27" s="122" t="s">
        <v>102</v>
      </c>
      <c r="AC27" s="122" t="s">
        <v>363</v>
      </c>
      <c r="AD27" s="122" t="s">
        <v>62</v>
      </c>
      <c r="AE27" s="122" t="s">
        <v>341</v>
      </c>
      <c r="AF27" s="122" t="s">
        <v>362</v>
      </c>
      <c r="AG27" s="122" t="s">
        <v>362</v>
      </c>
      <c r="AH27" s="122"/>
      <c r="AI27" s="123">
        <v>3.3650000000000002</v>
      </c>
      <c r="AJ27" s="122"/>
      <c r="AK27" s="122"/>
      <c r="AL27" s="122"/>
      <c r="AM27" s="122" t="s">
        <v>1213</v>
      </c>
      <c r="AN27" s="125">
        <v>5.5879999999999999E-2</v>
      </c>
      <c r="AO27" s="126">
        <v>5.5999999999999995E-4</v>
      </c>
      <c r="AP27" s="159"/>
    </row>
    <row r="28" spans="1:42" x14ac:dyDescent="0.2">
      <c r="A28" s="121" t="s">
        <v>1223</v>
      </c>
      <c r="B28" s="122" t="s">
        <v>1223</v>
      </c>
      <c r="C28" s="122" t="s">
        <v>352</v>
      </c>
      <c r="D28" s="122" t="s">
        <v>3326</v>
      </c>
      <c r="E28" s="122" t="s">
        <v>1218</v>
      </c>
      <c r="F28" s="123">
        <v>3.96</v>
      </c>
      <c r="G28" s="123">
        <v>-89700000</v>
      </c>
      <c r="H28" s="123">
        <v>-3552.12</v>
      </c>
      <c r="I28" s="125">
        <v>-1.2689075393102456E-2</v>
      </c>
      <c r="J28" s="125">
        <v>-1.1843791594872589E-4</v>
      </c>
      <c r="K28" s="122" t="s">
        <v>3326</v>
      </c>
      <c r="L28" s="122" t="s">
        <v>1216</v>
      </c>
      <c r="M28" s="123">
        <v>1</v>
      </c>
      <c r="N28" s="123">
        <v>359966100</v>
      </c>
      <c r="O28" s="123">
        <v>14499.061000000002</v>
      </c>
      <c r="P28" s="125">
        <v>5.1794330754082497E-2</v>
      </c>
      <c r="Q28" s="125">
        <v>4.8344047162073625E-4</v>
      </c>
      <c r="R28" s="123">
        <v>10946.941000000001</v>
      </c>
      <c r="S28" s="122" t="s">
        <v>53</v>
      </c>
      <c r="T28" s="122" t="s">
        <v>53</v>
      </c>
      <c r="U28" s="122" t="s">
        <v>72</v>
      </c>
      <c r="V28" s="122" t="s">
        <v>102</v>
      </c>
      <c r="W28" s="122" t="s">
        <v>691</v>
      </c>
      <c r="X28" s="122" t="s">
        <v>3291</v>
      </c>
      <c r="Y28" s="122" t="s">
        <v>62</v>
      </c>
      <c r="Z28" s="122" t="s">
        <v>3315</v>
      </c>
      <c r="AA28" s="122" t="s">
        <v>3316</v>
      </c>
      <c r="AB28" s="122" t="s">
        <v>102</v>
      </c>
      <c r="AC28" s="122" t="s">
        <v>363</v>
      </c>
      <c r="AD28" s="122" t="s">
        <v>62</v>
      </c>
      <c r="AE28" s="122" t="s">
        <v>341</v>
      </c>
      <c r="AF28" s="122" t="s">
        <v>362</v>
      </c>
      <c r="AG28" s="122" t="s">
        <v>362</v>
      </c>
      <c r="AH28" s="122"/>
      <c r="AI28" s="123">
        <v>3.96</v>
      </c>
      <c r="AJ28" s="122"/>
      <c r="AK28" s="122"/>
      <c r="AL28" s="122"/>
      <c r="AM28" s="122" t="s">
        <v>1213</v>
      </c>
      <c r="AN28" s="125">
        <v>4.02E-2</v>
      </c>
      <c r="AO28" s="126">
        <v>4.0000000000000002E-4</v>
      </c>
      <c r="AP28" s="159"/>
    </row>
    <row r="29" spans="1:42" x14ac:dyDescent="0.2">
      <c r="A29" s="121" t="s">
        <v>1223</v>
      </c>
      <c r="B29" s="122" t="s">
        <v>1223</v>
      </c>
      <c r="C29" s="122" t="s">
        <v>352</v>
      </c>
      <c r="D29" s="122" t="s">
        <v>3286</v>
      </c>
      <c r="E29" s="122" t="s">
        <v>1217</v>
      </c>
      <c r="F29" s="123">
        <v>3.355</v>
      </c>
      <c r="G29" s="123">
        <v>-141600000</v>
      </c>
      <c r="H29" s="123">
        <v>-4750.68</v>
      </c>
      <c r="I29" s="125">
        <v>-1.6970636320986898E-2</v>
      </c>
      <c r="J29" s="125">
        <v>-1.5840135990318263E-4</v>
      </c>
      <c r="K29" s="122" t="s">
        <v>3286</v>
      </c>
      <c r="L29" s="122" t="s">
        <v>1216</v>
      </c>
      <c r="M29" s="123">
        <v>1</v>
      </c>
      <c r="N29" s="123">
        <v>475082160</v>
      </c>
      <c r="O29" s="123">
        <v>11684.241</v>
      </c>
      <c r="P29" s="125">
        <v>4.1739078341998255E-2</v>
      </c>
      <c r="Q29" s="125">
        <v>3.8958626214279275E-4</v>
      </c>
      <c r="R29" s="123">
        <v>6933.5609999999997</v>
      </c>
      <c r="S29" s="122" t="s">
        <v>53</v>
      </c>
      <c r="T29" s="122" t="s">
        <v>53</v>
      </c>
      <c r="U29" s="122" t="s">
        <v>72</v>
      </c>
      <c r="V29" s="122" t="s">
        <v>102</v>
      </c>
      <c r="W29" s="122" t="s">
        <v>691</v>
      </c>
      <c r="X29" s="122" t="s">
        <v>3287</v>
      </c>
      <c r="Y29" s="122" t="s">
        <v>62</v>
      </c>
      <c r="Z29" s="122" t="s">
        <v>3288</v>
      </c>
      <c r="AA29" s="122" t="s">
        <v>3289</v>
      </c>
      <c r="AB29" s="122" t="s">
        <v>102</v>
      </c>
      <c r="AC29" s="122" t="s">
        <v>363</v>
      </c>
      <c r="AD29" s="122" t="s">
        <v>62</v>
      </c>
      <c r="AE29" s="122" t="s">
        <v>341</v>
      </c>
      <c r="AF29" s="122" t="s">
        <v>362</v>
      </c>
      <c r="AG29" s="122" t="s">
        <v>362</v>
      </c>
      <c r="AH29" s="122"/>
      <c r="AI29" s="123">
        <v>3.355</v>
      </c>
      <c r="AJ29" s="122"/>
      <c r="AK29" s="122"/>
      <c r="AL29" s="122"/>
      <c r="AM29" s="122" t="s">
        <v>1213</v>
      </c>
      <c r="AN29" s="125">
        <v>2.546E-2</v>
      </c>
      <c r="AO29" s="126">
        <v>2.5000000000000001E-4</v>
      </c>
      <c r="AP29" s="159"/>
    </row>
    <row r="30" spans="1:42" x14ac:dyDescent="0.2">
      <c r="A30" s="121" t="s">
        <v>1223</v>
      </c>
      <c r="B30" s="122" t="s">
        <v>1223</v>
      </c>
      <c r="C30" s="122" t="s">
        <v>352</v>
      </c>
      <c r="D30" s="122" t="s">
        <v>3290</v>
      </c>
      <c r="E30" s="122" t="s">
        <v>1218</v>
      </c>
      <c r="F30" s="123">
        <v>3.911</v>
      </c>
      <c r="G30" s="123">
        <v>-87800000</v>
      </c>
      <c r="H30" s="123">
        <v>-3433.8580000000002</v>
      </c>
      <c r="I30" s="125">
        <v>-1.2266613473420947E-2</v>
      </c>
      <c r="J30" s="125">
        <v>-1.1449472010626331E-4</v>
      </c>
      <c r="K30" s="122" t="s">
        <v>3290</v>
      </c>
      <c r="L30" s="122" t="s">
        <v>1216</v>
      </c>
      <c r="M30" s="123">
        <v>1</v>
      </c>
      <c r="N30" s="123">
        <v>345229600</v>
      </c>
      <c r="O30" s="123">
        <v>7611.424</v>
      </c>
      <c r="P30" s="125">
        <v>2.7189940932420491E-2</v>
      </c>
      <c r="Q30" s="125">
        <v>2.5378680786744675E-4</v>
      </c>
      <c r="R30" s="123">
        <v>4177.5659999999998</v>
      </c>
      <c r="S30" s="122" t="s">
        <v>53</v>
      </c>
      <c r="T30" s="122" t="s">
        <v>53</v>
      </c>
      <c r="U30" s="122" t="s">
        <v>72</v>
      </c>
      <c r="V30" s="122" t="s">
        <v>102</v>
      </c>
      <c r="W30" s="122" t="s">
        <v>691</v>
      </c>
      <c r="X30" s="122" t="s">
        <v>3291</v>
      </c>
      <c r="Y30" s="122" t="s">
        <v>62</v>
      </c>
      <c r="Z30" s="122" t="s">
        <v>3288</v>
      </c>
      <c r="AA30" s="122" t="s">
        <v>3289</v>
      </c>
      <c r="AB30" s="122" t="s">
        <v>102</v>
      </c>
      <c r="AC30" s="122" t="s">
        <v>363</v>
      </c>
      <c r="AD30" s="122" t="s">
        <v>62</v>
      </c>
      <c r="AE30" s="122" t="s">
        <v>341</v>
      </c>
      <c r="AF30" s="122" t="s">
        <v>362</v>
      </c>
      <c r="AG30" s="122" t="s">
        <v>362</v>
      </c>
      <c r="AH30" s="122"/>
      <c r="AI30" s="123">
        <v>3.911</v>
      </c>
      <c r="AJ30" s="122"/>
      <c r="AK30" s="122"/>
      <c r="AL30" s="122"/>
      <c r="AM30" s="122" t="s">
        <v>1213</v>
      </c>
      <c r="AN30" s="125">
        <v>1.5339999999999999E-2</v>
      </c>
      <c r="AO30" s="126">
        <v>1.4999999999999999E-4</v>
      </c>
      <c r="AP30" s="159"/>
    </row>
    <row r="31" spans="1:42" x14ac:dyDescent="0.2">
      <c r="A31" s="121" t="s">
        <v>1223</v>
      </c>
      <c r="B31" s="122" t="s">
        <v>1223</v>
      </c>
      <c r="C31" s="122" t="s">
        <v>352</v>
      </c>
      <c r="D31" s="122" t="s">
        <v>3327</v>
      </c>
      <c r="E31" s="122" t="s">
        <v>1217</v>
      </c>
      <c r="F31" s="123">
        <v>3.4470000000000001</v>
      </c>
      <c r="G31" s="123">
        <v>-20000000</v>
      </c>
      <c r="H31" s="123">
        <v>-689.4</v>
      </c>
      <c r="I31" s="125">
        <v>-2.4627120074785856E-3</v>
      </c>
      <c r="J31" s="125">
        <v>-2.2986582450776334E-5</v>
      </c>
      <c r="K31" s="122" t="s">
        <v>3327</v>
      </c>
      <c r="L31" s="122" t="s">
        <v>1216</v>
      </c>
      <c r="M31" s="123">
        <v>1</v>
      </c>
      <c r="N31" s="123">
        <v>68720000</v>
      </c>
      <c r="O31" s="123">
        <v>3280.828</v>
      </c>
      <c r="P31" s="125">
        <v>1.1719951421630336E-2</v>
      </c>
      <c r="Q31" s="125">
        <v>1.093922589625988E-4</v>
      </c>
      <c r="R31" s="123">
        <v>2591.4279999999999</v>
      </c>
      <c r="S31" s="122" t="s">
        <v>53</v>
      </c>
      <c r="T31" s="122" t="s">
        <v>53</v>
      </c>
      <c r="U31" s="122" t="s">
        <v>72</v>
      </c>
      <c r="V31" s="122" t="s">
        <v>102</v>
      </c>
      <c r="W31" s="122" t="s">
        <v>691</v>
      </c>
      <c r="X31" s="122" t="s">
        <v>3287</v>
      </c>
      <c r="Y31" s="122" t="s">
        <v>62</v>
      </c>
      <c r="Z31" s="122" t="s">
        <v>3328</v>
      </c>
      <c r="AA31" s="122" t="s">
        <v>3319</v>
      </c>
      <c r="AB31" s="122" t="s">
        <v>102</v>
      </c>
      <c r="AC31" s="122" t="s">
        <v>363</v>
      </c>
      <c r="AD31" s="122" t="s">
        <v>62</v>
      </c>
      <c r="AE31" s="122" t="s">
        <v>341</v>
      </c>
      <c r="AF31" s="122" t="s">
        <v>362</v>
      </c>
      <c r="AG31" s="122" t="s">
        <v>362</v>
      </c>
      <c r="AH31" s="122"/>
      <c r="AI31" s="123">
        <v>3.4470000000000001</v>
      </c>
      <c r="AJ31" s="122"/>
      <c r="AK31" s="122"/>
      <c r="AL31" s="122"/>
      <c r="AM31" s="122" t="s">
        <v>1213</v>
      </c>
      <c r="AN31" s="125">
        <v>9.5200000000000007E-3</v>
      </c>
      <c r="AO31" s="126">
        <v>9.0000000000000006E-5</v>
      </c>
      <c r="AP31" s="159"/>
    </row>
    <row r="32" spans="1:42" x14ac:dyDescent="0.2">
      <c r="A32" s="121" t="s">
        <v>1223</v>
      </c>
      <c r="B32" s="122" t="s">
        <v>1223</v>
      </c>
      <c r="C32" s="122" t="s">
        <v>352</v>
      </c>
      <c r="D32" s="122" t="s">
        <v>3329</v>
      </c>
      <c r="E32" s="122" t="s">
        <v>1217</v>
      </c>
      <c r="F32" s="123">
        <v>3.323</v>
      </c>
      <c r="G32" s="123">
        <v>-200000000</v>
      </c>
      <c r="H32" s="123">
        <v>-6646</v>
      </c>
      <c r="I32" s="125">
        <v>-2.3741201046856224E-2</v>
      </c>
      <c r="J32" s="125">
        <v>-2.2159678991566509E-4</v>
      </c>
      <c r="K32" s="122" t="s">
        <v>3329</v>
      </c>
      <c r="L32" s="122" t="s">
        <v>1216</v>
      </c>
      <c r="M32" s="123">
        <v>1</v>
      </c>
      <c r="N32" s="123">
        <v>663200000</v>
      </c>
      <c r="O32" s="123">
        <v>8860.3590000000004</v>
      </c>
      <c r="P32" s="125">
        <v>3.1651454162853143E-2</v>
      </c>
      <c r="Q32" s="125">
        <v>2.9542989947342347E-4</v>
      </c>
      <c r="R32" s="123">
        <v>2214.3589999999999</v>
      </c>
      <c r="S32" s="122" t="s">
        <v>53</v>
      </c>
      <c r="T32" s="122" t="s">
        <v>53</v>
      </c>
      <c r="U32" s="122" t="s">
        <v>72</v>
      </c>
      <c r="V32" s="122" t="s">
        <v>102</v>
      </c>
      <c r="W32" s="122" t="s">
        <v>691</v>
      </c>
      <c r="X32" s="122" t="s">
        <v>3287</v>
      </c>
      <c r="Y32" s="122" t="s">
        <v>62</v>
      </c>
      <c r="Z32" s="122" t="s">
        <v>3330</v>
      </c>
      <c r="AA32" s="122" t="s">
        <v>3331</v>
      </c>
      <c r="AB32" s="122" t="s">
        <v>102</v>
      </c>
      <c r="AC32" s="122" t="s">
        <v>363</v>
      </c>
      <c r="AD32" s="122" t="s">
        <v>62</v>
      </c>
      <c r="AE32" s="122" t="s">
        <v>341</v>
      </c>
      <c r="AF32" s="122" t="s">
        <v>362</v>
      </c>
      <c r="AG32" s="122" t="s">
        <v>362</v>
      </c>
      <c r="AH32" s="122"/>
      <c r="AI32" s="123">
        <v>3.323</v>
      </c>
      <c r="AJ32" s="122"/>
      <c r="AK32" s="122"/>
      <c r="AL32" s="122"/>
      <c r="AM32" s="122" t="s">
        <v>1213</v>
      </c>
      <c r="AN32" s="125">
        <v>8.1300000000000001E-3</v>
      </c>
      <c r="AO32" s="126">
        <v>8.0000000000000007E-5</v>
      </c>
      <c r="AP32" s="159"/>
    </row>
    <row r="33" spans="1:42" x14ac:dyDescent="0.2">
      <c r="A33" s="121" t="s">
        <v>1223</v>
      </c>
      <c r="B33" s="122" t="s">
        <v>1223</v>
      </c>
      <c r="C33" s="122" t="s">
        <v>352</v>
      </c>
      <c r="D33" s="122" t="s">
        <v>3300</v>
      </c>
      <c r="E33" s="122" t="s">
        <v>1217</v>
      </c>
      <c r="F33" s="123">
        <v>3.419</v>
      </c>
      <c r="G33" s="123">
        <v>-10300000</v>
      </c>
      <c r="H33" s="123">
        <v>-352.15699999999998</v>
      </c>
      <c r="I33" s="125">
        <v>-1.2579943028976446E-3</v>
      </c>
      <c r="J33" s="125">
        <v>-1.1741929092135249E-5</v>
      </c>
      <c r="K33" s="122" t="s">
        <v>3300</v>
      </c>
      <c r="L33" s="122" t="s">
        <v>1216</v>
      </c>
      <c r="M33" s="123">
        <v>1</v>
      </c>
      <c r="N33" s="123">
        <v>35091070</v>
      </c>
      <c r="O33" s="123">
        <v>1389.617</v>
      </c>
      <c r="P33" s="125">
        <v>4.9640650880423114E-3</v>
      </c>
      <c r="Q33" s="125">
        <v>4.6333834849870108E-5</v>
      </c>
      <c r="R33" s="123">
        <v>1037.46</v>
      </c>
      <c r="S33" s="122" t="s">
        <v>53</v>
      </c>
      <c r="T33" s="122" t="s">
        <v>53</v>
      </c>
      <c r="U33" s="122" t="s">
        <v>72</v>
      </c>
      <c r="V33" s="122" t="s">
        <v>102</v>
      </c>
      <c r="W33" s="122" t="s">
        <v>691</v>
      </c>
      <c r="X33" s="122" t="s">
        <v>3287</v>
      </c>
      <c r="Y33" s="122" t="s">
        <v>62</v>
      </c>
      <c r="Z33" s="122" t="s">
        <v>3301</v>
      </c>
      <c r="AA33" s="122" t="s">
        <v>3298</v>
      </c>
      <c r="AB33" s="122" t="s">
        <v>102</v>
      </c>
      <c r="AC33" s="122" t="s">
        <v>363</v>
      </c>
      <c r="AD33" s="122" t="s">
        <v>62</v>
      </c>
      <c r="AE33" s="122" t="s">
        <v>341</v>
      </c>
      <c r="AF33" s="122" t="s">
        <v>362</v>
      </c>
      <c r="AG33" s="122" t="s">
        <v>362</v>
      </c>
      <c r="AH33" s="122"/>
      <c r="AI33" s="123">
        <v>3.419</v>
      </c>
      <c r="AJ33" s="122"/>
      <c r="AK33" s="122"/>
      <c r="AL33" s="122"/>
      <c r="AM33" s="122" t="s">
        <v>1213</v>
      </c>
      <c r="AN33" s="125">
        <v>3.81E-3</v>
      </c>
      <c r="AO33" s="126">
        <v>4.0000000000000003E-5</v>
      </c>
      <c r="AP33" s="159"/>
    </row>
    <row r="34" spans="1:42" x14ac:dyDescent="0.2">
      <c r="A34" s="121" t="s">
        <v>1223</v>
      </c>
      <c r="B34" s="122" t="s">
        <v>1223</v>
      </c>
      <c r="C34" s="122" t="s">
        <v>352</v>
      </c>
      <c r="D34" s="122" t="s">
        <v>3302</v>
      </c>
      <c r="E34" s="122" t="s">
        <v>1217</v>
      </c>
      <c r="F34" s="123">
        <v>3.3559999999999999</v>
      </c>
      <c r="G34" s="123">
        <v>-24000000</v>
      </c>
      <c r="H34" s="123">
        <v>-805.44</v>
      </c>
      <c r="I34" s="125">
        <v>-2.877236378450177E-3</v>
      </c>
      <c r="J34" s="125">
        <v>-2.685569041072424E-5</v>
      </c>
      <c r="K34" s="122" t="s">
        <v>3302</v>
      </c>
      <c r="L34" s="122" t="s">
        <v>1216</v>
      </c>
      <c r="M34" s="123">
        <v>1</v>
      </c>
      <c r="N34" s="123">
        <v>80287200</v>
      </c>
      <c r="O34" s="123">
        <v>1746.15</v>
      </c>
      <c r="P34" s="125">
        <v>6.2376915750779411E-3</v>
      </c>
      <c r="Q34" s="125">
        <v>5.8221672391098194E-5</v>
      </c>
      <c r="R34" s="123">
        <v>940.71</v>
      </c>
      <c r="S34" s="122" t="s">
        <v>53</v>
      </c>
      <c r="T34" s="122" t="s">
        <v>53</v>
      </c>
      <c r="U34" s="122" t="s">
        <v>72</v>
      </c>
      <c r="V34" s="122" t="s">
        <v>102</v>
      </c>
      <c r="W34" s="122" t="s">
        <v>691</v>
      </c>
      <c r="X34" s="122" t="s">
        <v>3287</v>
      </c>
      <c r="Y34" s="122" t="s">
        <v>62</v>
      </c>
      <c r="Z34" s="122" t="s">
        <v>3293</v>
      </c>
      <c r="AA34" s="122" t="s">
        <v>3298</v>
      </c>
      <c r="AB34" s="122" t="s">
        <v>102</v>
      </c>
      <c r="AC34" s="122" t="s">
        <v>363</v>
      </c>
      <c r="AD34" s="122" t="s">
        <v>62</v>
      </c>
      <c r="AE34" s="122" t="s">
        <v>341</v>
      </c>
      <c r="AF34" s="122" t="s">
        <v>362</v>
      </c>
      <c r="AG34" s="122" t="s">
        <v>362</v>
      </c>
      <c r="AH34" s="122"/>
      <c r="AI34" s="123">
        <v>3.3559999999999999</v>
      </c>
      <c r="AJ34" s="122"/>
      <c r="AK34" s="122"/>
      <c r="AL34" s="122"/>
      <c r="AM34" s="122" t="s">
        <v>1213</v>
      </c>
      <c r="AN34" s="125">
        <v>3.4499999999999999E-3</v>
      </c>
      <c r="AO34" s="126">
        <v>3.0000000000000001E-5</v>
      </c>
      <c r="AP34" s="159"/>
    </row>
    <row r="35" spans="1:42" x14ac:dyDescent="0.2">
      <c r="A35" s="121" t="s">
        <v>1223</v>
      </c>
      <c r="B35" s="122" t="s">
        <v>1223</v>
      </c>
      <c r="C35" s="122" t="s">
        <v>352</v>
      </c>
      <c r="D35" s="122" t="s">
        <v>3332</v>
      </c>
      <c r="E35" s="122" t="s">
        <v>1217</v>
      </c>
      <c r="F35" s="123">
        <v>3.34</v>
      </c>
      <c r="G35" s="123">
        <v>-15000000</v>
      </c>
      <c r="H35" s="123">
        <v>-501</v>
      </c>
      <c r="I35" s="125">
        <v>-1.7896993265836545E-3</v>
      </c>
      <c r="J35" s="125">
        <v>-1.6704783591295245E-5</v>
      </c>
      <c r="K35" s="122" t="s">
        <v>3332</v>
      </c>
      <c r="L35" s="122" t="s">
        <v>1216</v>
      </c>
      <c r="M35" s="123">
        <v>1</v>
      </c>
      <c r="N35" s="123">
        <v>50121000</v>
      </c>
      <c r="O35" s="123">
        <v>1030.5119999999999</v>
      </c>
      <c r="P35" s="125">
        <v>3.6812507633460579E-3</v>
      </c>
      <c r="Q35" s="125">
        <v>3.4360239417630432E-5</v>
      </c>
      <c r="R35" s="123">
        <v>529.51199999999994</v>
      </c>
      <c r="S35" s="122" t="s">
        <v>53</v>
      </c>
      <c r="T35" s="122" t="s">
        <v>53</v>
      </c>
      <c r="U35" s="122" t="s">
        <v>72</v>
      </c>
      <c r="V35" s="122" t="s">
        <v>102</v>
      </c>
      <c r="W35" s="122" t="s">
        <v>691</v>
      </c>
      <c r="X35" s="122" t="s">
        <v>3287</v>
      </c>
      <c r="Y35" s="122" t="s">
        <v>62</v>
      </c>
      <c r="Z35" s="122" t="s">
        <v>3304</v>
      </c>
      <c r="AA35" s="122" t="s">
        <v>3298</v>
      </c>
      <c r="AB35" s="122" t="s">
        <v>102</v>
      </c>
      <c r="AC35" s="122" t="s">
        <v>363</v>
      </c>
      <c r="AD35" s="122" t="s">
        <v>62</v>
      </c>
      <c r="AE35" s="122" t="s">
        <v>341</v>
      </c>
      <c r="AF35" s="122" t="s">
        <v>362</v>
      </c>
      <c r="AG35" s="122" t="s">
        <v>362</v>
      </c>
      <c r="AH35" s="122"/>
      <c r="AI35" s="123">
        <v>3.34</v>
      </c>
      <c r="AJ35" s="122"/>
      <c r="AK35" s="122"/>
      <c r="AL35" s="122"/>
      <c r="AM35" s="122" t="s">
        <v>1213</v>
      </c>
      <c r="AN35" s="125">
        <v>1.9400000000000001E-3</v>
      </c>
      <c r="AO35" s="126">
        <v>2.0000000000000002E-5</v>
      </c>
      <c r="AP35" s="159"/>
    </row>
    <row r="36" spans="1:42" x14ac:dyDescent="0.2">
      <c r="A36" s="121" t="s">
        <v>1223</v>
      </c>
      <c r="B36" s="122" t="s">
        <v>1223</v>
      </c>
      <c r="C36" s="122" t="s">
        <v>352</v>
      </c>
      <c r="D36" s="122" t="s">
        <v>3305</v>
      </c>
      <c r="E36" s="122" t="s">
        <v>1221</v>
      </c>
      <c r="F36" s="123">
        <v>4.5179999999999998</v>
      </c>
      <c r="G36" s="123">
        <v>-4800000</v>
      </c>
      <c r="H36" s="123">
        <v>-216.864</v>
      </c>
      <c r="I36" s="125">
        <v>-7.7469332287472589E-4</v>
      </c>
      <c r="J36" s="125">
        <v>-7.2308706362128792E-6</v>
      </c>
      <c r="K36" s="122" t="s">
        <v>3305</v>
      </c>
      <c r="L36" s="122" t="s">
        <v>1216</v>
      </c>
      <c r="M36" s="123">
        <v>1</v>
      </c>
      <c r="N36" s="123">
        <v>21672000</v>
      </c>
      <c r="O36" s="123">
        <v>569.64300000000003</v>
      </c>
      <c r="P36" s="125">
        <v>2.0349095678504846E-3</v>
      </c>
      <c r="Q36" s="125">
        <v>1.8993539000591216E-5</v>
      </c>
      <c r="R36" s="123">
        <v>352.779</v>
      </c>
      <c r="S36" s="122" t="s">
        <v>53</v>
      </c>
      <c r="T36" s="122" t="s">
        <v>53</v>
      </c>
      <c r="U36" s="122" t="s">
        <v>72</v>
      </c>
      <c r="V36" s="122" t="s">
        <v>102</v>
      </c>
      <c r="W36" s="122" t="s">
        <v>691</v>
      </c>
      <c r="X36" s="122" t="s">
        <v>3306</v>
      </c>
      <c r="Y36" s="122" t="s">
        <v>62</v>
      </c>
      <c r="Z36" s="122" t="s">
        <v>3288</v>
      </c>
      <c r="AA36" s="122" t="s">
        <v>3289</v>
      </c>
      <c r="AB36" s="122" t="s">
        <v>102</v>
      </c>
      <c r="AC36" s="122" t="s">
        <v>363</v>
      </c>
      <c r="AD36" s="122" t="s">
        <v>62</v>
      </c>
      <c r="AE36" s="122" t="s">
        <v>341</v>
      </c>
      <c r="AF36" s="122" t="s">
        <v>362</v>
      </c>
      <c r="AG36" s="122" t="s">
        <v>362</v>
      </c>
      <c r="AH36" s="122"/>
      <c r="AI36" s="123">
        <v>4.5179999999999998</v>
      </c>
      <c r="AJ36" s="122"/>
      <c r="AK36" s="122"/>
      <c r="AL36" s="122"/>
      <c r="AM36" s="122" t="s">
        <v>1213</v>
      </c>
      <c r="AN36" s="125">
        <v>1.2999999999999999E-3</v>
      </c>
      <c r="AO36" s="126">
        <v>1.0000000000000001E-5</v>
      </c>
      <c r="AP36" s="159"/>
    </row>
    <row r="37" spans="1:42" x14ac:dyDescent="0.2">
      <c r="A37" s="121" t="s">
        <v>1223</v>
      </c>
      <c r="B37" s="122" t="s">
        <v>1223</v>
      </c>
      <c r="C37" s="122" t="s">
        <v>352</v>
      </c>
      <c r="D37" s="122" t="s">
        <v>3303</v>
      </c>
      <c r="E37" s="122" t="s">
        <v>1217</v>
      </c>
      <c r="F37" s="123">
        <v>3.34</v>
      </c>
      <c r="G37" s="123">
        <v>-10000000</v>
      </c>
      <c r="H37" s="123">
        <v>-334</v>
      </c>
      <c r="I37" s="125">
        <v>-1.1931328843891029E-3</v>
      </c>
      <c r="J37" s="125">
        <v>-1.1136522394196831E-5</v>
      </c>
      <c r="K37" s="122" t="s">
        <v>3303</v>
      </c>
      <c r="L37" s="122" t="s">
        <v>1216</v>
      </c>
      <c r="M37" s="123">
        <v>1</v>
      </c>
      <c r="N37" s="123">
        <v>33219000</v>
      </c>
      <c r="O37" s="123">
        <v>492.23500000000001</v>
      </c>
      <c r="P37" s="125">
        <v>1.7583885190038029E-3</v>
      </c>
      <c r="Q37" s="125">
        <v>1.6412533235651128E-5</v>
      </c>
      <c r="R37" s="123">
        <v>158.23500000000001</v>
      </c>
      <c r="S37" s="122" t="s">
        <v>53</v>
      </c>
      <c r="T37" s="122" t="s">
        <v>53</v>
      </c>
      <c r="U37" s="122" t="s">
        <v>72</v>
      </c>
      <c r="V37" s="122" t="s">
        <v>102</v>
      </c>
      <c r="W37" s="122" t="s">
        <v>691</v>
      </c>
      <c r="X37" s="122" t="s">
        <v>3287</v>
      </c>
      <c r="Y37" s="122" t="s">
        <v>62</v>
      </c>
      <c r="Z37" s="122" t="s">
        <v>3304</v>
      </c>
      <c r="AA37" s="122" t="s">
        <v>3298</v>
      </c>
      <c r="AB37" s="122" t="s">
        <v>102</v>
      </c>
      <c r="AC37" s="122" t="s">
        <v>363</v>
      </c>
      <c r="AD37" s="122" t="s">
        <v>62</v>
      </c>
      <c r="AE37" s="122" t="s">
        <v>341</v>
      </c>
      <c r="AF37" s="122" t="s">
        <v>362</v>
      </c>
      <c r="AG37" s="122" t="s">
        <v>362</v>
      </c>
      <c r="AH37" s="122"/>
      <c r="AI37" s="123">
        <v>3.34</v>
      </c>
      <c r="AJ37" s="122"/>
      <c r="AK37" s="122"/>
      <c r="AL37" s="122"/>
      <c r="AM37" s="122" t="s">
        <v>1213</v>
      </c>
      <c r="AN37" s="125">
        <v>5.8E-4</v>
      </c>
      <c r="AO37" s="126">
        <v>1.0000000000000001E-5</v>
      </c>
      <c r="AP37" s="159"/>
    </row>
    <row r="38" spans="1:42" x14ac:dyDescent="0.2">
      <c r="A38" s="121" t="s">
        <v>1211</v>
      </c>
      <c r="B38" s="122" t="s">
        <v>1220</v>
      </c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43"/>
      <c r="AP38" s="159"/>
    </row>
    <row r="39" spans="1:42" x14ac:dyDescent="0.2">
      <c r="A39" s="127" t="s">
        <v>1223</v>
      </c>
      <c r="B39" s="128" t="s">
        <v>1225</v>
      </c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44"/>
      <c r="AP39" s="159"/>
    </row>
    <row r="40" spans="1:42" x14ac:dyDescent="0.2">
      <c r="A40" s="159" t="s">
        <v>3483</v>
      </c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</row>
    <row r="41" spans="1:42" x14ac:dyDescent="0.2">
      <c r="A41" t="s">
        <v>3482</v>
      </c>
    </row>
    <row r="42" spans="1:42" x14ac:dyDescent="0.2">
      <c r="A42" s="1"/>
    </row>
  </sheetData>
  <mergeCells count="2">
    <mergeCell ref="A40:AO40"/>
    <mergeCell ref="AP2:AP39"/>
  </mergeCells>
  <dataValidations count="14">
    <dataValidation type="list" allowBlank="1" showInputMessage="1" showErrorMessage="1" sqref="U3:U21 U23:U35" xr:uid="{00000000-0002-0000-1700-000000000000}">
      <formula1>Underlying_Asset</formula1>
    </dataValidation>
    <dataValidation type="list" allowBlank="1" showInputMessage="1" showErrorMessage="1" sqref="AB3:AB21 AG3:AG21 AG41:AG1048576 AG23:AG39 AB23:AB39 AB41:AB1048576" xr:uid="{00000000-0002-0000-1700-000001000000}">
      <formula1>Reset_frequency</formula1>
    </dataValidation>
    <dataValidation type="list" allowBlank="1" showInputMessage="1" showErrorMessage="1" sqref="S3:S21 S23:S26" xr:uid="{00000000-0002-0000-1700-000002000000}">
      <formula1>israel_abroad</formula1>
    </dataValidation>
    <dataValidation type="list" allowBlank="1" showInputMessage="1" showErrorMessage="1" sqref="Y3:Y21 AD3:AD21 AL21 Y23:Y35 AL41:AL1048576 AL23:AL39 AD23:AD39 AD41:AD1048576" xr:uid="{00000000-0002-0000-1700-000003000000}">
      <formula1>Holding_interest</formula1>
    </dataValidation>
    <dataValidation type="list" allowBlank="1" showInputMessage="1" showErrorMessage="1" sqref="AC3:AC21 AC23:AC35" xr:uid="{00000000-0002-0000-1700-000004000000}">
      <formula1>Delivery</formula1>
    </dataValidation>
    <dataValidation type="list" allowBlank="1" showInputMessage="1" showErrorMessage="1" sqref="E24:E33" xr:uid="{00000000-0002-0000-1700-000005000000}">
      <formula1>Currency_Abbreviation</formula1>
    </dataValidation>
    <dataValidation type="list" allowBlank="1" showInputMessage="1" showErrorMessage="1" sqref="V3:V21" xr:uid="{00000000-0002-0000-1700-000006000000}">
      <formula1>Leading_factor</formula1>
    </dataValidation>
    <dataValidation type="list" allowBlank="1" showInputMessage="1" showErrorMessage="1" sqref="T3:T21 T23:T35" xr:uid="{00000000-0002-0000-1700-000007000000}">
      <formula1>Country_list</formula1>
    </dataValidation>
    <dataValidation type="list" allowBlank="1" showInputMessage="1" showErrorMessage="1" sqref="W3:W21" xr:uid="{00000000-0002-0000-1700-000008000000}">
      <formula1>Additional_Factor</formula1>
    </dataValidation>
    <dataValidation allowBlank="1" showInputMessage="1" showErrorMessage="1" sqref="D3:D20 I3:K20 M3:N20 P3:R20 Z3:Z20" xr:uid="{00000000-0002-0000-1700-000009000000}"/>
    <dataValidation type="list" allowBlank="1" showInputMessage="1" showErrorMessage="1" sqref="AF23:AF27" xr:uid="{00000000-0002-0000-1700-00000A000000}">
      <formula1>Underlying_Interest_Rates_Der</formula1>
    </dataValidation>
    <dataValidation type="list" allowBlank="1" showInputMessage="1" showErrorMessage="1" sqref="AF3:AF21" xr:uid="{00000000-0002-0000-1700-00000B000000}">
      <formula1>Underlying_Interest_Rates</formula1>
    </dataValidation>
    <dataValidation type="list" allowBlank="1" showInputMessage="1" showErrorMessage="1" sqref="AK3:AK21" xr:uid="{00000000-0002-0000-1700-00000C000000}">
      <formula1>Penalty</formula1>
    </dataValidation>
    <dataValidation type="list" allowBlank="1" showInputMessage="1" showErrorMessage="1" sqref="C23:C35 AE4:AE21 AE23:AE27" xr:uid="{00000000-0002-0000-1700-00000D000000}">
      <formula1>#REF!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700-00000E000000}">
          <x14:formula1>
            <xm:f>'אפשרויות בחירה'!$C$690:$C$691</xm:f>
          </x14:formula1>
          <xm:sqref>AE3</xm:sqref>
        </x14:dataValidation>
        <x14:dataValidation type="list" allowBlank="1" showInputMessage="1" showErrorMessage="1" xr:uid="{00000000-0002-0000-1700-00000F000000}">
          <x14:formula1>
            <xm:f>'אפשרויות בחירה'!$C$977:$C$985</xm:f>
          </x14:formula1>
          <xm:sqref>C3:C21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A1:BB112"/>
  <sheetViews>
    <sheetView rightToLeft="1" workbookViewId="0">
      <selection activeCell="B2" sqref="B2"/>
    </sheetView>
  </sheetViews>
  <sheetFormatPr defaultColWidth="0" defaultRowHeight="14.25" x14ac:dyDescent="0.2"/>
  <cols>
    <col min="1" max="1" width="29.375" customWidth="1"/>
    <col min="2" max="2" width="11.625" customWidth="1"/>
    <col min="3" max="3" width="14" customWidth="1"/>
    <col min="4" max="4" width="16.75" customWidth="1"/>
    <col min="5" max="5" width="11.625" customWidth="1"/>
    <col min="6" max="6" width="11.875" customWidth="1"/>
    <col min="7" max="7" width="11.625" customWidth="1"/>
    <col min="8" max="8" width="34.25" customWidth="1"/>
    <col min="9" max="9" width="11.625" customWidth="1"/>
    <col min="10" max="10" width="19.875" customWidth="1"/>
    <col min="11" max="11" width="11.625" customWidth="1"/>
    <col min="12" max="12" width="15.125" customWidth="1"/>
    <col min="13" max="13" width="18" customWidth="1"/>
    <col min="14" max="14" width="22.375" customWidth="1"/>
    <col min="15" max="15" width="17.75" customWidth="1"/>
    <col min="16" max="17" width="11.625" customWidth="1"/>
    <col min="18" max="18" width="17.125" customWidth="1"/>
    <col min="19" max="19" width="11.75" customWidth="1"/>
    <col min="20" max="24" width="11.625" customWidth="1"/>
    <col min="25" max="25" width="26.875" customWidth="1"/>
    <col min="26" max="26" width="12.25" customWidth="1"/>
    <col min="27" max="27" width="11.625" customWidth="1"/>
    <col min="28" max="28" width="11.875" style="3" customWidth="1"/>
    <col min="29" max="29" width="11.625" customWidth="1"/>
    <col min="30" max="30" width="28.125" customWidth="1"/>
    <col min="31" max="31" width="18.125" customWidth="1"/>
    <col min="32" max="32" width="24.875" customWidth="1"/>
    <col min="33" max="33" width="11.625" customWidth="1"/>
    <col min="34" max="34" width="14.25" customWidth="1"/>
    <col min="35" max="35" width="11.625" customWidth="1"/>
    <col min="36" max="36" width="15.375" customWidth="1"/>
    <col min="37" max="38" width="14" customWidth="1"/>
    <col min="39" max="39" width="18.625" customWidth="1"/>
    <col min="40" max="40" width="16.375" customWidth="1"/>
    <col min="41" max="41" width="30" customWidth="1"/>
    <col min="42" max="42" width="31.375" customWidth="1"/>
    <col min="43" max="45" width="11.625" customWidth="1"/>
    <col min="46" max="46" width="17.875" customWidth="1"/>
    <col min="47" max="47" width="21.125" customWidth="1"/>
    <col min="48" max="48" width="21.375" customWidth="1"/>
    <col min="49" max="49" width="24.625" customWidth="1"/>
    <col min="50" max="50" width="17.5" style="3" customWidth="1"/>
    <col min="51" max="51" width="22" customWidth="1"/>
    <col min="52" max="52" width="21.75" customWidth="1"/>
    <col min="53" max="53" width="20.125" customWidth="1"/>
    <col min="54" max="16384" width="9" hidden="1"/>
  </cols>
  <sheetData>
    <row r="1" spans="1:54" x14ac:dyDescent="0.2">
      <c r="A1" t="s">
        <v>3508</v>
      </c>
    </row>
    <row r="2" spans="1:54" x14ac:dyDescent="0.2">
      <c r="A2" s="118" t="s">
        <v>651</v>
      </c>
      <c r="B2" s="119" t="s">
        <v>0</v>
      </c>
      <c r="C2" s="119" t="s">
        <v>725</v>
      </c>
      <c r="D2" s="119" t="s">
        <v>726</v>
      </c>
      <c r="E2" s="119" t="s">
        <v>727</v>
      </c>
      <c r="F2" s="119" t="s">
        <v>728</v>
      </c>
      <c r="G2" s="119" t="s">
        <v>1</v>
      </c>
      <c r="H2" s="119" t="s">
        <v>916</v>
      </c>
      <c r="I2" s="119" t="s">
        <v>604</v>
      </c>
      <c r="J2" s="119" t="s">
        <v>605</v>
      </c>
      <c r="K2" s="119" t="s">
        <v>9</v>
      </c>
      <c r="L2" s="119" t="s">
        <v>606</v>
      </c>
      <c r="M2" s="119" t="s">
        <v>297</v>
      </c>
      <c r="N2" s="119" t="s">
        <v>592</v>
      </c>
      <c r="O2" s="119" t="s">
        <v>732</v>
      </c>
      <c r="P2" s="119" t="s">
        <v>6</v>
      </c>
      <c r="Q2" s="119" t="s">
        <v>8</v>
      </c>
      <c r="R2" s="119" t="s">
        <v>1148</v>
      </c>
      <c r="S2" s="119" t="s">
        <v>396</v>
      </c>
      <c r="T2" s="119" t="s">
        <v>13</v>
      </c>
      <c r="U2" s="119" t="s">
        <v>440</v>
      </c>
      <c r="V2" s="119" t="s">
        <v>14</v>
      </c>
      <c r="W2" s="119" t="s">
        <v>282</v>
      </c>
      <c r="X2" s="119" t="s">
        <v>309</v>
      </c>
      <c r="Y2" s="119" t="s">
        <v>673</v>
      </c>
      <c r="Z2" s="119" t="s">
        <v>621</v>
      </c>
      <c r="AA2" s="119" t="s">
        <v>421</v>
      </c>
      <c r="AB2" s="119" t="s">
        <v>925</v>
      </c>
      <c r="AC2" s="119" t="s">
        <v>20</v>
      </c>
      <c r="AD2" s="119" t="s">
        <v>768</v>
      </c>
      <c r="AE2" s="119" t="s">
        <v>658</v>
      </c>
      <c r="AF2" s="119" t="s">
        <v>659</v>
      </c>
      <c r="AG2" s="119" t="s">
        <v>850</v>
      </c>
      <c r="AH2" s="119" t="s">
        <v>420</v>
      </c>
      <c r="AI2" s="119" t="s">
        <v>21</v>
      </c>
      <c r="AJ2" s="119" t="s">
        <v>674</v>
      </c>
      <c r="AK2" s="119" t="s">
        <v>917</v>
      </c>
      <c r="AL2" s="119" t="s">
        <v>731</v>
      </c>
      <c r="AM2" s="119" t="s">
        <v>372</v>
      </c>
      <c r="AN2" s="119" t="s">
        <v>16</v>
      </c>
      <c r="AO2" s="119" t="s">
        <v>1147</v>
      </c>
      <c r="AP2" s="119" t="s">
        <v>622</v>
      </c>
      <c r="AQ2" s="119" t="s">
        <v>948</v>
      </c>
      <c r="AR2" s="119" t="s">
        <v>729</v>
      </c>
      <c r="AS2" s="119" t="s">
        <v>11</v>
      </c>
      <c r="AT2" s="119" t="s">
        <v>1153</v>
      </c>
      <c r="AU2" s="119" t="s">
        <v>787</v>
      </c>
      <c r="AV2" s="119" t="s">
        <v>1154</v>
      </c>
      <c r="AW2" s="119" t="s">
        <v>788</v>
      </c>
      <c r="AX2" s="119" t="s">
        <v>669</v>
      </c>
      <c r="AY2" s="119" t="s">
        <v>26</v>
      </c>
      <c r="AZ2" s="119" t="s">
        <v>19</v>
      </c>
      <c r="BA2" s="120" t="s">
        <v>30</v>
      </c>
      <c r="BB2" s="159" t="s">
        <v>3484</v>
      </c>
    </row>
    <row r="3" spans="1:54" x14ac:dyDescent="0.2">
      <c r="A3" s="121" t="s">
        <v>1211</v>
      </c>
      <c r="B3" s="122" t="s">
        <v>1212</v>
      </c>
      <c r="C3" s="135"/>
      <c r="D3" s="135"/>
      <c r="E3" s="135"/>
      <c r="F3" s="122" t="s">
        <v>3333</v>
      </c>
      <c r="G3" s="122" t="s">
        <v>628</v>
      </c>
      <c r="H3" s="122"/>
      <c r="I3" s="122" t="s">
        <v>53</v>
      </c>
      <c r="J3" s="132"/>
      <c r="K3" s="122" t="s">
        <v>257</v>
      </c>
      <c r="L3" s="122" t="s">
        <v>62</v>
      </c>
      <c r="M3" s="122" t="s">
        <v>62</v>
      </c>
      <c r="N3" s="135"/>
      <c r="O3" s="122" t="s">
        <v>3334</v>
      </c>
      <c r="P3" s="122" t="s">
        <v>3335</v>
      </c>
      <c r="Q3" s="122" t="s">
        <v>78</v>
      </c>
      <c r="R3" s="122" t="s">
        <v>779</v>
      </c>
      <c r="S3" s="122" t="s">
        <v>1216</v>
      </c>
      <c r="T3" s="123">
        <v>1.8029999999999999</v>
      </c>
      <c r="U3" s="122" t="s">
        <v>102</v>
      </c>
      <c r="V3" s="125">
        <v>5.3999999999999999E-2</v>
      </c>
      <c r="W3" s="122"/>
      <c r="X3" s="135"/>
      <c r="Y3" s="150"/>
      <c r="Z3" s="125">
        <v>5.6529999999999997E-2</v>
      </c>
      <c r="AA3" s="122" t="s">
        <v>1430</v>
      </c>
      <c r="AB3" s="122" t="s">
        <v>620</v>
      </c>
      <c r="AC3" s="135" t="s">
        <v>91</v>
      </c>
      <c r="AD3" s="135"/>
      <c r="AE3" s="151"/>
      <c r="AF3" s="122" t="s">
        <v>3467</v>
      </c>
      <c r="AG3" s="135"/>
      <c r="AH3" s="135"/>
      <c r="AI3" s="122"/>
      <c r="AJ3" s="122"/>
      <c r="AK3" s="122" t="s">
        <v>102</v>
      </c>
      <c r="AL3" s="135"/>
      <c r="AM3" s="122" t="s">
        <v>305</v>
      </c>
      <c r="AN3" s="145">
        <v>45930</v>
      </c>
      <c r="AO3" s="145">
        <v>45930</v>
      </c>
      <c r="AP3" s="122"/>
      <c r="AQ3" s="123">
        <v>92979.62</v>
      </c>
      <c r="AR3" s="123">
        <v>1.0089999999999999</v>
      </c>
      <c r="AS3" s="123">
        <v>1</v>
      </c>
      <c r="AT3" s="123">
        <v>93.805000000000007</v>
      </c>
      <c r="AU3" s="123">
        <v>93.804627999999994</v>
      </c>
      <c r="AV3" s="135"/>
      <c r="AW3" s="135"/>
      <c r="AX3" s="132"/>
      <c r="AY3" s="135"/>
      <c r="AZ3" s="125">
        <v>1</v>
      </c>
      <c r="BA3" s="126">
        <v>2.6700000000000001E-3</v>
      </c>
      <c r="BB3" s="159"/>
    </row>
    <row r="4" spans="1:54" x14ac:dyDescent="0.2">
      <c r="A4" s="121" t="s">
        <v>1211</v>
      </c>
      <c r="B4" s="122" t="s">
        <v>1211</v>
      </c>
      <c r="C4" s="135"/>
      <c r="D4" s="135"/>
      <c r="E4" s="135"/>
      <c r="F4" s="122" t="s">
        <v>3336</v>
      </c>
      <c r="G4" s="122" t="s">
        <v>245</v>
      </c>
      <c r="H4" s="122" t="s">
        <v>843</v>
      </c>
      <c r="I4" s="122" t="s">
        <v>53</v>
      </c>
      <c r="J4" s="132"/>
      <c r="K4" s="122" t="s">
        <v>258</v>
      </c>
      <c r="L4" s="122" t="s">
        <v>62</v>
      </c>
      <c r="M4" s="122" t="s">
        <v>55</v>
      </c>
      <c r="N4" s="135"/>
      <c r="O4" s="122" t="s">
        <v>3337</v>
      </c>
      <c r="P4" s="122" t="s">
        <v>3338</v>
      </c>
      <c r="Q4" s="122" t="s">
        <v>70</v>
      </c>
      <c r="R4" s="122" t="s">
        <v>779</v>
      </c>
      <c r="S4" s="122" t="s">
        <v>1216</v>
      </c>
      <c r="T4" s="123">
        <v>0.08</v>
      </c>
      <c r="U4" s="122" t="s">
        <v>441</v>
      </c>
      <c r="V4" s="125">
        <v>8.6499999999999994E-2</v>
      </c>
      <c r="W4" s="122"/>
      <c r="X4" s="135"/>
      <c r="Y4" s="150"/>
      <c r="Z4" s="125">
        <v>8.0399999999999999E-2</v>
      </c>
      <c r="AA4" s="122" t="s">
        <v>1593</v>
      </c>
      <c r="AB4" s="122" t="s">
        <v>620</v>
      </c>
      <c r="AC4" s="135" t="s">
        <v>426</v>
      </c>
      <c r="AD4" s="135">
        <v>782791</v>
      </c>
      <c r="AE4" s="151">
        <v>0.43</v>
      </c>
      <c r="AF4" s="122" t="s">
        <v>3467</v>
      </c>
      <c r="AG4" s="135"/>
      <c r="AH4" s="135"/>
      <c r="AI4" s="122"/>
      <c r="AJ4" s="122" t="s">
        <v>55</v>
      </c>
      <c r="AK4" s="122" t="s">
        <v>775</v>
      </c>
      <c r="AL4" s="135"/>
      <c r="AM4" s="122" t="s">
        <v>305</v>
      </c>
      <c r="AN4" s="145">
        <v>45930</v>
      </c>
      <c r="AO4" s="145">
        <v>45930</v>
      </c>
      <c r="AP4" s="122"/>
      <c r="AQ4" s="123">
        <v>2528000</v>
      </c>
      <c r="AR4" s="123">
        <v>106.22</v>
      </c>
      <c r="AS4" s="123">
        <v>1</v>
      </c>
      <c r="AT4" s="123">
        <v>2685.2420000000002</v>
      </c>
      <c r="AU4" s="123">
        <v>2685.2416000000003</v>
      </c>
      <c r="AV4" s="135"/>
      <c r="AW4" s="135"/>
      <c r="AX4" s="132"/>
      <c r="AY4" s="135"/>
      <c r="AZ4" s="125">
        <v>0.13577</v>
      </c>
      <c r="BA4" s="126">
        <v>2.2899999999999999E-3</v>
      </c>
      <c r="BB4" s="159"/>
    </row>
    <row r="5" spans="1:54" x14ac:dyDescent="0.2">
      <c r="A5" s="121" t="s">
        <v>1211</v>
      </c>
      <c r="B5" s="122" t="s">
        <v>1211</v>
      </c>
      <c r="C5" s="135"/>
      <c r="D5" s="135"/>
      <c r="E5" s="135"/>
      <c r="F5" s="122" t="s">
        <v>3339</v>
      </c>
      <c r="G5" s="122" t="s">
        <v>628</v>
      </c>
      <c r="H5" s="122"/>
      <c r="I5" s="122" t="s">
        <v>53</v>
      </c>
      <c r="J5" s="132"/>
      <c r="K5" s="122" t="s">
        <v>257</v>
      </c>
      <c r="L5" s="122" t="s">
        <v>62</v>
      </c>
      <c r="M5" s="122" t="s">
        <v>62</v>
      </c>
      <c r="N5" s="135"/>
      <c r="O5" s="122" t="s">
        <v>3340</v>
      </c>
      <c r="P5" s="122" t="s">
        <v>1546</v>
      </c>
      <c r="Q5" s="122" t="s">
        <v>65</v>
      </c>
      <c r="R5" s="122" t="s">
        <v>779</v>
      </c>
      <c r="S5" s="122" t="s">
        <v>1216</v>
      </c>
      <c r="T5" s="123">
        <v>0.72</v>
      </c>
      <c r="U5" s="122" t="s">
        <v>102</v>
      </c>
      <c r="V5" s="125">
        <v>5.3999999999999999E-2</v>
      </c>
      <c r="W5" s="122"/>
      <c r="X5" s="135"/>
      <c r="Y5" s="150"/>
      <c r="Z5" s="125">
        <v>9.74E-2</v>
      </c>
      <c r="AA5" s="122" t="s">
        <v>1430</v>
      </c>
      <c r="AB5" s="122" t="s">
        <v>620</v>
      </c>
      <c r="AC5" s="135" t="s">
        <v>91</v>
      </c>
      <c r="AD5" s="135"/>
      <c r="AE5" s="151"/>
      <c r="AF5" s="122" t="s">
        <v>3467</v>
      </c>
      <c r="AG5" s="135"/>
      <c r="AH5" s="135"/>
      <c r="AI5" s="122"/>
      <c r="AJ5" s="122"/>
      <c r="AK5" s="122" t="s">
        <v>102</v>
      </c>
      <c r="AL5" s="135"/>
      <c r="AM5" s="122" t="s">
        <v>305</v>
      </c>
      <c r="AN5" s="145">
        <v>45930</v>
      </c>
      <c r="AO5" s="145">
        <v>45930</v>
      </c>
      <c r="AP5" s="122"/>
      <c r="AQ5" s="123">
        <v>2586612.2799999998</v>
      </c>
      <c r="AR5" s="123">
        <v>1.01</v>
      </c>
      <c r="AS5" s="123">
        <v>1</v>
      </c>
      <c r="AT5" s="123">
        <v>2613.1849999999999</v>
      </c>
      <c r="AU5" s="123">
        <v>2613.1845480000002</v>
      </c>
      <c r="AV5" s="135"/>
      <c r="AW5" s="135"/>
      <c r="AX5" s="132"/>
      <c r="AY5" s="135"/>
      <c r="AZ5" s="125">
        <v>0.13213</v>
      </c>
      <c r="BA5" s="126">
        <v>2.2300000000000002E-3</v>
      </c>
      <c r="BB5" s="159"/>
    </row>
    <row r="6" spans="1:54" x14ac:dyDescent="0.2">
      <c r="A6" s="121" t="s">
        <v>1211</v>
      </c>
      <c r="B6" s="122" t="s">
        <v>1211</v>
      </c>
      <c r="C6" s="135"/>
      <c r="D6" s="135"/>
      <c r="E6" s="135"/>
      <c r="F6" s="122" t="s">
        <v>3341</v>
      </c>
      <c r="G6" s="122" t="s">
        <v>245</v>
      </c>
      <c r="H6" s="122"/>
      <c r="I6" s="122" t="s">
        <v>53</v>
      </c>
      <c r="J6" s="132"/>
      <c r="K6" s="122" t="s">
        <v>163</v>
      </c>
      <c r="L6" s="122" t="s">
        <v>62</v>
      </c>
      <c r="M6" s="122" t="s">
        <v>55</v>
      </c>
      <c r="N6" s="135"/>
      <c r="O6" s="122" t="s">
        <v>3342</v>
      </c>
      <c r="P6" s="122" t="s">
        <v>1454</v>
      </c>
      <c r="Q6" s="122" t="s">
        <v>70</v>
      </c>
      <c r="R6" s="122" t="s">
        <v>779</v>
      </c>
      <c r="S6" s="122" t="s">
        <v>1216</v>
      </c>
      <c r="T6" s="123">
        <v>10.25</v>
      </c>
      <c r="U6" s="122" t="s">
        <v>442</v>
      </c>
      <c r="V6" s="125">
        <v>0.03</v>
      </c>
      <c r="W6" s="122"/>
      <c r="X6" s="135"/>
      <c r="Y6" s="150"/>
      <c r="Z6" s="125">
        <v>3.4799999999999998E-2</v>
      </c>
      <c r="AA6" s="122" t="s">
        <v>3343</v>
      </c>
      <c r="AB6" s="122" t="s">
        <v>620</v>
      </c>
      <c r="AC6" s="135" t="s">
        <v>163</v>
      </c>
      <c r="AD6" s="135">
        <v>3000000</v>
      </c>
      <c r="AE6" s="151">
        <v>0.75</v>
      </c>
      <c r="AF6" s="122" t="s">
        <v>3467</v>
      </c>
      <c r="AG6" s="135"/>
      <c r="AH6" s="135"/>
      <c r="AI6" s="122"/>
      <c r="AJ6" s="122" t="s">
        <v>62</v>
      </c>
      <c r="AK6" s="122" t="s">
        <v>775</v>
      </c>
      <c r="AL6" s="135"/>
      <c r="AM6" s="122" t="s">
        <v>305</v>
      </c>
      <c r="AN6" s="145">
        <v>45930</v>
      </c>
      <c r="AO6" s="145">
        <v>45930</v>
      </c>
      <c r="AP6" s="122"/>
      <c r="AQ6" s="123">
        <v>1078086.23</v>
      </c>
      <c r="AR6" s="123">
        <v>113.5</v>
      </c>
      <c r="AS6" s="123">
        <v>1</v>
      </c>
      <c r="AT6" s="123">
        <v>1223.6279999999999</v>
      </c>
      <c r="AU6" s="123">
        <v>1223.6278710000001</v>
      </c>
      <c r="AV6" s="135"/>
      <c r="AW6" s="135"/>
      <c r="AX6" s="132"/>
      <c r="AY6" s="135"/>
      <c r="AZ6" s="125">
        <v>6.1870000000000001E-2</v>
      </c>
      <c r="BA6" s="126">
        <v>1.0399999999999999E-3</v>
      </c>
      <c r="BB6" s="159"/>
    </row>
    <row r="7" spans="1:54" x14ac:dyDescent="0.2">
      <c r="A7" s="121" t="s">
        <v>1211</v>
      </c>
      <c r="B7" s="122" t="s">
        <v>1211</v>
      </c>
      <c r="C7" s="135"/>
      <c r="D7" s="135"/>
      <c r="E7" s="135"/>
      <c r="F7" s="122" t="s">
        <v>3344</v>
      </c>
      <c r="G7" s="122" t="s">
        <v>245</v>
      </c>
      <c r="H7" s="122" t="s">
        <v>3345</v>
      </c>
      <c r="I7" s="122" t="s">
        <v>53</v>
      </c>
      <c r="J7" s="132"/>
      <c r="K7" s="122" t="s">
        <v>140</v>
      </c>
      <c r="L7" s="122" t="s">
        <v>62</v>
      </c>
      <c r="M7" s="122" t="s">
        <v>55</v>
      </c>
      <c r="N7" s="135"/>
      <c r="O7" s="122" t="s">
        <v>3346</v>
      </c>
      <c r="P7" s="135"/>
      <c r="Q7" s="122" t="s">
        <v>298</v>
      </c>
      <c r="R7" s="135"/>
      <c r="S7" s="122" t="s">
        <v>1216</v>
      </c>
      <c r="T7" s="123">
        <v>1.18</v>
      </c>
      <c r="U7" s="122" t="s">
        <v>441</v>
      </c>
      <c r="V7" s="125">
        <v>8.5000000000000006E-2</v>
      </c>
      <c r="W7" s="122"/>
      <c r="X7" s="135"/>
      <c r="Y7" s="150"/>
      <c r="Z7" s="125">
        <v>7.17E-2</v>
      </c>
      <c r="AA7" s="122" t="s">
        <v>3347</v>
      </c>
      <c r="AB7" s="122" t="s">
        <v>620</v>
      </c>
      <c r="AC7" s="135" t="s">
        <v>58</v>
      </c>
      <c r="AD7" s="135">
        <v>206802.164368</v>
      </c>
      <c r="AE7" s="151">
        <v>0.76</v>
      </c>
      <c r="AF7" s="122" t="s">
        <v>3467</v>
      </c>
      <c r="AG7" s="135"/>
      <c r="AH7" s="135"/>
      <c r="AI7" s="122"/>
      <c r="AJ7" s="122" t="s">
        <v>62</v>
      </c>
      <c r="AK7" s="122" t="s">
        <v>775</v>
      </c>
      <c r="AL7" s="135"/>
      <c r="AM7" s="122" t="s">
        <v>305</v>
      </c>
      <c r="AN7" s="145">
        <v>45930</v>
      </c>
      <c r="AO7" s="145">
        <v>45930</v>
      </c>
      <c r="AP7" s="122"/>
      <c r="AQ7" s="123">
        <v>944997.01</v>
      </c>
      <c r="AR7" s="123">
        <v>101.29</v>
      </c>
      <c r="AS7" s="123">
        <v>1</v>
      </c>
      <c r="AT7" s="123">
        <v>957.18700000000001</v>
      </c>
      <c r="AU7" s="123">
        <v>957.18747100000007</v>
      </c>
      <c r="AV7" s="135"/>
      <c r="AW7" s="135"/>
      <c r="AX7" s="132"/>
      <c r="AY7" s="135"/>
      <c r="AZ7" s="125">
        <v>4.8399999999999999E-2</v>
      </c>
      <c r="BA7" s="126">
        <v>8.1999999999999998E-4</v>
      </c>
      <c r="BB7" s="159"/>
    </row>
    <row r="8" spans="1:54" x14ac:dyDescent="0.2">
      <c r="A8" s="121" t="s">
        <v>1211</v>
      </c>
      <c r="B8" s="122" t="s">
        <v>1211</v>
      </c>
      <c r="C8" s="135"/>
      <c r="D8" s="135"/>
      <c r="E8" s="135"/>
      <c r="F8" s="122" t="s">
        <v>3348</v>
      </c>
      <c r="G8" s="122" t="s">
        <v>245</v>
      </c>
      <c r="H8" s="122"/>
      <c r="I8" s="122" t="s">
        <v>53</v>
      </c>
      <c r="J8" s="132"/>
      <c r="K8" s="122" t="s">
        <v>156</v>
      </c>
      <c r="L8" s="122" t="s">
        <v>62</v>
      </c>
      <c r="M8" s="122" t="s">
        <v>55</v>
      </c>
      <c r="N8" s="135"/>
      <c r="O8" s="122" t="s">
        <v>3349</v>
      </c>
      <c r="P8" s="122" t="s">
        <v>1423</v>
      </c>
      <c r="Q8" s="122" t="s">
        <v>70</v>
      </c>
      <c r="R8" s="122" t="s">
        <v>779</v>
      </c>
      <c r="S8" s="122" t="s">
        <v>1216</v>
      </c>
      <c r="T8" s="123">
        <v>8.14</v>
      </c>
      <c r="U8" s="122" t="s">
        <v>442</v>
      </c>
      <c r="V8" s="125">
        <v>2.53E-2</v>
      </c>
      <c r="W8" s="122"/>
      <c r="X8" s="135"/>
      <c r="Y8" s="150"/>
      <c r="Z8" s="125">
        <v>3.0200000000000001E-2</v>
      </c>
      <c r="AA8" s="122" t="s">
        <v>3350</v>
      </c>
      <c r="AB8" s="122" t="s">
        <v>620</v>
      </c>
      <c r="AC8" s="135" t="s">
        <v>426</v>
      </c>
      <c r="AD8" s="135"/>
      <c r="AE8" s="151">
        <v>0.75</v>
      </c>
      <c r="AF8" s="122" t="s">
        <v>3467</v>
      </c>
      <c r="AG8" s="135"/>
      <c r="AH8" s="135"/>
      <c r="AI8" s="122"/>
      <c r="AJ8" s="122" t="s">
        <v>55</v>
      </c>
      <c r="AK8" s="122" t="s">
        <v>775</v>
      </c>
      <c r="AL8" s="135"/>
      <c r="AM8" s="122" t="s">
        <v>305</v>
      </c>
      <c r="AN8" s="145">
        <v>45930</v>
      </c>
      <c r="AO8" s="145">
        <v>45930</v>
      </c>
      <c r="AP8" s="122"/>
      <c r="AQ8" s="123">
        <v>845463.04000000004</v>
      </c>
      <c r="AR8" s="123">
        <v>107.75</v>
      </c>
      <c r="AS8" s="123">
        <v>1</v>
      </c>
      <c r="AT8" s="123">
        <v>910.98599999999999</v>
      </c>
      <c r="AU8" s="123">
        <v>910.98642599999994</v>
      </c>
      <c r="AV8" s="135"/>
      <c r="AW8" s="135"/>
      <c r="AX8" s="132"/>
      <c r="AY8" s="135"/>
      <c r="AZ8" s="125">
        <v>4.6059999999999997E-2</v>
      </c>
      <c r="BA8" s="126">
        <v>7.7999999999999999E-4</v>
      </c>
      <c r="BB8" s="159"/>
    </row>
    <row r="9" spans="1:54" x14ac:dyDescent="0.2">
      <c r="A9" s="121" t="s">
        <v>1211</v>
      </c>
      <c r="B9" s="122" t="s">
        <v>1211</v>
      </c>
      <c r="C9" s="135"/>
      <c r="D9" s="135"/>
      <c r="E9" s="135"/>
      <c r="F9" s="122" t="s">
        <v>3351</v>
      </c>
      <c r="G9" s="122" t="s">
        <v>245</v>
      </c>
      <c r="H9" s="122"/>
      <c r="I9" s="122" t="s">
        <v>53</v>
      </c>
      <c r="J9" s="132"/>
      <c r="K9" s="122" t="s">
        <v>692</v>
      </c>
      <c r="L9" s="122" t="s">
        <v>62</v>
      </c>
      <c r="M9" s="122" t="s">
        <v>55</v>
      </c>
      <c r="N9" s="135"/>
      <c r="O9" s="122" t="s">
        <v>3352</v>
      </c>
      <c r="P9" s="135"/>
      <c r="Q9" s="122" t="s">
        <v>298</v>
      </c>
      <c r="R9" s="135"/>
      <c r="S9" s="122" t="s">
        <v>1217</v>
      </c>
      <c r="T9" s="123">
        <v>0.01</v>
      </c>
      <c r="U9" s="122" t="s">
        <v>102</v>
      </c>
      <c r="V9" s="125">
        <v>0</v>
      </c>
      <c r="W9" s="122"/>
      <c r="X9" s="135"/>
      <c r="Y9" s="150"/>
      <c r="Z9" s="125">
        <v>1E-4</v>
      </c>
      <c r="AA9" s="122" t="s">
        <v>3353</v>
      </c>
      <c r="AB9" s="122" t="s">
        <v>620</v>
      </c>
      <c r="AC9" s="135"/>
      <c r="AD9" s="135"/>
      <c r="AE9" s="151"/>
      <c r="AF9" s="135"/>
      <c r="AG9" s="135"/>
      <c r="AH9" s="135"/>
      <c r="AI9" s="122"/>
      <c r="AJ9" s="122" t="s">
        <v>55</v>
      </c>
      <c r="AK9" s="122" t="s">
        <v>303</v>
      </c>
      <c r="AL9" s="135"/>
      <c r="AM9" s="122" t="s">
        <v>305</v>
      </c>
      <c r="AN9" s="145">
        <v>45930</v>
      </c>
      <c r="AO9" s="145">
        <v>45930</v>
      </c>
      <c r="AP9" s="122"/>
      <c r="AQ9" s="123">
        <v>143197</v>
      </c>
      <c r="AR9" s="123">
        <v>191.84100000000001</v>
      </c>
      <c r="AS9" s="123">
        <v>3.306</v>
      </c>
      <c r="AT9" s="123">
        <v>908.19100000000003</v>
      </c>
      <c r="AU9" s="123">
        <v>274.70984100000004</v>
      </c>
      <c r="AV9" s="135"/>
      <c r="AW9" s="135"/>
      <c r="AX9" s="132"/>
      <c r="AY9" s="135"/>
      <c r="AZ9" s="125">
        <v>4.5920000000000002E-2</v>
      </c>
      <c r="BA9" s="126">
        <v>7.6999999999999996E-4</v>
      </c>
      <c r="BB9" s="159"/>
    </row>
    <row r="10" spans="1:54" x14ac:dyDescent="0.2">
      <c r="A10" s="121" t="s">
        <v>1211</v>
      </c>
      <c r="B10" s="122" t="s">
        <v>1211</v>
      </c>
      <c r="C10" s="135"/>
      <c r="D10" s="135"/>
      <c r="E10" s="135"/>
      <c r="F10" s="122" t="s">
        <v>3354</v>
      </c>
      <c r="G10" s="122" t="s">
        <v>245</v>
      </c>
      <c r="H10" s="122"/>
      <c r="I10" s="122" t="s">
        <v>53</v>
      </c>
      <c r="J10" s="132"/>
      <c r="K10" s="122" t="s">
        <v>256</v>
      </c>
      <c r="L10" s="122" t="s">
        <v>62</v>
      </c>
      <c r="M10" s="122" t="s">
        <v>55</v>
      </c>
      <c r="N10" s="135"/>
      <c r="O10" s="122" t="s">
        <v>3355</v>
      </c>
      <c r="P10" s="135"/>
      <c r="Q10" s="122" t="s">
        <v>298</v>
      </c>
      <c r="R10" s="122" t="s">
        <v>298</v>
      </c>
      <c r="S10" s="122" t="s">
        <v>1216</v>
      </c>
      <c r="T10" s="123">
        <v>5.1100000000000003</v>
      </c>
      <c r="U10" s="122" t="s">
        <v>441</v>
      </c>
      <c r="V10" s="125">
        <v>4.5425E-2</v>
      </c>
      <c r="W10" s="122"/>
      <c r="X10" s="135"/>
      <c r="Y10" s="150"/>
      <c r="Z10" s="125">
        <v>4.7399999999999998E-2</v>
      </c>
      <c r="AA10" s="122" t="s">
        <v>3356</v>
      </c>
      <c r="AB10" s="122" t="s">
        <v>620</v>
      </c>
      <c r="AC10" s="135"/>
      <c r="AD10" s="135"/>
      <c r="AE10" s="151"/>
      <c r="AF10" s="135" t="s">
        <v>3467</v>
      </c>
      <c r="AG10" s="135"/>
      <c r="AH10" s="135"/>
      <c r="AI10" s="122"/>
      <c r="AJ10" s="122" t="s">
        <v>62</v>
      </c>
      <c r="AK10" s="122" t="s">
        <v>775</v>
      </c>
      <c r="AL10" s="135"/>
      <c r="AM10" s="122" t="s">
        <v>305</v>
      </c>
      <c r="AN10" s="145">
        <v>45930</v>
      </c>
      <c r="AO10" s="145">
        <v>45930</v>
      </c>
      <c r="AP10" s="122"/>
      <c r="AQ10" s="123">
        <v>849554.65</v>
      </c>
      <c r="AR10" s="123">
        <v>95.42</v>
      </c>
      <c r="AS10" s="123">
        <v>1</v>
      </c>
      <c r="AT10" s="123">
        <v>810.64499999999998</v>
      </c>
      <c r="AU10" s="123">
        <v>810.64504699999998</v>
      </c>
      <c r="AV10" s="135"/>
      <c r="AW10" s="135"/>
      <c r="AX10" s="132"/>
      <c r="AY10" s="135"/>
      <c r="AZ10" s="125">
        <v>4.0989999999999999E-2</v>
      </c>
      <c r="BA10" s="126">
        <v>6.8999999999999997E-4</v>
      </c>
      <c r="BB10" s="159"/>
    </row>
    <row r="11" spans="1:54" x14ac:dyDescent="0.2">
      <c r="A11" s="121" t="s">
        <v>1211</v>
      </c>
      <c r="B11" s="122" t="s">
        <v>1211</v>
      </c>
      <c r="C11" s="135"/>
      <c r="D11" s="135"/>
      <c r="E11" s="135"/>
      <c r="F11" s="122" t="s">
        <v>3357</v>
      </c>
      <c r="G11" s="122" t="s">
        <v>245</v>
      </c>
      <c r="H11" s="122"/>
      <c r="I11" s="122" t="s">
        <v>53</v>
      </c>
      <c r="J11" s="132"/>
      <c r="K11" s="122" t="s">
        <v>163</v>
      </c>
      <c r="L11" s="122" t="s">
        <v>62</v>
      </c>
      <c r="M11" s="122" t="s">
        <v>55</v>
      </c>
      <c r="N11" s="135"/>
      <c r="O11" s="122" t="s">
        <v>3358</v>
      </c>
      <c r="P11" s="122" t="s">
        <v>1546</v>
      </c>
      <c r="Q11" s="122" t="s">
        <v>65</v>
      </c>
      <c r="R11" s="122" t="s">
        <v>779</v>
      </c>
      <c r="S11" s="122" t="s">
        <v>1216</v>
      </c>
      <c r="T11" s="123">
        <v>5.3</v>
      </c>
      <c r="U11" s="122" t="s">
        <v>442</v>
      </c>
      <c r="V11" s="125">
        <v>3.4099999999999998E-2</v>
      </c>
      <c r="W11" s="122"/>
      <c r="X11" s="135"/>
      <c r="Y11" s="150"/>
      <c r="Z11" s="125">
        <v>3.1300000000000001E-2</v>
      </c>
      <c r="AA11" s="122" t="s">
        <v>3359</v>
      </c>
      <c r="AB11" s="122" t="s">
        <v>620</v>
      </c>
      <c r="AC11" s="135"/>
      <c r="AD11" s="135"/>
      <c r="AE11" s="151"/>
      <c r="AF11" s="135" t="s">
        <v>3467</v>
      </c>
      <c r="AG11" s="135"/>
      <c r="AH11" s="135"/>
      <c r="AI11" s="122"/>
      <c r="AJ11" s="122"/>
      <c r="AK11" s="122" t="s">
        <v>775</v>
      </c>
      <c r="AL11" s="135"/>
      <c r="AM11" s="122" t="s">
        <v>305</v>
      </c>
      <c r="AN11" s="145">
        <v>45930</v>
      </c>
      <c r="AO11" s="145">
        <v>45930</v>
      </c>
      <c r="AP11" s="122"/>
      <c r="AQ11" s="123">
        <v>630494.36</v>
      </c>
      <c r="AR11" s="123">
        <v>121.73</v>
      </c>
      <c r="AS11" s="123">
        <v>1</v>
      </c>
      <c r="AT11" s="123">
        <v>767.50099999999998</v>
      </c>
      <c r="AU11" s="123">
        <v>767.50078399999995</v>
      </c>
      <c r="AV11" s="135"/>
      <c r="AW11" s="135"/>
      <c r="AX11" s="132"/>
      <c r="AY11" s="135"/>
      <c r="AZ11" s="125">
        <v>3.8809999999999997E-2</v>
      </c>
      <c r="BA11" s="126">
        <v>6.4999999999999997E-4</v>
      </c>
      <c r="BB11" s="159"/>
    </row>
    <row r="12" spans="1:54" x14ac:dyDescent="0.2">
      <c r="A12" s="121" t="s">
        <v>1211</v>
      </c>
      <c r="B12" s="122" t="s">
        <v>1211</v>
      </c>
      <c r="C12" s="135"/>
      <c r="D12" s="135"/>
      <c r="E12" s="135"/>
      <c r="F12" s="122" t="s">
        <v>3360</v>
      </c>
      <c r="G12" s="122" t="s">
        <v>245</v>
      </c>
      <c r="H12" s="122"/>
      <c r="I12" s="122" t="s">
        <v>53</v>
      </c>
      <c r="J12" s="132"/>
      <c r="K12" s="122" t="s">
        <v>156</v>
      </c>
      <c r="L12" s="122" t="s">
        <v>62</v>
      </c>
      <c r="M12" s="122" t="s">
        <v>55</v>
      </c>
      <c r="N12" s="135"/>
      <c r="O12" s="122" t="s">
        <v>3361</v>
      </c>
      <c r="P12" s="122" t="s">
        <v>1454</v>
      </c>
      <c r="Q12" s="122" t="s">
        <v>70</v>
      </c>
      <c r="R12" s="122" t="s">
        <v>779</v>
      </c>
      <c r="S12" s="122" t="s">
        <v>1216</v>
      </c>
      <c r="T12" s="123">
        <v>3.42</v>
      </c>
      <c r="U12" s="122" t="s">
        <v>442</v>
      </c>
      <c r="V12" s="125">
        <v>2.98E-2</v>
      </c>
      <c r="W12" s="122"/>
      <c r="X12" s="135"/>
      <c r="Y12" s="150"/>
      <c r="Z12" s="125">
        <v>2.9499999999999998E-2</v>
      </c>
      <c r="AA12" s="122" t="s">
        <v>1654</v>
      </c>
      <c r="AB12" s="122" t="s">
        <v>620</v>
      </c>
      <c r="AC12" s="135" t="s">
        <v>426</v>
      </c>
      <c r="AD12" s="135">
        <v>1728000</v>
      </c>
      <c r="AE12" s="151">
        <v>0.75</v>
      </c>
      <c r="AF12" s="122" t="s">
        <v>3467</v>
      </c>
      <c r="AG12" s="135"/>
      <c r="AH12" s="135"/>
      <c r="AI12" s="122"/>
      <c r="AJ12" s="122" t="s">
        <v>55</v>
      </c>
      <c r="AK12" s="122" t="s">
        <v>775</v>
      </c>
      <c r="AL12" s="135"/>
      <c r="AM12" s="122" t="s">
        <v>305</v>
      </c>
      <c r="AN12" s="145">
        <v>45930</v>
      </c>
      <c r="AO12" s="145">
        <v>45930</v>
      </c>
      <c r="AP12" s="122"/>
      <c r="AQ12" s="123">
        <v>621428.56000000006</v>
      </c>
      <c r="AR12" s="123">
        <v>120.46</v>
      </c>
      <c r="AS12" s="123">
        <v>1</v>
      </c>
      <c r="AT12" s="123">
        <v>748.57299999999998</v>
      </c>
      <c r="AU12" s="123">
        <v>748.57284300000003</v>
      </c>
      <c r="AV12" s="135"/>
      <c r="AW12" s="135"/>
      <c r="AX12" s="132"/>
      <c r="AY12" s="135"/>
      <c r="AZ12" s="125">
        <v>3.7850000000000002E-2</v>
      </c>
      <c r="BA12" s="126">
        <v>6.4000000000000005E-4</v>
      </c>
      <c r="BB12" s="159"/>
    </row>
    <row r="13" spans="1:54" x14ac:dyDescent="0.2">
      <c r="A13" s="121" t="s">
        <v>1211</v>
      </c>
      <c r="B13" s="122" t="s">
        <v>1211</v>
      </c>
      <c r="C13" s="135"/>
      <c r="D13" s="135"/>
      <c r="E13" s="135"/>
      <c r="F13" s="122" t="s">
        <v>3362</v>
      </c>
      <c r="G13" s="122" t="s">
        <v>245</v>
      </c>
      <c r="H13" s="122"/>
      <c r="I13" s="122" t="s">
        <v>53</v>
      </c>
      <c r="J13" s="132"/>
      <c r="K13" s="122" t="s">
        <v>256</v>
      </c>
      <c r="L13" s="122" t="s">
        <v>62</v>
      </c>
      <c r="M13" s="122" t="s">
        <v>55</v>
      </c>
      <c r="N13" s="135"/>
      <c r="O13" s="122" t="s">
        <v>3355</v>
      </c>
      <c r="P13" s="135"/>
      <c r="Q13" s="122" t="s">
        <v>298</v>
      </c>
      <c r="R13" s="122" t="s">
        <v>298</v>
      </c>
      <c r="S13" s="122" t="s">
        <v>1216</v>
      </c>
      <c r="T13" s="123">
        <v>6.89</v>
      </c>
      <c r="U13" s="122" t="s">
        <v>441</v>
      </c>
      <c r="V13" s="125">
        <v>5.1848999999999999E-2</v>
      </c>
      <c r="W13" s="122"/>
      <c r="X13" s="135"/>
      <c r="Y13" s="150"/>
      <c r="Z13" s="125">
        <v>5.1700000000000003E-2</v>
      </c>
      <c r="AA13" s="122" t="s">
        <v>3363</v>
      </c>
      <c r="AB13" s="122" t="s">
        <v>620</v>
      </c>
      <c r="AC13" s="135"/>
      <c r="AD13" s="135"/>
      <c r="AE13" s="151"/>
      <c r="AF13" s="135" t="s">
        <v>3467</v>
      </c>
      <c r="AG13" s="135"/>
      <c r="AH13" s="135"/>
      <c r="AI13" s="122"/>
      <c r="AJ13" s="122" t="s">
        <v>62</v>
      </c>
      <c r="AK13" s="122" t="s">
        <v>775</v>
      </c>
      <c r="AL13" s="135"/>
      <c r="AM13" s="122" t="s">
        <v>305</v>
      </c>
      <c r="AN13" s="145">
        <v>45930</v>
      </c>
      <c r="AO13" s="145">
        <v>45930</v>
      </c>
      <c r="AP13" s="122"/>
      <c r="AQ13" s="123">
        <v>740258.67</v>
      </c>
      <c r="AR13" s="123">
        <v>98.55</v>
      </c>
      <c r="AS13" s="123">
        <v>1</v>
      </c>
      <c r="AT13" s="123">
        <v>729.52499999999998</v>
      </c>
      <c r="AU13" s="123">
        <v>729.52491899999995</v>
      </c>
      <c r="AV13" s="135"/>
      <c r="AW13" s="135"/>
      <c r="AX13" s="132"/>
      <c r="AY13" s="135"/>
      <c r="AZ13" s="125">
        <v>3.6889999999999999E-2</v>
      </c>
      <c r="BA13" s="126">
        <v>6.2E-4</v>
      </c>
      <c r="BB13" s="159"/>
    </row>
    <row r="14" spans="1:54" x14ac:dyDescent="0.2">
      <c r="A14" s="121" t="s">
        <v>1211</v>
      </c>
      <c r="B14" s="122" t="s">
        <v>1211</v>
      </c>
      <c r="C14" s="135"/>
      <c r="D14" s="135"/>
      <c r="E14" s="135"/>
      <c r="F14" s="122" t="s">
        <v>3364</v>
      </c>
      <c r="G14" s="122" t="s">
        <v>245</v>
      </c>
      <c r="H14" s="122"/>
      <c r="I14" s="122" t="s">
        <v>53</v>
      </c>
      <c r="J14" s="132"/>
      <c r="K14" s="122" t="s">
        <v>633</v>
      </c>
      <c r="L14" s="122" t="s">
        <v>62</v>
      </c>
      <c r="M14" s="122" t="s">
        <v>55</v>
      </c>
      <c r="N14" s="135"/>
      <c r="O14" s="122" t="s">
        <v>3365</v>
      </c>
      <c r="P14" s="135"/>
      <c r="Q14" s="122" t="s">
        <v>298</v>
      </c>
      <c r="R14" s="135"/>
      <c r="S14" s="122" t="s">
        <v>1216</v>
      </c>
      <c r="T14" s="123">
        <v>2.14</v>
      </c>
      <c r="U14" s="122" t="s">
        <v>441</v>
      </c>
      <c r="V14" s="125">
        <v>8.5000000000000006E-2</v>
      </c>
      <c r="W14" s="122"/>
      <c r="X14" s="135"/>
      <c r="Y14" s="150"/>
      <c r="Z14" s="125">
        <v>7.2099999999999997E-2</v>
      </c>
      <c r="AA14" s="122" t="s">
        <v>3366</v>
      </c>
      <c r="AB14" s="122" t="s">
        <v>620</v>
      </c>
      <c r="AC14" s="135" t="s">
        <v>98</v>
      </c>
      <c r="AD14" s="135">
        <v>705882.35294100002</v>
      </c>
      <c r="AE14" s="151">
        <v>0.17</v>
      </c>
      <c r="AF14" s="122" t="s">
        <v>3467</v>
      </c>
      <c r="AG14" s="135"/>
      <c r="AH14" s="135"/>
      <c r="AI14" s="122"/>
      <c r="AJ14" s="122" t="s">
        <v>55</v>
      </c>
      <c r="AK14" s="122" t="s">
        <v>775</v>
      </c>
      <c r="AL14" s="135"/>
      <c r="AM14" s="122" t="s">
        <v>305</v>
      </c>
      <c r="AN14" s="145">
        <v>45930</v>
      </c>
      <c r="AO14" s="145">
        <v>45930</v>
      </c>
      <c r="AP14" s="122"/>
      <c r="AQ14" s="123">
        <v>632000</v>
      </c>
      <c r="AR14" s="123">
        <v>102.51</v>
      </c>
      <c r="AS14" s="123">
        <v>1</v>
      </c>
      <c r="AT14" s="123">
        <v>647.86300000000006</v>
      </c>
      <c r="AU14" s="123">
        <v>647.86320000000001</v>
      </c>
      <c r="AV14" s="135"/>
      <c r="AW14" s="135"/>
      <c r="AX14" s="132"/>
      <c r="AY14" s="135"/>
      <c r="AZ14" s="125">
        <v>3.2759999999999997E-2</v>
      </c>
      <c r="BA14" s="126">
        <v>5.5000000000000003E-4</v>
      </c>
      <c r="BB14" s="159"/>
    </row>
    <row r="15" spans="1:54" x14ac:dyDescent="0.2">
      <c r="A15" s="121" t="s">
        <v>1211</v>
      </c>
      <c r="B15" s="122" t="s">
        <v>1211</v>
      </c>
      <c r="C15" s="135"/>
      <c r="D15" s="135"/>
      <c r="E15" s="135"/>
      <c r="F15" s="122" t="s">
        <v>3367</v>
      </c>
      <c r="G15" s="122" t="s">
        <v>245</v>
      </c>
      <c r="H15" s="122"/>
      <c r="I15" s="122" t="s">
        <v>53</v>
      </c>
      <c r="J15" s="132"/>
      <c r="K15" s="122" t="s">
        <v>260</v>
      </c>
      <c r="L15" s="122" t="s">
        <v>62</v>
      </c>
      <c r="M15" s="122" t="s">
        <v>55</v>
      </c>
      <c r="N15" s="135"/>
      <c r="O15" s="122" t="s">
        <v>3368</v>
      </c>
      <c r="P15" s="135"/>
      <c r="Q15" s="122" t="s">
        <v>298</v>
      </c>
      <c r="R15" s="135"/>
      <c r="S15" s="122" t="s">
        <v>1216</v>
      </c>
      <c r="T15" s="123">
        <v>4.43</v>
      </c>
      <c r="U15" s="122" t="s">
        <v>442</v>
      </c>
      <c r="V15" s="125">
        <v>3.2000000000000001E-2</v>
      </c>
      <c r="W15" s="122"/>
      <c r="X15" s="135"/>
      <c r="Y15" s="150"/>
      <c r="Z15" s="125">
        <v>3.1399999999999997E-2</v>
      </c>
      <c r="AA15" s="122" t="s">
        <v>1666</v>
      </c>
      <c r="AB15" s="122" t="s">
        <v>620</v>
      </c>
      <c r="AC15" s="135" t="s">
        <v>163</v>
      </c>
      <c r="AD15" s="135"/>
      <c r="AE15" s="151"/>
      <c r="AF15" s="122" t="s">
        <v>3467</v>
      </c>
      <c r="AG15" s="135"/>
      <c r="AH15" s="135"/>
      <c r="AI15" s="122"/>
      <c r="AJ15" s="122"/>
      <c r="AK15" s="122" t="s">
        <v>775</v>
      </c>
      <c r="AL15" s="135"/>
      <c r="AM15" s="122" t="s">
        <v>305</v>
      </c>
      <c r="AN15" s="145">
        <v>45930</v>
      </c>
      <c r="AO15" s="145">
        <v>45930</v>
      </c>
      <c r="AP15" s="122"/>
      <c r="AQ15" s="123">
        <v>488356.66</v>
      </c>
      <c r="AR15" s="123">
        <v>120.2</v>
      </c>
      <c r="AS15" s="123">
        <v>1</v>
      </c>
      <c r="AT15" s="123">
        <v>587.005</v>
      </c>
      <c r="AU15" s="123">
        <v>587.00470499999994</v>
      </c>
      <c r="AV15" s="135"/>
      <c r="AW15" s="135"/>
      <c r="AX15" s="132"/>
      <c r="AY15" s="135"/>
      <c r="AZ15" s="125">
        <v>2.9680000000000002E-2</v>
      </c>
      <c r="BA15" s="126">
        <v>5.0000000000000001E-4</v>
      </c>
      <c r="BB15" s="159"/>
    </row>
    <row r="16" spans="1:54" x14ac:dyDescent="0.2">
      <c r="A16" s="121" t="s">
        <v>1211</v>
      </c>
      <c r="B16" s="122" t="s">
        <v>1211</v>
      </c>
      <c r="C16" s="135"/>
      <c r="D16" s="135"/>
      <c r="E16" s="135"/>
      <c r="F16" s="122" t="s">
        <v>3369</v>
      </c>
      <c r="G16" s="122" t="s">
        <v>245</v>
      </c>
      <c r="H16" s="122"/>
      <c r="I16" s="122" t="s">
        <v>53</v>
      </c>
      <c r="J16" s="132"/>
      <c r="K16" s="122" t="s">
        <v>256</v>
      </c>
      <c r="L16" s="122" t="s">
        <v>62</v>
      </c>
      <c r="M16" s="122" t="s">
        <v>55</v>
      </c>
      <c r="N16" s="135"/>
      <c r="O16" s="122" t="s">
        <v>3355</v>
      </c>
      <c r="P16" s="135"/>
      <c r="Q16" s="122" t="s">
        <v>298</v>
      </c>
      <c r="R16" s="122" t="s">
        <v>298</v>
      </c>
      <c r="S16" s="122" t="s">
        <v>1216</v>
      </c>
      <c r="T16" s="123">
        <v>7.31</v>
      </c>
      <c r="U16" s="122" t="s">
        <v>442</v>
      </c>
      <c r="V16" s="125">
        <v>3.9503999999999997E-2</v>
      </c>
      <c r="W16" s="122"/>
      <c r="X16" s="135"/>
      <c r="Y16" s="150"/>
      <c r="Z16" s="125">
        <v>2.5899999999999999E-2</v>
      </c>
      <c r="AA16" s="122" t="s">
        <v>3370</v>
      </c>
      <c r="AB16" s="122" t="s">
        <v>620</v>
      </c>
      <c r="AC16" s="135"/>
      <c r="AD16" s="135"/>
      <c r="AE16" s="151"/>
      <c r="AF16" s="135" t="s">
        <v>3467</v>
      </c>
      <c r="AG16" s="135"/>
      <c r="AH16" s="135"/>
      <c r="AI16" s="122"/>
      <c r="AJ16" s="122" t="s">
        <v>62</v>
      </c>
      <c r="AK16" s="122" t="s">
        <v>775</v>
      </c>
      <c r="AL16" s="135"/>
      <c r="AM16" s="122" t="s">
        <v>305</v>
      </c>
      <c r="AN16" s="145">
        <v>45930</v>
      </c>
      <c r="AO16" s="145">
        <v>45930</v>
      </c>
      <c r="AP16" s="122"/>
      <c r="AQ16" s="123">
        <v>369471.96</v>
      </c>
      <c r="AR16" s="123">
        <v>132.16999999999999</v>
      </c>
      <c r="AS16" s="123">
        <v>1</v>
      </c>
      <c r="AT16" s="123">
        <v>488.33100000000002</v>
      </c>
      <c r="AU16" s="123">
        <v>488.33109000000002</v>
      </c>
      <c r="AV16" s="135"/>
      <c r="AW16" s="135"/>
      <c r="AX16" s="132"/>
      <c r="AY16" s="135"/>
      <c r="AZ16" s="125">
        <v>2.469E-2</v>
      </c>
      <c r="BA16" s="126">
        <v>4.2000000000000002E-4</v>
      </c>
      <c r="BB16" s="159"/>
    </row>
    <row r="17" spans="1:54" x14ac:dyDescent="0.2">
      <c r="A17" s="121" t="s">
        <v>1211</v>
      </c>
      <c r="B17" s="122" t="s">
        <v>1211</v>
      </c>
      <c r="C17" s="135"/>
      <c r="D17" s="135"/>
      <c r="E17" s="135"/>
      <c r="F17" s="122" t="s">
        <v>3371</v>
      </c>
      <c r="G17" s="122" t="s">
        <v>245</v>
      </c>
      <c r="H17" s="122" t="s">
        <v>846</v>
      </c>
      <c r="I17" s="122" t="s">
        <v>53</v>
      </c>
      <c r="J17" s="132"/>
      <c r="K17" s="122" t="s">
        <v>257</v>
      </c>
      <c r="L17" s="122" t="s">
        <v>62</v>
      </c>
      <c r="M17" s="122" t="s">
        <v>55</v>
      </c>
      <c r="N17" s="135"/>
      <c r="O17" s="122" t="s">
        <v>3372</v>
      </c>
      <c r="P17" s="122" t="s">
        <v>3373</v>
      </c>
      <c r="Q17" s="122" t="s">
        <v>78</v>
      </c>
      <c r="R17" s="122" t="s">
        <v>779</v>
      </c>
      <c r="S17" s="122" t="s">
        <v>1216</v>
      </c>
      <c r="T17" s="123">
        <v>0.82</v>
      </c>
      <c r="U17" s="122" t="s">
        <v>441</v>
      </c>
      <c r="V17" s="125">
        <v>8.3000000000000004E-2</v>
      </c>
      <c r="W17" s="122"/>
      <c r="X17" s="135"/>
      <c r="Y17" s="150"/>
      <c r="Z17" s="125">
        <v>7.3999999999999996E-2</v>
      </c>
      <c r="AA17" s="122" t="s">
        <v>3374</v>
      </c>
      <c r="AB17" s="122" t="s">
        <v>620</v>
      </c>
      <c r="AC17" s="135" t="s">
        <v>58</v>
      </c>
      <c r="AD17" s="135">
        <v>133333.33333333331</v>
      </c>
      <c r="AE17" s="151">
        <v>0.75</v>
      </c>
      <c r="AF17" s="122" t="s">
        <v>3467</v>
      </c>
      <c r="AG17" s="135"/>
      <c r="AH17" s="135"/>
      <c r="AI17" s="122"/>
      <c r="AJ17" s="122" t="s">
        <v>55</v>
      </c>
      <c r="AK17" s="122" t="s">
        <v>775</v>
      </c>
      <c r="AL17" s="135"/>
      <c r="AM17" s="122" t="s">
        <v>305</v>
      </c>
      <c r="AN17" s="145">
        <v>45930</v>
      </c>
      <c r="AO17" s="145">
        <v>45930</v>
      </c>
      <c r="AP17" s="122"/>
      <c r="AQ17" s="123">
        <v>421333.34</v>
      </c>
      <c r="AR17" s="123">
        <v>101.63</v>
      </c>
      <c r="AS17" s="123">
        <v>1</v>
      </c>
      <c r="AT17" s="123">
        <v>428.20100000000002</v>
      </c>
      <c r="AU17" s="123">
        <v>428.20107299999995</v>
      </c>
      <c r="AV17" s="135"/>
      <c r="AW17" s="135"/>
      <c r="AX17" s="132"/>
      <c r="AY17" s="135"/>
      <c r="AZ17" s="125">
        <v>2.1649999999999999E-2</v>
      </c>
      <c r="BA17" s="126">
        <v>3.6999999999999999E-4</v>
      </c>
      <c r="BB17" s="159"/>
    </row>
    <row r="18" spans="1:54" x14ac:dyDescent="0.2">
      <c r="A18" s="121" t="s">
        <v>1211</v>
      </c>
      <c r="B18" s="122" t="s">
        <v>1211</v>
      </c>
      <c r="C18" s="135"/>
      <c r="D18" s="135"/>
      <c r="E18" s="135"/>
      <c r="F18" s="122" t="s">
        <v>3376</v>
      </c>
      <c r="G18" s="122" t="s">
        <v>245</v>
      </c>
      <c r="H18" s="122" t="s">
        <v>835</v>
      </c>
      <c r="I18" s="122" t="s">
        <v>53</v>
      </c>
      <c r="J18" s="132"/>
      <c r="K18" s="122" t="s">
        <v>633</v>
      </c>
      <c r="L18" s="122" t="s">
        <v>62</v>
      </c>
      <c r="M18" s="122" t="s">
        <v>55</v>
      </c>
      <c r="N18" s="135"/>
      <c r="O18" s="122" t="s">
        <v>3377</v>
      </c>
      <c r="P18" s="135"/>
      <c r="Q18" s="122" t="s">
        <v>298</v>
      </c>
      <c r="R18" s="135"/>
      <c r="S18" s="122" t="s">
        <v>1216</v>
      </c>
      <c r="T18" s="123">
        <v>1.21</v>
      </c>
      <c r="U18" s="122" t="s">
        <v>442</v>
      </c>
      <c r="V18" s="125">
        <v>4.7500000000000001E-2</v>
      </c>
      <c r="W18" s="122"/>
      <c r="X18" s="135"/>
      <c r="Y18" s="150"/>
      <c r="Z18" s="125">
        <v>3.9600000000000003E-2</v>
      </c>
      <c r="AA18" s="122" t="s">
        <v>3347</v>
      </c>
      <c r="AB18" s="122" t="s">
        <v>620</v>
      </c>
      <c r="AC18" s="135" t="s">
        <v>58</v>
      </c>
      <c r="AD18" s="135">
        <v>269260.33899999998</v>
      </c>
      <c r="AE18" s="151">
        <v>0.17</v>
      </c>
      <c r="AF18" s="122" t="s">
        <v>3467</v>
      </c>
      <c r="AG18" s="135"/>
      <c r="AH18" s="135"/>
      <c r="AI18" s="122"/>
      <c r="AJ18" s="122" t="s">
        <v>62</v>
      </c>
      <c r="AK18" s="122" t="s">
        <v>775</v>
      </c>
      <c r="AL18" s="135"/>
      <c r="AM18" s="122" t="s">
        <v>305</v>
      </c>
      <c r="AN18" s="145">
        <v>45930</v>
      </c>
      <c r="AO18" s="145">
        <v>45930</v>
      </c>
      <c r="AP18" s="122"/>
      <c r="AQ18" s="123">
        <v>391206.69</v>
      </c>
      <c r="AR18" s="123">
        <v>108.88</v>
      </c>
      <c r="AS18" s="123">
        <v>1</v>
      </c>
      <c r="AT18" s="123">
        <v>425.94600000000003</v>
      </c>
      <c r="AU18" s="123">
        <v>425.94584399999997</v>
      </c>
      <c r="AV18" s="135"/>
      <c r="AW18" s="135"/>
      <c r="AX18" s="132"/>
      <c r="AY18" s="135"/>
      <c r="AZ18" s="125">
        <v>2.154E-2</v>
      </c>
      <c r="BA18" s="126">
        <v>3.6000000000000002E-4</v>
      </c>
      <c r="BB18" s="159"/>
    </row>
    <row r="19" spans="1:54" x14ac:dyDescent="0.2">
      <c r="A19" s="121" t="s">
        <v>1211</v>
      </c>
      <c r="B19" s="122" t="s">
        <v>1211</v>
      </c>
      <c r="C19" s="135"/>
      <c r="D19" s="135"/>
      <c r="E19" s="135"/>
      <c r="F19" s="122" t="s">
        <v>3378</v>
      </c>
      <c r="G19" s="122" t="s">
        <v>245</v>
      </c>
      <c r="H19" s="122" t="s">
        <v>818</v>
      </c>
      <c r="I19" s="122" t="s">
        <v>53</v>
      </c>
      <c r="J19" s="132"/>
      <c r="K19" s="122" t="s">
        <v>633</v>
      </c>
      <c r="L19" s="122" t="s">
        <v>62</v>
      </c>
      <c r="M19" s="122" t="s">
        <v>55</v>
      </c>
      <c r="N19" s="135"/>
      <c r="O19" s="122" t="s">
        <v>3379</v>
      </c>
      <c r="P19" s="135"/>
      <c r="Q19" s="122" t="s">
        <v>298</v>
      </c>
      <c r="R19" s="135"/>
      <c r="S19" s="122" t="s">
        <v>1216</v>
      </c>
      <c r="T19" s="123">
        <v>1.0900000000000001</v>
      </c>
      <c r="U19" s="122" t="s">
        <v>441</v>
      </c>
      <c r="V19" s="125">
        <v>8.2500000000000004E-2</v>
      </c>
      <c r="W19" s="122"/>
      <c r="X19" s="135"/>
      <c r="Y19" s="150"/>
      <c r="Z19" s="125">
        <v>5.9200000000000003E-2</v>
      </c>
      <c r="AA19" s="122" t="s">
        <v>3380</v>
      </c>
      <c r="AB19" s="122" t="s">
        <v>620</v>
      </c>
      <c r="AC19" s="135" t="s">
        <v>58</v>
      </c>
      <c r="AD19" s="135">
        <v>227000</v>
      </c>
      <c r="AE19" s="151">
        <v>0.63</v>
      </c>
      <c r="AF19" s="122" t="s">
        <v>3467</v>
      </c>
      <c r="AG19" s="135"/>
      <c r="AH19" s="135"/>
      <c r="AI19" s="122"/>
      <c r="AJ19" s="122" t="s">
        <v>62</v>
      </c>
      <c r="AK19" s="122" t="s">
        <v>775</v>
      </c>
      <c r="AL19" s="135"/>
      <c r="AM19" s="122" t="s">
        <v>305</v>
      </c>
      <c r="AN19" s="145">
        <v>45930</v>
      </c>
      <c r="AO19" s="145">
        <v>45930</v>
      </c>
      <c r="AP19" s="122"/>
      <c r="AQ19" s="123">
        <v>362518</v>
      </c>
      <c r="AR19" s="123">
        <v>104.35</v>
      </c>
      <c r="AS19" s="123">
        <v>1</v>
      </c>
      <c r="AT19" s="123">
        <v>378.28800000000001</v>
      </c>
      <c r="AU19" s="123">
        <v>378.287533</v>
      </c>
      <c r="AV19" s="135"/>
      <c r="AW19" s="135"/>
      <c r="AX19" s="132"/>
      <c r="AY19" s="135"/>
      <c r="AZ19" s="125">
        <v>1.9130000000000001E-2</v>
      </c>
      <c r="BA19" s="126">
        <v>3.2000000000000003E-4</v>
      </c>
      <c r="BB19" s="159"/>
    </row>
    <row r="20" spans="1:54" x14ac:dyDescent="0.2">
      <c r="A20" s="121" t="s">
        <v>1211</v>
      </c>
      <c r="B20" s="122" t="s">
        <v>1211</v>
      </c>
      <c r="C20" s="135"/>
      <c r="D20" s="135"/>
      <c r="E20" s="135"/>
      <c r="F20" s="122" t="s">
        <v>3381</v>
      </c>
      <c r="G20" s="122" t="s">
        <v>627</v>
      </c>
      <c r="H20" s="122"/>
      <c r="I20" s="122" t="s">
        <v>53</v>
      </c>
      <c r="J20" s="132"/>
      <c r="K20" s="122" t="s">
        <v>257</v>
      </c>
      <c r="L20" s="122" t="s">
        <v>62</v>
      </c>
      <c r="M20" s="122" t="s">
        <v>55</v>
      </c>
      <c r="N20" s="135"/>
      <c r="O20" s="122" t="s">
        <v>3382</v>
      </c>
      <c r="P20" s="135"/>
      <c r="Q20" s="122" t="s">
        <v>298</v>
      </c>
      <c r="R20" s="135"/>
      <c r="S20" s="122" t="s">
        <v>1216</v>
      </c>
      <c r="T20" s="123">
        <v>1.1200000000000001</v>
      </c>
      <c r="U20" s="122" t="s">
        <v>442</v>
      </c>
      <c r="V20" s="125">
        <v>5.6500000000000002E-2</v>
      </c>
      <c r="W20" s="122"/>
      <c r="X20" s="135"/>
      <c r="Y20" s="150"/>
      <c r="Z20" s="125">
        <v>6.7599999999999993E-2</v>
      </c>
      <c r="AA20" s="122" t="s">
        <v>1825</v>
      </c>
      <c r="AB20" s="122" t="s">
        <v>620</v>
      </c>
      <c r="AC20" s="135" t="s">
        <v>80</v>
      </c>
      <c r="AD20" s="135">
        <v>78908</v>
      </c>
      <c r="AE20" s="151">
        <v>0.75</v>
      </c>
      <c r="AF20" s="122" t="s">
        <v>3467</v>
      </c>
      <c r="AG20" s="135"/>
      <c r="AH20" s="135"/>
      <c r="AI20" s="122"/>
      <c r="AJ20" s="122" t="s">
        <v>62</v>
      </c>
      <c r="AK20" s="122" t="s">
        <v>775</v>
      </c>
      <c r="AL20" s="135"/>
      <c r="AM20" s="122" t="s">
        <v>305</v>
      </c>
      <c r="AN20" s="145">
        <v>45930</v>
      </c>
      <c r="AO20" s="145">
        <v>45930</v>
      </c>
      <c r="AP20" s="122"/>
      <c r="AQ20" s="123">
        <v>318348.83</v>
      </c>
      <c r="AR20" s="123">
        <v>115.42</v>
      </c>
      <c r="AS20" s="123">
        <v>1</v>
      </c>
      <c r="AT20" s="123">
        <v>367.43799999999999</v>
      </c>
      <c r="AU20" s="123">
        <v>367.43821999999994</v>
      </c>
      <c r="AV20" s="135"/>
      <c r="AW20" s="135"/>
      <c r="AX20" s="132"/>
      <c r="AY20" s="135"/>
      <c r="AZ20" s="125">
        <v>1.8579999999999999E-2</v>
      </c>
      <c r="BA20" s="126">
        <v>3.1E-4</v>
      </c>
      <c r="BB20" s="159"/>
    </row>
    <row r="21" spans="1:54" x14ac:dyDescent="0.2">
      <c r="A21" s="121" t="s">
        <v>1211</v>
      </c>
      <c r="B21" s="122" t="s">
        <v>1211</v>
      </c>
      <c r="C21" s="122"/>
      <c r="D21" s="135"/>
      <c r="E21" s="122"/>
      <c r="F21" s="122" t="s">
        <v>3383</v>
      </c>
      <c r="G21" s="122" t="s">
        <v>245</v>
      </c>
      <c r="H21" s="122"/>
      <c r="I21" s="122" t="s">
        <v>53</v>
      </c>
      <c r="J21" s="132"/>
      <c r="K21" s="122" t="s">
        <v>256</v>
      </c>
      <c r="L21" s="122" t="s">
        <v>62</v>
      </c>
      <c r="M21" s="122" t="s">
        <v>55</v>
      </c>
      <c r="N21" s="122"/>
      <c r="O21" s="122" t="s">
        <v>3355</v>
      </c>
      <c r="P21" s="122"/>
      <c r="Q21" s="122" t="s">
        <v>298</v>
      </c>
      <c r="R21" s="122" t="s">
        <v>298</v>
      </c>
      <c r="S21" s="122" t="s">
        <v>1216</v>
      </c>
      <c r="T21" s="123">
        <v>6.04</v>
      </c>
      <c r="U21" s="122" t="s">
        <v>442</v>
      </c>
      <c r="V21" s="125">
        <v>2.4483000000000001E-2</v>
      </c>
      <c r="W21" s="122"/>
      <c r="X21" s="135"/>
      <c r="Y21" s="125"/>
      <c r="Z21" s="125">
        <v>2.4799999999999999E-2</v>
      </c>
      <c r="AA21" s="122" t="s">
        <v>3363</v>
      </c>
      <c r="AB21" s="122" t="s">
        <v>620</v>
      </c>
      <c r="AC21" s="135"/>
      <c r="AD21" s="122"/>
      <c r="AE21" s="152"/>
      <c r="AF21" s="122"/>
      <c r="AG21" s="135"/>
      <c r="AH21" s="135"/>
      <c r="AI21" s="122"/>
      <c r="AJ21" s="122" t="s">
        <v>62</v>
      </c>
      <c r="AK21" s="122" t="s">
        <v>775</v>
      </c>
      <c r="AL21" s="122"/>
      <c r="AM21" s="122" t="s">
        <v>305</v>
      </c>
      <c r="AN21" s="145">
        <v>45930</v>
      </c>
      <c r="AO21" s="145">
        <v>45930</v>
      </c>
      <c r="AP21" s="122"/>
      <c r="AQ21" s="123">
        <v>235962.8</v>
      </c>
      <c r="AR21" s="123">
        <v>119.91</v>
      </c>
      <c r="AS21" s="123">
        <v>1</v>
      </c>
      <c r="AT21" s="123">
        <v>282.94299999999998</v>
      </c>
      <c r="AU21" s="123">
        <v>282.942993</v>
      </c>
      <c r="AV21" s="122"/>
      <c r="AW21" s="122"/>
      <c r="AX21" s="132"/>
      <c r="AY21" s="135"/>
      <c r="AZ21" s="125">
        <v>1.431E-2</v>
      </c>
      <c r="BA21" s="126">
        <v>2.4000000000000001E-4</v>
      </c>
      <c r="BB21" s="159"/>
    </row>
    <row r="22" spans="1:54" x14ac:dyDescent="0.2">
      <c r="A22" s="121" t="s">
        <v>1211</v>
      </c>
      <c r="B22" s="122" t="s">
        <v>1211</v>
      </c>
      <c r="C22" s="122"/>
      <c r="D22" s="133"/>
      <c r="E22" s="122"/>
      <c r="F22" s="122" t="s">
        <v>3384</v>
      </c>
      <c r="G22" s="122" t="s">
        <v>245</v>
      </c>
      <c r="H22" s="122"/>
      <c r="I22" s="122" t="s">
        <v>53</v>
      </c>
      <c r="J22" s="122"/>
      <c r="K22" s="122" t="s">
        <v>256</v>
      </c>
      <c r="L22" s="122" t="s">
        <v>62</v>
      </c>
      <c r="M22" s="122" t="s">
        <v>55</v>
      </c>
      <c r="N22" s="122"/>
      <c r="O22" s="122" t="s">
        <v>3355</v>
      </c>
      <c r="P22" s="122"/>
      <c r="Q22" s="122" t="s">
        <v>298</v>
      </c>
      <c r="R22" s="122" t="s">
        <v>298</v>
      </c>
      <c r="S22" s="122" t="s">
        <v>1216</v>
      </c>
      <c r="T22" s="123">
        <v>6.08</v>
      </c>
      <c r="U22" s="122" t="s">
        <v>441</v>
      </c>
      <c r="V22" s="125">
        <v>6.1657999999999998E-2</v>
      </c>
      <c r="W22" s="122"/>
      <c r="X22" s="122"/>
      <c r="Y22" s="125"/>
      <c r="Z22" s="125">
        <v>5.7200000000000001E-2</v>
      </c>
      <c r="AA22" s="122" t="s">
        <v>3370</v>
      </c>
      <c r="AB22" s="122" t="s">
        <v>620</v>
      </c>
      <c r="AC22" s="122"/>
      <c r="AD22" s="122"/>
      <c r="AE22" s="152"/>
      <c r="AF22" s="122" t="s">
        <v>3467</v>
      </c>
      <c r="AG22" s="122"/>
      <c r="AH22" s="122"/>
      <c r="AI22" s="122"/>
      <c r="AJ22" s="122" t="s">
        <v>62</v>
      </c>
      <c r="AK22" s="122" t="s">
        <v>775</v>
      </c>
      <c r="AL22" s="122"/>
      <c r="AM22" s="122" t="s">
        <v>305</v>
      </c>
      <c r="AN22" s="145">
        <v>45930</v>
      </c>
      <c r="AO22" s="145">
        <v>45930</v>
      </c>
      <c r="AP22" s="122"/>
      <c r="AQ22" s="123">
        <v>176707.09</v>
      </c>
      <c r="AR22" s="123">
        <v>121.05</v>
      </c>
      <c r="AS22" s="123">
        <v>1</v>
      </c>
      <c r="AT22" s="123">
        <v>213.904</v>
      </c>
      <c r="AU22" s="123">
        <v>213.903932</v>
      </c>
      <c r="AV22" s="122"/>
      <c r="AW22" s="122"/>
      <c r="AX22" s="133"/>
      <c r="AY22" s="122"/>
      <c r="AZ22" s="125">
        <v>1.082E-2</v>
      </c>
      <c r="BA22" s="126">
        <v>1.8000000000000001E-4</v>
      </c>
      <c r="BB22" s="159"/>
    </row>
    <row r="23" spans="1:54" x14ac:dyDescent="0.2">
      <c r="A23" s="121" t="s">
        <v>1211</v>
      </c>
      <c r="B23" s="122" t="s">
        <v>1211</v>
      </c>
      <c r="C23" s="122"/>
      <c r="D23" s="133"/>
      <c r="E23" s="122"/>
      <c r="F23" s="122" t="s">
        <v>3385</v>
      </c>
      <c r="G23" s="122" t="s">
        <v>245</v>
      </c>
      <c r="H23" s="122" t="s">
        <v>818</v>
      </c>
      <c r="I23" s="122" t="s">
        <v>53</v>
      </c>
      <c r="J23" s="122"/>
      <c r="K23" s="122" t="s">
        <v>633</v>
      </c>
      <c r="L23" s="122" t="s">
        <v>62</v>
      </c>
      <c r="M23" s="122" t="s">
        <v>55</v>
      </c>
      <c r="N23" s="122"/>
      <c r="O23" s="122" t="s">
        <v>3386</v>
      </c>
      <c r="P23" s="122"/>
      <c r="Q23" s="122" t="s">
        <v>298</v>
      </c>
      <c r="R23" s="122"/>
      <c r="S23" s="122" t="s">
        <v>1216</v>
      </c>
      <c r="T23" s="123">
        <v>0.18</v>
      </c>
      <c r="U23" s="122" t="s">
        <v>441</v>
      </c>
      <c r="V23" s="125">
        <v>0.08</v>
      </c>
      <c r="W23" s="122"/>
      <c r="X23" s="122"/>
      <c r="Y23" s="125"/>
      <c r="Z23" s="125">
        <v>5.4199999999999998E-2</v>
      </c>
      <c r="AA23" s="122" t="s">
        <v>3387</v>
      </c>
      <c r="AB23" s="122" t="s">
        <v>620</v>
      </c>
      <c r="AC23" s="122" t="s">
        <v>58</v>
      </c>
      <c r="AD23" s="122">
        <v>130000</v>
      </c>
      <c r="AE23" s="152">
        <v>0.68</v>
      </c>
      <c r="AF23" s="122" t="s">
        <v>3467</v>
      </c>
      <c r="AG23" s="122"/>
      <c r="AH23" s="122"/>
      <c r="AI23" s="122"/>
      <c r="AJ23" s="122" t="s">
        <v>55</v>
      </c>
      <c r="AK23" s="122" t="s">
        <v>775</v>
      </c>
      <c r="AL23" s="122"/>
      <c r="AM23" s="122" t="s">
        <v>305</v>
      </c>
      <c r="AN23" s="145">
        <v>45930</v>
      </c>
      <c r="AO23" s="145">
        <v>45930</v>
      </c>
      <c r="AP23" s="122"/>
      <c r="AQ23" s="123">
        <v>192763.22</v>
      </c>
      <c r="AR23" s="123">
        <v>102.5</v>
      </c>
      <c r="AS23" s="123">
        <v>1</v>
      </c>
      <c r="AT23" s="123">
        <v>197.58199999999999</v>
      </c>
      <c r="AU23" s="123">
        <v>197.582301</v>
      </c>
      <c r="AV23" s="122"/>
      <c r="AW23" s="122"/>
      <c r="AX23" s="133"/>
      <c r="AY23" s="122"/>
      <c r="AZ23" s="125">
        <v>9.9900000000000006E-3</v>
      </c>
      <c r="BA23" s="126">
        <v>1.7000000000000001E-4</v>
      </c>
      <c r="BB23" s="159"/>
    </row>
    <row r="24" spans="1:54" x14ac:dyDescent="0.2">
      <c r="A24" s="121" t="s">
        <v>1211</v>
      </c>
      <c r="B24" s="122" t="s">
        <v>1211</v>
      </c>
      <c r="C24" s="122"/>
      <c r="D24" s="133"/>
      <c r="E24" s="122"/>
      <c r="F24" s="122" t="s">
        <v>3388</v>
      </c>
      <c r="G24" s="122" t="s">
        <v>245</v>
      </c>
      <c r="H24" s="122" t="s">
        <v>3345</v>
      </c>
      <c r="I24" s="122" t="s">
        <v>53</v>
      </c>
      <c r="J24" s="122"/>
      <c r="K24" s="122" t="s">
        <v>635</v>
      </c>
      <c r="L24" s="122" t="s">
        <v>62</v>
      </c>
      <c r="M24" s="122" t="s">
        <v>55</v>
      </c>
      <c r="N24" s="122"/>
      <c r="O24" s="122" t="s">
        <v>3389</v>
      </c>
      <c r="P24" s="122"/>
      <c r="Q24" s="122" t="s">
        <v>298</v>
      </c>
      <c r="R24" s="122"/>
      <c r="S24" s="122" t="s">
        <v>1216</v>
      </c>
      <c r="T24" s="123">
        <v>0.28000000000000003</v>
      </c>
      <c r="U24" s="122" t="s">
        <v>441</v>
      </c>
      <c r="V24" s="125">
        <v>0.09</v>
      </c>
      <c r="W24" s="122"/>
      <c r="X24" s="122"/>
      <c r="Y24" s="125"/>
      <c r="Z24" s="125">
        <v>9.9099999999999994E-2</v>
      </c>
      <c r="AA24" s="122" t="s">
        <v>3390</v>
      </c>
      <c r="AB24" s="122" t="s">
        <v>620</v>
      </c>
      <c r="AC24" s="122" t="s">
        <v>58</v>
      </c>
      <c r="AD24" s="122">
        <v>413000</v>
      </c>
      <c r="AE24" s="152">
        <v>0.17</v>
      </c>
      <c r="AF24" s="122" t="s">
        <v>3467</v>
      </c>
      <c r="AG24" s="122"/>
      <c r="AH24" s="122"/>
      <c r="AI24" s="122"/>
      <c r="AJ24" s="122" t="s">
        <v>62</v>
      </c>
      <c r="AK24" s="122" t="s">
        <v>775</v>
      </c>
      <c r="AL24" s="122"/>
      <c r="AM24" s="122" t="s">
        <v>305</v>
      </c>
      <c r="AN24" s="145">
        <v>45930</v>
      </c>
      <c r="AO24" s="145">
        <v>45930</v>
      </c>
      <c r="AP24" s="122"/>
      <c r="AQ24" s="123">
        <v>144347</v>
      </c>
      <c r="AR24" s="123">
        <v>106.46</v>
      </c>
      <c r="AS24" s="123">
        <v>1</v>
      </c>
      <c r="AT24" s="123">
        <v>153.672</v>
      </c>
      <c r="AU24" s="123">
        <v>153.67181599999998</v>
      </c>
      <c r="AV24" s="122"/>
      <c r="AW24" s="122"/>
      <c r="AX24" s="133"/>
      <c r="AY24" s="122"/>
      <c r="AZ24" s="125">
        <v>7.77E-3</v>
      </c>
      <c r="BA24" s="126">
        <v>1.2999999999999999E-4</v>
      </c>
      <c r="BB24" s="159"/>
    </row>
    <row r="25" spans="1:54" x14ac:dyDescent="0.2">
      <c r="A25" s="121" t="s">
        <v>1211</v>
      </c>
      <c r="B25" s="122" t="s">
        <v>1211</v>
      </c>
      <c r="C25" s="122"/>
      <c r="D25" s="122"/>
      <c r="E25" s="122"/>
      <c r="F25" s="122" t="s">
        <v>3391</v>
      </c>
      <c r="G25" s="122" t="s">
        <v>245</v>
      </c>
      <c r="H25" s="122"/>
      <c r="I25" s="122" t="s">
        <v>53</v>
      </c>
      <c r="J25" s="122"/>
      <c r="K25" s="122" t="s">
        <v>156</v>
      </c>
      <c r="L25" s="122" t="s">
        <v>62</v>
      </c>
      <c r="M25" s="122" t="s">
        <v>55</v>
      </c>
      <c r="N25" s="122"/>
      <c r="O25" s="122" t="s">
        <v>3392</v>
      </c>
      <c r="P25" s="122" t="s">
        <v>1423</v>
      </c>
      <c r="Q25" s="122" t="s">
        <v>70</v>
      </c>
      <c r="R25" s="122" t="s">
        <v>779</v>
      </c>
      <c r="S25" s="122" t="s">
        <v>1216</v>
      </c>
      <c r="T25" s="123">
        <v>7.93</v>
      </c>
      <c r="U25" s="122" t="s">
        <v>442</v>
      </c>
      <c r="V25" s="125">
        <v>3.5099999999999999E-2</v>
      </c>
      <c r="W25" s="122"/>
      <c r="X25" s="122"/>
      <c r="Y25" s="125"/>
      <c r="Z25" s="125">
        <v>3.1699999999999999E-2</v>
      </c>
      <c r="AA25" s="122" t="s">
        <v>3350</v>
      </c>
      <c r="AB25" s="122" t="s">
        <v>620</v>
      </c>
      <c r="AC25" s="122" t="s">
        <v>426</v>
      </c>
      <c r="AD25" s="122"/>
      <c r="AE25" s="152">
        <v>0.75</v>
      </c>
      <c r="AF25" s="122" t="s">
        <v>3467</v>
      </c>
      <c r="AG25" s="122"/>
      <c r="AH25" s="122"/>
      <c r="AI25" s="122"/>
      <c r="AJ25" s="122" t="s">
        <v>55</v>
      </c>
      <c r="AK25" s="122" t="s">
        <v>775</v>
      </c>
      <c r="AL25" s="122"/>
      <c r="AM25" s="122" t="s">
        <v>305</v>
      </c>
      <c r="AN25" s="145">
        <v>45930</v>
      </c>
      <c r="AO25" s="145">
        <v>45930</v>
      </c>
      <c r="AP25" s="122"/>
      <c r="AQ25" s="123">
        <v>133916.10999999999</v>
      </c>
      <c r="AR25" s="123">
        <v>110.08</v>
      </c>
      <c r="AS25" s="123">
        <v>1</v>
      </c>
      <c r="AT25" s="123">
        <v>147.41499999999999</v>
      </c>
      <c r="AU25" s="123">
        <v>147.41485399999999</v>
      </c>
      <c r="AV25" s="122"/>
      <c r="AW25" s="122"/>
      <c r="AX25" s="133"/>
      <c r="AY25" s="122"/>
      <c r="AZ25" s="125">
        <v>7.45E-3</v>
      </c>
      <c r="BA25" s="126">
        <v>1.2999999999999999E-4</v>
      </c>
      <c r="BB25" s="159"/>
    </row>
    <row r="26" spans="1:54" x14ac:dyDescent="0.2">
      <c r="A26" s="121" t="s">
        <v>1211</v>
      </c>
      <c r="B26" s="122" t="s">
        <v>1211</v>
      </c>
      <c r="C26" s="122"/>
      <c r="D26" s="122"/>
      <c r="E26" s="122"/>
      <c r="F26" s="122" t="s">
        <v>3393</v>
      </c>
      <c r="G26" s="122" t="s">
        <v>245</v>
      </c>
      <c r="H26" s="122" t="s">
        <v>818</v>
      </c>
      <c r="I26" s="122" t="s">
        <v>53</v>
      </c>
      <c r="J26" s="122"/>
      <c r="K26" s="122" t="s">
        <v>633</v>
      </c>
      <c r="L26" s="122" t="s">
        <v>62</v>
      </c>
      <c r="M26" s="122" t="s">
        <v>55</v>
      </c>
      <c r="N26" s="122"/>
      <c r="O26" s="122" t="s">
        <v>3379</v>
      </c>
      <c r="P26" s="122"/>
      <c r="Q26" s="122" t="s">
        <v>298</v>
      </c>
      <c r="R26" s="122"/>
      <c r="S26" s="122" t="s">
        <v>1216</v>
      </c>
      <c r="T26" s="123">
        <v>1.0900000000000001</v>
      </c>
      <c r="U26" s="122" t="s">
        <v>441</v>
      </c>
      <c r="V26" s="125">
        <v>8.2500000000000004E-2</v>
      </c>
      <c r="W26" s="122"/>
      <c r="X26" s="122"/>
      <c r="Y26" s="125"/>
      <c r="Z26" s="125">
        <v>5.91E-2</v>
      </c>
      <c r="AA26" s="122" t="s">
        <v>3380</v>
      </c>
      <c r="AB26" s="122" t="s">
        <v>620</v>
      </c>
      <c r="AC26" s="122" t="s">
        <v>58</v>
      </c>
      <c r="AD26" s="122">
        <v>227000</v>
      </c>
      <c r="AE26" s="152">
        <v>0.63</v>
      </c>
      <c r="AF26" s="122" t="s">
        <v>3467</v>
      </c>
      <c r="AG26" s="122"/>
      <c r="AH26" s="122"/>
      <c r="AI26" s="122"/>
      <c r="AJ26" s="122" t="s">
        <v>62</v>
      </c>
      <c r="AK26" s="122" t="s">
        <v>775</v>
      </c>
      <c r="AL26" s="122"/>
      <c r="AM26" s="122" t="s">
        <v>305</v>
      </c>
      <c r="AN26" s="145">
        <v>45930</v>
      </c>
      <c r="AO26" s="145">
        <v>45930</v>
      </c>
      <c r="AP26" s="122"/>
      <c r="AQ26" s="123">
        <v>106048</v>
      </c>
      <c r="AR26" s="123">
        <v>104.37</v>
      </c>
      <c r="AS26" s="123">
        <v>1</v>
      </c>
      <c r="AT26" s="123">
        <v>110.682</v>
      </c>
      <c r="AU26" s="123">
        <v>110.68229799999999</v>
      </c>
      <c r="AV26" s="122"/>
      <c r="AW26" s="122"/>
      <c r="AX26" s="133"/>
      <c r="AY26" s="122"/>
      <c r="AZ26" s="125">
        <v>5.5999999999999999E-3</v>
      </c>
      <c r="BA26" s="126">
        <v>9.0000000000000006E-5</v>
      </c>
      <c r="BB26" s="159"/>
    </row>
    <row r="27" spans="1:54" x14ac:dyDescent="0.2">
      <c r="A27" s="121" t="s">
        <v>1211</v>
      </c>
      <c r="B27" s="122" t="s">
        <v>1211</v>
      </c>
      <c r="C27" s="122"/>
      <c r="D27" s="122"/>
      <c r="E27" s="122"/>
      <c r="F27" s="122" t="s">
        <v>3394</v>
      </c>
      <c r="G27" s="122" t="s">
        <v>245</v>
      </c>
      <c r="H27" s="122"/>
      <c r="I27" s="122" t="s">
        <v>53</v>
      </c>
      <c r="J27" s="122"/>
      <c r="K27" s="122" t="s">
        <v>156</v>
      </c>
      <c r="L27" s="122" t="s">
        <v>62</v>
      </c>
      <c r="M27" s="122" t="s">
        <v>55</v>
      </c>
      <c r="N27" s="122"/>
      <c r="O27" s="122" t="s">
        <v>3395</v>
      </c>
      <c r="P27" s="122" t="s">
        <v>1377</v>
      </c>
      <c r="Q27" s="122" t="s">
        <v>70</v>
      </c>
      <c r="R27" s="122" t="s">
        <v>779</v>
      </c>
      <c r="S27" s="122" t="s">
        <v>1217</v>
      </c>
      <c r="T27" s="123">
        <v>0.76</v>
      </c>
      <c r="U27" s="122" t="s">
        <v>441</v>
      </c>
      <c r="V27" s="125">
        <v>0</v>
      </c>
      <c r="W27" s="122"/>
      <c r="X27" s="122"/>
      <c r="Y27" s="125"/>
      <c r="Z27" s="125">
        <v>8.2500000000000004E-2</v>
      </c>
      <c r="AA27" s="122" t="s">
        <v>1430</v>
      </c>
      <c r="AB27" s="122" t="s">
        <v>620</v>
      </c>
      <c r="AC27" s="122" t="s">
        <v>596</v>
      </c>
      <c r="AD27" s="122"/>
      <c r="AE27" s="152">
        <v>0.35</v>
      </c>
      <c r="AF27" s="122" t="s">
        <v>3467</v>
      </c>
      <c r="AG27" s="122"/>
      <c r="AH27" s="122"/>
      <c r="AI27" s="122"/>
      <c r="AJ27" s="122" t="s">
        <v>55</v>
      </c>
      <c r="AK27" s="122" t="s">
        <v>775</v>
      </c>
      <c r="AL27" s="122"/>
      <c r="AM27" s="122" t="s">
        <v>305</v>
      </c>
      <c r="AN27" s="145">
        <v>45930</v>
      </c>
      <c r="AO27" s="145">
        <v>45930</v>
      </c>
      <c r="AP27" s="122"/>
      <c r="AQ27" s="123">
        <v>31507.39</v>
      </c>
      <c r="AR27" s="123">
        <v>100.01</v>
      </c>
      <c r="AS27" s="123">
        <v>3.306</v>
      </c>
      <c r="AT27" s="123">
        <v>104.17400000000001</v>
      </c>
      <c r="AU27" s="123">
        <v>31.510541</v>
      </c>
      <c r="AV27" s="122"/>
      <c r="AW27" s="122"/>
      <c r="AX27" s="133"/>
      <c r="AY27" s="122"/>
      <c r="AZ27" s="125">
        <v>5.2700000000000004E-3</v>
      </c>
      <c r="BA27" s="126">
        <v>9.0000000000000006E-5</v>
      </c>
      <c r="BB27" s="159"/>
    </row>
    <row r="28" spans="1:54" x14ac:dyDescent="0.2">
      <c r="A28" s="121" t="s">
        <v>1211</v>
      </c>
      <c r="B28" s="122" t="s">
        <v>1211</v>
      </c>
      <c r="C28" s="122"/>
      <c r="D28" s="122"/>
      <c r="E28" s="122"/>
      <c r="F28" s="122" t="s">
        <v>3396</v>
      </c>
      <c r="G28" s="122" t="s">
        <v>245</v>
      </c>
      <c r="H28" s="122"/>
      <c r="I28" s="122" t="s">
        <v>53</v>
      </c>
      <c r="J28" s="122"/>
      <c r="K28" s="122" t="s">
        <v>156</v>
      </c>
      <c r="L28" s="122" t="s">
        <v>62</v>
      </c>
      <c r="M28" s="122" t="s">
        <v>55</v>
      </c>
      <c r="N28" s="122"/>
      <c r="O28" s="122" t="s">
        <v>3397</v>
      </c>
      <c r="P28" s="122" t="s">
        <v>1423</v>
      </c>
      <c r="Q28" s="122" t="s">
        <v>70</v>
      </c>
      <c r="R28" s="122" t="s">
        <v>779</v>
      </c>
      <c r="S28" s="122" t="s">
        <v>1216</v>
      </c>
      <c r="T28" s="123">
        <v>8.08</v>
      </c>
      <c r="U28" s="122" t="s">
        <v>442</v>
      </c>
      <c r="V28" s="125">
        <v>2.9100000000000001E-2</v>
      </c>
      <c r="W28" s="122"/>
      <c r="X28" s="122"/>
      <c r="Y28" s="125"/>
      <c r="Z28" s="125">
        <v>2.98E-2</v>
      </c>
      <c r="AA28" s="122" t="s">
        <v>3350</v>
      </c>
      <c r="AB28" s="122" t="s">
        <v>620</v>
      </c>
      <c r="AC28" s="122"/>
      <c r="AD28" s="122"/>
      <c r="AE28" s="152">
        <v>0.75</v>
      </c>
      <c r="AF28" s="122" t="s">
        <v>3467</v>
      </c>
      <c r="AG28" s="122"/>
      <c r="AH28" s="122"/>
      <c r="AI28" s="122"/>
      <c r="AJ28" s="122" t="s">
        <v>55</v>
      </c>
      <c r="AK28" s="122" t="s">
        <v>775</v>
      </c>
      <c r="AL28" s="122"/>
      <c r="AM28" s="122" t="s">
        <v>305</v>
      </c>
      <c r="AN28" s="145">
        <v>45930</v>
      </c>
      <c r="AO28" s="145">
        <v>45930</v>
      </c>
      <c r="AP28" s="122"/>
      <c r="AQ28" s="123">
        <v>94687.73</v>
      </c>
      <c r="AR28" s="123">
        <v>109.35</v>
      </c>
      <c r="AS28" s="123">
        <v>1</v>
      </c>
      <c r="AT28" s="123">
        <v>103.541</v>
      </c>
      <c r="AU28" s="123">
        <v>103.541033</v>
      </c>
      <c r="AV28" s="122"/>
      <c r="AW28" s="122"/>
      <c r="AX28" s="133"/>
      <c r="AY28" s="122"/>
      <c r="AZ28" s="125">
        <v>5.2399999999999999E-3</v>
      </c>
      <c r="BA28" s="126">
        <v>9.0000000000000006E-5</v>
      </c>
      <c r="BB28" s="159"/>
    </row>
    <row r="29" spans="1:54" x14ac:dyDescent="0.2">
      <c r="A29" s="121" t="s">
        <v>1211</v>
      </c>
      <c r="B29" s="122" t="s">
        <v>1211</v>
      </c>
      <c r="C29" s="122"/>
      <c r="D29" s="122"/>
      <c r="E29" s="122"/>
      <c r="F29" s="122" t="s">
        <v>3398</v>
      </c>
      <c r="G29" s="122" t="s">
        <v>245</v>
      </c>
      <c r="H29" s="122" t="s">
        <v>818</v>
      </c>
      <c r="I29" s="122" t="s">
        <v>53</v>
      </c>
      <c r="J29" s="122"/>
      <c r="K29" s="122" t="s">
        <v>633</v>
      </c>
      <c r="L29" s="122" t="s">
        <v>62</v>
      </c>
      <c r="M29" s="122" t="s">
        <v>55</v>
      </c>
      <c r="N29" s="122"/>
      <c r="O29" s="122" t="s">
        <v>3399</v>
      </c>
      <c r="P29" s="122"/>
      <c r="Q29" s="122" t="s">
        <v>298</v>
      </c>
      <c r="R29" s="122"/>
      <c r="S29" s="122" t="s">
        <v>1216</v>
      </c>
      <c r="T29" s="123">
        <v>1.0900000000000001</v>
      </c>
      <c r="U29" s="122" t="s">
        <v>441</v>
      </c>
      <c r="V29" s="125">
        <v>8.2500000000000004E-2</v>
      </c>
      <c r="W29" s="122"/>
      <c r="X29" s="122"/>
      <c r="Y29" s="125"/>
      <c r="Z29" s="125">
        <v>5.8799999999999998E-2</v>
      </c>
      <c r="AA29" s="122" t="s">
        <v>3380</v>
      </c>
      <c r="AB29" s="122" t="s">
        <v>620</v>
      </c>
      <c r="AC29" s="122" t="s">
        <v>58</v>
      </c>
      <c r="AD29" s="122">
        <v>227000</v>
      </c>
      <c r="AE29" s="152">
        <v>0.63</v>
      </c>
      <c r="AF29" s="122" t="s">
        <v>3467</v>
      </c>
      <c r="AG29" s="122"/>
      <c r="AH29" s="122"/>
      <c r="AI29" s="122"/>
      <c r="AJ29" s="122" t="s">
        <v>62</v>
      </c>
      <c r="AK29" s="122" t="s">
        <v>775</v>
      </c>
      <c r="AL29" s="122"/>
      <c r="AM29" s="122" t="s">
        <v>305</v>
      </c>
      <c r="AN29" s="145">
        <v>45930</v>
      </c>
      <c r="AO29" s="145">
        <v>45930</v>
      </c>
      <c r="AP29" s="122"/>
      <c r="AQ29" s="123">
        <v>84993</v>
      </c>
      <c r="AR29" s="123">
        <v>104.4</v>
      </c>
      <c r="AS29" s="123">
        <v>1</v>
      </c>
      <c r="AT29" s="123">
        <v>88.733000000000004</v>
      </c>
      <c r="AU29" s="123">
        <v>88.732692</v>
      </c>
      <c r="AV29" s="122"/>
      <c r="AW29" s="122"/>
      <c r="AX29" s="133"/>
      <c r="AY29" s="122"/>
      <c r="AZ29" s="125">
        <v>4.4900000000000001E-3</v>
      </c>
      <c r="BA29" s="126">
        <v>8.0000000000000007E-5</v>
      </c>
      <c r="BB29" s="159"/>
    </row>
    <row r="30" spans="1:54" x14ac:dyDescent="0.2">
      <c r="A30" s="121" t="s">
        <v>1211</v>
      </c>
      <c r="B30" s="122" t="s">
        <v>1211</v>
      </c>
      <c r="C30" s="122"/>
      <c r="D30" s="122"/>
      <c r="E30" s="122"/>
      <c r="F30" s="122" t="s">
        <v>3400</v>
      </c>
      <c r="G30" s="122" t="s">
        <v>245</v>
      </c>
      <c r="H30" s="122" t="s">
        <v>818</v>
      </c>
      <c r="I30" s="122" t="s">
        <v>53</v>
      </c>
      <c r="J30" s="122"/>
      <c r="K30" s="122" t="s">
        <v>633</v>
      </c>
      <c r="L30" s="122" t="s">
        <v>62</v>
      </c>
      <c r="M30" s="122" t="s">
        <v>55</v>
      </c>
      <c r="N30" s="122"/>
      <c r="O30" s="122" t="s">
        <v>3401</v>
      </c>
      <c r="P30" s="122"/>
      <c r="Q30" s="122" t="s">
        <v>298</v>
      </c>
      <c r="R30" s="122"/>
      <c r="S30" s="122" t="s">
        <v>1216</v>
      </c>
      <c r="T30" s="123">
        <v>1.0900000000000001</v>
      </c>
      <c r="U30" s="122" t="s">
        <v>441</v>
      </c>
      <c r="V30" s="125">
        <v>8.2500000000000004E-2</v>
      </c>
      <c r="W30" s="122"/>
      <c r="X30" s="122"/>
      <c r="Y30" s="125"/>
      <c r="Z30" s="125">
        <v>5.9799999999999999E-2</v>
      </c>
      <c r="AA30" s="122" t="s">
        <v>3380</v>
      </c>
      <c r="AB30" s="122" t="s">
        <v>620</v>
      </c>
      <c r="AC30" s="122" t="s">
        <v>58</v>
      </c>
      <c r="AD30" s="122">
        <v>227000</v>
      </c>
      <c r="AE30" s="152">
        <v>0.63</v>
      </c>
      <c r="AF30" s="122" t="s">
        <v>3467</v>
      </c>
      <c r="AG30" s="122"/>
      <c r="AH30" s="122"/>
      <c r="AI30" s="122"/>
      <c r="AJ30" s="122" t="s">
        <v>62</v>
      </c>
      <c r="AK30" s="122" t="s">
        <v>775</v>
      </c>
      <c r="AL30" s="122"/>
      <c r="AM30" s="122" t="s">
        <v>305</v>
      </c>
      <c r="AN30" s="145">
        <v>45930</v>
      </c>
      <c r="AO30" s="145">
        <v>45930</v>
      </c>
      <c r="AP30" s="122"/>
      <c r="AQ30" s="123">
        <v>82160</v>
      </c>
      <c r="AR30" s="123">
        <v>104.29</v>
      </c>
      <c r="AS30" s="123">
        <v>1</v>
      </c>
      <c r="AT30" s="123">
        <v>85.685000000000002</v>
      </c>
      <c r="AU30" s="123">
        <v>85.684663999999998</v>
      </c>
      <c r="AV30" s="122"/>
      <c r="AW30" s="122"/>
      <c r="AX30" s="133"/>
      <c r="AY30" s="122"/>
      <c r="AZ30" s="125">
        <v>4.3299999999999996E-3</v>
      </c>
      <c r="BA30" s="126">
        <v>6.9999999999999994E-5</v>
      </c>
      <c r="BB30" s="159"/>
    </row>
    <row r="31" spans="1:54" x14ac:dyDescent="0.2">
      <c r="A31" s="121" t="s">
        <v>1211</v>
      </c>
      <c r="B31" s="122" t="s">
        <v>1211</v>
      </c>
      <c r="C31" s="122"/>
      <c r="D31" s="122"/>
      <c r="E31" s="122"/>
      <c r="F31" s="122" t="s">
        <v>3402</v>
      </c>
      <c r="G31" s="122" t="s">
        <v>245</v>
      </c>
      <c r="H31" s="122"/>
      <c r="I31" s="122" t="s">
        <v>53</v>
      </c>
      <c r="J31" s="122"/>
      <c r="K31" s="122" t="s">
        <v>163</v>
      </c>
      <c r="L31" s="122" t="s">
        <v>62</v>
      </c>
      <c r="M31" s="122" t="s">
        <v>55</v>
      </c>
      <c r="N31" s="122"/>
      <c r="O31" s="122" t="s">
        <v>3342</v>
      </c>
      <c r="P31" s="122" t="s">
        <v>1454</v>
      </c>
      <c r="Q31" s="122" t="s">
        <v>70</v>
      </c>
      <c r="R31" s="122" t="s">
        <v>779</v>
      </c>
      <c r="S31" s="122" t="s">
        <v>1216</v>
      </c>
      <c r="T31" s="123">
        <v>9.92</v>
      </c>
      <c r="U31" s="122" t="s">
        <v>442</v>
      </c>
      <c r="V31" s="125">
        <v>0.03</v>
      </c>
      <c r="W31" s="122"/>
      <c r="X31" s="122"/>
      <c r="Y31" s="125"/>
      <c r="Z31" s="125">
        <v>3.4799999999999998E-2</v>
      </c>
      <c r="AA31" s="122" t="s">
        <v>3343</v>
      </c>
      <c r="AB31" s="122" t="s">
        <v>620</v>
      </c>
      <c r="AC31" s="122" t="s">
        <v>163</v>
      </c>
      <c r="AD31" s="122">
        <v>3000000</v>
      </c>
      <c r="AE31" s="152">
        <v>0.75</v>
      </c>
      <c r="AF31" s="122" t="s">
        <v>3467</v>
      </c>
      <c r="AG31" s="122"/>
      <c r="AH31" s="122"/>
      <c r="AI31" s="122"/>
      <c r="AJ31" s="122" t="s">
        <v>62</v>
      </c>
      <c r="AK31" s="122" t="s">
        <v>775</v>
      </c>
      <c r="AL31" s="122"/>
      <c r="AM31" s="122" t="s">
        <v>305</v>
      </c>
      <c r="AN31" s="145">
        <v>45930</v>
      </c>
      <c r="AO31" s="145">
        <v>45930</v>
      </c>
      <c r="AP31" s="122"/>
      <c r="AQ31" s="123">
        <v>69825.649999999994</v>
      </c>
      <c r="AR31" s="123">
        <v>113.5</v>
      </c>
      <c r="AS31" s="123">
        <v>1</v>
      </c>
      <c r="AT31" s="123">
        <v>79.251999999999995</v>
      </c>
      <c r="AU31" s="123">
        <v>79.252112999999994</v>
      </c>
      <c r="AV31" s="122"/>
      <c r="AW31" s="122"/>
      <c r="AX31" s="133"/>
      <c r="AY31" s="122"/>
      <c r="AZ31" s="125">
        <v>4.0099999999999997E-3</v>
      </c>
      <c r="BA31" s="126">
        <v>6.9999999999999994E-5</v>
      </c>
      <c r="BB31" s="159"/>
    </row>
    <row r="32" spans="1:54" x14ac:dyDescent="0.2">
      <c r="A32" s="121" t="s">
        <v>1211</v>
      </c>
      <c r="B32" s="122" t="s">
        <v>1211</v>
      </c>
      <c r="C32" s="122"/>
      <c r="D32" s="122"/>
      <c r="E32" s="122"/>
      <c r="F32" s="122" t="s">
        <v>3403</v>
      </c>
      <c r="G32" s="122" t="s">
        <v>245</v>
      </c>
      <c r="H32" s="122" t="s">
        <v>818</v>
      </c>
      <c r="I32" s="122" t="s">
        <v>53</v>
      </c>
      <c r="J32" s="122"/>
      <c r="K32" s="122" t="s">
        <v>633</v>
      </c>
      <c r="L32" s="122" t="s">
        <v>62</v>
      </c>
      <c r="M32" s="122" t="s">
        <v>55</v>
      </c>
      <c r="N32" s="122"/>
      <c r="O32" s="122" t="s">
        <v>3404</v>
      </c>
      <c r="P32" s="122"/>
      <c r="Q32" s="122" t="s">
        <v>298</v>
      </c>
      <c r="R32" s="122"/>
      <c r="S32" s="122" t="s">
        <v>1216</v>
      </c>
      <c r="T32" s="123">
        <v>1.0900000000000001</v>
      </c>
      <c r="U32" s="122" t="s">
        <v>441</v>
      </c>
      <c r="V32" s="125">
        <v>8.2500000000000004E-2</v>
      </c>
      <c r="W32" s="122"/>
      <c r="X32" s="122"/>
      <c r="Y32" s="125"/>
      <c r="Z32" s="125">
        <v>6.0600000000000001E-2</v>
      </c>
      <c r="AA32" s="122" t="s">
        <v>3380</v>
      </c>
      <c r="AB32" s="122" t="s">
        <v>620</v>
      </c>
      <c r="AC32" s="122" t="s">
        <v>58</v>
      </c>
      <c r="AD32" s="122">
        <v>227000</v>
      </c>
      <c r="AE32" s="152">
        <v>0.63</v>
      </c>
      <c r="AF32" s="122" t="s">
        <v>3467</v>
      </c>
      <c r="AG32" s="122"/>
      <c r="AH32" s="122"/>
      <c r="AI32" s="122"/>
      <c r="AJ32" s="122" t="s">
        <v>62</v>
      </c>
      <c r="AK32" s="122" t="s">
        <v>775</v>
      </c>
      <c r="AL32" s="122"/>
      <c r="AM32" s="122" t="s">
        <v>305</v>
      </c>
      <c r="AN32" s="145">
        <v>45930</v>
      </c>
      <c r="AO32" s="145">
        <v>45930</v>
      </c>
      <c r="AP32" s="122"/>
      <c r="AQ32" s="123">
        <v>57512</v>
      </c>
      <c r="AR32" s="123">
        <v>104.2</v>
      </c>
      <c r="AS32" s="123">
        <v>1</v>
      </c>
      <c r="AT32" s="123">
        <v>59.927999999999997</v>
      </c>
      <c r="AU32" s="123">
        <v>59.927503999999999</v>
      </c>
      <c r="AV32" s="122"/>
      <c r="AW32" s="122"/>
      <c r="AX32" s="133"/>
      <c r="AY32" s="122"/>
      <c r="AZ32" s="125">
        <v>3.0300000000000001E-3</v>
      </c>
      <c r="BA32" s="126">
        <v>5.0000000000000002E-5</v>
      </c>
      <c r="BB32" s="159"/>
    </row>
    <row r="33" spans="1:54" x14ac:dyDescent="0.2">
      <c r="A33" s="121" t="s">
        <v>1211</v>
      </c>
      <c r="B33" s="122" t="s">
        <v>1211</v>
      </c>
      <c r="C33" s="122"/>
      <c r="D33" s="122"/>
      <c r="E33" s="122"/>
      <c r="F33" s="122" t="s">
        <v>3405</v>
      </c>
      <c r="G33" s="122" t="s">
        <v>245</v>
      </c>
      <c r="H33" s="122"/>
      <c r="I33" s="122" t="s">
        <v>53</v>
      </c>
      <c r="J33" s="122"/>
      <c r="K33" s="122" t="s">
        <v>156</v>
      </c>
      <c r="L33" s="122" t="s">
        <v>62</v>
      </c>
      <c r="M33" s="122" t="s">
        <v>55</v>
      </c>
      <c r="N33" s="122"/>
      <c r="O33" s="122" t="s">
        <v>3406</v>
      </c>
      <c r="P33" s="122" t="s">
        <v>1423</v>
      </c>
      <c r="Q33" s="122" t="s">
        <v>70</v>
      </c>
      <c r="R33" s="122" t="s">
        <v>779</v>
      </c>
      <c r="S33" s="122" t="s">
        <v>1216</v>
      </c>
      <c r="T33" s="123">
        <v>9.5399999999999991</v>
      </c>
      <c r="U33" s="122" t="s">
        <v>442</v>
      </c>
      <c r="V33" s="125">
        <v>4.4592E-2</v>
      </c>
      <c r="W33" s="122"/>
      <c r="X33" s="122"/>
      <c r="Y33" s="125"/>
      <c r="Z33" s="125">
        <v>3.5700000000000003E-2</v>
      </c>
      <c r="AA33" s="122" t="s">
        <v>3350</v>
      </c>
      <c r="AB33" s="122" t="s">
        <v>620</v>
      </c>
      <c r="AC33" s="122"/>
      <c r="AD33" s="122"/>
      <c r="AE33" s="152">
        <v>0.75</v>
      </c>
      <c r="AF33" s="122"/>
      <c r="AG33" s="122"/>
      <c r="AH33" s="122"/>
      <c r="AI33" s="122"/>
      <c r="AJ33" s="122" t="s">
        <v>55</v>
      </c>
      <c r="AK33" s="122" t="s">
        <v>775</v>
      </c>
      <c r="AL33" s="122"/>
      <c r="AM33" s="122" t="s">
        <v>305</v>
      </c>
      <c r="AN33" s="145">
        <v>45930</v>
      </c>
      <c r="AO33" s="145">
        <v>45930</v>
      </c>
      <c r="AP33" s="122"/>
      <c r="AQ33" s="123">
        <v>49374.45</v>
      </c>
      <c r="AR33" s="123">
        <v>108.95</v>
      </c>
      <c r="AS33" s="123">
        <v>1</v>
      </c>
      <c r="AT33" s="123">
        <v>53.792999999999999</v>
      </c>
      <c r="AU33" s="123">
        <v>53.793463000000003</v>
      </c>
      <c r="AV33" s="122"/>
      <c r="AW33" s="122"/>
      <c r="AX33" s="133"/>
      <c r="AY33" s="122"/>
      <c r="AZ33" s="125">
        <v>2.7200000000000002E-3</v>
      </c>
      <c r="BA33" s="126">
        <v>5.0000000000000002E-5</v>
      </c>
      <c r="BB33" s="159"/>
    </row>
    <row r="34" spans="1:54" x14ac:dyDescent="0.2">
      <c r="A34" s="121" t="s">
        <v>1211</v>
      </c>
      <c r="B34" s="122" t="s">
        <v>1211</v>
      </c>
      <c r="C34" s="122"/>
      <c r="D34" s="122"/>
      <c r="E34" s="122"/>
      <c r="F34" s="122" t="s">
        <v>3407</v>
      </c>
      <c r="G34" s="122" t="s">
        <v>245</v>
      </c>
      <c r="H34" s="122" t="s">
        <v>818</v>
      </c>
      <c r="I34" s="122" t="s">
        <v>53</v>
      </c>
      <c r="J34" s="122"/>
      <c r="K34" s="122" t="s">
        <v>633</v>
      </c>
      <c r="L34" s="122" t="s">
        <v>62</v>
      </c>
      <c r="M34" s="122" t="s">
        <v>55</v>
      </c>
      <c r="N34" s="122"/>
      <c r="O34" s="122" t="s">
        <v>3408</v>
      </c>
      <c r="P34" s="122"/>
      <c r="Q34" s="122" t="s">
        <v>298</v>
      </c>
      <c r="R34" s="122"/>
      <c r="S34" s="122" t="s">
        <v>1216</v>
      </c>
      <c r="T34" s="123">
        <v>1.0900000000000001</v>
      </c>
      <c r="U34" s="122" t="s">
        <v>441</v>
      </c>
      <c r="V34" s="125">
        <v>8.2500000000000004E-2</v>
      </c>
      <c r="W34" s="122"/>
      <c r="X34" s="122"/>
      <c r="Y34" s="125"/>
      <c r="Z34" s="125">
        <v>7.1199999999999999E-2</v>
      </c>
      <c r="AA34" s="122" t="s">
        <v>3380</v>
      </c>
      <c r="AB34" s="122" t="s">
        <v>620</v>
      </c>
      <c r="AC34" s="122" t="s">
        <v>58</v>
      </c>
      <c r="AD34" s="122">
        <v>227000</v>
      </c>
      <c r="AE34" s="152">
        <v>0.63</v>
      </c>
      <c r="AF34" s="122" t="s">
        <v>3467</v>
      </c>
      <c r="AG34" s="122"/>
      <c r="AH34" s="122"/>
      <c r="AI34" s="122"/>
      <c r="AJ34" s="122" t="s">
        <v>62</v>
      </c>
      <c r="AK34" s="122" t="s">
        <v>775</v>
      </c>
      <c r="AL34" s="122"/>
      <c r="AM34" s="122" t="s">
        <v>305</v>
      </c>
      <c r="AN34" s="145">
        <v>45930</v>
      </c>
      <c r="AO34" s="145">
        <v>45930</v>
      </c>
      <c r="AP34" s="122"/>
      <c r="AQ34" s="123">
        <v>47596</v>
      </c>
      <c r="AR34" s="123">
        <v>103.08</v>
      </c>
      <c r="AS34" s="123">
        <v>1</v>
      </c>
      <c r="AT34" s="123">
        <v>49.061999999999998</v>
      </c>
      <c r="AU34" s="123">
        <v>49.061957</v>
      </c>
      <c r="AV34" s="122"/>
      <c r="AW34" s="122"/>
      <c r="AX34" s="133"/>
      <c r="AY34" s="122"/>
      <c r="AZ34" s="125">
        <v>2.48E-3</v>
      </c>
      <c r="BA34" s="126">
        <v>4.0000000000000003E-5</v>
      </c>
      <c r="BB34" s="159"/>
    </row>
    <row r="35" spans="1:54" x14ac:dyDescent="0.2">
      <c r="A35" s="121" t="s">
        <v>1211</v>
      </c>
      <c r="B35" s="122" t="s">
        <v>1211</v>
      </c>
      <c r="C35" s="122"/>
      <c r="D35" s="122"/>
      <c r="E35" s="122"/>
      <c r="F35" s="122" t="s">
        <v>3409</v>
      </c>
      <c r="G35" s="122" t="s">
        <v>245</v>
      </c>
      <c r="H35" s="122"/>
      <c r="I35" s="122" t="s">
        <v>53</v>
      </c>
      <c r="J35" s="122"/>
      <c r="K35" s="122" t="s">
        <v>258</v>
      </c>
      <c r="L35" s="122" t="s">
        <v>62</v>
      </c>
      <c r="M35" s="122" t="s">
        <v>55</v>
      </c>
      <c r="N35" s="122"/>
      <c r="O35" s="122" t="s">
        <v>3410</v>
      </c>
      <c r="P35" s="122"/>
      <c r="Q35" s="122" t="s">
        <v>298</v>
      </c>
      <c r="R35" s="122"/>
      <c r="S35" s="122" t="s">
        <v>1216</v>
      </c>
      <c r="T35" s="123">
        <v>1.25</v>
      </c>
      <c r="U35" s="122" t="s">
        <v>442</v>
      </c>
      <c r="V35" s="125">
        <v>5.0799999999999998E-2</v>
      </c>
      <c r="W35" s="122"/>
      <c r="X35" s="122"/>
      <c r="Y35" s="125"/>
      <c r="Z35" s="125">
        <v>5.1499999999999997E-2</v>
      </c>
      <c r="AA35" s="122" t="s">
        <v>1430</v>
      </c>
      <c r="AB35" s="122" t="s">
        <v>620</v>
      </c>
      <c r="AC35" s="122"/>
      <c r="AD35" s="122"/>
      <c r="AE35" s="152"/>
      <c r="AF35" s="122"/>
      <c r="AG35" s="122"/>
      <c r="AH35" s="122"/>
      <c r="AI35" s="122"/>
      <c r="AJ35" s="122" t="s">
        <v>55</v>
      </c>
      <c r="AK35" s="122" t="s">
        <v>775</v>
      </c>
      <c r="AL35" s="122"/>
      <c r="AM35" s="122" t="s">
        <v>305</v>
      </c>
      <c r="AN35" s="145">
        <v>45930</v>
      </c>
      <c r="AO35" s="145">
        <v>45930</v>
      </c>
      <c r="AP35" s="122"/>
      <c r="AQ35" s="123">
        <v>37907.17</v>
      </c>
      <c r="AR35" s="123">
        <v>100.27</v>
      </c>
      <c r="AS35" s="123">
        <v>1</v>
      </c>
      <c r="AT35" s="123">
        <v>38.01</v>
      </c>
      <c r="AU35" s="123">
        <v>38.009518999999997</v>
      </c>
      <c r="AV35" s="122"/>
      <c r="AW35" s="122"/>
      <c r="AX35" s="133"/>
      <c r="AY35" s="122"/>
      <c r="AZ35" s="125">
        <v>1.92E-3</v>
      </c>
      <c r="BA35" s="126">
        <v>3.0000000000000001E-5</v>
      </c>
      <c r="BB35" s="159"/>
    </row>
    <row r="36" spans="1:54" x14ac:dyDescent="0.2">
      <c r="A36" s="121" t="s">
        <v>1211</v>
      </c>
      <c r="B36" s="122" t="s">
        <v>1211</v>
      </c>
      <c r="C36" s="122"/>
      <c r="D36" s="122"/>
      <c r="E36" s="122"/>
      <c r="F36" s="122" t="s">
        <v>3411</v>
      </c>
      <c r="G36" s="122" t="s">
        <v>245</v>
      </c>
      <c r="H36" s="122"/>
      <c r="I36" s="122" t="s">
        <v>53</v>
      </c>
      <c r="J36" s="122"/>
      <c r="K36" s="122" t="s">
        <v>163</v>
      </c>
      <c r="L36" s="122" t="s">
        <v>62</v>
      </c>
      <c r="M36" s="122" t="s">
        <v>55</v>
      </c>
      <c r="N36" s="122"/>
      <c r="O36" s="122" t="s">
        <v>3412</v>
      </c>
      <c r="P36" s="122" t="s">
        <v>1546</v>
      </c>
      <c r="Q36" s="122" t="s">
        <v>65</v>
      </c>
      <c r="R36" s="122" t="s">
        <v>779</v>
      </c>
      <c r="S36" s="122" t="s">
        <v>1216</v>
      </c>
      <c r="T36" s="123">
        <v>5.27</v>
      </c>
      <c r="U36" s="122" t="s">
        <v>442</v>
      </c>
      <c r="V36" s="125">
        <v>3.3099999999999997E-2</v>
      </c>
      <c r="W36" s="122"/>
      <c r="X36" s="122"/>
      <c r="Y36" s="125"/>
      <c r="Z36" s="125">
        <v>3.3500000000000002E-2</v>
      </c>
      <c r="AA36" s="122" t="s">
        <v>3359</v>
      </c>
      <c r="AB36" s="122" t="s">
        <v>620</v>
      </c>
      <c r="AC36" s="122"/>
      <c r="AD36" s="122"/>
      <c r="AE36" s="152"/>
      <c r="AF36" s="122" t="s">
        <v>3467</v>
      </c>
      <c r="AG36" s="122"/>
      <c r="AH36" s="122"/>
      <c r="AI36" s="122"/>
      <c r="AJ36" s="122"/>
      <c r="AK36" s="122" t="s">
        <v>775</v>
      </c>
      <c r="AL36" s="122"/>
      <c r="AM36" s="122" t="s">
        <v>305</v>
      </c>
      <c r="AN36" s="145">
        <v>45930</v>
      </c>
      <c r="AO36" s="145">
        <v>45930</v>
      </c>
      <c r="AP36" s="122"/>
      <c r="AQ36" s="123">
        <v>25832.639999999999</v>
      </c>
      <c r="AR36" s="123">
        <v>119.68</v>
      </c>
      <c r="AS36" s="123">
        <v>1</v>
      </c>
      <c r="AT36" s="123">
        <v>30.917000000000002</v>
      </c>
      <c r="AU36" s="123">
        <v>30.916504</v>
      </c>
      <c r="AV36" s="122"/>
      <c r="AW36" s="122"/>
      <c r="AX36" s="133"/>
      <c r="AY36" s="122"/>
      <c r="AZ36" s="125">
        <v>1.56E-3</v>
      </c>
      <c r="BA36" s="126">
        <v>3.0000000000000001E-5</v>
      </c>
      <c r="BB36" s="159"/>
    </row>
    <row r="37" spans="1:54" x14ac:dyDescent="0.2">
      <c r="A37" s="121" t="s">
        <v>1211</v>
      </c>
      <c r="B37" s="122" t="s">
        <v>1211</v>
      </c>
      <c r="C37" s="122"/>
      <c r="D37" s="122"/>
      <c r="E37" s="122"/>
      <c r="F37" s="122" t="s">
        <v>3413</v>
      </c>
      <c r="G37" s="122" t="s">
        <v>245</v>
      </c>
      <c r="H37" s="122" t="s">
        <v>818</v>
      </c>
      <c r="I37" s="122" t="s">
        <v>53</v>
      </c>
      <c r="J37" s="122"/>
      <c r="K37" s="122" t="s">
        <v>633</v>
      </c>
      <c r="L37" s="122" t="s">
        <v>62</v>
      </c>
      <c r="M37" s="122" t="s">
        <v>55</v>
      </c>
      <c r="N37" s="122"/>
      <c r="O37" s="122" t="s">
        <v>3414</v>
      </c>
      <c r="P37" s="122"/>
      <c r="Q37" s="122" t="s">
        <v>298</v>
      </c>
      <c r="R37" s="122"/>
      <c r="S37" s="122" t="s">
        <v>1216</v>
      </c>
      <c r="T37" s="123">
        <v>1.0900000000000001</v>
      </c>
      <c r="U37" s="122" t="s">
        <v>441</v>
      </c>
      <c r="V37" s="125">
        <v>8.2500000000000004E-2</v>
      </c>
      <c r="W37" s="122"/>
      <c r="X37" s="122"/>
      <c r="Y37" s="125"/>
      <c r="Z37" s="125">
        <v>7.4099999999999999E-2</v>
      </c>
      <c r="AA37" s="122" t="s">
        <v>3380</v>
      </c>
      <c r="AB37" s="122" t="s">
        <v>620</v>
      </c>
      <c r="AC37" s="122" t="s">
        <v>58</v>
      </c>
      <c r="AD37" s="122">
        <v>227000</v>
      </c>
      <c r="AE37" s="152">
        <v>0.63</v>
      </c>
      <c r="AF37" s="122" t="s">
        <v>3467</v>
      </c>
      <c r="AG37" s="122"/>
      <c r="AH37" s="122"/>
      <c r="AI37" s="122"/>
      <c r="AJ37" s="122" t="s">
        <v>62</v>
      </c>
      <c r="AK37" s="122" t="s">
        <v>775</v>
      </c>
      <c r="AL37" s="122"/>
      <c r="AM37" s="122" t="s">
        <v>305</v>
      </c>
      <c r="AN37" s="145">
        <v>45930</v>
      </c>
      <c r="AO37" s="145">
        <v>45930</v>
      </c>
      <c r="AP37" s="122"/>
      <c r="AQ37" s="123">
        <v>28331.03</v>
      </c>
      <c r="AR37" s="123">
        <v>102.78</v>
      </c>
      <c r="AS37" s="123">
        <v>1</v>
      </c>
      <c r="AT37" s="123">
        <v>29.119</v>
      </c>
      <c r="AU37" s="123">
        <v>29.118633000000003</v>
      </c>
      <c r="AV37" s="122"/>
      <c r="AW37" s="122"/>
      <c r="AX37" s="133"/>
      <c r="AY37" s="122"/>
      <c r="AZ37" s="125">
        <v>1.47E-3</v>
      </c>
      <c r="BA37" s="126">
        <v>2.0000000000000002E-5</v>
      </c>
      <c r="BB37" s="159"/>
    </row>
    <row r="38" spans="1:54" x14ac:dyDescent="0.2">
      <c r="A38" s="121" t="s">
        <v>1211</v>
      </c>
      <c r="B38" s="122" t="s">
        <v>1211</v>
      </c>
      <c r="C38" s="122"/>
      <c r="D38" s="122"/>
      <c r="E38" s="122"/>
      <c r="F38" s="122" t="s">
        <v>3415</v>
      </c>
      <c r="G38" s="122" t="s">
        <v>245</v>
      </c>
      <c r="H38" s="122" t="s">
        <v>818</v>
      </c>
      <c r="I38" s="122" t="s">
        <v>53</v>
      </c>
      <c r="J38" s="122"/>
      <c r="K38" s="122" t="s">
        <v>633</v>
      </c>
      <c r="L38" s="122" t="s">
        <v>62</v>
      </c>
      <c r="M38" s="122" t="s">
        <v>55</v>
      </c>
      <c r="N38" s="122"/>
      <c r="O38" s="122" t="s">
        <v>2789</v>
      </c>
      <c r="P38" s="122"/>
      <c r="Q38" s="122" t="s">
        <v>298</v>
      </c>
      <c r="R38" s="122"/>
      <c r="S38" s="122" t="s">
        <v>1216</v>
      </c>
      <c r="T38" s="123">
        <v>0.18</v>
      </c>
      <c r="U38" s="122" t="s">
        <v>441</v>
      </c>
      <c r="V38" s="125">
        <v>0.08</v>
      </c>
      <c r="W38" s="122"/>
      <c r="X38" s="122"/>
      <c r="Y38" s="125"/>
      <c r="Z38" s="125">
        <v>8.8999999999999996E-2</v>
      </c>
      <c r="AA38" s="122" t="s">
        <v>3387</v>
      </c>
      <c r="AB38" s="122" t="s">
        <v>620</v>
      </c>
      <c r="AC38" s="122" t="s">
        <v>58</v>
      </c>
      <c r="AD38" s="122">
        <v>130000</v>
      </c>
      <c r="AE38" s="152">
        <v>0.68</v>
      </c>
      <c r="AF38" s="122" t="s">
        <v>3467</v>
      </c>
      <c r="AG38" s="122"/>
      <c r="AH38" s="122"/>
      <c r="AI38" s="122"/>
      <c r="AJ38" s="122" t="s">
        <v>55</v>
      </c>
      <c r="AK38" s="122" t="s">
        <v>775</v>
      </c>
      <c r="AL38" s="122"/>
      <c r="AM38" s="122" t="s">
        <v>305</v>
      </c>
      <c r="AN38" s="145">
        <v>45930</v>
      </c>
      <c r="AO38" s="145">
        <v>45930</v>
      </c>
      <c r="AP38" s="122"/>
      <c r="AQ38" s="123">
        <v>25427.46</v>
      </c>
      <c r="AR38" s="123">
        <v>101.21</v>
      </c>
      <c r="AS38" s="123">
        <v>1</v>
      </c>
      <c r="AT38" s="123">
        <v>25.734999999999999</v>
      </c>
      <c r="AU38" s="123">
        <v>25.735132</v>
      </c>
      <c r="AV38" s="122"/>
      <c r="AW38" s="122"/>
      <c r="AX38" s="133"/>
      <c r="AY38" s="122"/>
      <c r="AZ38" s="125">
        <v>1.2999999999999999E-3</v>
      </c>
      <c r="BA38" s="126">
        <v>2.0000000000000002E-5</v>
      </c>
      <c r="BB38" s="159"/>
    </row>
    <row r="39" spans="1:54" x14ac:dyDescent="0.2">
      <c r="A39" s="121" t="s">
        <v>1211</v>
      </c>
      <c r="B39" s="122" t="s">
        <v>1211</v>
      </c>
      <c r="C39" s="122"/>
      <c r="D39" s="122"/>
      <c r="E39" s="122"/>
      <c r="F39" s="122" t="s">
        <v>3416</v>
      </c>
      <c r="G39" s="122" t="s">
        <v>245</v>
      </c>
      <c r="H39" s="122" t="s">
        <v>818</v>
      </c>
      <c r="I39" s="122" t="s">
        <v>53</v>
      </c>
      <c r="J39" s="122"/>
      <c r="K39" s="122" t="s">
        <v>633</v>
      </c>
      <c r="L39" s="122" t="s">
        <v>62</v>
      </c>
      <c r="M39" s="122" t="s">
        <v>55</v>
      </c>
      <c r="N39" s="122"/>
      <c r="O39" s="122" t="s">
        <v>3417</v>
      </c>
      <c r="P39" s="122"/>
      <c r="Q39" s="122" t="s">
        <v>298</v>
      </c>
      <c r="R39" s="122"/>
      <c r="S39" s="122" t="s">
        <v>1216</v>
      </c>
      <c r="T39" s="123">
        <v>0.18</v>
      </c>
      <c r="U39" s="122" t="s">
        <v>441</v>
      </c>
      <c r="V39" s="125">
        <v>0.08</v>
      </c>
      <c r="W39" s="122"/>
      <c r="X39" s="122"/>
      <c r="Y39" s="125"/>
      <c r="Z39" s="125">
        <v>8.2299999999999998E-2</v>
      </c>
      <c r="AA39" s="122" t="s">
        <v>3387</v>
      </c>
      <c r="AB39" s="122" t="s">
        <v>620</v>
      </c>
      <c r="AC39" s="122" t="s">
        <v>58</v>
      </c>
      <c r="AD39" s="122">
        <v>130000</v>
      </c>
      <c r="AE39" s="152">
        <v>0.68</v>
      </c>
      <c r="AF39" s="122" t="s">
        <v>3467</v>
      </c>
      <c r="AG39" s="122"/>
      <c r="AH39" s="122"/>
      <c r="AI39" s="122"/>
      <c r="AJ39" s="122" t="s">
        <v>55</v>
      </c>
      <c r="AK39" s="122" t="s">
        <v>775</v>
      </c>
      <c r="AL39" s="122"/>
      <c r="AM39" s="122" t="s">
        <v>305</v>
      </c>
      <c r="AN39" s="145">
        <v>45930</v>
      </c>
      <c r="AO39" s="145">
        <v>45930</v>
      </c>
      <c r="AP39" s="122"/>
      <c r="AQ39" s="123">
        <v>23644.52</v>
      </c>
      <c r="AR39" s="123">
        <v>102.01</v>
      </c>
      <c r="AS39" s="123">
        <v>1</v>
      </c>
      <c r="AT39" s="123">
        <v>24.12</v>
      </c>
      <c r="AU39" s="123">
        <v>24.119775000000001</v>
      </c>
      <c r="AV39" s="122"/>
      <c r="AW39" s="122"/>
      <c r="AX39" s="133"/>
      <c r="AY39" s="122"/>
      <c r="AZ39" s="125">
        <v>1.2199999999999999E-3</v>
      </c>
      <c r="BA39" s="126">
        <v>2.0000000000000002E-5</v>
      </c>
      <c r="BB39" s="159"/>
    </row>
    <row r="40" spans="1:54" x14ac:dyDescent="0.2">
      <c r="A40" s="121" t="s">
        <v>1211</v>
      </c>
      <c r="B40" s="122" t="s">
        <v>1211</v>
      </c>
      <c r="C40" s="122"/>
      <c r="D40" s="122"/>
      <c r="E40" s="122"/>
      <c r="F40" s="122" t="s">
        <v>3418</v>
      </c>
      <c r="G40" s="122" t="s">
        <v>245</v>
      </c>
      <c r="H40" s="122" t="s">
        <v>818</v>
      </c>
      <c r="I40" s="122" t="s">
        <v>53</v>
      </c>
      <c r="J40" s="122"/>
      <c r="K40" s="122" t="s">
        <v>633</v>
      </c>
      <c r="L40" s="122" t="s">
        <v>62</v>
      </c>
      <c r="M40" s="122" t="s">
        <v>55</v>
      </c>
      <c r="N40" s="122"/>
      <c r="O40" s="122" t="s">
        <v>3419</v>
      </c>
      <c r="P40" s="122"/>
      <c r="Q40" s="122" t="s">
        <v>298</v>
      </c>
      <c r="R40" s="122"/>
      <c r="S40" s="122" t="s">
        <v>1216</v>
      </c>
      <c r="T40" s="123">
        <v>0.18</v>
      </c>
      <c r="U40" s="122" t="s">
        <v>441</v>
      </c>
      <c r="V40" s="125">
        <v>0.08</v>
      </c>
      <c r="W40" s="122"/>
      <c r="X40" s="122"/>
      <c r="Y40" s="125"/>
      <c r="Z40" s="125">
        <v>7.0099999999999996E-2</v>
      </c>
      <c r="AA40" s="122" t="s">
        <v>3387</v>
      </c>
      <c r="AB40" s="122" t="s">
        <v>620</v>
      </c>
      <c r="AC40" s="122" t="s">
        <v>58</v>
      </c>
      <c r="AD40" s="122">
        <v>130000</v>
      </c>
      <c r="AE40" s="152">
        <v>0.68</v>
      </c>
      <c r="AF40" s="122" t="s">
        <v>3467</v>
      </c>
      <c r="AG40" s="122"/>
      <c r="AH40" s="122"/>
      <c r="AI40" s="122"/>
      <c r="AJ40" s="122" t="s">
        <v>55</v>
      </c>
      <c r="AK40" s="122" t="s">
        <v>775</v>
      </c>
      <c r="AL40" s="122"/>
      <c r="AM40" s="122" t="s">
        <v>305</v>
      </c>
      <c r="AN40" s="145">
        <v>45930</v>
      </c>
      <c r="AO40" s="145">
        <v>45930</v>
      </c>
      <c r="AP40" s="122"/>
      <c r="AQ40" s="123">
        <v>15979.09</v>
      </c>
      <c r="AR40" s="123">
        <v>102.22</v>
      </c>
      <c r="AS40" s="123">
        <v>1</v>
      </c>
      <c r="AT40" s="123">
        <v>16.334</v>
      </c>
      <c r="AU40" s="123">
        <v>16.333825999999998</v>
      </c>
      <c r="AV40" s="122"/>
      <c r="AW40" s="122"/>
      <c r="AX40" s="133"/>
      <c r="AY40" s="122"/>
      <c r="AZ40" s="125">
        <v>8.3000000000000001E-4</v>
      </c>
      <c r="BA40" s="126">
        <v>1.0000000000000001E-5</v>
      </c>
      <c r="BB40" s="159"/>
    </row>
    <row r="41" spans="1:54" x14ac:dyDescent="0.2">
      <c r="A41" s="121" t="s">
        <v>1211</v>
      </c>
      <c r="B41" s="122" t="s">
        <v>1211</v>
      </c>
      <c r="C41" s="122"/>
      <c r="D41" s="122"/>
      <c r="E41" s="122"/>
      <c r="F41" s="122" t="s">
        <v>3420</v>
      </c>
      <c r="G41" s="122" t="s">
        <v>245</v>
      </c>
      <c r="H41" s="122" t="s">
        <v>818</v>
      </c>
      <c r="I41" s="122" t="s">
        <v>53</v>
      </c>
      <c r="J41" s="122"/>
      <c r="K41" s="122" t="s">
        <v>633</v>
      </c>
      <c r="L41" s="122" t="s">
        <v>62</v>
      </c>
      <c r="M41" s="122" t="s">
        <v>55</v>
      </c>
      <c r="N41" s="122"/>
      <c r="O41" s="122" t="s">
        <v>3421</v>
      </c>
      <c r="P41" s="122"/>
      <c r="Q41" s="122" t="s">
        <v>298</v>
      </c>
      <c r="R41" s="122"/>
      <c r="S41" s="122" t="s">
        <v>1216</v>
      </c>
      <c r="T41" s="123">
        <v>0.18</v>
      </c>
      <c r="U41" s="122" t="s">
        <v>441</v>
      </c>
      <c r="V41" s="125">
        <v>0.08</v>
      </c>
      <c r="W41" s="122"/>
      <c r="X41" s="122"/>
      <c r="Y41" s="125"/>
      <c r="Z41" s="125">
        <v>8.1100000000000005E-2</v>
      </c>
      <c r="AA41" s="122" t="s">
        <v>3387</v>
      </c>
      <c r="AB41" s="122" t="s">
        <v>620</v>
      </c>
      <c r="AC41" s="122" t="s">
        <v>58</v>
      </c>
      <c r="AD41" s="122">
        <v>130000</v>
      </c>
      <c r="AE41" s="152">
        <v>0.68</v>
      </c>
      <c r="AF41" s="122" t="s">
        <v>3467</v>
      </c>
      <c r="AG41" s="122"/>
      <c r="AH41" s="122"/>
      <c r="AI41" s="122"/>
      <c r="AJ41" s="122" t="s">
        <v>55</v>
      </c>
      <c r="AK41" s="122" t="s">
        <v>775</v>
      </c>
      <c r="AL41" s="122"/>
      <c r="AM41" s="122" t="s">
        <v>305</v>
      </c>
      <c r="AN41" s="145">
        <v>45930</v>
      </c>
      <c r="AO41" s="145">
        <v>45930</v>
      </c>
      <c r="AP41" s="122"/>
      <c r="AQ41" s="123">
        <v>14110.61</v>
      </c>
      <c r="AR41" s="123">
        <v>102.03</v>
      </c>
      <c r="AS41" s="123">
        <v>1</v>
      </c>
      <c r="AT41" s="123">
        <v>14.397</v>
      </c>
      <c r="AU41" s="123">
        <v>14.397055</v>
      </c>
      <c r="AV41" s="122"/>
      <c r="AW41" s="122"/>
      <c r="AX41" s="133"/>
      <c r="AY41" s="122"/>
      <c r="AZ41" s="125">
        <v>7.2999999999999996E-4</v>
      </c>
      <c r="BA41" s="126">
        <v>1.0000000000000001E-5</v>
      </c>
      <c r="BB41" s="159"/>
    </row>
    <row r="42" spans="1:54" x14ac:dyDescent="0.2">
      <c r="A42" s="121" t="s">
        <v>1211</v>
      </c>
      <c r="B42" s="122" t="s">
        <v>1211</v>
      </c>
      <c r="C42" s="122"/>
      <c r="D42" s="122"/>
      <c r="E42" s="122"/>
      <c r="F42" s="122" t="s">
        <v>3422</v>
      </c>
      <c r="G42" s="122" t="s">
        <v>245</v>
      </c>
      <c r="H42" s="122" t="s">
        <v>818</v>
      </c>
      <c r="I42" s="122" t="s">
        <v>53</v>
      </c>
      <c r="J42" s="122"/>
      <c r="K42" s="122" t="s">
        <v>633</v>
      </c>
      <c r="L42" s="122" t="s">
        <v>62</v>
      </c>
      <c r="M42" s="122" t="s">
        <v>55</v>
      </c>
      <c r="N42" s="122"/>
      <c r="O42" s="122" t="s">
        <v>3423</v>
      </c>
      <c r="P42" s="122"/>
      <c r="Q42" s="122" t="s">
        <v>298</v>
      </c>
      <c r="R42" s="122"/>
      <c r="S42" s="122" t="s">
        <v>1216</v>
      </c>
      <c r="T42" s="123">
        <v>0.18</v>
      </c>
      <c r="U42" s="122" t="s">
        <v>441</v>
      </c>
      <c r="V42" s="125">
        <v>0.08</v>
      </c>
      <c r="W42" s="122"/>
      <c r="X42" s="122"/>
      <c r="Y42" s="125"/>
      <c r="Z42" s="125">
        <v>8.3400000000000002E-2</v>
      </c>
      <c r="AA42" s="122" t="s">
        <v>3387</v>
      </c>
      <c r="AB42" s="122" t="s">
        <v>620</v>
      </c>
      <c r="AC42" s="122" t="s">
        <v>58</v>
      </c>
      <c r="AD42" s="122">
        <v>130000</v>
      </c>
      <c r="AE42" s="152">
        <v>0.68</v>
      </c>
      <c r="AF42" s="122" t="s">
        <v>3467</v>
      </c>
      <c r="AG42" s="122"/>
      <c r="AH42" s="122"/>
      <c r="AI42" s="122"/>
      <c r="AJ42" s="122" t="s">
        <v>55</v>
      </c>
      <c r="AK42" s="122" t="s">
        <v>775</v>
      </c>
      <c r="AL42" s="122"/>
      <c r="AM42" s="122" t="s">
        <v>305</v>
      </c>
      <c r="AN42" s="145">
        <v>45930</v>
      </c>
      <c r="AO42" s="145">
        <v>45930</v>
      </c>
      <c r="AP42" s="122"/>
      <c r="AQ42" s="123">
        <v>11788.44</v>
      </c>
      <c r="AR42" s="123">
        <v>101.99</v>
      </c>
      <c r="AS42" s="123">
        <v>1</v>
      </c>
      <c r="AT42" s="123">
        <v>12.023</v>
      </c>
      <c r="AU42" s="123">
        <v>12.02303</v>
      </c>
      <c r="AV42" s="122"/>
      <c r="AW42" s="122"/>
      <c r="AX42" s="133"/>
      <c r="AY42" s="122"/>
      <c r="AZ42" s="125">
        <v>6.0999999999999997E-4</v>
      </c>
      <c r="BA42" s="126">
        <v>1.0000000000000001E-5</v>
      </c>
      <c r="BB42" s="159"/>
    </row>
    <row r="43" spans="1:54" x14ac:dyDescent="0.2">
      <c r="A43" s="121" t="s">
        <v>1211</v>
      </c>
      <c r="B43" s="122" t="s">
        <v>1211</v>
      </c>
      <c r="C43" s="122"/>
      <c r="D43" s="122"/>
      <c r="E43" s="122"/>
      <c r="F43" s="122" t="s">
        <v>3424</v>
      </c>
      <c r="G43" s="122" t="s">
        <v>245</v>
      </c>
      <c r="H43" s="122" t="s">
        <v>818</v>
      </c>
      <c r="I43" s="122" t="s">
        <v>53</v>
      </c>
      <c r="J43" s="122"/>
      <c r="K43" s="122" t="s">
        <v>633</v>
      </c>
      <c r="L43" s="122" t="s">
        <v>62</v>
      </c>
      <c r="M43" s="122" t="s">
        <v>55</v>
      </c>
      <c r="N43" s="122"/>
      <c r="O43" s="122" t="s">
        <v>3425</v>
      </c>
      <c r="P43" s="122"/>
      <c r="Q43" s="122" t="s">
        <v>298</v>
      </c>
      <c r="R43" s="122"/>
      <c r="S43" s="122" t="s">
        <v>1216</v>
      </c>
      <c r="T43" s="123">
        <v>0.18</v>
      </c>
      <c r="U43" s="122" t="s">
        <v>441</v>
      </c>
      <c r="V43" s="125">
        <v>0.08</v>
      </c>
      <c r="W43" s="122"/>
      <c r="X43" s="122"/>
      <c r="Y43" s="125"/>
      <c r="Z43" s="125">
        <v>8.8099999999999998E-2</v>
      </c>
      <c r="AA43" s="122" t="s">
        <v>3387</v>
      </c>
      <c r="AB43" s="122" t="s">
        <v>620</v>
      </c>
      <c r="AC43" s="122" t="s">
        <v>58</v>
      </c>
      <c r="AD43" s="122">
        <v>130000</v>
      </c>
      <c r="AE43" s="152">
        <v>0.68</v>
      </c>
      <c r="AF43" s="122" t="s">
        <v>3467</v>
      </c>
      <c r="AG43" s="122"/>
      <c r="AH43" s="122"/>
      <c r="AI43" s="122"/>
      <c r="AJ43" s="122" t="s">
        <v>55</v>
      </c>
      <c r="AK43" s="122" t="s">
        <v>775</v>
      </c>
      <c r="AL43" s="122"/>
      <c r="AM43" s="122" t="s">
        <v>305</v>
      </c>
      <c r="AN43" s="145">
        <v>45930</v>
      </c>
      <c r="AO43" s="145">
        <v>45930</v>
      </c>
      <c r="AP43" s="122"/>
      <c r="AQ43" s="123">
        <v>10197.620000000001</v>
      </c>
      <c r="AR43" s="123">
        <v>101.91</v>
      </c>
      <c r="AS43" s="123">
        <v>1</v>
      </c>
      <c r="AT43" s="123">
        <v>10.391999999999999</v>
      </c>
      <c r="AU43" s="123">
        <v>10.392395</v>
      </c>
      <c r="AV43" s="122"/>
      <c r="AW43" s="122"/>
      <c r="AX43" s="133"/>
      <c r="AY43" s="122"/>
      <c r="AZ43" s="125">
        <v>5.2999999999999998E-4</v>
      </c>
      <c r="BA43" s="126">
        <v>1.0000000000000001E-5</v>
      </c>
      <c r="BB43" s="159"/>
    </row>
    <row r="44" spans="1:54" x14ac:dyDescent="0.2">
      <c r="A44" s="121" t="s">
        <v>1211</v>
      </c>
      <c r="B44" s="122" t="s">
        <v>1211</v>
      </c>
      <c r="C44" s="122"/>
      <c r="D44" s="122"/>
      <c r="E44" s="122"/>
      <c r="F44" s="122" t="s">
        <v>3426</v>
      </c>
      <c r="G44" s="122" t="s">
        <v>245</v>
      </c>
      <c r="H44" s="122"/>
      <c r="I44" s="122" t="s">
        <v>53</v>
      </c>
      <c r="J44" s="122"/>
      <c r="K44" s="122" t="s">
        <v>267</v>
      </c>
      <c r="L44" s="122" t="s">
        <v>62</v>
      </c>
      <c r="M44" s="122" t="s">
        <v>55</v>
      </c>
      <c r="N44" s="122"/>
      <c r="O44" s="122" t="s">
        <v>3427</v>
      </c>
      <c r="P44" s="122" t="s">
        <v>1546</v>
      </c>
      <c r="Q44" s="122" t="s">
        <v>65</v>
      </c>
      <c r="R44" s="122" t="s">
        <v>779</v>
      </c>
      <c r="S44" s="122" t="s">
        <v>1216</v>
      </c>
      <c r="T44" s="123">
        <v>5.27</v>
      </c>
      <c r="U44" s="122" t="s">
        <v>442</v>
      </c>
      <c r="V44" s="125">
        <v>3.3099999999999997E-2</v>
      </c>
      <c r="W44" s="122"/>
      <c r="X44" s="122"/>
      <c r="Y44" s="125"/>
      <c r="Z44" s="125">
        <v>3.3500000000000002E-2</v>
      </c>
      <c r="AA44" s="122" t="s">
        <v>3359</v>
      </c>
      <c r="AB44" s="122" t="s">
        <v>620</v>
      </c>
      <c r="AC44" s="122"/>
      <c r="AD44" s="122"/>
      <c r="AE44" s="152"/>
      <c r="AF44" s="122" t="s">
        <v>3467</v>
      </c>
      <c r="AG44" s="122"/>
      <c r="AH44" s="122"/>
      <c r="AI44" s="122"/>
      <c r="AJ44" s="122"/>
      <c r="AK44" s="122" t="s">
        <v>775</v>
      </c>
      <c r="AL44" s="122"/>
      <c r="AM44" s="122" t="s">
        <v>305</v>
      </c>
      <c r="AN44" s="145">
        <v>45930</v>
      </c>
      <c r="AO44" s="145">
        <v>45930</v>
      </c>
      <c r="AP44" s="122"/>
      <c r="AQ44" s="123">
        <v>6390.74</v>
      </c>
      <c r="AR44" s="123">
        <v>120.03</v>
      </c>
      <c r="AS44" s="123">
        <v>1</v>
      </c>
      <c r="AT44" s="123">
        <v>7.6710000000000003</v>
      </c>
      <c r="AU44" s="123">
        <v>7.6708050000000005</v>
      </c>
      <c r="AV44" s="122"/>
      <c r="AW44" s="122"/>
      <c r="AX44" s="133"/>
      <c r="AY44" s="122"/>
      <c r="AZ44" s="125">
        <v>3.8999999999999999E-4</v>
      </c>
      <c r="BA44" s="126">
        <v>1.0000000000000001E-5</v>
      </c>
      <c r="BB44" s="159"/>
    </row>
    <row r="45" spans="1:54" x14ac:dyDescent="0.2">
      <c r="A45" s="121" t="s">
        <v>1211</v>
      </c>
      <c r="B45" s="122" t="s">
        <v>1211</v>
      </c>
      <c r="C45" s="122"/>
      <c r="D45" s="122"/>
      <c r="E45" s="122"/>
      <c r="F45" s="122" t="s">
        <v>3428</v>
      </c>
      <c r="G45" s="122" t="s">
        <v>245</v>
      </c>
      <c r="H45" s="122" t="s">
        <v>818</v>
      </c>
      <c r="I45" s="122" t="s">
        <v>53</v>
      </c>
      <c r="J45" s="122"/>
      <c r="K45" s="122" t="s">
        <v>633</v>
      </c>
      <c r="L45" s="122" t="s">
        <v>62</v>
      </c>
      <c r="M45" s="122" t="s">
        <v>55</v>
      </c>
      <c r="N45" s="122"/>
      <c r="O45" s="122" t="s">
        <v>3429</v>
      </c>
      <c r="P45" s="122"/>
      <c r="Q45" s="122" t="s">
        <v>298</v>
      </c>
      <c r="R45" s="122"/>
      <c r="S45" s="122" t="s">
        <v>1216</v>
      </c>
      <c r="T45" s="123">
        <v>0.18</v>
      </c>
      <c r="U45" s="122" t="s">
        <v>441</v>
      </c>
      <c r="V45" s="125">
        <v>0.08</v>
      </c>
      <c r="W45" s="122"/>
      <c r="X45" s="122"/>
      <c r="Y45" s="125"/>
      <c r="Z45" s="125">
        <v>8.7499999999999994E-2</v>
      </c>
      <c r="AA45" s="122" t="s">
        <v>3387</v>
      </c>
      <c r="AB45" s="122" t="s">
        <v>620</v>
      </c>
      <c r="AC45" s="122" t="s">
        <v>58</v>
      </c>
      <c r="AD45" s="122">
        <v>130000</v>
      </c>
      <c r="AE45" s="152">
        <v>0.68</v>
      </c>
      <c r="AF45" s="122" t="s">
        <v>3467</v>
      </c>
      <c r="AG45" s="122"/>
      <c r="AH45" s="122"/>
      <c r="AI45" s="122"/>
      <c r="AJ45" s="122" t="s">
        <v>55</v>
      </c>
      <c r="AK45" s="122" t="s">
        <v>775</v>
      </c>
      <c r="AL45" s="122"/>
      <c r="AM45" s="122" t="s">
        <v>305</v>
      </c>
      <c r="AN45" s="145">
        <v>45930</v>
      </c>
      <c r="AO45" s="145">
        <v>45930</v>
      </c>
      <c r="AP45" s="122"/>
      <c r="AQ45" s="123">
        <v>7344</v>
      </c>
      <c r="AR45" s="123">
        <v>101.92</v>
      </c>
      <c r="AS45" s="123">
        <v>1</v>
      </c>
      <c r="AT45" s="123">
        <v>7.4850000000000003</v>
      </c>
      <c r="AU45" s="123">
        <v>7.4850050000000001</v>
      </c>
      <c r="AV45" s="122"/>
      <c r="AW45" s="122"/>
      <c r="AX45" s="133"/>
      <c r="AY45" s="122"/>
      <c r="AZ45" s="125">
        <v>3.8000000000000002E-4</v>
      </c>
      <c r="BA45" s="126">
        <v>1.0000000000000001E-5</v>
      </c>
      <c r="BB45" s="159"/>
    </row>
    <row r="46" spans="1:54" x14ac:dyDescent="0.2">
      <c r="A46" s="121" t="s">
        <v>1211</v>
      </c>
      <c r="B46" s="122" t="s">
        <v>1211</v>
      </c>
      <c r="C46" s="122"/>
      <c r="D46" s="122"/>
      <c r="E46" s="122"/>
      <c r="F46" s="122" t="s">
        <v>3430</v>
      </c>
      <c r="G46" s="122" t="s">
        <v>245</v>
      </c>
      <c r="H46" s="122" t="s">
        <v>818</v>
      </c>
      <c r="I46" s="122" t="s">
        <v>53</v>
      </c>
      <c r="J46" s="122"/>
      <c r="K46" s="122" t="s">
        <v>633</v>
      </c>
      <c r="L46" s="122" t="s">
        <v>62</v>
      </c>
      <c r="M46" s="122" t="s">
        <v>55</v>
      </c>
      <c r="N46" s="122"/>
      <c r="O46" s="122" t="s">
        <v>2789</v>
      </c>
      <c r="P46" s="122"/>
      <c r="Q46" s="122" t="s">
        <v>298</v>
      </c>
      <c r="R46" s="122"/>
      <c r="S46" s="122" t="s">
        <v>1216</v>
      </c>
      <c r="T46" s="123">
        <v>0.19</v>
      </c>
      <c r="U46" s="122" t="s">
        <v>441</v>
      </c>
      <c r="V46" s="125">
        <v>0.08</v>
      </c>
      <c r="W46" s="122"/>
      <c r="X46" s="122"/>
      <c r="Y46" s="125"/>
      <c r="Z46" s="125">
        <v>8.0600000000000005E-2</v>
      </c>
      <c r="AA46" s="122" t="s">
        <v>3387</v>
      </c>
      <c r="AB46" s="122" t="s">
        <v>620</v>
      </c>
      <c r="AC46" s="122" t="s">
        <v>58</v>
      </c>
      <c r="AD46" s="122">
        <v>130000</v>
      </c>
      <c r="AE46" s="152">
        <v>0.68</v>
      </c>
      <c r="AF46" s="122" t="s">
        <v>3467</v>
      </c>
      <c r="AG46" s="122"/>
      <c r="AH46" s="122"/>
      <c r="AI46" s="122"/>
      <c r="AJ46" s="122" t="s">
        <v>55</v>
      </c>
      <c r="AK46" s="122" t="s">
        <v>775</v>
      </c>
      <c r="AL46" s="122"/>
      <c r="AM46" s="122" t="s">
        <v>305</v>
      </c>
      <c r="AN46" s="145">
        <v>45930</v>
      </c>
      <c r="AO46" s="145">
        <v>45930</v>
      </c>
      <c r="AP46" s="122"/>
      <c r="AQ46" s="123">
        <v>5372</v>
      </c>
      <c r="AR46" s="123">
        <v>100.26</v>
      </c>
      <c r="AS46" s="123">
        <v>1</v>
      </c>
      <c r="AT46" s="123">
        <v>5.3860000000000001</v>
      </c>
      <c r="AU46" s="123">
        <v>5.3859669999999999</v>
      </c>
      <c r="AV46" s="122"/>
      <c r="AW46" s="122"/>
      <c r="AX46" s="133"/>
      <c r="AY46" s="122"/>
      <c r="AZ46" s="125">
        <v>2.7E-4</v>
      </c>
      <c r="BA46" s="126">
        <v>0</v>
      </c>
      <c r="BB46" s="159"/>
    </row>
    <row r="47" spans="1:54" x14ac:dyDescent="0.2">
      <c r="A47" s="121" t="s">
        <v>1211</v>
      </c>
      <c r="B47" s="122" t="s">
        <v>1211</v>
      </c>
      <c r="C47" s="122"/>
      <c r="D47" s="122"/>
      <c r="E47" s="122"/>
      <c r="F47" s="122" t="s">
        <v>3431</v>
      </c>
      <c r="G47" s="122" t="s">
        <v>245</v>
      </c>
      <c r="H47" s="122" t="s">
        <v>827</v>
      </c>
      <c r="I47" s="122" t="s">
        <v>53</v>
      </c>
      <c r="J47" s="122"/>
      <c r="K47" s="122" t="s">
        <v>140</v>
      </c>
      <c r="L47" s="122" t="s">
        <v>62</v>
      </c>
      <c r="M47" s="122" t="s">
        <v>55</v>
      </c>
      <c r="N47" s="122"/>
      <c r="O47" s="122" t="s">
        <v>3432</v>
      </c>
      <c r="P47" s="122"/>
      <c r="Q47" s="122" t="s">
        <v>298</v>
      </c>
      <c r="R47" s="122"/>
      <c r="S47" s="122" t="s">
        <v>1216</v>
      </c>
      <c r="T47" s="123">
        <v>0.01</v>
      </c>
      <c r="U47" s="122" t="s">
        <v>442</v>
      </c>
      <c r="V47" s="125">
        <v>0</v>
      </c>
      <c r="W47" s="122"/>
      <c r="X47" s="122"/>
      <c r="Y47" s="125"/>
      <c r="Z47" s="125">
        <v>1E-4</v>
      </c>
      <c r="AA47" s="122" t="s">
        <v>3433</v>
      </c>
      <c r="AB47" s="122" t="s">
        <v>620</v>
      </c>
      <c r="AC47" s="122" t="s">
        <v>596</v>
      </c>
      <c r="AD47" s="122"/>
      <c r="AE47" s="152"/>
      <c r="AF47" s="122" t="s">
        <v>3467</v>
      </c>
      <c r="AG47" s="122"/>
      <c r="AH47" s="122"/>
      <c r="AI47" s="122"/>
      <c r="AJ47" s="122"/>
      <c r="AK47" s="122" t="s">
        <v>102</v>
      </c>
      <c r="AL47" s="122"/>
      <c r="AM47" s="122" t="s">
        <v>304</v>
      </c>
      <c r="AN47" s="145">
        <v>45657</v>
      </c>
      <c r="AO47" s="145">
        <v>45657</v>
      </c>
      <c r="AP47" s="122"/>
      <c r="AQ47" s="123">
        <v>357722.44</v>
      </c>
      <c r="AR47" s="123">
        <v>0.01</v>
      </c>
      <c r="AS47" s="123">
        <v>1</v>
      </c>
      <c r="AT47" s="123">
        <v>3.5999999999999997E-2</v>
      </c>
      <c r="AU47" s="123">
        <v>3.5771999999999998E-2</v>
      </c>
      <c r="AV47" s="122"/>
      <c r="AW47" s="122"/>
      <c r="AX47" s="133"/>
      <c r="AY47" s="122"/>
      <c r="AZ47" s="125">
        <v>0</v>
      </c>
      <c r="BA47" s="126">
        <v>0</v>
      </c>
      <c r="BB47" s="159"/>
    </row>
    <row r="48" spans="1:54" x14ac:dyDescent="0.2">
      <c r="A48" s="121" t="s">
        <v>1211</v>
      </c>
      <c r="B48" s="122" t="s">
        <v>1211</v>
      </c>
      <c r="C48" s="122"/>
      <c r="D48" s="122"/>
      <c r="E48" s="122"/>
      <c r="F48" s="122" t="s">
        <v>3434</v>
      </c>
      <c r="G48" s="122" t="s">
        <v>245</v>
      </c>
      <c r="H48" s="122" t="s">
        <v>827</v>
      </c>
      <c r="I48" s="122" t="s">
        <v>53</v>
      </c>
      <c r="J48" s="122"/>
      <c r="K48" s="122" t="s">
        <v>140</v>
      </c>
      <c r="L48" s="122" t="s">
        <v>62</v>
      </c>
      <c r="M48" s="122" t="s">
        <v>55</v>
      </c>
      <c r="N48" s="122"/>
      <c r="O48" s="122" t="s">
        <v>3432</v>
      </c>
      <c r="P48" s="122"/>
      <c r="Q48" s="122" t="s">
        <v>298</v>
      </c>
      <c r="R48" s="122"/>
      <c r="S48" s="122" t="s">
        <v>1216</v>
      </c>
      <c r="T48" s="123">
        <v>0.01</v>
      </c>
      <c r="U48" s="122" t="s">
        <v>441</v>
      </c>
      <c r="V48" s="125">
        <v>0</v>
      </c>
      <c r="W48" s="122"/>
      <c r="X48" s="122"/>
      <c r="Y48" s="125"/>
      <c r="Z48" s="125">
        <v>1E-4</v>
      </c>
      <c r="AA48" s="122" t="s">
        <v>3435</v>
      </c>
      <c r="AB48" s="122" t="s">
        <v>620</v>
      </c>
      <c r="AC48" s="122" t="s">
        <v>596</v>
      </c>
      <c r="AD48" s="122"/>
      <c r="AE48" s="152"/>
      <c r="AF48" s="122" t="s">
        <v>3467</v>
      </c>
      <c r="AG48" s="122"/>
      <c r="AH48" s="122"/>
      <c r="AI48" s="122"/>
      <c r="AJ48" s="122"/>
      <c r="AK48" s="122" t="s">
        <v>102</v>
      </c>
      <c r="AL48" s="122"/>
      <c r="AM48" s="122" t="s">
        <v>304</v>
      </c>
      <c r="AN48" s="145">
        <v>45657</v>
      </c>
      <c r="AO48" s="145">
        <v>45657</v>
      </c>
      <c r="AP48" s="122"/>
      <c r="AQ48" s="123">
        <v>27498.73</v>
      </c>
      <c r="AR48" s="123">
        <v>0.01</v>
      </c>
      <c r="AS48" s="123">
        <v>1</v>
      </c>
      <c r="AT48" s="123">
        <v>3.0000000000000001E-3</v>
      </c>
      <c r="AU48" s="123">
        <v>2.7499999999999998E-3</v>
      </c>
      <c r="AV48" s="122"/>
      <c r="AW48" s="122"/>
      <c r="AX48" s="133"/>
      <c r="AY48" s="122"/>
      <c r="AZ48" s="125">
        <v>0</v>
      </c>
      <c r="BA48" s="126">
        <v>0</v>
      </c>
      <c r="BB48" s="159"/>
    </row>
    <row r="49" spans="1:54" x14ac:dyDescent="0.2">
      <c r="A49" s="121" t="s">
        <v>1211</v>
      </c>
      <c r="B49" s="122" t="s">
        <v>1211</v>
      </c>
      <c r="C49" s="122"/>
      <c r="D49" s="122"/>
      <c r="E49" s="122"/>
      <c r="F49" s="122" t="s">
        <v>3436</v>
      </c>
      <c r="G49" s="122" t="s">
        <v>245</v>
      </c>
      <c r="H49" s="122"/>
      <c r="I49" s="122" t="s">
        <v>53</v>
      </c>
      <c r="J49" s="122"/>
      <c r="K49" s="122" t="s">
        <v>66</v>
      </c>
      <c r="L49" s="122" t="s">
        <v>62</v>
      </c>
      <c r="M49" s="122" t="s">
        <v>55</v>
      </c>
      <c r="N49" s="122"/>
      <c r="O49" s="122" t="s">
        <v>3437</v>
      </c>
      <c r="P49" s="122"/>
      <c r="Q49" s="122" t="s">
        <v>298</v>
      </c>
      <c r="R49" s="122"/>
      <c r="S49" s="122" t="s">
        <v>1217</v>
      </c>
      <c r="T49" s="123">
        <v>0.01</v>
      </c>
      <c r="U49" s="122" t="s">
        <v>102</v>
      </c>
      <c r="V49" s="125">
        <v>0</v>
      </c>
      <c r="W49" s="122"/>
      <c r="X49" s="122"/>
      <c r="Y49" s="125"/>
      <c r="Z49" s="125">
        <v>1E-4</v>
      </c>
      <c r="AA49" s="122" t="s">
        <v>3353</v>
      </c>
      <c r="AB49" s="122" t="s">
        <v>620</v>
      </c>
      <c r="AC49" s="122"/>
      <c r="AD49" s="122"/>
      <c r="AE49" s="152"/>
      <c r="AF49" s="122"/>
      <c r="AG49" s="122"/>
      <c r="AH49" s="122"/>
      <c r="AI49" s="122"/>
      <c r="AJ49" s="122"/>
      <c r="AK49" s="122" t="s">
        <v>303</v>
      </c>
      <c r="AL49" s="122"/>
      <c r="AM49" s="122" t="s">
        <v>305</v>
      </c>
      <c r="AN49" s="145">
        <v>45792</v>
      </c>
      <c r="AO49" s="145">
        <v>45792</v>
      </c>
      <c r="AP49" s="122"/>
      <c r="AQ49" s="123">
        <v>24683.43</v>
      </c>
      <c r="AR49" s="123">
        <v>0</v>
      </c>
      <c r="AS49" s="123">
        <v>3.306</v>
      </c>
      <c r="AT49" s="123">
        <v>0</v>
      </c>
      <c r="AU49" s="123">
        <v>0</v>
      </c>
      <c r="AV49" s="122"/>
      <c r="AW49" s="122"/>
      <c r="AX49" s="133"/>
      <c r="AY49" s="122"/>
      <c r="AZ49" s="125">
        <v>0</v>
      </c>
      <c r="BA49" s="126">
        <v>0</v>
      </c>
      <c r="BB49" s="159"/>
    </row>
    <row r="50" spans="1:54" x14ac:dyDescent="0.2">
      <c r="A50" s="121" t="s">
        <v>1211</v>
      </c>
      <c r="B50" s="122" t="s">
        <v>1211</v>
      </c>
      <c r="C50" s="122"/>
      <c r="D50" s="122"/>
      <c r="E50" s="122"/>
      <c r="F50" s="122" t="s">
        <v>3438</v>
      </c>
      <c r="G50" s="122" t="s">
        <v>245</v>
      </c>
      <c r="H50" s="122" t="s">
        <v>1185</v>
      </c>
      <c r="I50" s="122" t="s">
        <v>61</v>
      </c>
      <c r="J50" s="122"/>
      <c r="K50" s="122" t="s">
        <v>267</v>
      </c>
      <c r="L50" s="122" t="s">
        <v>62</v>
      </c>
      <c r="M50" s="122" t="s">
        <v>55</v>
      </c>
      <c r="N50" s="122" t="s">
        <v>3438</v>
      </c>
      <c r="O50" s="122" t="s">
        <v>3375</v>
      </c>
      <c r="P50" s="122" t="s">
        <v>1750</v>
      </c>
      <c r="Q50" s="122" t="s">
        <v>65</v>
      </c>
      <c r="R50" s="122" t="s">
        <v>779</v>
      </c>
      <c r="S50" s="122" t="s">
        <v>1217</v>
      </c>
      <c r="T50" s="123">
        <v>1.35</v>
      </c>
      <c r="U50" s="122" t="s">
        <v>441</v>
      </c>
      <c r="V50" s="125">
        <v>8.1689999999999999E-2</v>
      </c>
      <c r="W50" s="122"/>
      <c r="X50" s="122"/>
      <c r="Y50" s="125"/>
      <c r="Z50" s="125">
        <v>0.151</v>
      </c>
      <c r="AA50" s="122" t="s">
        <v>3439</v>
      </c>
      <c r="AB50" s="122" t="s">
        <v>620</v>
      </c>
      <c r="AC50" s="122" t="s">
        <v>163</v>
      </c>
      <c r="AD50" s="122">
        <v>2800000</v>
      </c>
      <c r="AE50" s="152">
        <v>0.6</v>
      </c>
      <c r="AF50" s="122" t="s">
        <v>3467</v>
      </c>
      <c r="AG50" s="122"/>
      <c r="AH50" s="122"/>
      <c r="AI50" s="122"/>
      <c r="AJ50" s="122" t="s">
        <v>62</v>
      </c>
      <c r="AK50" s="122" t="s">
        <v>775</v>
      </c>
      <c r="AL50" s="122"/>
      <c r="AM50" s="122" t="s">
        <v>305</v>
      </c>
      <c r="AN50" s="145">
        <v>45930</v>
      </c>
      <c r="AO50" s="145">
        <v>45930</v>
      </c>
      <c r="AP50" s="152">
        <v>1.4999999999999999E-2</v>
      </c>
      <c r="AQ50" s="123">
        <v>311835.92</v>
      </c>
      <c r="AR50" s="123">
        <v>102.04</v>
      </c>
      <c r="AS50" s="123">
        <v>3.306</v>
      </c>
      <c r="AT50" s="123">
        <v>1051.961</v>
      </c>
      <c r="AU50" s="123">
        <v>318.19737300000003</v>
      </c>
      <c r="AV50" s="122"/>
      <c r="AW50" s="122"/>
      <c r="AX50" s="133"/>
      <c r="AY50" s="122"/>
      <c r="AZ50" s="125">
        <v>5.3190000000000001E-2</v>
      </c>
      <c r="BA50" s="126">
        <v>8.9999999999999998E-4</v>
      </c>
      <c r="BB50" s="159"/>
    </row>
    <row r="51" spans="1:54" x14ac:dyDescent="0.2">
      <c r="A51" s="121" t="s">
        <v>1211</v>
      </c>
      <c r="B51" s="122" t="s">
        <v>1211</v>
      </c>
      <c r="C51" s="122"/>
      <c r="D51" s="122"/>
      <c r="E51" s="122"/>
      <c r="F51" s="122" t="s">
        <v>3440</v>
      </c>
      <c r="G51" s="122" t="s">
        <v>245</v>
      </c>
      <c r="H51" s="122" t="s">
        <v>1185</v>
      </c>
      <c r="I51" s="122" t="s">
        <v>61</v>
      </c>
      <c r="J51" s="122"/>
      <c r="K51" s="122" t="s">
        <v>267</v>
      </c>
      <c r="L51" s="122" t="s">
        <v>62</v>
      </c>
      <c r="M51" s="122" t="s">
        <v>55</v>
      </c>
      <c r="N51" s="122" t="s">
        <v>3440</v>
      </c>
      <c r="O51" s="122" t="s">
        <v>3441</v>
      </c>
      <c r="P51" s="122" t="s">
        <v>1750</v>
      </c>
      <c r="Q51" s="122" t="s">
        <v>65</v>
      </c>
      <c r="R51" s="122" t="s">
        <v>779</v>
      </c>
      <c r="S51" s="122" t="s">
        <v>1217</v>
      </c>
      <c r="T51" s="123">
        <v>1.28</v>
      </c>
      <c r="U51" s="122" t="s">
        <v>441</v>
      </c>
      <c r="V51" s="125">
        <v>8.2284999999999997E-2</v>
      </c>
      <c r="W51" s="122"/>
      <c r="X51" s="122"/>
      <c r="Y51" s="125"/>
      <c r="Z51" s="125">
        <v>0.17519999999999999</v>
      </c>
      <c r="AA51" s="122" t="s">
        <v>3439</v>
      </c>
      <c r="AB51" s="122" t="s">
        <v>620</v>
      </c>
      <c r="AC51" s="122" t="s">
        <v>163</v>
      </c>
      <c r="AD51" s="122">
        <v>2800000</v>
      </c>
      <c r="AE51" s="152">
        <v>0.6</v>
      </c>
      <c r="AF51" s="122" t="s">
        <v>3467</v>
      </c>
      <c r="AG51" s="122"/>
      <c r="AH51" s="122"/>
      <c r="AI51" s="122"/>
      <c r="AJ51" s="122" t="s">
        <v>62</v>
      </c>
      <c r="AK51" s="122" t="s">
        <v>775</v>
      </c>
      <c r="AL51" s="122"/>
      <c r="AM51" s="122" t="s">
        <v>305</v>
      </c>
      <c r="AN51" s="145">
        <v>45930</v>
      </c>
      <c r="AO51" s="145">
        <v>45930</v>
      </c>
      <c r="AP51" s="152">
        <v>1.4999999999999999E-2</v>
      </c>
      <c r="AQ51" s="123">
        <v>127598.2</v>
      </c>
      <c r="AR51" s="123">
        <v>103.47</v>
      </c>
      <c r="AS51" s="123">
        <v>3.306</v>
      </c>
      <c r="AT51" s="123">
        <v>436.47699999999998</v>
      </c>
      <c r="AU51" s="123">
        <v>132.025858</v>
      </c>
      <c r="AV51" s="122"/>
      <c r="AW51" s="122"/>
      <c r="AX51" s="133"/>
      <c r="AY51" s="122"/>
      <c r="AZ51" s="125">
        <v>2.2069999999999999E-2</v>
      </c>
      <c r="BA51" s="126">
        <v>3.6999999999999999E-4</v>
      </c>
      <c r="BB51" s="159"/>
    </row>
    <row r="52" spans="1:54" x14ac:dyDescent="0.2">
      <c r="A52" s="121" t="s">
        <v>1211</v>
      </c>
      <c r="B52" s="122" t="s">
        <v>1211</v>
      </c>
      <c r="C52" s="122"/>
      <c r="D52" s="122"/>
      <c r="E52" s="122"/>
      <c r="F52" s="122" t="s">
        <v>3442</v>
      </c>
      <c r="G52" s="122" t="s">
        <v>245</v>
      </c>
      <c r="H52" s="122" t="s">
        <v>1185</v>
      </c>
      <c r="I52" s="122" t="s">
        <v>61</v>
      </c>
      <c r="J52" s="122"/>
      <c r="K52" s="122" t="s">
        <v>267</v>
      </c>
      <c r="L52" s="122" t="s">
        <v>62</v>
      </c>
      <c r="M52" s="122" t="s">
        <v>55</v>
      </c>
      <c r="N52" s="122" t="s">
        <v>3442</v>
      </c>
      <c r="O52" s="122" t="s">
        <v>2683</v>
      </c>
      <c r="P52" s="122" t="s">
        <v>1750</v>
      </c>
      <c r="Q52" s="122" t="s">
        <v>65</v>
      </c>
      <c r="R52" s="122" t="s">
        <v>779</v>
      </c>
      <c r="S52" s="122" t="s">
        <v>1217</v>
      </c>
      <c r="T52" s="123">
        <v>1.4</v>
      </c>
      <c r="U52" s="122" t="s">
        <v>441</v>
      </c>
      <c r="V52" s="125">
        <v>8.1262000000000001E-2</v>
      </c>
      <c r="W52" s="122"/>
      <c r="X52" s="122"/>
      <c r="Y52" s="125"/>
      <c r="Z52" s="125">
        <v>9.0399999999999994E-2</v>
      </c>
      <c r="AA52" s="122" t="s">
        <v>3439</v>
      </c>
      <c r="AB52" s="122" t="s">
        <v>620</v>
      </c>
      <c r="AC52" s="122" t="s">
        <v>163</v>
      </c>
      <c r="AD52" s="122">
        <v>2800000</v>
      </c>
      <c r="AE52" s="152">
        <v>0.6</v>
      </c>
      <c r="AF52" s="122" t="s">
        <v>3467</v>
      </c>
      <c r="AG52" s="122"/>
      <c r="AH52" s="122"/>
      <c r="AI52" s="122"/>
      <c r="AJ52" s="122" t="s">
        <v>62</v>
      </c>
      <c r="AK52" s="122" t="s">
        <v>775</v>
      </c>
      <c r="AL52" s="122"/>
      <c r="AM52" s="122" t="s">
        <v>305</v>
      </c>
      <c r="AN52" s="145">
        <v>45930</v>
      </c>
      <c r="AO52" s="145">
        <v>45930</v>
      </c>
      <c r="AP52" s="152">
        <v>1.4999999999999999E-2</v>
      </c>
      <c r="AQ52" s="123">
        <v>127280</v>
      </c>
      <c r="AR52" s="123">
        <v>100.01</v>
      </c>
      <c r="AS52" s="123">
        <v>3.306</v>
      </c>
      <c r="AT52" s="123">
        <v>420.83</v>
      </c>
      <c r="AU52" s="123">
        <v>127.292728</v>
      </c>
      <c r="AV52" s="122"/>
      <c r="AW52" s="122"/>
      <c r="AX52" s="133"/>
      <c r="AY52" s="122"/>
      <c r="AZ52" s="125">
        <v>2.128E-2</v>
      </c>
      <c r="BA52" s="126">
        <v>3.6000000000000002E-4</v>
      </c>
      <c r="BB52" s="159"/>
    </row>
    <row r="53" spans="1:54" x14ac:dyDescent="0.2">
      <c r="A53" s="121" t="s">
        <v>1211</v>
      </c>
      <c r="B53" s="122" t="s">
        <v>1211</v>
      </c>
      <c r="C53" s="122"/>
      <c r="D53" s="122"/>
      <c r="E53" s="122"/>
      <c r="F53" s="122" t="s">
        <v>3443</v>
      </c>
      <c r="G53" s="122" t="s">
        <v>245</v>
      </c>
      <c r="H53" s="122" t="s">
        <v>1185</v>
      </c>
      <c r="I53" s="122" t="s">
        <v>61</v>
      </c>
      <c r="J53" s="122"/>
      <c r="K53" s="122" t="s">
        <v>267</v>
      </c>
      <c r="L53" s="122" t="s">
        <v>62</v>
      </c>
      <c r="M53" s="122" t="s">
        <v>55</v>
      </c>
      <c r="N53" s="122" t="s">
        <v>3443</v>
      </c>
      <c r="O53" s="122" t="s">
        <v>3444</v>
      </c>
      <c r="P53" s="122" t="s">
        <v>1750</v>
      </c>
      <c r="Q53" s="122" t="s">
        <v>65</v>
      </c>
      <c r="R53" s="122" t="s">
        <v>779</v>
      </c>
      <c r="S53" s="122" t="s">
        <v>1217</v>
      </c>
      <c r="T53" s="123">
        <v>1.28</v>
      </c>
      <c r="U53" s="122" t="s">
        <v>441</v>
      </c>
      <c r="V53" s="125">
        <v>8.6499999999999994E-2</v>
      </c>
      <c r="W53" s="122"/>
      <c r="X53" s="122"/>
      <c r="Y53" s="125"/>
      <c r="Z53" s="125">
        <v>0.17519999999999999</v>
      </c>
      <c r="AA53" s="122" t="s">
        <v>3439</v>
      </c>
      <c r="AB53" s="122" t="s">
        <v>620</v>
      </c>
      <c r="AC53" s="122" t="s">
        <v>163</v>
      </c>
      <c r="AD53" s="122">
        <v>2800000</v>
      </c>
      <c r="AE53" s="152">
        <v>0.6</v>
      </c>
      <c r="AF53" s="122" t="s">
        <v>3467</v>
      </c>
      <c r="AG53" s="122"/>
      <c r="AH53" s="122"/>
      <c r="AI53" s="122"/>
      <c r="AJ53" s="122" t="s">
        <v>62</v>
      </c>
      <c r="AK53" s="122" t="s">
        <v>775</v>
      </c>
      <c r="AL53" s="122"/>
      <c r="AM53" s="122" t="s">
        <v>305</v>
      </c>
      <c r="AN53" s="145">
        <v>45930</v>
      </c>
      <c r="AO53" s="145">
        <v>45930</v>
      </c>
      <c r="AP53" s="152">
        <v>1.4999999999999999E-2</v>
      </c>
      <c r="AQ53" s="123">
        <v>69685.8</v>
      </c>
      <c r="AR53" s="123">
        <v>103.47</v>
      </c>
      <c r="AS53" s="123">
        <v>3.306</v>
      </c>
      <c r="AT53" s="123">
        <v>238.375</v>
      </c>
      <c r="AU53" s="123">
        <v>72.103897000000003</v>
      </c>
      <c r="AV53" s="122"/>
      <c r="AW53" s="122"/>
      <c r="AX53" s="133"/>
      <c r="AY53" s="122"/>
      <c r="AZ53" s="125">
        <v>1.205E-2</v>
      </c>
      <c r="BA53" s="126">
        <v>2.0000000000000001E-4</v>
      </c>
      <c r="BB53" s="159"/>
    </row>
    <row r="54" spans="1:54" x14ac:dyDescent="0.2">
      <c r="A54" s="121" t="s">
        <v>1223</v>
      </c>
      <c r="B54" s="122" t="s">
        <v>1224</v>
      </c>
      <c r="C54" s="122"/>
      <c r="D54" s="122"/>
      <c r="E54" s="122"/>
      <c r="F54" s="122" t="s">
        <v>3445</v>
      </c>
      <c r="G54" s="122" t="s">
        <v>628</v>
      </c>
      <c r="H54" s="122"/>
      <c r="I54" s="122" t="s">
        <v>53</v>
      </c>
      <c r="J54" s="122"/>
      <c r="K54" s="122" t="s">
        <v>257</v>
      </c>
      <c r="L54" s="122" t="s">
        <v>62</v>
      </c>
      <c r="M54" s="122" t="s">
        <v>62</v>
      </c>
      <c r="N54" s="122"/>
      <c r="O54" s="122" t="s">
        <v>3446</v>
      </c>
      <c r="P54" s="122" t="s">
        <v>3335</v>
      </c>
      <c r="Q54" s="122" t="s">
        <v>78</v>
      </c>
      <c r="R54" s="122" t="s">
        <v>779</v>
      </c>
      <c r="S54" s="122" t="s">
        <v>1216</v>
      </c>
      <c r="T54" s="123">
        <v>1.915</v>
      </c>
      <c r="U54" s="122" t="s">
        <v>102</v>
      </c>
      <c r="V54" s="125">
        <v>5.3999999999999999E-2</v>
      </c>
      <c r="W54" s="122"/>
      <c r="X54" s="122"/>
      <c r="Y54" s="125"/>
      <c r="Z54" s="125">
        <v>5.6559999999999999E-2</v>
      </c>
      <c r="AA54" s="122" t="s">
        <v>1430</v>
      </c>
      <c r="AB54" s="122" t="s">
        <v>620</v>
      </c>
      <c r="AC54" s="122" t="s">
        <v>91</v>
      </c>
      <c r="AD54" s="122"/>
      <c r="AE54" s="152"/>
      <c r="AF54" s="122" t="s">
        <v>3467</v>
      </c>
      <c r="AG54" s="122"/>
      <c r="AH54" s="122"/>
      <c r="AI54" s="122"/>
      <c r="AJ54" s="122"/>
      <c r="AK54" s="122" t="s">
        <v>102</v>
      </c>
      <c r="AL54" s="122"/>
      <c r="AM54" s="122" t="s">
        <v>305</v>
      </c>
      <c r="AN54" s="145">
        <v>45930</v>
      </c>
      <c r="AO54" s="145">
        <v>45930</v>
      </c>
      <c r="AP54" s="122"/>
      <c r="AQ54" s="123">
        <v>8902470.3000000007</v>
      </c>
      <c r="AR54" s="123">
        <v>1.01</v>
      </c>
      <c r="AS54" s="123">
        <v>1</v>
      </c>
      <c r="AT54" s="123">
        <v>8991.0409999999993</v>
      </c>
      <c r="AU54" s="123">
        <v>8991.0409770000006</v>
      </c>
      <c r="AV54" s="122"/>
      <c r="AW54" s="122"/>
      <c r="AX54" s="133"/>
      <c r="AY54" s="122"/>
      <c r="AZ54" s="125">
        <v>1</v>
      </c>
      <c r="BA54" s="126">
        <v>6.1000000000000004E-3</v>
      </c>
      <c r="BB54" s="159"/>
    </row>
    <row r="55" spans="1:54" x14ac:dyDescent="0.2">
      <c r="A55" s="121" t="s">
        <v>1223</v>
      </c>
      <c r="B55" s="122" t="s">
        <v>1223</v>
      </c>
      <c r="C55" s="122"/>
      <c r="D55" s="122"/>
      <c r="E55" s="122"/>
      <c r="F55" s="122" t="s">
        <v>3447</v>
      </c>
      <c r="G55" s="122" t="s">
        <v>628</v>
      </c>
      <c r="H55" s="122"/>
      <c r="I55" s="122" t="s">
        <v>53</v>
      </c>
      <c r="J55" s="122"/>
      <c r="K55" s="122" t="s">
        <v>257</v>
      </c>
      <c r="L55" s="122" t="s">
        <v>62</v>
      </c>
      <c r="M55" s="122" t="s">
        <v>62</v>
      </c>
      <c r="N55" s="122"/>
      <c r="O55" s="122" t="s">
        <v>3340</v>
      </c>
      <c r="P55" s="122" t="s">
        <v>1546</v>
      </c>
      <c r="Q55" s="122" t="s">
        <v>65</v>
      </c>
      <c r="R55" s="122" t="s">
        <v>779</v>
      </c>
      <c r="S55" s="122" t="s">
        <v>1216</v>
      </c>
      <c r="T55" s="123">
        <v>1.621</v>
      </c>
      <c r="U55" s="122" t="s">
        <v>102</v>
      </c>
      <c r="V55" s="125">
        <v>5.3999999999999999E-2</v>
      </c>
      <c r="W55" s="122"/>
      <c r="X55" s="122"/>
      <c r="Y55" s="125"/>
      <c r="Z55" s="125">
        <v>6.0589999999999998E-2</v>
      </c>
      <c r="AA55" s="122" t="s">
        <v>1430</v>
      </c>
      <c r="AB55" s="122" t="s">
        <v>620</v>
      </c>
      <c r="AC55" s="122" t="s">
        <v>91</v>
      </c>
      <c r="AD55" s="122"/>
      <c r="AE55" s="152"/>
      <c r="AF55" s="122" t="s">
        <v>3467</v>
      </c>
      <c r="AG55" s="122"/>
      <c r="AH55" s="122"/>
      <c r="AI55" s="122"/>
      <c r="AJ55" s="122"/>
      <c r="AK55" s="122" t="s">
        <v>102</v>
      </c>
      <c r="AL55" s="122"/>
      <c r="AM55" s="122" t="s">
        <v>305</v>
      </c>
      <c r="AN55" s="145">
        <v>45930</v>
      </c>
      <c r="AO55" s="145">
        <v>45930</v>
      </c>
      <c r="AP55" s="122"/>
      <c r="AQ55" s="123">
        <v>98478779.700000003</v>
      </c>
      <c r="AR55" s="123">
        <v>1.0149999999999999</v>
      </c>
      <c r="AS55" s="123">
        <v>1</v>
      </c>
      <c r="AT55" s="123">
        <v>99941.387000000002</v>
      </c>
      <c r="AU55" s="123">
        <v>99941.386536000005</v>
      </c>
      <c r="AV55" s="122"/>
      <c r="AW55" s="122"/>
      <c r="AX55" s="133"/>
      <c r="AY55" s="122"/>
      <c r="AZ55" s="125">
        <v>0.19539999999999999</v>
      </c>
      <c r="BA55" s="126">
        <v>3.6600000000000001E-3</v>
      </c>
      <c r="BB55" s="159"/>
    </row>
    <row r="56" spans="1:54" x14ac:dyDescent="0.2">
      <c r="A56" s="121" t="s">
        <v>1223</v>
      </c>
      <c r="B56" s="122" t="s">
        <v>1223</v>
      </c>
      <c r="C56" s="122"/>
      <c r="D56" s="122"/>
      <c r="E56" s="122"/>
      <c r="F56" s="122" t="s">
        <v>3336</v>
      </c>
      <c r="G56" s="122" t="s">
        <v>245</v>
      </c>
      <c r="H56" s="122" t="s">
        <v>843</v>
      </c>
      <c r="I56" s="122" t="s">
        <v>53</v>
      </c>
      <c r="J56" s="122"/>
      <c r="K56" s="122" t="s">
        <v>258</v>
      </c>
      <c r="L56" s="122" t="s">
        <v>62</v>
      </c>
      <c r="M56" s="122" t="s">
        <v>55</v>
      </c>
      <c r="N56" s="122"/>
      <c r="O56" s="122" t="s">
        <v>3337</v>
      </c>
      <c r="P56" s="122" t="s">
        <v>3338</v>
      </c>
      <c r="Q56" s="122" t="s">
        <v>70</v>
      </c>
      <c r="R56" s="122" t="s">
        <v>779</v>
      </c>
      <c r="S56" s="122" t="s">
        <v>1216</v>
      </c>
      <c r="T56" s="123">
        <v>0.08</v>
      </c>
      <c r="U56" s="122" t="s">
        <v>441</v>
      </c>
      <c r="V56" s="125">
        <v>8.6499999999999994E-2</v>
      </c>
      <c r="W56" s="122"/>
      <c r="X56" s="122"/>
      <c r="Y56" s="125"/>
      <c r="Z56" s="125">
        <v>8.0399999999999999E-2</v>
      </c>
      <c r="AA56" s="122" t="s">
        <v>1593</v>
      </c>
      <c r="AB56" s="122" t="s">
        <v>620</v>
      </c>
      <c r="AC56" s="122" t="s">
        <v>426</v>
      </c>
      <c r="AD56" s="122">
        <v>782791</v>
      </c>
      <c r="AE56" s="152">
        <v>0.43</v>
      </c>
      <c r="AF56" s="122" t="s">
        <v>3467</v>
      </c>
      <c r="AG56" s="122"/>
      <c r="AH56" s="122"/>
      <c r="AI56" s="122"/>
      <c r="AJ56" s="122" t="s">
        <v>55</v>
      </c>
      <c r="AK56" s="122" t="s">
        <v>775</v>
      </c>
      <c r="AL56" s="122"/>
      <c r="AM56" s="122" t="s">
        <v>305</v>
      </c>
      <c r="AN56" s="145">
        <v>45930</v>
      </c>
      <c r="AO56" s="145">
        <v>45930</v>
      </c>
      <c r="AP56" s="122"/>
      <c r="AQ56" s="123">
        <v>60256000</v>
      </c>
      <c r="AR56" s="123">
        <v>106.22</v>
      </c>
      <c r="AS56" s="123">
        <v>1</v>
      </c>
      <c r="AT56" s="123">
        <v>64003.923000000003</v>
      </c>
      <c r="AU56" s="123">
        <v>64003.923200000005</v>
      </c>
      <c r="AV56" s="122"/>
      <c r="AW56" s="122"/>
      <c r="AX56" s="133"/>
      <c r="AY56" s="122"/>
      <c r="AZ56" s="125">
        <v>0.12514</v>
      </c>
      <c r="BA56" s="126">
        <v>2.3400000000000001E-3</v>
      </c>
      <c r="BB56" s="159"/>
    </row>
    <row r="57" spans="1:54" x14ac:dyDescent="0.2">
      <c r="A57" s="121" t="s">
        <v>1223</v>
      </c>
      <c r="B57" s="122" t="s">
        <v>1223</v>
      </c>
      <c r="C57" s="122"/>
      <c r="D57" s="122"/>
      <c r="E57" s="122"/>
      <c r="F57" s="122" t="s">
        <v>3341</v>
      </c>
      <c r="G57" s="122" t="s">
        <v>245</v>
      </c>
      <c r="H57" s="122"/>
      <c r="I57" s="122" t="s">
        <v>53</v>
      </c>
      <c r="J57" s="122"/>
      <c r="K57" s="122" t="s">
        <v>163</v>
      </c>
      <c r="L57" s="122" t="s">
        <v>62</v>
      </c>
      <c r="M57" s="122" t="s">
        <v>55</v>
      </c>
      <c r="N57" s="122"/>
      <c r="O57" s="122" t="s">
        <v>3342</v>
      </c>
      <c r="P57" s="122" t="s">
        <v>1454</v>
      </c>
      <c r="Q57" s="122" t="s">
        <v>70</v>
      </c>
      <c r="R57" s="122" t="s">
        <v>779</v>
      </c>
      <c r="S57" s="122" t="s">
        <v>1216</v>
      </c>
      <c r="T57" s="123">
        <v>10.25</v>
      </c>
      <c r="U57" s="122" t="s">
        <v>442</v>
      </c>
      <c r="V57" s="125">
        <v>0.03</v>
      </c>
      <c r="W57" s="122"/>
      <c r="X57" s="122"/>
      <c r="Y57" s="125"/>
      <c r="Z57" s="125">
        <v>3.4799999999999998E-2</v>
      </c>
      <c r="AA57" s="122" t="s">
        <v>3343</v>
      </c>
      <c r="AB57" s="122" t="s">
        <v>620</v>
      </c>
      <c r="AC57" s="122" t="s">
        <v>163</v>
      </c>
      <c r="AD57" s="122">
        <v>3000000</v>
      </c>
      <c r="AE57" s="152">
        <v>0.75</v>
      </c>
      <c r="AF57" s="122" t="s">
        <v>3467</v>
      </c>
      <c r="AG57" s="122"/>
      <c r="AH57" s="122"/>
      <c r="AI57" s="122"/>
      <c r="AJ57" s="122" t="s">
        <v>62</v>
      </c>
      <c r="AK57" s="122" t="s">
        <v>775</v>
      </c>
      <c r="AL57" s="122"/>
      <c r="AM57" s="122" t="s">
        <v>305</v>
      </c>
      <c r="AN57" s="145">
        <v>45930</v>
      </c>
      <c r="AO57" s="145">
        <v>45930</v>
      </c>
      <c r="AP57" s="122"/>
      <c r="AQ57" s="123">
        <v>28158866.149999999</v>
      </c>
      <c r="AR57" s="123">
        <v>113.5</v>
      </c>
      <c r="AS57" s="123">
        <v>1</v>
      </c>
      <c r="AT57" s="123">
        <v>31960.312999999998</v>
      </c>
      <c r="AU57" s="123">
        <v>31960.31308</v>
      </c>
      <c r="AV57" s="122"/>
      <c r="AW57" s="122"/>
      <c r="AX57" s="133"/>
      <c r="AY57" s="122"/>
      <c r="AZ57" s="125">
        <v>6.2489999999999997E-2</v>
      </c>
      <c r="BA57" s="126">
        <v>1.17E-3</v>
      </c>
      <c r="BB57" s="159"/>
    </row>
    <row r="58" spans="1:54" x14ac:dyDescent="0.2">
      <c r="A58" s="121" t="s">
        <v>1223</v>
      </c>
      <c r="B58" s="122" t="s">
        <v>1223</v>
      </c>
      <c r="C58" s="122"/>
      <c r="D58" s="122"/>
      <c r="E58" s="122"/>
      <c r="F58" s="122" t="s">
        <v>3344</v>
      </c>
      <c r="G58" s="122" t="s">
        <v>245</v>
      </c>
      <c r="H58" s="122" t="s">
        <v>3345</v>
      </c>
      <c r="I58" s="122" t="s">
        <v>53</v>
      </c>
      <c r="J58" s="122"/>
      <c r="K58" s="122" t="s">
        <v>140</v>
      </c>
      <c r="L58" s="122" t="s">
        <v>62</v>
      </c>
      <c r="M58" s="122" t="s">
        <v>55</v>
      </c>
      <c r="N58" s="122"/>
      <c r="O58" s="122" t="s">
        <v>3346</v>
      </c>
      <c r="P58" s="122"/>
      <c r="Q58" s="122" t="s">
        <v>298</v>
      </c>
      <c r="R58" s="122"/>
      <c r="S58" s="122" t="s">
        <v>1216</v>
      </c>
      <c r="T58" s="123">
        <v>1.18</v>
      </c>
      <c r="U58" s="122" t="s">
        <v>441</v>
      </c>
      <c r="V58" s="125">
        <v>8.5000000000000006E-2</v>
      </c>
      <c r="W58" s="122"/>
      <c r="X58" s="122"/>
      <c r="Y58" s="125"/>
      <c r="Z58" s="125">
        <v>7.17E-2</v>
      </c>
      <c r="AA58" s="122" t="s">
        <v>3347</v>
      </c>
      <c r="AB58" s="122" t="s">
        <v>620</v>
      </c>
      <c r="AC58" s="122" t="s">
        <v>58</v>
      </c>
      <c r="AD58" s="122">
        <v>206802.164368</v>
      </c>
      <c r="AE58" s="152">
        <v>0.76</v>
      </c>
      <c r="AF58" s="122" t="s">
        <v>3467</v>
      </c>
      <c r="AG58" s="122"/>
      <c r="AH58" s="122"/>
      <c r="AI58" s="122"/>
      <c r="AJ58" s="122" t="s">
        <v>62</v>
      </c>
      <c r="AK58" s="122" t="s">
        <v>775</v>
      </c>
      <c r="AL58" s="122"/>
      <c r="AM58" s="122" t="s">
        <v>305</v>
      </c>
      <c r="AN58" s="145">
        <v>45930</v>
      </c>
      <c r="AO58" s="145">
        <v>45930</v>
      </c>
      <c r="AP58" s="122"/>
      <c r="AQ58" s="123">
        <v>22207497.039999999</v>
      </c>
      <c r="AR58" s="123">
        <v>101.29</v>
      </c>
      <c r="AS58" s="123">
        <v>1</v>
      </c>
      <c r="AT58" s="123">
        <v>22493.973999999998</v>
      </c>
      <c r="AU58" s="123">
        <v>22493.973752000002</v>
      </c>
      <c r="AV58" s="122"/>
      <c r="AW58" s="122"/>
      <c r="AX58" s="133"/>
      <c r="AY58" s="122"/>
      <c r="AZ58" s="125">
        <v>4.3979999999999998E-2</v>
      </c>
      <c r="BA58" s="126">
        <v>8.1999999999999998E-4</v>
      </c>
      <c r="BB58" s="159"/>
    </row>
    <row r="59" spans="1:54" x14ac:dyDescent="0.2">
      <c r="A59" s="121" t="s">
        <v>1223</v>
      </c>
      <c r="B59" s="122" t="s">
        <v>1223</v>
      </c>
      <c r="C59" s="122"/>
      <c r="D59" s="122"/>
      <c r="E59" s="122"/>
      <c r="F59" s="122" t="s">
        <v>3351</v>
      </c>
      <c r="G59" s="122" t="s">
        <v>245</v>
      </c>
      <c r="H59" s="122"/>
      <c r="I59" s="122" t="s">
        <v>53</v>
      </c>
      <c r="J59" s="122"/>
      <c r="K59" s="122" t="s">
        <v>692</v>
      </c>
      <c r="L59" s="122" t="s">
        <v>62</v>
      </c>
      <c r="M59" s="122" t="s">
        <v>55</v>
      </c>
      <c r="N59" s="122"/>
      <c r="O59" s="122" t="s">
        <v>3352</v>
      </c>
      <c r="P59" s="122"/>
      <c r="Q59" s="122" t="s">
        <v>298</v>
      </c>
      <c r="R59" s="122"/>
      <c r="S59" s="122" t="s">
        <v>1217</v>
      </c>
      <c r="T59" s="123">
        <v>0.01</v>
      </c>
      <c r="U59" s="122" t="s">
        <v>102</v>
      </c>
      <c r="V59" s="125">
        <v>0</v>
      </c>
      <c r="W59" s="122"/>
      <c r="X59" s="122"/>
      <c r="Y59" s="125"/>
      <c r="Z59" s="125">
        <v>1E-4</v>
      </c>
      <c r="AA59" s="122" t="s">
        <v>3353</v>
      </c>
      <c r="AB59" s="122" t="s">
        <v>620</v>
      </c>
      <c r="AC59" s="122"/>
      <c r="AD59" s="122"/>
      <c r="AE59" s="152"/>
      <c r="AF59" s="122"/>
      <c r="AG59" s="122"/>
      <c r="AH59" s="122"/>
      <c r="AI59" s="122"/>
      <c r="AJ59" s="122" t="s">
        <v>55</v>
      </c>
      <c r="AK59" s="122" t="s">
        <v>303</v>
      </c>
      <c r="AL59" s="122"/>
      <c r="AM59" s="122" t="s">
        <v>305</v>
      </c>
      <c r="AN59" s="145">
        <v>45930</v>
      </c>
      <c r="AO59" s="145">
        <v>45930</v>
      </c>
      <c r="AP59" s="122"/>
      <c r="AQ59" s="123">
        <v>3477449.87</v>
      </c>
      <c r="AR59" s="123">
        <v>191.84100000000001</v>
      </c>
      <c r="AS59" s="123">
        <v>3.306</v>
      </c>
      <c r="AT59" s="123">
        <v>22054.846000000001</v>
      </c>
      <c r="AU59" s="123">
        <v>6671.1572180000003</v>
      </c>
      <c r="AV59" s="122"/>
      <c r="AW59" s="122"/>
      <c r="AX59" s="133"/>
      <c r="AY59" s="122"/>
      <c r="AZ59" s="125">
        <v>4.3119999999999999E-2</v>
      </c>
      <c r="BA59" s="126">
        <v>8.0999999999999996E-4</v>
      </c>
      <c r="BB59" s="159"/>
    </row>
    <row r="60" spans="1:54" x14ac:dyDescent="0.2">
      <c r="A60" s="121" t="s">
        <v>1223</v>
      </c>
      <c r="B60" s="122" t="s">
        <v>1223</v>
      </c>
      <c r="C60" s="122"/>
      <c r="D60" s="122"/>
      <c r="E60" s="122"/>
      <c r="F60" s="122" t="s">
        <v>3357</v>
      </c>
      <c r="G60" s="122" t="s">
        <v>245</v>
      </c>
      <c r="H60" s="122"/>
      <c r="I60" s="122" t="s">
        <v>53</v>
      </c>
      <c r="J60" s="122"/>
      <c r="K60" s="122" t="s">
        <v>163</v>
      </c>
      <c r="L60" s="122" t="s">
        <v>62</v>
      </c>
      <c r="M60" s="122" t="s">
        <v>55</v>
      </c>
      <c r="N60" s="122"/>
      <c r="O60" s="122" t="s">
        <v>3358</v>
      </c>
      <c r="P60" s="122" t="s">
        <v>1546</v>
      </c>
      <c r="Q60" s="122" t="s">
        <v>65</v>
      </c>
      <c r="R60" s="122" t="s">
        <v>779</v>
      </c>
      <c r="S60" s="122" t="s">
        <v>1216</v>
      </c>
      <c r="T60" s="123">
        <v>5.3</v>
      </c>
      <c r="U60" s="122" t="s">
        <v>442</v>
      </c>
      <c r="V60" s="125">
        <v>3.4099999999999998E-2</v>
      </c>
      <c r="W60" s="122"/>
      <c r="X60" s="122"/>
      <c r="Y60" s="125"/>
      <c r="Z60" s="125">
        <v>3.1300000000000001E-2</v>
      </c>
      <c r="AA60" s="122" t="s">
        <v>3359</v>
      </c>
      <c r="AB60" s="122" t="s">
        <v>620</v>
      </c>
      <c r="AC60" s="122"/>
      <c r="AD60" s="122"/>
      <c r="AE60" s="152"/>
      <c r="AF60" s="122" t="s">
        <v>3467</v>
      </c>
      <c r="AG60" s="122"/>
      <c r="AH60" s="122"/>
      <c r="AI60" s="122"/>
      <c r="AJ60" s="122"/>
      <c r="AK60" s="122" t="s">
        <v>775</v>
      </c>
      <c r="AL60" s="122"/>
      <c r="AM60" s="122" t="s">
        <v>305</v>
      </c>
      <c r="AN60" s="145">
        <v>45930</v>
      </c>
      <c r="AO60" s="145">
        <v>45930</v>
      </c>
      <c r="AP60" s="122"/>
      <c r="AQ60" s="123">
        <v>16728334.789999999</v>
      </c>
      <c r="AR60" s="123">
        <v>121.73</v>
      </c>
      <c r="AS60" s="123">
        <v>1</v>
      </c>
      <c r="AT60" s="123">
        <v>20363.401999999998</v>
      </c>
      <c r="AU60" s="123">
        <v>20363.40194</v>
      </c>
      <c r="AV60" s="122"/>
      <c r="AW60" s="122"/>
      <c r="AX60" s="133"/>
      <c r="AY60" s="122"/>
      <c r="AZ60" s="125">
        <v>3.9809999999999998E-2</v>
      </c>
      <c r="BA60" s="126">
        <v>7.5000000000000002E-4</v>
      </c>
      <c r="BB60" s="159"/>
    </row>
    <row r="61" spans="1:54" x14ac:dyDescent="0.2">
      <c r="A61" s="121" t="s">
        <v>1223</v>
      </c>
      <c r="B61" s="122" t="s">
        <v>1223</v>
      </c>
      <c r="C61" s="122"/>
      <c r="D61" s="122"/>
      <c r="E61" s="122"/>
      <c r="F61" s="122" t="s">
        <v>3348</v>
      </c>
      <c r="G61" s="122" t="s">
        <v>245</v>
      </c>
      <c r="H61" s="122"/>
      <c r="I61" s="122" t="s">
        <v>53</v>
      </c>
      <c r="J61" s="122"/>
      <c r="K61" s="122" t="s">
        <v>156</v>
      </c>
      <c r="L61" s="122" t="s">
        <v>62</v>
      </c>
      <c r="M61" s="122" t="s">
        <v>55</v>
      </c>
      <c r="N61" s="122"/>
      <c r="O61" s="122" t="s">
        <v>3349</v>
      </c>
      <c r="P61" s="122" t="s">
        <v>1423</v>
      </c>
      <c r="Q61" s="122" t="s">
        <v>70</v>
      </c>
      <c r="R61" s="122" t="s">
        <v>779</v>
      </c>
      <c r="S61" s="122" t="s">
        <v>1216</v>
      </c>
      <c r="T61" s="123">
        <v>8.14</v>
      </c>
      <c r="U61" s="122" t="s">
        <v>442</v>
      </c>
      <c r="V61" s="125">
        <v>2.53E-2</v>
      </c>
      <c r="W61" s="122"/>
      <c r="X61" s="122"/>
      <c r="Y61" s="125"/>
      <c r="Z61" s="125">
        <v>3.0200000000000001E-2</v>
      </c>
      <c r="AA61" s="122" t="s">
        <v>3350</v>
      </c>
      <c r="AB61" s="122" t="s">
        <v>620</v>
      </c>
      <c r="AC61" s="122" t="s">
        <v>426</v>
      </c>
      <c r="AD61" s="122"/>
      <c r="AE61" s="152">
        <v>0.75</v>
      </c>
      <c r="AF61" s="122" t="s">
        <v>3467</v>
      </c>
      <c r="AG61" s="122"/>
      <c r="AH61" s="122"/>
      <c r="AI61" s="122"/>
      <c r="AJ61" s="122" t="s">
        <v>55</v>
      </c>
      <c r="AK61" s="122" t="s">
        <v>775</v>
      </c>
      <c r="AL61" s="122"/>
      <c r="AM61" s="122" t="s">
        <v>305</v>
      </c>
      <c r="AN61" s="145">
        <v>45930</v>
      </c>
      <c r="AO61" s="145">
        <v>45930</v>
      </c>
      <c r="AP61" s="122"/>
      <c r="AQ61" s="123">
        <v>18871490.34</v>
      </c>
      <c r="AR61" s="123">
        <v>107.75</v>
      </c>
      <c r="AS61" s="123">
        <v>1</v>
      </c>
      <c r="AT61" s="123">
        <v>20334.030999999999</v>
      </c>
      <c r="AU61" s="123">
        <v>20334.030841</v>
      </c>
      <c r="AV61" s="122"/>
      <c r="AW61" s="122"/>
      <c r="AX61" s="133"/>
      <c r="AY61" s="122"/>
      <c r="AZ61" s="125">
        <v>3.9759999999999997E-2</v>
      </c>
      <c r="BA61" s="126">
        <v>7.3999999999999999E-4</v>
      </c>
      <c r="BB61" s="159"/>
    </row>
    <row r="62" spans="1:54" x14ac:dyDescent="0.2">
      <c r="A62" s="121" t="s">
        <v>1223</v>
      </c>
      <c r="B62" s="122" t="s">
        <v>1223</v>
      </c>
      <c r="C62" s="122"/>
      <c r="D62" s="122"/>
      <c r="E62" s="122"/>
      <c r="F62" s="122" t="s">
        <v>3354</v>
      </c>
      <c r="G62" s="122" t="s">
        <v>245</v>
      </c>
      <c r="H62" s="122"/>
      <c r="I62" s="122" t="s">
        <v>53</v>
      </c>
      <c r="J62" s="122"/>
      <c r="K62" s="122" t="s">
        <v>256</v>
      </c>
      <c r="L62" s="122" t="s">
        <v>62</v>
      </c>
      <c r="M62" s="122" t="s">
        <v>55</v>
      </c>
      <c r="N62" s="122"/>
      <c r="O62" s="122" t="s">
        <v>3355</v>
      </c>
      <c r="P62" s="122"/>
      <c r="Q62" s="122" t="s">
        <v>298</v>
      </c>
      <c r="R62" s="122" t="s">
        <v>298</v>
      </c>
      <c r="S62" s="122" t="s">
        <v>1216</v>
      </c>
      <c r="T62" s="123">
        <v>5.1100000000000003</v>
      </c>
      <c r="U62" s="122" t="s">
        <v>441</v>
      </c>
      <c r="V62" s="125">
        <v>4.5425E-2</v>
      </c>
      <c r="W62" s="122"/>
      <c r="X62" s="122"/>
      <c r="Y62" s="125"/>
      <c r="Z62" s="125">
        <v>4.7399999999999998E-2</v>
      </c>
      <c r="AA62" s="122" t="s">
        <v>3356</v>
      </c>
      <c r="AB62" s="122" t="s">
        <v>620</v>
      </c>
      <c r="AC62" s="122"/>
      <c r="AD62" s="122"/>
      <c r="AE62" s="152"/>
      <c r="AF62" s="122" t="s">
        <v>3467</v>
      </c>
      <c r="AG62" s="122"/>
      <c r="AH62" s="122"/>
      <c r="AI62" s="122"/>
      <c r="AJ62" s="122" t="s">
        <v>62</v>
      </c>
      <c r="AK62" s="122" t="s">
        <v>775</v>
      </c>
      <c r="AL62" s="122"/>
      <c r="AM62" s="122" t="s">
        <v>305</v>
      </c>
      <c r="AN62" s="145">
        <v>45930</v>
      </c>
      <c r="AO62" s="145">
        <v>45930</v>
      </c>
      <c r="AP62" s="122"/>
      <c r="AQ62" s="123">
        <v>20011771.18</v>
      </c>
      <c r="AR62" s="123">
        <v>95.42</v>
      </c>
      <c r="AS62" s="123">
        <v>1</v>
      </c>
      <c r="AT62" s="123">
        <v>19095.232</v>
      </c>
      <c r="AU62" s="123">
        <v>19095.232059999998</v>
      </c>
      <c r="AV62" s="122"/>
      <c r="AW62" s="122"/>
      <c r="AX62" s="133"/>
      <c r="AY62" s="122"/>
      <c r="AZ62" s="125">
        <v>3.7330000000000002E-2</v>
      </c>
      <c r="BA62" s="126">
        <v>6.9999999999999999E-4</v>
      </c>
      <c r="BB62" s="159"/>
    </row>
    <row r="63" spans="1:54" x14ac:dyDescent="0.2">
      <c r="A63" s="121" t="s">
        <v>1223</v>
      </c>
      <c r="B63" s="122" t="s">
        <v>1223</v>
      </c>
      <c r="C63" s="122"/>
      <c r="D63" s="122"/>
      <c r="E63" s="122"/>
      <c r="F63" s="122" t="s">
        <v>3360</v>
      </c>
      <c r="G63" s="122" t="s">
        <v>245</v>
      </c>
      <c r="H63" s="122"/>
      <c r="I63" s="122" t="s">
        <v>53</v>
      </c>
      <c r="J63" s="122"/>
      <c r="K63" s="122" t="s">
        <v>156</v>
      </c>
      <c r="L63" s="122" t="s">
        <v>62</v>
      </c>
      <c r="M63" s="122" t="s">
        <v>55</v>
      </c>
      <c r="N63" s="122"/>
      <c r="O63" s="122" t="s">
        <v>3361</v>
      </c>
      <c r="P63" s="122" t="s">
        <v>1454</v>
      </c>
      <c r="Q63" s="122" t="s">
        <v>70</v>
      </c>
      <c r="R63" s="122" t="s">
        <v>779</v>
      </c>
      <c r="S63" s="122" t="s">
        <v>1216</v>
      </c>
      <c r="T63" s="123">
        <v>3.42</v>
      </c>
      <c r="U63" s="122" t="s">
        <v>442</v>
      </c>
      <c r="V63" s="125">
        <v>2.98E-2</v>
      </c>
      <c r="W63" s="122"/>
      <c r="X63" s="122"/>
      <c r="Y63" s="125"/>
      <c r="Z63" s="125">
        <v>2.9499999999999998E-2</v>
      </c>
      <c r="AA63" s="122" t="s">
        <v>1654</v>
      </c>
      <c r="AB63" s="122" t="s">
        <v>620</v>
      </c>
      <c r="AC63" s="122" t="s">
        <v>426</v>
      </c>
      <c r="AD63" s="122">
        <v>1728000</v>
      </c>
      <c r="AE63" s="152">
        <v>0.75</v>
      </c>
      <c r="AF63" s="122" t="s">
        <v>3467</v>
      </c>
      <c r="AG63" s="122"/>
      <c r="AH63" s="122"/>
      <c r="AI63" s="122"/>
      <c r="AJ63" s="122" t="s">
        <v>55</v>
      </c>
      <c r="AK63" s="122" t="s">
        <v>775</v>
      </c>
      <c r="AL63" s="122"/>
      <c r="AM63" s="122" t="s">
        <v>305</v>
      </c>
      <c r="AN63" s="145">
        <v>45930</v>
      </c>
      <c r="AO63" s="145">
        <v>45930</v>
      </c>
      <c r="AP63" s="122"/>
      <c r="AQ63" s="123">
        <v>15793217.73</v>
      </c>
      <c r="AR63" s="123">
        <v>120.46</v>
      </c>
      <c r="AS63" s="123">
        <v>1</v>
      </c>
      <c r="AT63" s="123">
        <v>19024.509999999998</v>
      </c>
      <c r="AU63" s="123">
        <v>19024.510078000003</v>
      </c>
      <c r="AV63" s="122"/>
      <c r="AW63" s="122"/>
      <c r="AX63" s="133"/>
      <c r="AY63" s="122"/>
      <c r="AZ63" s="125">
        <v>3.7199999999999997E-2</v>
      </c>
      <c r="BA63" s="126">
        <v>6.9999999999999999E-4</v>
      </c>
      <c r="BB63" s="159"/>
    </row>
    <row r="64" spans="1:54" x14ac:dyDescent="0.2">
      <c r="A64" s="121" t="s">
        <v>1223</v>
      </c>
      <c r="B64" s="122" t="s">
        <v>1223</v>
      </c>
      <c r="C64" s="122"/>
      <c r="D64" s="122"/>
      <c r="E64" s="122"/>
      <c r="F64" s="122" t="s">
        <v>3362</v>
      </c>
      <c r="G64" s="122" t="s">
        <v>245</v>
      </c>
      <c r="H64" s="122"/>
      <c r="I64" s="122" t="s">
        <v>53</v>
      </c>
      <c r="J64" s="122"/>
      <c r="K64" s="122" t="s">
        <v>256</v>
      </c>
      <c r="L64" s="122" t="s">
        <v>62</v>
      </c>
      <c r="M64" s="122" t="s">
        <v>55</v>
      </c>
      <c r="N64" s="122"/>
      <c r="O64" s="122" t="s">
        <v>3355</v>
      </c>
      <c r="P64" s="122"/>
      <c r="Q64" s="122" t="s">
        <v>298</v>
      </c>
      <c r="R64" s="122" t="s">
        <v>298</v>
      </c>
      <c r="S64" s="122" t="s">
        <v>1216</v>
      </c>
      <c r="T64" s="123">
        <v>6.89</v>
      </c>
      <c r="U64" s="122" t="s">
        <v>441</v>
      </c>
      <c r="V64" s="125">
        <v>5.1848999999999999E-2</v>
      </c>
      <c r="W64" s="122"/>
      <c r="X64" s="122"/>
      <c r="Y64" s="125"/>
      <c r="Z64" s="125">
        <v>5.1700000000000003E-2</v>
      </c>
      <c r="AA64" s="122" t="s">
        <v>3363</v>
      </c>
      <c r="AB64" s="122" t="s">
        <v>620</v>
      </c>
      <c r="AC64" s="122"/>
      <c r="AD64" s="122"/>
      <c r="AE64" s="152"/>
      <c r="AF64" s="122" t="s">
        <v>3467</v>
      </c>
      <c r="AG64" s="122"/>
      <c r="AH64" s="122"/>
      <c r="AI64" s="122"/>
      <c r="AJ64" s="122" t="s">
        <v>62</v>
      </c>
      <c r="AK64" s="122" t="s">
        <v>775</v>
      </c>
      <c r="AL64" s="122"/>
      <c r="AM64" s="122" t="s">
        <v>305</v>
      </c>
      <c r="AN64" s="145">
        <v>45930</v>
      </c>
      <c r="AO64" s="145">
        <v>45930</v>
      </c>
      <c r="AP64" s="122"/>
      <c r="AQ64" s="123">
        <v>17437270.190000001</v>
      </c>
      <c r="AR64" s="123">
        <v>98.55</v>
      </c>
      <c r="AS64" s="123">
        <v>1</v>
      </c>
      <c r="AT64" s="123">
        <v>17184.43</v>
      </c>
      <c r="AU64" s="123">
        <v>17184.429772</v>
      </c>
      <c r="AV64" s="122"/>
      <c r="AW64" s="122"/>
      <c r="AX64" s="133"/>
      <c r="AY64" s="122"/>
      <c r="AZ64" s="125">
        <v>3.3599999999999998E-2</v>
      </c>
      <c r="BA64" s="126">
        <v>6.3000000000000003E-4</v>
      </c>
      <c r="BB64" s="159"/>
    </row>
    <row r="65" spans="1:54" x14ac:dyDescent="0.2">
      <c r="A65" s="121" t="s">
        <v>1223</v>
      </c>
      <c r="B65" s="122" t="s">
        <v>1223</v>
      </c>
      <c r="C65" s="122"/>
      <c r="D65" s="122"/>
      <c r="E65" s="122"/>
      <c r="F65" s="122" t="s">
        <v>3364</v>
      </c>
      <c r="G65" s="122" t="s">
        <v>245</v>
      </c>
      <c r="H65" s="122"/>
      <c r="I65" s="122" t="s">
        <v>53</v>
      </c>
      <c r="J65" s="122"/>
      <c r="K65" s="122" t="s">
        <v>633</v>
      </c>
      <c r="L65" s="122" t="s">
        <v>62</v>
      </c>
      <c r="M65" s="122" t="s">
        <v>55</v>
      </c>
      <c r="N65" s="122"/>
      <c r="O65" s="122" t="s">
        <v>3365</v>
      </c>
      <c r="P65" s="122"/>
      <c r="Q65" s="122" t="s">
        <v>298</v>
      </c>
      <c r="R65" s="122"/>
      <c r="S65" s="122" t="s">
        <v>1216</v>
      </c>
      <c r="T65" s="123">
        <v>2.14</v>
      </c>
      <c r="U65" s="122" t="s">
        <v>441</v>
      </c>
      <c r="V65" s="125">
        <v>8.5000000000000006E-2</v>
      </c>
      <c r="W65" s="122"/>
      <c r="X65" s="122"/>
      <c r="Y65" s="125"/>
      <c r="Z65" s="125">
        <v>7.2099999999999997E-2</v>
      </c>
      <c r="AA65" s="122" t="s">
        <v>3366</v>
      </c>
      <c r="AB65" s="122" t="s">
        <v>620</v>
      </c>
      <c r="AC65" s="122" t="s">
        <v>98</v>
      </c>
      <c r="AD65" s="122">
        <v>705882.35294100002</v>
      </c>
      <c r="AE65" s="152">
        <v>0.17</v>
      </c>
      <c r="AF65" s="122" t="s">
        <v>3467</v>
      </c>
      <c r="AG65" s="122"/>
      <c r="AH65" s="122"/>
      <c r="AI65" s="122"/>
      <c r="AJ65" s="122" t="s">
        <v>55</v>
      </c>
      <c r="AK65" s="122" t="s">
        <v>775</v>
      </c>
      <c r="AL65" s="122"/>
      <c r="AM65" s="122" t="s">
        <v>305</v>
      </c>
      <c r="AN65" s="145">
        <v>45930</v>
      </c>
      <c r="AO65" s="145">
        <v>45930</v>
      </c>
      <c r="AP65" s="122"/>
      <c r="AQ65" s="123">
        <v>15064000</v>
      </c>
      <c r="AR65" s="123">
        <v>102.51</v>
      </c>
      <c r="AS65" s="123">
        <v>1</v>
      </c>
      <c r="AT65" s="123">
        <v>15442.106</v>
      </c>
      <c r="AU65" s="123">
        <v>15442.106400000001</v>
      </c>
      <c r="AV65" s="122"/>
      <c r="AW65" s="122"/>
      <c r="AX65" s="133"/>
      <c r="AY65" s="122"/>
      <c r="AZ65" s="125">
        <v>3.0190000000000002E-2</v>
      </c>
      <c r="BA65" s="126">
        <v>5.6999999999999998E-4</v>
      </c>
      <c r="BB65" s="159"/>
    </row>
    <row r="66" spans="1:54" x14ac:dyDescent="0.2">
      <c r="A66" s="121" t="s">
        <v>1223</v>
      </c>
      <c r="B66" s="122" t="s">
        <v>1223</v>
      </c>
      <c r="C66" s="122"/>
      <c r="D66" s="122"/>
      <c r="E66" s="122"/>
      <c r="F66" s="122" t="s">
        <v>3367</v>
      </c>
      <c r="G66" s="122" t="s">
        <v>245</v>
      </c>
      <c r="H66" s="122"/>
      <c r="I66" s="122" t="s">
        <v>53</v>
      </c>
      <c r="J66" s="122"/>
      <c r="K66" s="122" t="s">
        <v>260</v>
      </c>
      <c r="L66" s="122" t="s">
        <v>62</v>
      </c>
      <c r="M66" s="122" t="s">
        <v>55</v>
      </c>
      <c r="N66" s="122"/>
      <c r="O66" s="122" t="s">
        <v>3368</v>
      </c>
      <c r="P66" s="122"/>
      <c r="Q66" s="122" t="s">
        <v>298</v>
      </c>
      <c r="R66" s="122"/>
      <c r="S66" s="122" t="s">
        <v>1216</v>
      </c>
      <c r="T66" s="123">
        <v>4.43</v>
      </c>
      <c r="U66" s="122" t="s">
        <v>442</v>
      </c>
      <c r="V66" s="125">
        <v>3.2000000000000001E-2</v>
      </c>
      <c r="W66" s="122"/>
      <c r="X66" s="122"/>
      <c r="Y66" s="125"/>
      <c r="Z66" s="125">
        <v>3.1399999999999997E-2</v>
      </c>
      <c r="AA66" s="122" t="s">
        <v>1666</v>
      </c>
      <c r="AB66" s="122" t="s">
        <v>620</v>
      </c>
      <c r="AC66" s="122" t="s">
        <v>163</v>
      </c>
      <c r="AD66" s="122"/>
      <c r="AE66" s="152"/>
      <c r="AF66" s="122" t="s">
        <v>3467</v>
      </c>
      <c r="AG66" s="122"/>
      <c r="AH66" s="122"/>
      <c r="AI66" s="122"/>
      <c r="AJ66" s="122"/>
      <c r="AK66" s="122" t="s">
        <v>775</v>
      </c>
      <c r="AL66" s="122"/>
      <c r="AM66" s="122" t="s">
        <v>305</v>
      </c>
      <c r="AN66" s="145">
        <v>45930</v>
      </c>
      <c r="AO66" s="145">
        <v>45930</v>
      </c>
      <c r="AP66" s="122"/>
      <c r="AQ66" s="123">
        <v>11521862.439999999</v>
      </c>
      <c r="AR66" s="123">
        <v>120.2</v>
      </c>
      <c r="AS66" s="123">
        <v>1</v>
      </c>
      <c r="AT66" s="123">
        <v>13849.279</v>
      </c>
      <c r="AU66" s="123">
        <v>13849.278653000001</v>
      </c>
      <c r="AV66" s="122"/>
      <c r="AW66" s="122"/>
      <c r="AX66" s="133"/>
      <c r="AY66" s="122"/>
      <c r="AZ66" s="125">
        <v>2.708E-2</v>
      </c>
      <c r="BA66" s="126">
        <v>5.1000000000000004E-4</v>
      </c>
      <c r="BB66" s="159"/>
    </row>
    <row r="67" spans="1:54" x14ac:dyDescent="0.2">
      <c r="A67" s="121" t="s">
        <v>1223</v>
      </c>
      <c r="B67" s="122" t="s">
        <v>1223</v>
      </c>
      <c r="C67" s="122"/>
      <c r="D67" s="122"/>
      <c r="E67" s="122"/>
      <c r="F67" s="122" t="s">
        <v>3369</v>
      </c>
      <c r="G67" s="122" t="s">
        <v>245</v>
      </c>
      <c r="H67" s="122"/>
      <c r="I67" s="122" t="s">
        <v>53</v>
      </c>
      <c r="J67" s="122"/>
      <c r="K67" s="122" t="s">
        <v>256</v>
      </c>
      <c r="L67" s="122" t="s">
        <v>62</v>
      </c>
      <c r="M67" s="122" t="s">
        <v>55</v>
      </c>
      <c r="N67" s="122"/>
      <c r="O67" s="122" t="s">
        <v>3355</v>
      </c>
      <c r="P67" s="122"/>
      <c r="Q67" s="122" t="s">
        <v>298</v>
      </c>
      <c r="R67" s="122" t="s">
        <v>298</v>
      </c>
      <c r="S67" s="122" t="s">
        <v>1216</v>
      </c>
      <c r="T67" s="123">
        <v>7.31</v>
      </c>
      <c r="U67" s="122" t="s">
        <v>442</v>
      </c>
      <c r="V67" s="125">
        <v>3.9503999999999997E-2</v>
      </c>
      <c r="W67" s="122"/>
      <c r="X67" s="122"/>
      <c r="Y67" s="125"/>
      <c r="Z67" s="125">
        <v>2.5899999999999999E-2</v>
      </c>
      <c r="AA67" s="122" t="s">
        <v>3370</v>
      </c>
      <c r="AB67" s="122" t="s">
        <v>620</v>
      </c>
      <c r="AC67" s="122"/>
      <c r="AD67" s="122"/>
      <c r="AE67" s="152"/>
      <c r="AF67" s="122" t="s">
        <v>3467</v>
      </c>
      <c r="AG67" s="122"/>
      <c r="AH67" s="122"/>
      <c r="AI67" s="122"/>
      <c r="AJ67" s="122" t="s">
        <v>62</v>
      </c>
      <c r="AK67" s="122" t="s">
        <v>775</v>
      </c>
      <c r="AL67" s="122"/>
      <c r="AM67" s="122" t="s">
        <v>305</v>
      </c>
      <c r="AN67" s="145">
        <v>45930</v>
      </c>
      <c r="AO67" s="145">
        <v>45930</v>
      </c>
      <c r="AP67" s="122"/>
      <c r="AQ67" s="123">
        <v>8703147.1899999995</v>
      </c>
      <c r="AR67" s="123">
        <v>132.16999999999999</v>
      </c>
      <c r="AS67" s="123">
        <v>1</v>
      </c>
      <c r="AT67" s="123">
        <v>11502.95</v>
      </c>
      <c r="AU67" s="123">
        <v>11502.949641000001</v>
      </c>
      <c r="AV67" s="122"/>
      <c r="AW67" s="122"/>
      <c r="AX67" s="133"/>
      <c r="AY67" s="122"/>
      <c r="AZ67" s="125">
        <v>2.249E-2</v>
      </c>
      <c r="BA67" s="126">
        <v>4.2000000000000002E-4</v>
      </c>
      <c r="BB67" s="159"/>
    </row>
    <row r="68" spans="1:54" x14ac:dyDescent="0.2">
      <c r="A68" s="121" t="s">
        <v>1223</v>
      </c>
      <c r="B68" s="122" t="s">
        <v>1223</v>
      </c>
      <c r="C68" s="122"/>
      <c r="D68" s="122"/>
      <c r="E68" s="122"/>
      <c r="F68" s="122" t="s">
        <v>3371</v>
      </c>
      <c r="G68" s="122" t="s">
        <v>245</v>
      </c>
      <c r="H68" s="122" t="s">
        <v>846</v>
      </c>
      <c r="I68" s="122" t="s">
        <v>53</v>
      </c>
      <c r="J68" s="122"/>
      <c r="K68" s="122" t="s">
        <v>257</v>
      </c>
      <c r="L68" s="122" t="s">
        <v>62</v>
      </c>
      <c r="M68" s="122" t="s">
        <v>55</v>
      </c>
      <c r="N68" s="122"/>
      <c r="O68" s="122" t="s">
        <v>3372</v>
      </c>
      <c r="P68" s="122" t="s">
        <v>3373</v>
      </c>
      <c r="Q68" s="122" t="s">
        <v>78</v>
      </c>
      <c r="R68" s="122" t="s">
        <v>779</v>
      </c>
      <c r="S68" s="122" t="s">
        <v>1216</v>
      </c>
      <c r="T68" s="123">
        <v>0.82</v>
      </c>
      <c r="U68" s="122" t="s">
        <v>441</v>
      </c>
      <c r="V68" s="125">
        <v>8.3000000000000004E-2</v>
      </c>
      <c r="W68" s="122"/>
      <c r="X68" s="122"/>
      <c r="Y68" s="125"/>
      <c r="Z68" s="125">
        <v>7.3999999999999996E-2</v>
      </c>
      <c r="AA68" s="122" t="s">
        <v>3374</v>
      </c>
      <c r="AB68" s="122" t="s">
        <v>620</v>
      </c>
      <c r="AC68" s="122" t="s">
        <v>58</v>
      </c>
      <c r="AD68" s="122">
        <v>133333.33333333331</v>
      </c>
      <c r="AE68" s="152">
        <v>0.75</v>
      </c>
      <c r="AF68" s="122" t="s">
        <v>3467</v>
      </c>
      <c r="AG68" s="122"/>
      <c r="AH68" s="122"/>
      <c r="AI68" s="122"/>
      <c r="AJ68" s="122" t="s">
        <v>55</v>
      </c>
      <c r="AK68" s="122" t="s">
        <v>775</v>
      </c>
      <c r="AL68" s="122"/>
      <c r="AM68" s="122" t="s">
        <v>305</v>
      </c>
      <c r="AN68" s="145">
        <v>45930</v>
      </c>
      <c r="AO68" s="145">
        <v>45930</v>
      </c>
      <c r="AP68" s="122"/>
      <c r="AQ68" s="123">
        <v>10042666.67</v>
      </c>
      <c r="AR68" s="123">
        <v>101.63</v>
      </c>
      <c r="AS68" s="123">
        <v>1</v>
      </c>
      <c r="AT68" s="123">
        <v>10206.361999999999</v>
      </c>
      <c r="AU68" s="123">
        <v>10206.362137</v>
      </c>
      <c r="AV68" s="122"/>
      <c r="AW68" s="122"/>
      <c r="AX68" s="133"/>
      <c r="AY68" s="122"/>
      <c r="AZ68" s="125">
        <v>1.9949999999999999E-2</v>
      </c>
      <c r="BA68" s="126">
        <v>3.6999999999999999E-4</v>
      </c>
      <c r="BB68" s="159"/>
    </row>
    <row r="69" spans="1:54" x14ac:dyDescent="0.2">
      <c r="A69" s="121" t="s">
        <v>1223</v>
      </c>
      <c r="B69" s="122" t="s">
        <v>1223</v>
      </c>
      <c r="C69" s="122"/>
      <c r="D69" s="122"/>
      <c r="E69" s="122"/>
      <c r="F69" s="122" t="s">
        <v>3376</v>
      </c>
      <c r="G69" s="122" t="s">
        <v>245</v>
      </c>
      <c r="H69" s="122" t="s">
        <v>835</v>
      </c>
      <c r="I69" s="122" t="s">
        <v>53</v>
      </c>
      <c r="J69" s="122"/>
      <c r="K69" s="122" t="s">
        <v>633</v>
      </c>
      <c r="L69" s="122" t="s">
        <v>62</v>
      </c>
      <c r="M69" s="122" t="s">
        <v>55</v>
      </c>
      <c r="N69" s="122"/>
      <c r="O69" s="122" t="s">
        <v>3377</v>
      </c>
      <c r="P69" s="122"/>
      <c r="Q69" s="122" t="s">
        <v>298</v>
      </c>
      <c r="R69" s="122"/>
      <c r="S69" s="122" t="s">
        <v>1216</v>
      </c>
      <c r="T69" s="123">
        <v>1.21</v>
      </c>
      <c r="U69" s="122" t="s">
        <v>442</v>
      </c>
      <c r="V69" s="125">
        <v>4.7500000000000001E-2</v>
      </c>
      <c r="W69" s="122"/>
      <c r="X69" s="122"/>
      <c r="Y69" s="125"/>
      <c r="Z69" s="125">
        <v>3.9600000000000003E-2</v>
      </c>
      <c r="AA69" s="122" t="s">
        <v>3347</v>
      </c>
      <c r="AB69" s="122" t="s">
        <v>620</v>
      </c>
      <c r="AC69" s="122" t="s">
        <v>58</v>
      </c>
      <c r="AD69" s="122">
        <v>269260.33899999998</v>
      </c>
      <c r="AE69" s="152">
        <v>0.17</v>
      </c>
      <c r="AF69" s="122" t="s">
        <v>3467</v>
      </c>
      <c r="AG69" s="122"/>
      <c r="AH69" s="122"/>
      <c r="AI69" s="122"/>
      <c r="AJ69" s="122" t="s">
        <v>62</v>
      </c>
      <c r="AK69" s="122" t="s">
        <v>775</v>
      </c>
      <c r="AL69" s="122"/>
      <c r="AM69" s="122" t="s">
        <v>305</v>
      </c>
      <c r="AN69" s="145">
        <v>45930</v>
      </c>
      <c r="AO69" s="145">
        <v>45930</v>
      </c>
      <c r="AP69" s="122"/>
      <c r="AQ69" s="123">
        <v>9193334.8599999994</v>
      </c>
      <c r="AR69" s="123">
        <v>108.88</v>
      </c>
      <c r="AS69" s="123">
        <v>1</v>
      </c>
      <c r="AT69" s="123">
        <v>10009.703</v>
      </c>
      <c r="AU69" s="123">
        <v>10009.702996</v>
      </c>
      <c r="AV69" s="122"/>
      <c r="AW69" s="122"/>
      <c r="AX69" s="133"/>
      <c r="AY69" s="122"/>
      <c r="AZ69" s="125">
        <v>1.9570000000000001E-2</v>
      </c>
      <c r="BA69" s="126">
        <v>3.6999999999999999E-4</v>
      </c>
      <c r="BB69" s="159"/>
    </row>
    <row r="70" spans="1:54" x14ac:dyDescent="0.2">
      <c r="A70" s="121" t="s">
        <v>1223</v>
      </c>
      <c r="B70" s="122" t="s">
        <v>1223</v>
      </c>
      <c r="C70" s="122"/>
      <c r="D70" s="122"/>
      <c r="E70" s="122"/>
      <c r="F70" s="122" t="s">
        <v>3378</v>
      </c>
      <c r="G70" s="122" t="s">
        <v>245</v>
      </c>
      <c r="H70" s="122" t="s">
        <v>818</v>
      </c>
      <c r="I70" s="122" t="s">
        <v>53</v>
      </c>
      <c r="J70" s="122"/>
      <c r="K70" s="122" t="s">
        <v>633</v>
      </c>
      <c r="L70" s="122" t="s">
        <v>62</v>
      </c>
      <c r="M70" s="122" t="s">
        <v>55</v>
      </c>
      <c r="N70" s="122"/>
      <c r="O70" s="122" t="s">
        <v>3379</v>
      </c>
      <c r="P70" s="122"/>
      <c r="Q70" s="122" t="s">
        <v>298</v>
      </c>
      <c r="R70" s="122"/>
      <c r="S70" s="122" t="s">
        <v>1216</v>
      </c>
      <c r="T70" s="123">
        <v>1.0900000000000001</v>
      </c>
      <c r="U70" s="122" t="s">
        <v>441</v>
      </c>
      <c r="V70" s="125">
        <v>8.2500000000000004E-2</v>
      </c>
      <c r="W70" s="122"/>
      <c r="X70" s="122"/>
      <c r="Y70" s="125"/>
      <c r="Z70" s="125">
        <v>5.9200000000000003E-2</v>
      </c>
      <c r="AA70" s="122" t="s">
        <v>3380</v>
      </c>
      <c r="AB70" s="122" t="s">
        <v>620</v>
      </c>
      <c r="AC70" s="122" t="s">
        <v>58</v>
      </c>
      <c r="AD70" s="122">
        <v>227000</v>
      </c>
      <c r="AE70" s="152">
        <v>0.63</v>
      </c>
      <c r="AF70" s="122" t="s">
        <v>3467</v>
      </c>
      <c r="AG70" s="122"/>
      <c r="AH70" s="122"/>
      <c r="AI70" s="122"/>
      <c r="AJ70" s="122" t="s">
        <v>62</v>
      </c>
      <c r="AK70" s="122" t="s">
        <v>775</v>
      </c>
      <c r="AL70" s="122"/>
      <c r="AM70" s="122" t="s">
        <v>305</v>
      </c>
      <c r="AN70" s="145">
        <v>45930</v>
      </c>
      <c r="AO70" s="145">
        <v>45930</v>
      </c>
      <c r="AP70" s="122"/>
      <c r="AQ70" s="123">
        <v>8640786</v>
      </c>
      <c r="AR70" s="123">
        <v>104.35</v>
      </c>
      <c r="AS70" s="123">
        <v>1</v>
      </c>
      <c r="AT70" s="123">
        <v>9016.66</v>
      </c>
      <c r="AU70" s="123">
        <v>9016.660190999999</v>
      </c>
      <c r="AV70" s="122"/>
      <c r="AW70" s="122"/>
      <c r="AX70" s="133"/>
      <c r="AY70" s="122"/>
      <c r="AZ70" s="125">
        <v>1.763E-2</v>
      </c>
      <c r="BA70" s="126">
        <v>3.3E-4</v>
      </c>
      <c r="BB70" s="159"/>
    </row>
    <row r="71" spans="1:54" x14ac:dyDescent="0.2">
      <c r="A71" s="121" t="s">
        <v>1223</v>
      </c>
      <c r="B71" s="122" t="s">
        <v>1223</v>
      </c>
      <c r="C71" s="122"/>
      <c r="D71" s="122"/>
      <c r="E71" s="122"/>
      <c r="F71" s="122" t="s">
        <v>3381</v>
      </c>
      <c r="G71" s="122" t="s">
        <v>627</v>
      </c>
      <c r="H71" s="122"/>
      <c r="I71" s="122" t="s">
        <v>53</v>
      </c>
      <c r="J71" s="122"/>
      <c r="K71" s="122" t="s">
        <v>257</v>
      </c>
      <c r="L71" s="122" t="s">
        <v>62</v>
      </c>
      <c r="M71" s="122" t="s">
        <v>55</v>
      </c>
      <c r="N71" s="122"/>
      <c r="O71" s="122" t="s">
        <v>3382</v>
      </c>
      <c r="P71" s="122"/>
      <c r="Q71" s="122" t="s">
        <v>298</v>
      </c>
      <c r="R71" s="122"/>
      <c r="S71" s="122" t="s">
        <v>1216</v>
      </c>
      <c r="T71" s="123">
        <v>1.1200000000000001</v>
      </c>
      <c r="U71" s="122" t="s">
        <v>442</v>
      </c>
      <c r="V71" s="125">
        <v>5.6500000000000002E-2</v>
      </c>
      <c r="W71" s="122"/>
      <c r="X71" s="122"/>
      <c r="Y71" s="125"/>
      <c r="Z71" s="125">
        <v>6.7599999999999993E-2</v>
      </c>
      <c r="AA71" s="122" t="s">
        <v>1825</v>
      </c>
      <c r="AB71" s="122" t="s">
        <v>620</v>
      </c>
      <c r="AC71" s="122" t="s">
        <v>80</v>
      </c>
      <c r="AD71" s="122">
        <v>78908</v>
      </c>
      <c r="AE71" s="152">
        <v>0.75</v>
      </c>
      <c r="AF71" s="122" t="s">
        <v>3467</v>
      </c>
      <c r="AG71" s="122"/>
      <c r="AH71" s="122"/>
      <c r="AI71" s="122"/>
      <c r="AJ71" s="122" t="s">
        <v>62</v>
      </c>
      <c r="AK71" s="122" t="s">
        <v>775</v>
      </c>
      <c r="AL71" s="122"/>
      <c r="AM71" s="122" t="s">
        <v>305</v>
      </c>
      <c r="AN71" s="145">
        <v>45930</v>
      </c>
      <c r="AO71" s="145">
        <v>45930</v>
      </c>
      <c r="AP71" s="122"/>
      <c r="AQ71" s="123">
        <v>7587978.3899999997</v>
      </c>
      <c r="AR71" s="123">
        <v>115.42</v>
      </c>
      <c r="AS71" s="123">
        <v>1</v>
      </c>
      <c r="AT71" s="123">
        <v>8758.0450000000001</v>
      </c>
      <c r="AU71" s="123">
        <v>8758.0446580000007</v>
      </c>
      <c r="AV71" s="122"/>
      <c r="AW71" s="122"/>
      <c r="AX71" s="133"/>
      <c r="AY71" s="122"/>
      <c r="AZ71" s="125">
        <v>1.712E-2</v>
      </c>
      <c r="BA71" s="126">
        <v>3.2000000000000003E-4</v>
      </c>
      <c r="BB71" s="159"/>
    </row>
    <row r="72" spans="1:54" x14ac:dyDescent="0.2">
      <c r="A72" s="121" t="s">
        <v>1223</v>
      </c>
      <c r="B72" s="122" t="s">
        <v>1223</v>
      </c>
      <c r="C72" s="122"/>
      <c r="D72" s="122"/>
      <c r="E72" s="122"/>
      <c r="F72" s="122" t="s">
        <v>3383</v>
      </c>
      <c r="G72" s="122" t="s">
        <v>245</v>
      </c>
      <c r="H72" s="122"/>
      <c r="I72" s="122" t="s">
        <v>53</v>
      </c>
      <c r="J72" s="122"/>
      <c r="K72" s="122" t="s">
        <v>256</v>
      </c>
      <c r="L72" s="122" t="s">
        <v>62</v>
      </c>
      <c r="M72" s="122" t="s">
        <v>55</v>
      </c>
      <c r="N72" s="122"/>
      <c r="O72" s="122" t="s">
        <v>3355</v>
      </c>
      <c r="P72" s="122"/>
      <c r="Q72" s="122" t="s">
        <v>298</v>
      </c>
      <c r="R72" s="122" t="s">
        <v>298</v>
      </c>
      <c r="S72" s="122" t="s">
        <v>1216</v>
      </c>
      <c r="T72" s="123">
        <v>6.04</v>
      </c>
      <c r="U72" s="122" t="s">
        <v>442</v>
      </c>
      <c r="V72" s="125">
        <v>2.4483000000000001E-2</v>
      </c>
      <c r="W72" s="122"/>
      <c r="X72" s="122"/>
      <c r="Y72" s="125"/>
      <c r="Z72" s="125">
        <v>2.4799999999999999E-2</v>
      </c>
      <c r="AA72" s="122" t="s">
        <v>3363</v>
      </c>
      <c r="AB72" s="122" t="s">
        <v>620</v>
      </c>
      <c r="AC72" s="122"/>
      <c r="AD72" s="122"/>
      <c r="AE72" s="152"/>
      <c r="AF72" s="122"/>
      <c r="AG72" s="122"/>
      <c r="AH72" s="122"/>
      <c r="AI72" s="122"/>
      <c r="AJ72" s="122" t="s">
        <v>62</v>
      </c>
      <c r="AK72" s="122" t="s">
        <v>775</v>
      </c>
      <c r="AL72" s="122"/>
      <c r="AM72" s="122" t="s">
        <v>305</v>
      </c>
      <c r="AN72" s="145">
        <v>45930</v>
      </c>
      <c r="AO72" s="145">
        <v>45930</v>
      </c>
      <c r="AP72" s="122"/>
      <c r="AQ72" s="123">
        <v>5558238.6399999997</v>
      </c>
      <c r="AR72" s="123">
        <v>119.91</v>
      </c>
      <c r="AS72" s="123">
        <v>1</v>
      </c>
      <c r="AT72" s="123">
        <v>6664.884</v>
      </c>
      <c r="AU72" s="123">
        <v>6664.8839529999996</v>
      </c>
      <c r="AV72" s="122"/>
      <c r="AW72" s="122"/>
      <c r="AX72" s="133"/>
      <c r="AY72" s="122"/>
      <c r="AZ72" s="125">
        <v>1.303E-2</v>
      </c>
      <c r="BA72" s="126">
        <v>2.4000000000000001E-4</v>
      </c>
      <c r="BB72" s="159"/>
    </row>
    <row r="73" spans="1:54" x14ac:dyDescent="0.2">
      <c r="A73" s="121" t="s">
        <v>1223</v>
      </c>
      <c r="B73" s="122" t="s">
        <v>1223</v>
      </c>
      <c r="C73" s="122"/>
      <c r="D73" s="122"/>
      <c r="E73" s="122"/>
      <c r="F73" s="122" t="s">
        <v>3384</v>
      </c>
      <c r="G73" s="122" t="s">
        <v>245</v>
      </c>
      <c r="H73" s="122"/>
      <c r="I73" s="122" t="s">
        <v>53</v>
      </c>
      <c r="J73" s="122"/>
      <c r="K73" s="122" t="s">
        <v>256</v>
      </c>
      <c r="L73" s="122" t="s">
        <v>62</v>
      </c>
      <c r="M73" s="122" t="s">
        <v>55</v>
      </c>
      <c r="N73" s="122"/>
      <c r="O73" s="122" t="s">
        <v>3355</v>
      </c>
      <c r="P73" s="122"/>
      <c r="Q73" s="122" t="s">
        <v>298</v>
      </c>
      <c r="R73" s="122" t="s">
        <v>298</v>
      </c>
      <c r="S73" s="122" t="s">
        <v>1216</v>
      </c>
      <c r="T73" s="123">
        <v>6.08</v>
      </c>
      <c r="U73" s="122" t="s">
        <v>441</v>
      </c>
      <c r="V73" s="125">
        <v>6.1657999999999998E-2</v>
      </c>
      <c r="W73" s="122"/>
      <c r="X73" s="122"/>
      <c r="Y73" s="125"/>
      <c r="Z73" s="125">
        <v>5.7200000000000001E-2</v>
      </c>
      <c r="AA73" s="122" t="s">
        <v>3370</v>
      </c>
      <c r="AB73" s="122" t="s">
        <v>620</v>
      </c>
      <c r="AC73" s="122"/>
      <c r="AD73" s="122"/>
      <c r="AE73" s="152"/>
      <c r="AF73" s="122" t="s">
        <v>3467</v>
      </c>
      <c r="AG73" s="122"/>
      <c r="AH73" s="122"/>
      <c r="AI73" s="122"/>
      <c r="AJ73" s="122" t="s">
        <v>62</v>
      </c>
      <c r="AK73" s="122" t="s">
        <v>775</v>
      </c>
      <c r="AL73" s="122"/>
      <c r="AM73" s="122" t="s">
        <v>305</v>
      </c>
      <c r="AN73" s="145">
        <v>45930</v>
      </c>
      <c r="AO73" s="145">
        <v>45930</v>
      </c>
      <c r="AP73" s="122"/>
      <c r="AQ73" s="123">
        <v>4162442.49</v>
      </c>
      <c r="AR73" s="123">
        <v>121.05</v>
      </c>
      <c r="AS73" s="123">
        <v>1</v>
      </c>
      <c r="AT73" s="123">
        <v>5038.6369999999997</v>
      </c>
      <c r="AU73" s="123">
        <v>5038.6366339999995</v>
      </c>
      <c r="AV73" s="122"/>
      <c r="AW73" s="122"/>
      <c r="AX73" s="133"/>
      <c r="AY73" s="122"/>
      <c r="AZ73" s="125">
        <v>9.8499999999999994E-3</v>
      </c>
      <c r="BA73" s="126">
        <v>1.8000000000000001E-4</v>
      </c>
      <c r="BB73" s="159"/>
    </row>
    <row r="74" spans="1:54" x14ac:dyDescent="0.2">
      <c r="A74" s="121" t="s">
        <v>1223</v>
      </c>
      <c r="B74" s="122" t="s">
        <v>1223</v>
      </c>
      <c r="C74" s="122"/>
      <c r="D74" s="122"/>
      <c r="E74" s="122"/>
      <c r="F74" s="122" t="s">
        <v>3385</v>
      </c>
      <c r="G74" s="122" t="s">
        <v>245</v>
      </c>
      <c r="H74" s="122" t="s">
        <v>818</v>
      </c>
      <c r="I74" s="122" t="s">
        <v>53</v>
      </c>
      <c r="J74" s="122"/>
      <c r="K74" s="122" t="s">
        <v>633</v>
      </c>
      <c r="L74" s="122" t="s">
        <v>62</v>
      </c>
      <c r="M74" s="122" t="s">
        <v>55</v>
      </c>
      <c r="N74" s="122"/>
      <c r="O74" s="122" t="s">
        <v>3386</v>
      </c>
      <c r="P74" s="122"/>
      <c r="Q74" s="122" t="s">
        <v>298</v>
      </c>
      <c r="R74" s="122"/>
      <c r="S74" s="122" t="s">
        <v>1216</v>
      </c>
      <c r="T74" s="123">
        <v>0.18</v>
      </c>
      <c r="U74" s="122" t="s">
        <v>441</v>
      </c>
      <c r="V74" s="125">
        <v>0.08</v>
      </c>
      <c r="W74" s="122"/>
      <c r="X74" s="122"/>
      <c r="Y74" s="125"/>
      <c r="Z74" s="125">
        <v>5.4199999999999998E-2</v>
      </c>
      <c r="AA74" s="122" t="s">
        <v>3387</v>
      </c>
      <c r="AB74" s="122" t="s">
        <v>620</v>
      </c>
      <c r="AC74" s="122" t="s">
        <v>58</v>
      </c>
      <c r="AD74" s="122">
        <v>130000</v>
      </c>
      <c r="AE74" s="152">
        <v>0.68</v>
      </c>
      <c r="AF74" s="122" t="s">
        <v>3467</v>
      </c>
      <c r="AG74" s="122"/>
      <c r="AH74" s="122"/>
      <c r="AI74" s="122"/>
      <c r="AJ74" s="122" t="s">
        <v>55</v>
      </c>
      <c r="AK74" s="122" t="s">
        <v>775</v>
      </c>
      <c r="AL74" s="122"/>
      <c r="AM74" s="122" t="s">
        <v>305</v>
      </c>
      <c r="AN74" s="145">
        <v>45930</v>
      </c>
      <c r="AO74" s="145">
        <v>45930</v>
      </c>
      <c r="AP74" s="122"/>
      <c r="AQ74" s="123">
        <v>4594567.95</v>
      </c>
      <c r="AR74" s="123">
        <v>102.5</v>
      </c>
      <c r="AS74" s="123">
        <v>1</v>
      </c>
      <c r="AT74" s="123">
        <v>4709.4319999999998</v>
      </c>
      <c r="AU74" s="123">
        <v>4709.4321490000002</v>
      </c>
      <c r="AV74" s="122"/>
      <c r="AW74" s="122"/>
      <c r="AX74" s="133"/>
      <c r="AY74" s="122"/>
      <c r="AZ74" s="125">
        <v>9.2099999999999994E-3</v>
      </c>
      <c r="BA74" s="126">
        <v>1.7000000000000001E-4</v>
      </c>
      <c r="BB74" s="159"/>
    </row>
    <row r="75" spans="1:54" x14ac:dyDescent="0.2">
      <c r="A75" s="121" t="s">
        <v>1223</v>
      </c>
      <c r="B75" s="122" t="s">
        <v>1223</v>
      </c>
      <c r="C75" s="122"/>
      <c r="D75" s="122"/>
      <c r="E75" s="122"/>
      <c r="F75" s="122" t="s">
        <v>3388</v>
      </c>
      <c r="G75" s="122" t="s">
        <v>245</v>
      </c>
      <c r="H75" s="122" t="s">
        <v>3345</v>
      </c>
      <c r="I75" s="122" t="s">
        <v>53</v>
      </c>
      <c r="J75" s="122"/>
      <c r="K75" s="122" t="s">
        <v>635</v>
      </c>
      <c r="L75" s="122" t="s">
        <v>62</v>
      </c>
      <c r="M75" s="122" t="s">
        <v>55</v>
      </c>
      <c r="N75" s="122"/>
      <c r="O75" s="122" t="s">
        <v>3389</v>
      </c>
      <c r="P75" s="122"/>
      <c r="Q75" s="122" t="s">
        <v>298</v>
      </c>
      <c r="R75" s="122"/>
      <c r="S75" s="122" t="s">
        <v>1216</v>
      </c>
      <c r="T75" s="123">
        <v>0.28000000000000003</v>
      </c>
      <c r="U75" s="122" t="s">
        <v>441</v>
      </c>
      <c r="V75" s="125">
        <v>0.09</v>
      </c>
      <c r="W75" s="122"/>
      <c r="X75" s="122"/>
      <c r="Y75" s="125"/>
      <c r="Z75" s="125">
        <v>9.9099999999999994E-2</v>
      </c>
      <c r="AA75" s="122" t="s">
        <v>3390</v>
      </c>
      <c r="AB75" s="122" t="s">
        <v>620</v>
      </c>
      <c r="AC75" s="122" t="s">
        <v>58</v>
      </c>
      <c r="AD75" s="122">
        <v>413000</v>
      </c>
      <c r="AE75" s="152">
        <v>0.17</v>
      </c>
      <c r="AF75" s="122" t="s">
        <v>3467</v>
      </c>
      <c r="AG75" s="122"/>
      <c r="AH75" s="122"/>
      <c r="AI75" s="122"/>
      <c r="AJ75" s="122" t="s">
        <v>62</v>
      </c>
      <c r="AK75" s="122" t="s">
        <v>775</v>
      </c>
      <c r="AL75" s="122"/>
      <c r="AM75" s="122" t="s">
        <v>305</v>
      </c>
      <c r="AN75" s="145">
        <v>45930</v>
      </c>
      <c r="AO75" s="145">
        <v>45930</v>
      </c>
      <c r="AP75" s="122"/>
      <c r="AQ75" s="123">
        <v>3216877</v>
      </c>
      <c r="AR75" s="123">
        <v>106.46</v>
      </c>
      <c r="AS75" s="123">
        <v>1</v>
      </c>
      <c r="AT75" s="123">
        <v>3424.6869999999999</v>
      </c>
      <c r="AU75" s="123">
        <v>3424.6872540000004</v>
      </c>
      <c r="AV75" s="122"/>
      <c r="AW75" s="122"/>
      <c r="AX75" s="133"/>
      <c r="AY75" s="122"/>
      <c r="AZ75" s="125">
        <v>6.7000000000000002E-3</v>
      </c>
      <c r="BA75" s="126">
        <v>1.2999999999999999E-4</v>
      </c>
      <c r="BB75" s="159"/>
    </row>
    <row r="76" spans="1:54" x14ac:dyDescent="0.2">
      <c r="A76" s="121" t="s">
        <v>1223</v>
      </c>
      <c r="B76" s="122" t="s">
        <v>1223</v>
      </c>
      <c r="C76" s="122"/>
      <c r="D76" s="122"/>
      <c r="E76" s="122"/>
      <c r="F76" s="122" t="s">
        <v>3391</v>
      </c>
      <c r="G76" s="122" t="s">
        <v>245</v>
      </c>
      <c r="H76" s="122"/>
      <c r="I76" s="122" t="s">
        <v>53</v>
      </c>
      <c r="J76" s="122"/>
      <c r="K76" s="122" t="s">
        <v>156</v>
      </c>
      <c r="L76" s="122" t="s">
        <v>62</v>
      </c>
      <c r="M76" s="122" t="s">
        <v>55</v>
      </c>
      <c r="N76" s="122"/>
      <c r="O76" s="122" t="s">
        <v>3392</v>
      </c>
      <c r="P76" s="122" t="s">
        <v>1423</v>
      </c>
      <c r="Q76" s="122" t="s">
        <v>70</v>
      </c>
      <c r="R76" s="122" t="s">
        <v>779</v>
      </c>
      <c r="S76" s="122" t="s">
        <v>1216</v>
      </c>
      <c r="T76" s="123">
        <v>7.93</v>
      </c>
      <c r="U76" s="122" t="s">
        <v>442</v>
      </c>
      <c r="V76" s="125">
        <v>3.5099999999999999E-2</v>
      </c>
      <c r="W76" s="122"/>
      <c r="X76" s="122"/>
      <c r="Y76" s="125"/>
      <c r="Z76" s="125">
        <v>3.1699999999999999E-2</v>
      </c>
      <c r="AA76" s="122" t="s">
        <v>3350</v>
      </c>
      <c r="AB76" s="122" t="s">
        <v>620</v>
      </c>
      <c r="AC76" s="122" t="s">
        <v>426</v>
      </c>
      <c r="AD76" s="122"/>
      <c r="AE76" s="152">
        <v>0.75</v>
      </c>
      <c r="AF76" s="122" t="s">
        <v>3467</v>
      </c>
      <c r="AG76" s="122"/>
      <c r="AH76" s="122"/>
      <c r="AI76" s="122"/>
      <c r="AJ76" s="122" t="s">
        <v>55</v>
      </c>
      <c r="AK76" s="122" t="s">
        <v>775</v>
      </c>
      <c r="AL76" s="122"/>
      <c r="AM76" s="122" t="s">
        <v>305</v>
      </c>
      <c r="AN76" s="145">
        <v>45930</v>
      </c>
      <c r="AO76" s="145">
        <v>45930</v>
      </c>
      <c r="AP76" s="122"/>
      <c r="AQ76" s="123">
        <v>2989127.37</v>
      </c>
      <c r="AR76" s="123">
        <v>110.08</v>
      </c>
      <c r="AS76" s="123">
        <v>1</v>
      </c>
      <c r="AT76" s="123">
        <v>3290.431</v>
      </c>
      <c r="AU76" s="123">
        <v>3290.4314089999998</v>
      </c>
      <c r="AV76" s="122"/>
      <c r="AW76" s="122"/>
      <c r="AX76" s="133"/>
      <c r="AY76" s="122"/>
      <c r="AZ76" s="125">
        <v>6.43E-3</v>
      </c>
      <c r="BA76" s="126">
        <v>1.2E-4</v>
      </c>
      <c r="BB76" s="159"/>
    </row>
    <row r="77" spans="1:54" x14ac:dyDescent="0.2">
      <c r="A77" s="121" t="s">
        <v>1223</v>
      </c>
      <c r="B77" s="122" t="s">
        <v>1223</v>
      </c>
      <c r="C77" s="122"/>
      <c r="D77" s="122"/>
      <c r="E77" s="122"/>
      <c r="F77" s="122" t="s">
        <v>3394</v>
      </c>
      <c r="G77" s="122" t="s">
        <v>245</v>
      </c>
      <c r="H77" s="122"/>
      <c r="I77" s="122" t="s">
        <v>53</v>
      </c>
      <c r="J77" s="122"/>
      <c r="K77" s="122" t="s">
        <v>156</v>
      </c>
      <c r="L77" s="122" t="s">
        <v>62</v>
      </c>
      <c r="M77" s="122" t="s">
        <v>55</v>
      </c>
      <c r="N77" s="122"/>
      <c r="O77" s="122" t="s">
        <v>3395</v>
      </c>
      <c r="P77" s="122" t="s">
        <v>1377</v>
      </c>
      <c r="Q77" s="122" t="s">
        <v>70</v>
      </c>
      <c r="R77" s="122" t="s">
        <v>779</v>
      </c>
      <c r="S77" s="122" t="s">
        <v>1217</v>
      </c>
      <c r="T77" s="123">
        <v>0.76</v>
      </c>
      <c r="U77" s="122" t="s">
        <v>441</v>
      </c>
      <c r="V77" s="125">
        <v>0</v>
      </c>
      <c r="W77" s="122"/>
      <c r="X77" s="122"/>
      <c r="Y77" s="125"/>
      <c r="Z77" s="125">
        <v>8.2500000000000004E-2</v>
      </c>
      <c r="AA77" s="122" t="s">
        <v>1430</v>
      </c>
      <c r="AB77" s="122" t="s">
        <v>620</v>
      </c>
      <c r="AC77" s="122" t="s">
        <v>596</v>
      </c>
      <c r="AD77" s="122"/>
      <c r="AE77" s="152">
        <v>0.35</v>
      </c>
      <c r="AF77" s="122" t="s">
        <v>3467</v>
      </c>
      <c r="AG77" s="122"/>
      <c r="AH77" s="122"/>
      <c r="AI77" s="122"/>
      <c r="AJ77" s="122" t="s">
        <v>55</v>
      </c>
      <c r="AK77" s="122" t="s">
        <v>775</v>
      </c>
      <c r="AL77" s="122"/>
      <c r="AM77" s="122" t="s">
        <v>305</v>
      </c>
      <c r="AN77" s="145">
        <v>45930</v>
      </c>
      <c r="AO77" s="145">
        <v>45930</v>
      </c>
      <c r="AP77" s="122"/>
      <c r="AQ77" s="123">
        <v>824479.95</v>
      </c>
      <c r="AR77" s="123">
        <v>100.01</v>
      </c>
      <c r="AS77" s="123">
        <v>3.306</v>
      </c>
      <c r="AT77" s="123">
        <v>2726.0030000000002</v>
      </c>
      <c r="AU77" s="123">
        <v>824.56239800000003</v>
      </c>
      <c r="AV77" s="122"/>
      <c r="AW77" s="122"/>
      <c r="AX77" s="133"/>
      <c r="AY77" s="122"/>
      <c r="AZ77" s="125">
        <v>5.3299999999999997E-3</v>
      </c>
      <c r="BA77" s="126">
        <v>1E-4</v>
      </c>
      <c r="BB77" s="159"/>
    </row>
    <row r="78" spans="1:54" x14ac:dyDescent="0.2">
      <c r="A78" s="121" t="s">
        <v>1223</v>
      </c>
      <c r="B78" s="122" t="s">
        <v>1223</v>
      </c>
      <c r="C78" s="122"/>
      <c r="D78" s="122"/>
      <c r="E78" s="122"/>
      <c r="F78" s="122" t="s">
        <v>3393</v>
      </c>
      <c r="G78" s="122" t="s">
        <v>245</v>
      </c>
      <c r="H78" s="122" t="s">
        <v>818</v>
      </c>
      <c r="I78" s="122" t="s">
        <v>53</v>
      </c>
      <c r="J78" s="122"/>
      <c r="K78" s="122" t="s">
        <v>633</v>
      </c>
      <c r="L78" s="122" t="s">
        <v>62</v>
      </c>
      <c r="M78" s="122" t="s">
        <v>55</v>
      </c>
      <c r="N78" s="122"/>
      <c r="O78" s="122" t="s">
        <v>3379</v>
      </c>
      <c r="P78" s="122"/>
      <c r="Q78" s="122" t="s">
        <v>298</v>
      </c>
      <c r="R78" s="122"/>
      <c r="S78" s="122" t="s">
        <v>1216</v>
      </c>
      <c r="T78" s="123">
        <v>1.0900000000000001</v>
      </c>
      <c r="U78" s="122" t="s">
        <v>441</v>
      </c>
      <c r="V78" s="125">
        <v>8.2500000000000004E-2</v>
      </c>
      <c r="W78" s="122"/>
      <c r="X78" s="122"/>
      <c r="Y78" s="125"/>
      <c r="Z78" s="125">
        <v>5.91E-2</v>
      </c>
      <c r="AA78" s="122" t="s">
        <v>3380</v>
      </c>
      <c r="AB78" s="122" t="s">
        <v>620</v>
      </c>
      <c r="AC78" s="122" t="s">
        <v>58</v>
      </c>
      <c r="AD78" s="122">
        <v>227000</v>
      </c>
      <c r="AE78" s="152">
        <v>0.63</v>
      </c>
      <c r="AF78" s="122" t="s">
        <v>3467</v>
      </c>
      <c r="AG78" s="122"/>
      <c r="AH78" s="122"/>
      <c r="AI78" s="122"/>
      <c r="AJ78" s="122" t="s">
        <v>62</v>
      </c>
      <c r="AK78" s="122" t="s">
        <v>775</v>
      </c>
      <c r="AL78" s="122"/>
      <c r="AM78" s="122" t="s">
        <v>305</v>
      </c>
      <c r="AN78" s="145">
        <v>45930</v>
      </c>
      <c r="AO78" s="145">
        <v>45930</v>
      </c>
      <c r="AP78" s="122"/>
      <c r="AQ78" s="123">
        <v>2527705</v>
      </c>
      <c r="AR78" s="123">
        <v>104.37</v>
      </c>
      <c r="AS78" s="123">
        <v>1</v>
      </c>
      <c r="AT78" s="123">
        <v>2638.1660000000002</v>
      </c>
      <c r="AU78" s="123">
        <v>2638.1657089999999</v>
      </c>
      <c r="AV78" s="122"/>
      <c r="AW78" s="122"/>
      <c r="AX78" s="133"/>
      <c r="AY78" s="122"/>
      <c r="AZ78" s="125">
        <v>5.1599999999999997E-3</v>
      </c>
      <c r="BA78" s="126">
        <v>1E-4</v>
      </c>
      <c r="BB78" s="159"/>
    </row>
    <row r="79" spans="1:54" x14ac:dyDescent="0.2">
      <c r="A79" s="121" t="s">
        <v>1223</v>
      </c>
      <c r="B79" s="122" t="s">
        <v>1223</v>
      </c>
      <c r="C79" s="122"/>
      <c r="D79" s="122"/>
      <c r="E79" s="122"/>
      <c r="F79" s="122" t="s">
        <v>3396</v>
      </c>
      <c r="G79" s="122" t="s">
        <v>245</v>
      </c>
      <c r="H79" s="122"/>
      <c r="I79" s="122" t="s">
        <v>53</v>
      </c>
      <c r="J79" s="122"/>
      <c r="K79" s="122" t="s">
        <v>156</v>
      </c>
      <c r="L79" s="122" t="s">
        <v>62</v>
      </c>
      <c r="M79" s="122" t="s">
        <v>55</v>
      </c>
      <c r="N79" s="122"/>
      <c r="O79" s="122" t="s">
        <v>3397</v>
      </c>
      <c r="P79" s="122" t="s">
        <v>1423</v>
      </c>
      <c r="Q79" s="122" t="s">
        <v>70</v>
      </c>
      <c r="R79" s="122" t="s">
        <v>779</v>
      </c>
      <c r="S79" s="122" t="s">
        <v>1216</v>
      </c>
      <c r="T79" s="123">
        <v>8.08</v>
      </c>
      <c r="U79" s="122" t="s">
        <v>442</v>
      </c>
      <c r="V79" s="125">
        <v>2.9100000000000001E-2</v>
      </c>
      <c r="W79" s="122"/>
      <c r="X79" s="122"/>
      <c r="Y79" s="125"/>
      <c r="Z79" s="125">
        <v>2.98E-2</v>
      </c>
      <c r="AA79" s="122" t="s">
        <v>3350</v>
      </c>
      <c r="AB79" s="122" t="s">
        <v>620</v>
      </c>
      <c r="AC79" s="122"/>
      <c r="AD79" s="122"/>
      <c r="AE79" s="152">
        <v>0.75</v>
      </c>
      <c r="AF79" s="122" t="s">
        <v>3467</v>
      </c>
      <c r="AG79" s="122"/>
      <c r="AH79" s="122"/>
      <c r="AI79" s="122"/>
      <c r="AJ79" s="122" t="s">
        <v>55</v>
      </c>
      <c r="AK79" s="122" t="s">
        <v>775</v>
      </c>
      <c r="AL79" s="122"/>
      <c r="AM79" s="122" t="s">
        <v>305</v>
      </c>
      <c r="AN79" s="145">
        <v>45930</v>
      </c>
      <c r="AO79" s="145">
        <v>45930</v>
      </c>
      <c r="AP79" s="122"/>
      <c r="AQ79" s="123">
        <v>2113514.94</v>
      </c>
      <c r="AR79" s="123">
        <v>109.35</v>
      </c>
      <c r="AS79" s="123">
        <v>1</v>
      </c>
      <c r="AT79" s="123">
        <v>2311.1289999999999</v>
      </c>
      <c r="AU79" s="123">
        <v>2311.1285869999997</v>
      </c>
      <c r="AV79" s="122"/>
      <c r="AW79" s="122"/>
      <c r="AX79" s="133"/>
      <c r="AY79" s="122"/>
      <c r="AZ79" s="125">
        <v>4.5199999999999997E-3</v>
      </c>
      <c r="BA79" s="126">
        <v>8.0000000000000007E-5</v>
      </c>
      <c r="BB79" s="159"/>
    </row>
    <row r="80" spans="1:54" x14ac:dyDescent="0.2">
      <c r="A80" s="121" t="s">
        <v>1223</v>
      </c>
      <c r="B80" s="122" t="s">
        <v>1223</v>
      </c>
      <c r="C80" s="122"/>
      <c r="D80" s="122"/>
      <c r="E80" s="122"/>
      <c r="F80" s="122" t="s">
        <v>3398</v>
      </c>
      <c r="G80" s="122" t="s">
        <v>245</v>
      </c>
      <c r="H80" s="122" t="s">
        <v>818</v>
      </c>
      <c r="I80" s="122" t="s">
        <v>53</v>
      </c>
      <c r="J80" s="122"/>
      <c r="K80" s="122" t="s">
        <v>633</v>
      </c>
      <c r="L80" s="122" t="s">
        <v>62</v>
      </c>
      <c r="M80" s="122" t="s">
        <v>55</v>
      </c>
      <c r="N80" s="122"/>
      <c r="O80" s="122" t="s">
        <v>3399</v>
      </c>
      <c r="P80" s="122"/>
      <c r="Q80" s="122" t="s">
        <v>298</v>
      </c>
      <c r="R80" s="122"/>
      <c r="S80" s="122" t="s">
        <v>1216</v>
      </c>
      <c r="T80" s="123">
        <v>1.0900000000000001</v>
      </c>
      <c r="U80" s="122" t="s">
        <v>441</v>
      </c>
      <c r="V80" s="125">
        <v>8.2500000000000004E-2</v>
      </c>
      <c r="W80" s="122"/>
      <c r="X80" s="122"/>
      <c r="Y80" s="125"/>
      <c r="Z80" s="125">
        <v>5.8799999999999998E-2</v>
      </c>
      <c r="AA80" s="122" t="s">
        <v>3380</v>
      </c>
      <c r="AB80" s="122" t="s">
        <v>620</v>
      </c>
      <c r="AC80" s="122" t="s">
        <v>58</v>
      </c>
      <c r="AD80" s="122">
        <v>227000</v>
      </c>
      <c r="AE80" s="152">
        <v>0.63</v>
      </c>
      <c r="AF80" s="122" t="s">
        <v>3467</v>
      </c>
      <c r="AG80" s="122"/>
      <c r="AH80" s="122"/>
      <c r="AI80" s="122"/>
      <c r="AJ80" s="122" t="s">
        <v>62</v>
      </c>
      <c r="AK80" s="122" t="s">
        <v>775</v>
      </c>
      <c r="AL80" s="122"/>
      <c r="AM80" s="122" t="s">
        <v>305</v>
      </c>
      <c r="AN80" s="145">
        <v>45930</v>
      </c>
      <c r="AO80" s="145">
        <v>45930</v>
      </c>
      <c r="AP80" s="122"/>
      <c r="AQ80" s="123">
        <v>2025848</v>
      </c>
      <c r="AR80" s="123">
        <v>104.4</v>
      </c>
      <c r="AS80" s="123">
        <v>1</v>
      </c>
      <c r="AT80" s="123">
        <v>2114.9850000000001</v>
      </c>
      <c r="AU80" s="123">
        <v>2114.9853119999998</v>
      </c>
      <c r="AV80" s="122"/>
      <c r="AW80" s="122"/>
      <c r="AX80" s="133"/>
      <c r="AY80" s="122"/>
      <c r="AZ80" s="125">
        <v>4.1399999999999996E-3</v>
      </c>
      <c r="BA80" s="126">
        <v>8.0000000000000007E-5</v>
      </c>
      <c r="BB80" s="159"/>
    </row>
    <row r="81" spans="1:54" x14ac:dyDescent="0.2">
      <c r="A81" s="121" t="s">
        <v>1223</v>
      </c>
      <c r="B81" s="122" t="s">
        <v>1223</v>
      </c>
      <c r="C81" s="122"/>
      <c r="D81" s="122"/>
      <c r="E81" s="122"/>
      <c r="F81" s="122" t="s">
        <v>3402</v>
      </c>
      <c r="G81" s="122" t="s">
        <v>245</v>
      </c>
      <c r="H81" s="122"/>
      <c r="I81" s="122" t="s">
        <v>53</v>
      </c>
      <c r="J81" s="122"/>
      <c r="K81" s="122" t="s">
        <v>163</v>
      </c>
      <c r="L81" s="122" t="s">
        <v>62</v>
      </c>
      <c r="M81" s="122" t="s">
        <v>55</v>
      </c>
      <c r="N81" s="122"/>
      <c r="O81" s="122" t="s">
        <v>3342</v>
      </c>
      <c r="P81" s="122" t="s">
        <v>1454</v>
      </c>
      <c r="Q81" s="122" t="s">
        <v>70</v>
      </c>
      <c r="R81" s="122" t="s">
        <v>779</v>
      </c>
      <c r="S81" s="122" t="s">
        <v>1216</v>
      </c>
      <c r="T81" s="123">
        <v>9.92</v>
      </c>
      <c r="U81" s="122" t="s">
        <v>442</v>
      </c>
      <c r="V81" s="125">
        <v>0.03</v>
      </c>
      <c r="W81" s="122"/>
      <c r="X81" s="122"/>
      <c r="Y81" s="125"/>
      <c r="Z81" s="125">
        <v>3.4799999999999998E-2</v>
      </c>
      <c r="AA81" s="122" t="s">
        <v>3343</v>
      </c>
      <c r="AB81" s="122" t="s">
        <v>620</v>
      </c>
      <c r="AC81" s="122" t="s">
        <v>163</v>
      </c>
      <c r="AD81" s="122">
        <v>3000000</v>
      </c>
      <c r="AE81" s="152">
        <v>0.75</v>
      </c>
      <c r="AF81" s="122" t="s">
        <v>3467</v>
      </c>
      <c r="AG81" s="122"/>
      <c r="AH81" s="122"/>
      <c r="AI81" s="122"/>
      <c r="AJ81" s="122" t="s">
        <v>62</v>
      </c>
      <c r="AK81" s="122" t="s">
        <v>775</v>
      </c>
      <c r="AL81" s="122"/>
      <c r="AM81" s="122" t="s">
        <v>305</v>
      </c>
      <c r="AN81" s="145">
        <v>45930</v>
      </c>
      <c r="AO81" s="145">
        <v>45930</v>
      </c>
      <c r="AP81" s="122"/>
      <c r="AQ81" s="123">
        <v>1823811.8</v>
      </c>
      <c r="AR81" s="123">
        <v>113.5</v>
      </c>
      <c r="AS81" s="123">
        <v>1</v>
      </c>
      <c r="AT81" s="123">
        <v>2070.0259999999998</v>
      </c>
      <c r="AU81" s="123">
        <v>2070.0263930000001</v>
      </c>
      <c r="AV81" s="122"/>
      <c r="AW81" s="122"/>
      <c r="AX81" s="133"/>
      <c r="AY81" s="122"/>
      <c r="AZ81" s="125">
        <v>4.0499999999999998E-3</v>
      </c>
      <c r="BA81" s="126">
        <v>8.0000000000000007E-5</v>
      </c>
      <c r="BB81" s="159"/>
    </row>
    <row r="82" spans="1:54" x14ac:dyDescent="0.2">
      <c r="A82" s="121" t="s">
        <v>1223</v>
      </c>
      <c r="B82" s="122" t="s">
        <v>1223</v>
      </c>
      <c r="C82" s="122"/>
      <c r="D82" s="122"/>
      <c r="E82" s="122"/>
      <c r="F82" s="122" t="s">
        <v>3400</v>
      </c>
      <c r="G82" s="122" t="s">
        <v>245</v>
      </c>
      <c r="H82" s="122" t="s">
        <v>818</v>
      </c>
      <c r="I82" s="122" t="s">
        <v>53</v>
      </c>
      <c r="J82" s="122"/>
      <c r="K82" s="122" t="s">
        <v>633</v>
      </c>
      <c r="L82" s="122" t="s">
        <v>62</v>
      </c>
      <c r="M82" s="122" t="s">
        <v>55</v>
      </c>
      <c r="N82" s="122"/>
      <c r="O82" s="122" t="s">
        <v>3401</v>
      </c>
      <c r="P82" s="122"/>
      <c r="Q82" s="122" t="s">
        <v>298</v>
      </c>
      <c r="R82" s="122"/>
      <c r="S82" s="122" t="s">
        <v>1216</v>
      </c>
      <c r="T82" s="123">
        <v>1.0900000000000001</v>
      </c>
      <c r="U82" s="122" t="s">
        <v>441</v>
      </c>
      <c r="V82" s="125">
        <v>8.2500000000000004E-2</v>
      </c>
      <c r="W82" s="122"/>
      <c r="X82" s="122"/>
      <c r="Y82" s="125"/>
      <c r="Z82" s="125">
        <v>5.9799999999999999E-2</v>
      </c>
      <c r="AA82" s="122" t="s">
        <v>3380</v>
      </c>
      <c r="AB82" s="122" t="s">
        <v>620</v>
      </c>
      <c r="AC82" s="122" t="s">
        <v>58</v>
      </c>
      <c r="AD82" s="122">
        <v>227000</v>
      </c>
      <c r="AE82" s="152">
        <v>0.63</v>
      </c>
      <c r="AF82" s="122" t="s">
        <v>3467</v>
      </c>
      <c r="AG82" s="122"/>
      <c r="AH82" s="122"/>
      <c r="AI82" s="122"/>
      <c r="AJ82" s="122" t="s">
        <v>62</v>
      </c>
      <c r="AK82" s="122" t="s">
        <v>775</v>
      </c>
      <c r="AL82" s="122"/>
      <c r="AM82" s="122" t="s">
        <v>305</v>
      </c>
      <c r="AN82" s="145">
        <v>45930</v>
      </c>
      <c r="AO82" s="145">
        <v>45930</v>
      </c>
      <c r="AP82" s="122"/>
      <c r="AQ82" s="123">
        <v>1958320</v>
      </c>
      <c r="AR82" s="123">
        <v>104.29</v>
      </c>
      <c r="AS82" s="123">
        <v>1</v>
      </c>
      <c r="AT82" s="123">
        <v>2042.3320000000001</v>
      </c>
      <c r="AU82" s="123">
        <v>2042.3319280000001</v>
      </c>
      <c r="AV82" s="122"/>
      <c r="AW82" s="122"/>
      <c r="AX82" s="133"/>
      <c r="AY82" s="122"/>
      <c r="AZ82" s="125">
        <v>3.9899999999999996E-3</v>
      </c>
      <c r="BA82" s="126">
        <v>6.9999999999999994E-5</v>
      </c>
      <c r="BB82" s="159"/>
    </row>
    <row r="83" spans="1:54" x14ac:dyDescent="0.2">
      <c r="A83" s="121" t="s">
        <v>1223</v>
      </c>
      <c r="B83" s="122" t="s">
        <v>1223</v>
      </c>
      <c r="C83" s="122"/>
      <c r="D83" s="122"/>
      <c r="E83" s="122"/>
      <c r="F83" s="122" t="s">
        <v>3403</v>
      </c>
      <c r="G83" s="122" t="s">
        <v>245</v>
      </c>
      <c r="H83" s="122" t="s">
        <v>818</v>
      </c>
      <c r="I83" s="122" t="s">
        <v>53</v>
      </c>
      <c r="J83" s="122"/>
      <c r="K83" s="122" t="s">
        <v>633</v>
      </c>
      <c r="L83" s="122" t="s">
        <v>62</v>
      </c>
      <c r="M83" s="122" t="s">
        <v>55</v>
      </c>
      <c r="N83" s="122"/>
      <c r="O83" s="122" t="s">
        <v>3404</v>
      </c>
      <c r="P83" s="122"/>
      <c r="Q83" s="122" t="s">
        <v>298</v>
      </c>
      <c r="R83" s="122"/>
      <c r="S83" s="122" t="s">
        <v>1216</v>
      </c>
      <c r="T83" s="123">
        <v>1.0900000000000001</v>
      </c>
      <c r="U83" s="122" t="s">
        <v>441</v>
      </c>
      <c r="V83" s="125">
        <v>8.2500000000000004E-2</v>
      </c>
      <c r="W83" s="122"/>
      <c r="X83" s="122"/>
      <c r="Y83" s="125"/>
      <c r="Z83" s="125">
        <v>6.0600000000000001E-2</v>
      </c>
      <c r="AA83" s="122" t="s">
        <v>3380</v>
      </c>
      <c r="AB83" s="122" t="s">
        <v>620</v>
      </c>
      <c r="AC83" s="122" t="s">
        <v>58</v>
      </c>
      <c r="AD83" s="122">
        <v>227000</v>
      </c>
      <c r="AE83" s="152">
        <v>0.63</v>
      </c>
      <c r="AF83" s="122" t="s">
        <v>3467</v>
      </c>
      <c r="AG83" s="122"/>
      <c r="AH83" s="122"/>
      <c r="AI83" s="122"/>
      <c r="AJ83" s="122" t="s">
        <v>62</v>
      </c>
      <c r="AK83" s="122" t="s">
        <v>775</v>
      </c>
      <c r="AL83" s="122"/>
      <c r="AM83" s="122" t="s">
        <v>305</v>
      </c>
      <c r="AN83" s="145">
        <v>45930</v>
      </c>
      <c r="AO83" s="145">
        <v>45930</v>
      </c>
      <c r="AP83" s="122"/>
      <c r="AQ83" s="123">
        <v>1370824</v>
      </c>
      <c r="AR83" s="123">
        <v>104.2</v>
      </c>
      <c r="AS83" s="123">
        <v>1</v>
      </c>
      <c r="AT83" s="123">
        <v>1428.3989999999999</v>
      </c>
      <c r="AU83" s="123">
        <v>1428.398608</v>
      </c>
      <c r="AV83" s="122"/>
      <c r="AW83" s="122"/>
      <c r="AX83" s="133"/>
      <c r="AY83" s="122"/>
      <c r="AZ83" s="125">
        <v>2.7899999999999999E-3</v>
      </c>
      <c r="BA83" s="126">
        <v>5.0000000000000002E-5</v>
      </c>
      <c r="BB83" s="159"/>
    </row>
    <row r="84" spans="1:54" x14ac:dyDescent="0.2">
      <c r="A84" s="121" t="s">
        <v>1223</v>
      </c>
      <c r="B84" s="122" t="s">
        <v>1223</v>
      </c>
      <c r="C84" s="122"/>
      <c r="D84" s="122"/>
      <c r="E84" s="122"/>
      <c r="F84" s="122" t="s">
        <v>3405</v>
      </c>
      <c r="G84" s="122" t="s">
        <v>245</v>
      </c>
      <c r="H84" s="122"/>
      <c r="I84" s="122" t="s">
        <v>53</v>
      </c>
      <c r="J84" s="122"/>
      <c r="K84" s="122" t="s">
        <v>156</v>
      </c>
      <c r="L84" s="122" t="s">
        <v>62</v>
      </c>
      <c r="M84" s="122" t="s">
        <v>55</v>
      </c>
      <c r="N84" s="122"/>
      <c r="O84" s="122" t="s">
        <v>3406</v>
      </c>
      <c r="P84" s="122" t="s">
        <v>1423</v>
      </c>
      <c r="Q84" s="122" t="s">
        <v>70</v>
      </c>
      <c r="R84" s="122" t="s">
        <v>779</v>
      </c>
      <c r="S84" s="122" t="s">
        <v>1216</v>
      </c>
      <c r="T84" s="123">
        <v>9.5399999999999991</v>
      </c>
      <c r="U84" s="122" t="s">
        <v>442</v>
      </c>
      <c r="V84" s="125">
        <v>4.4592E-2</v>
      </c>
      <c r="W84" s="122"/>
      <c r="X84" s="122"/>
      <c r="Y84" s="125"/>
      <c r="Z84" s="125">
        <v>3.5700000000000003E-2</v>
      </c>
      <c r="AA84" s="122" t="s">
        <v>3350</v>
      </c>
      <c r="AB84" s="122" t="s">
        <v>620</v>
      </c>
      <c r="AC84" s="122"/>
      <c r="AD84" s="122"/>
      <c r="AE84" s="152">
        <v>0.75</v>
      </c>
      <c r="AF84" s="122"/>
      <c r="AG84" s="122"/>
      <c r="AH84" s="122"/>
      <c r="AI84" s="122"/>
      <c r="AJ84" s="122" t="s">
        <v>55</v>
      </c>
      <c r="AK84" s="122" t="s">
        <v>775</v>
      </c>
      <c r="AL84" s="122"/>
      <c r="AM84" s="122" t="s">
        <v>305</v>
      </c>
      <c r="AN84" s="145">
        <v>45930</v>
      </c>
      <c r="AO84" s="145">
        <v>45930</v>
      </c>
      <c r="AP84" s="122"/>
      <c r="AQ84" s="123">
        <v>1102083.29</v>
      </c>
      <c r="AR84" s="123">
        <v>108.95</v>
      </c>
      <c r="AS84" s="123">
        <v>1</v>
      </c>
      <c r="AT84" s="123">
        <v>1200.72</v>
      </c>
      <c r="AU84" s="123">
        <v>1200.719744</v>
      </c>
      <c r="AV84" s="122"/>
      <c r="AW84" s="122"/>
      <c r="AX84" s="133"/>
      <c r="AY84" s="122"/>
      <c r="AZ84" s="125">
        <v>2.3500000000000001E-3</v>
      </c>
      <c r="BA84" s="126">
        <v>4.0000000000000003E-5</v>
      </c>
      <c r="BB84" s="159"/>
    </row>
    <row r="85" spans="1:54" x14ac:dyDescent="0.2">
      <c r="A85" s="121" t="s">
        <v>1223</v>
      </c>
      <c r="B85" s="122" t="s">
        <v>1223</v>
      </c>
      <c r="C85" s="122"/>
      <c r="D85" s="122"/>
      <c r="E85" s="122"/>
      <c r="F85" s="122" t="s">
        <v>3407</v>
      </c>
      <c r="G85" s="122" t="s">
        <v>245</v>
      </c>
      <c r="H85" s="122" t="s">
        <v>818</v>
      </c>
      <c r="I85" s="122" t="s">
        <v>53</v>
      </c>
      <c r="J85" s="122"/>
      <c r="K85" s="122" t="s">
        <v>633</v>
      </c>
      <c r="L85" s="122" t="s">
        <v>62</v>
      </c>
      <c r="M85" s="122" t="s">
        <v>55</v>
      </c>
      <c r="N85" s="122"/>
      <c r="O85" s="122" t="s">
        <v>3408</v>
      </c>
      <c r="P85" s="122"/>
      <c r="Q85" s="122" t="s">
        <v>298</v>
      </c>
      <c r="R85" s="122"/>
      <c r="S85" s="122" t="s">
        <v>1216</v>
      </c>
      <c r="T85" s="123">
        <v>1.0900000000000001</v>
      </c>
      <c r="U85" s="122" t="s">
        <v>441</v>
      </c>
      <c r="V85" s="125">
        <v>8.2500000000000004E-2</v>
      </c>
      <c r="W85" s="122"/>
      <c r="X85" s="122"/>
      <c r="Y85" s="125"/>
      <c r="Z85" s="125">
        <v>7.1199999999999999E-2</v>
      </c>
      <c r="AA85" s="122" t="s">
        <v>3380</v>
      </c>
      <c r="AB85" s="122" t="s">
        <v>620</v>
      </c>
      <c r="AC85" s="122" t="s">
        <v>58</v>
      </c>
      <c r="AD85" s="122">
        <v>227000</v>
      </c>
      <c r="AE85" s="152">
        <v>0.63</v>
      </c>
      <c r="AF85" s="122" t="s">
        <v>3467</v>
      </c>
      <c r="AG85" s="122"/>
      <c r="AH85" s="122"/>
      <c r="AI85" s="122"/>
      <c r="AJ85" s="122" t="s">
        <v>62</v>
      </c>
      <c r="AK85" s="122" t="s">
        <v>775</v>
      </c>
      <c r="AL85" s="122"/>
      <c r="AM85" s="122" t="s">
        <v>305</v>
      </c>
      <c r="AN85" s="145">
        <v>45930</v>
      </c>
      <c r="AO85" s="145">
        <v>45930</v>
      </c>
      <c r="AP85" s="122"/>
      <c r="AQ85" s="123">
        <v>1134475</v>
      </c>
      <c r="AR85" s="123">
        <v>103.08</v>
      </c>
      <c r="AS85" s="123">
        <v>1</v>
      </c>
      <c r="AT85" s="123">
        <v>1169.4169999999999</v>
      </c>
      <c r="AU85" s="123">
        <v>1169.4168300000001</v>
      </c>
      <c r="AV85" s="122"/>
      <c r="AW85" s="122"/>
      <c r="AX85" s="133"/>
      <c r="AY85" s="122"/>
      <c r="AZ85" s="125">
        <v>2.2899999999999999E-3</v>
      </c>
      <c r="BA85" s="126">
        <v>4.0000000000000003E-5</v>
      </c>
      <c r="BB85" s="159"/>
    </row>
    <row r="86" spans="1:54" x14ac:dyDescent="0.2">
      <c r="A86" s="121" t="s">
        <v>1223</v>
      </c>
      <c r="B86" s="122" t="s">
        <v>1223</v>
      </c>
      <c r="C86" s="122"/>
      <c r="D86" s="122"/>
      <c r="E86" s="122"/>
      <c r="F86" s="122" t="s">
        <v>3448</v>
      </c>
      <c r="G86" s="122" t="s">
        <v>245</v>
      </c>
      <c r="H86" s="122"/>
      <c r="I86" s="122" t="s">
        <v>53</v>
      </c>
      <c r="J86" s="122"/>
      <c r="K86" s="122" t="s">
        <v>163</v>
      </c>
      <c r="L86" s="122" t="s">
        <v>62</v>
      </c>
      <c r="M86" s="122" t="s">
        <v>55</v>
      </c>
      <c r="N86" s="122"/>
      <c r="O86" s="122" t="s">
        <v>3449</v>
      </c>
      <c r="P86" s="122" t="s">
        <v>1584</v>
      </c>
      <c r="Q86" s="122" t="s">
        <v>70</v>
      </c>
      <c r="R86" s="122" t="s">
        <v>779</v>
      </c>
      <c r="S86" s="122" t="s">
        <v>1216</v>
      </c>
      <c r="T86" s="123">
        <v>0.98</v>
      </c>
      <c r="U86" s="122" t="s">
        <v>442</v>
      </c>
      <c r="V86" s="125">
        <v>5.212E-2</v>
      </c>
      <c r="W86" s="122"/>
      <c r="X86" s="122"/>
      <c r="Y86" s="125"/>
      <c r="Z86" s="125">
        <v>2.53E-2</v>
      </c>
      <c r="AA86" s="122" t="s">
        <v>1403</v>
      </c>
      <c r="AB86" s="122" t="s">
        <v>620</v>
      </c>
      <c r="AC86" s="122" t="s">
        <v>163</v>
      </c>
      <c r="AD86" s="122">
        <v>3000000</v>
      </c>
      <c r="AE86" s="152">
        <v>0.75</v>
      </c>
      <c r="AF86" s="122" t="s">
        <v>3467</v>
      </c>
      <c r="AG86" s="122"/>
      <c r="AH86" s="122"/>
      <c r="AI86" s="122"/>
      <c r="AJ86" s="122" t="s">
        <v>62</v>
      </c>
      <c r="AK86" s="122" t="s">
        <v>775</v>
      </c>
      <c r="AL86" s="122"/>
      <c r="AM86" s="122" t="s">
        <v>305</v>
      </c>
      <c r="AN86" s="145">
        <v>45930</v>
      </c>
      <c r="AO86" s="145">
        <v>45930</v>
      </c>
      <c r="AP86" s="122"/>
      <c r="AQ86" s="123">
        <v>735396.84</v>
      </c>
      <c r="AR86" s="123">
        <v>157.9</v>
      </c>
      <c r="AS86" s="123">
        <v>1</v>
      </c>
      <c r="AT86" s="123">
        <v>1161.192</v>
      </c>
      <c r="AU86" s="123">
        <v>1161.1916100000001</v>
      </c>
      <c r="AV86" s="122"/>
      <c r="AW86" s="122"/>
      <c r="AX86" s="133"/>
      <c r="AY86" s="122"/>
      <c r="AZ86" s="125">
        <v>2.2699999999999999E-3</v>
      </c>
      <c r="BA86" s="126">
        <v>4.0000000000000003E-5</v>
      </c>
      <c r="BB86" s="159"/>
    </row>
    <row r="87" spans="1:54" x14ac:dyDescent="0.2">
      <c r="A87" s="121" t="s">
        <v>1223</v>
      </c>
      <c r="B87" s="122" t="s">
        <v>1223</v>
      </c>
      <c r="C87" s="122"/>
      <c r="D87" s="122"/>
      <c r="E87" s="122"/>
      <c r="F87" s="122" t="s">
        <v>3450</v>
      </c>
      <c r="G87" s="122" t="s">
        <v>245</v>
      </c>
      <c r="H87" s="122"/>
      <c r="I87" s="122" t="s">
        <v>53</v>
      </c>
      <c r="J87" s="122"/>
      <c r="K87" s="122" t="s">
        <v>163</v>
      </c>
      <c r="L87" s="122" t="s">
        <v>62</v>
      </c>
      <c r="M87" s="122" t="s">
        <v>55</v>
      </c>
      <c r="N87" s="122"/>
      <c r="O87" s="122" t="s">
        <v>3451</v>
      </c>
      <c r="P87" s="122" t="s">
        <v>1584</v>
      </c>
      <c r="Q87" s="122" t="s">
        <v>70</v>
      </c>
      <c r="R87" s="122" t="s">
        <v>779</v>
      </c>
      <c r="S87" s="122" t="s">
        <v>1216</v>
      </c>
      <c r="T87" s="123">
        <v>0.98</v>
      </c>
      <c r="U87" s="122" t="s">
        <v>442</v>
      </c>
      <c r="V87" s="125">
        <v>3.8767999999999997E-2</v>
      </c>
      <c r="W87" s="122"/>
      <c r="X87" s="122"/>
      <c r="Y87" s="125"/>
      <c r="Z87" s="125">
        <v>2.53E-2</v>
      </c>
      <c r="AA87" s="122" t="s">
        <v>1403</v>
      </c>
      <c r="AB87" s="122" t="s">
        <v>620</v>
      </c>
      <c r="AC87" s="122" t="s">
        <v>163</v>
      </c>
      <c r="AD87" s="122">
        <v>3000000</v>
      </c>
      <c r="AE87" s="152">
        <v>0.75</v>
      </c>
      <c r="AF87" s="122" t="s">
        <v>3467</v>
      </c>
      <c r="AG87" s="122"/>
      <c r="AH87" s="122"/>
      <c r="AI87" s="122"/>
      <c r="AJ87" s="122" t="s">
        <v>62</v>
      </c>
      <c r="AK87" s="122" t="s">
        <v>775</v>
      </c>
      <c r="AL87" s="122"/>
      <c r="AM87" s="122" t="s">
        <v>305</v>
      </c>
      <c r="AN87" s="145">
        <v>45930</v>
      </c>
      <c r="AO87" s="145">
        <v>45930</v>
      </c>
      <c r="AP87" s="122"/>
      <c r="AQ87" s="123">
        <v>735396.91</v>
      </c>
      <c r="AR87" s="123">
        <v>155.43</v>
      </c>
      <c r="AS87" s="123">
        <v>1</v>
      </c>
      <c r="AT87" s="123">
        <v>1143.027</v>
      </c>
      <c r="AU87" s="123">
        <v>1143.0274169999998</v>
      </c>
      <c r="AV87" s="122"/>
      <c r="AW87" s="122"/>
      <c r="AX87" s="133"/>
      <c r="AY87" s="122"/>
      <c r="AZ87" s="125">
        <v>2.2300000000000002E-3</v>
      </c>
      <c r="BA87" s="126">
        <v>4.0000000000000003E-5</v>
      </c>
      <c r="BB87" s="159"/>
    </row>
    <row r="88" spans="1:54" x14ac:dyDescent="0.2">
      <c r="A88" s="121" t="s">
        <v>1223</v>
      </c>
      <c r="B88" s="122" t="s">
        <v>1223</v>
      </c>
      <c r="C88" s="122"/>
      <c r="D88" s="122"/>
      <c r="E88" s="122"/>
      <c r="F88" s="122" t="s">
        <v>3409</v>
      </c>
      <c r="G88" s="122" t="s">
        <v>245</v>
      </c>
      <c r="H88" s="122"/>
      <c r="I88" s="122" t="s">
        <v>53</v>
      </c>
      <c r="J88" s="122"/>
      <c r="K88" s="122" t="s">
        <v>258</v>
      </c>
      <c r="L88" s="122" t="s">
        <v>62</v>
      </c>
      <c r="M88" s="122" t="s">
        <v>55</v>
      </c>
      <c r="N88" s="122"/>
      <c r="O88" s="122" t="s">
        <v>3410</v>
      </c>
      <c r="P88" s="122"/>
      <c r="Q88" s="122" t="s">
        <v>298</v>
      </c>
      <c r="R88" s="122"/>
      <c r="S88" s="122" t="s">
        <v>1216</v>
      </c>
      <c r="T88" s="123">
        <v>1.25</v>
      </c>
      <c r="U88" s="122" t="s">
        <v>442</v>
      </c>
      <c r="V88" s="125">
        <v>5.0799999999999998E-2</v>
      </c>
      <c r="W88" s="122"/>
      <c r="X88" s="122"/>
      <c r="Y88" s="125"/>
      <c r="Z88" s="125">
        <v>5.1499999999999997E-2</v>
      </c>
      <c r="AA88" s="122" t="s">
        <v>1430</v>
      </c>
      <c r="AB88" s="122" t="s">
        <v>620</v>
      </c>
      <c r="AC88" s="122"/>
      <c r="AD88" s="122"/>
      <c r="AE88" s="152"/>
      <c r="AF88" s="122"/>
      <c r="AG88" s="122"/>
      <c r="AH88" s="122"/>
      <c r="AI88" s="122"/>
      <c r="AJ88" s="122" t="s">
        <v>55</v>
      </c>
      <c r="AK88" s="122" t="s">
        <v>775</v>
      </c>
      <c r="AL88" s="122"/>
      <c r="AM88" s="122" t="s">
        <v>305</v>
      </c>
      <c r="AN88" s="145">
        <v>45930</v>
      </c>
      <c r="AO88" s="145">
        <v>45930</v>
      </c>
      <c r="AP88" s="122"/>
      <c r="AQ88" s="123">
        <v>903534.25</v>
      </c>
      <c r="AR88" s="123">
        <v>100.27</v>
      </c>
      <c r="AS88" s="123">
        <v>1</v>
      </c>
      <c r="AT88" s="123">
        <v>905.97400000000005</v>
      </c>
      <c r="AU88" s="123">
        <v>905.973792</v>
      </c>
      <c r="AV88" s="122"/>
      <c r="AW88" s="122"/>
      <c r="AX88" s="133"/>
      <c r="AY88" s="122"/>
      <c r="AZ88" s="125">
        <v>1.7700000000000001E-3</v>
      </c>
      <c r="BA88" s="126">
        <v>3.0000000000000001E-5</v>
      </c>
      <c r="BB88" s="159"/>
    </row>
    <row r="89" spans="1:54" x14ac:dyDescent="0.2">
      <c r="A89" s="121" t="s">
        <v>1223</v>
      </c>
      <c r="B89" s="122" t="s">
        <v>1223</v>
      </c>
      <c r="C89" s="122"/>
      <c r="D89" s="122"/>
      <c r="E89" s="122"/>
      <c r="F89" s="122" t="s">
        <v>3411</v>
      </c>
      <c r="G89" s="122" t="s">
        <v>245</v>
      </c>
      <c r="H89" s="122"/>
      <c r="I89" s="122" t="s">
        <v>53</v>
      </c>
      <c r="J89" s="122"/>
      <c r="K89" s="122" t="s">
        <v>163</v>
      </c>
      <c r="L89" s="122" t="s">
        <v>62</v>
      </c>
      <c r="M89" s="122" t="s">
        <v>55</v>
      </c>
      <c r="N89" s="122"/>
      <c r="O89" s="122" t="s">
        <v>3412</v>
      </c>
      <c r="P89" s="122" t="s">
        <v>1546</v>
      </c>
      <c r="Q89" s="122" t="s">
        <v>65</v>
      </c>
      <c r="R89" s="122" t="s">
        <v>779</v>
      </c>
      <c r="S89" s="122" t="s">
        <v>1216</v>
      </c>
      <c r="T89" s="123">
        <v>5.27</v>
      </c>
      <c r="U89" s="122" t="s">
        <v>442</v>
      </c>
      <c r="V89" s="125">
        <v>3.3099999999999997E-2</v>
      </c>
      <c r="W89" s="122"/>
      <c r="X89" s="122"/>
      <c r="Y89" s="125"/>
      <c r="Z89" s="125">
        <v>3.3500000000000002E-2</v>
      </c>
      <c r="AA89" s="122" t="s">
        <v>3359</v>
      </c>
      <c r="AB89" s="122" t="s">
        <v>620</v>
      </c>
      <c r="AC89" s="122"/>
      <c r="AD89" s="122"/>
      <c r="AE89" s="152"/>
      <c r="AF89" s="122" t="s">
        <v>3467</v>
      </c>
      <c r="AG89" s="122"/>
      <c r="AH89" s="122"/>
      <c r="AI89" s="122"/>
      <c r="AJ89" s="122"/>
      <c r="AK89" s="122" t="s">
        <v>775</v>
      </c>
      <c r="AL89" s="122"/>
      <c r="AM89" s="122" t="s">
        <v>305</v>
      </c>
      <c r="AN89" s="145">
        <v>45930</v>
      </c>
      <c r="AO89" s="145">
        <v>45930</v>
      </c>
      <c r="AP89" s="122"/>
      <c r="AQ89" s="123">
        <v>685410.67</v>
      </c>
      <c r="AR89" s="123">
        <v>119.68</v>
      </c>
      <c r="AS89" s="123">
        <v>1</v>
      </c>
      <c r="AT89" s="123">
        <v>820.29899999999998</v>
      </c>
      <c r="AU89" s="123">
        <v>820.29948999999999</v>
      </c>
      <c r="AV89" s="122"/>
      <c r="AW89" s="122"/>
      <c r="AX89" s="133"/>
      <c r="AY89" s="122"/>
      <c r="AZ89" s="125">
        <v>1.6000000000000001E-3</v>
      </c>
      <c r="BA89" s="126">
        <v>3.0000000000000001E-5</v>
      </c>
      <c r="BB89" s="159"/>
    </row>
    <row r="90" spans="1:54" x14ac:dyDescent="0.2">
      <c r="A90" s="121" t="s">
        <v>1223</v>
      </c>
      <c r="B90" s="122" t="s">
        <v>1223</v>
      </c>
      <c r="C90" s="122"/>
      <c r="D90" s="122"/>
      <c r="E90" s="122"/>
      <c r="F90" s="122" t="s">
        <v>3413</v>
      </c>
      <c r="G90" s="122" t="s">
        <v>245</v>
      </c>
      <c r="H90" s="122" t="s">
        <v>818</v>
      </c>
      <c r="I90" s="122" t="s">
        <v>53</v>
      </c>
      <c r="J90" s="122"/>
      <c r="K90" s="122" t="s">
        <v>633</v>
      </c>
      <c r="L90" s="122" t="s">
        <v>62</v>
      </c>
      <c r="M90" s="122" t="s">
        <v>55</v>
      </c>
      <c r="N90" s="122"/>
      <c r="O90" s="122" t="s">
        <v>3414</v>
      </c>
      <c r="P90" s="122"/>
      <c r="Q90" s="122" t="s">
        <v>298</v>
      </c>
      <c r="R90" s="122"/>
      <c r="S90" s="122" t="s">
        <v>1216</v>
      </c>
      <c r="T90" s="123">
        <v>1.0900000000000001</v>
      </c>
      <c r="U90" s="122" t="s">
        <v>441</v>
      </c>
      <c r="V90" s="125">
        <v>8.2500000000000004E-2</v>
      </c>
      <c r="W90" s="122"/>
      <c r="X90" s="122"/>
      <c r="Y90" s="125"/>
      <c r="Z90" s="125">
        <v>7.4099999999999999E-2</v>
      </c>
      <c r="AA90" s="122" t="s">
        <v>3380</v>
      </c>
      <c r="AB90" s="122" t="s">
        <v>620</v>
      </c>
      <c r="AC90" s="122" t="s">
        <v>58</v>
      </c>
      <c r="AD90" s="122">
        <v>227000</v>
      </c>
      <c r="AE90" s="152">
        <v>0.63</v>
      </c>
      <c r="AF90" s="122" t="s">
        <v>3467</v>
      </c>
      <c r="AG90" s="122"/>
      <c r="AH90" s="122"/>
      <c r="AI90" s="122"/>
      <c r="AJ90" s="122" t="s">
        <v>62</v>
      </c>
      <c r="AK90" s="122" t="s">
        <v>775</v>
      </c>
      <c r="AL90" s="122"/>
      <c r="AM90" s="122" t="s">
        <v>305</v>
      </c>
      <c r="AN90" s="145">
        <v>45930</v>
      </c>
      <c r="AO90" s="145">
        <v>45930</v>
      </c>
      <c r="AP90" s="122"/>
      <c r="AQ90" s="123">
        <v>675282.76</v>
      </c>
      <c r="AR90" s="123">
        <v>102.78</v>
      </c>
      <c r="AS90" s="123">
        <v>1</v>
      </c>
      <c r="AT90" s="123">
        <v>694.05600000000004</v>
      </c>
      <c r="AU90" s="123">
        <v>694.05562100000009</v>
      </c>
      <c r="AV90" s="122"/>
      <c r="AW90" s="122"/>
      <c r="AX90" s="133"/>
      <c r="AY90" s="122"/>
      <c r="AZ90" s="125">
        <v>1.3600000000000001E-3</v>
      </c>
      <c r="BA90" s="126">
        <v>3.0000000000000001E-5</v>
      </c>
      <c r="BB90" s="159"/>
    </row>
    <row r="91" spans="1:54" x14ac:dyDescent="0.2">
      <c r="A91" s="121" t="s">
        <v>1223</v>
      </c>
      <c r="B91" s="122" t="s">
        <v>1223</v>
      </c>
      <c r="C91" s="122"/>
      <c r="D91" s="122"/>
      <c r="E91" s="122"/>
      <c r="F91" s="122" t="s">
        <v>3415</v>
      </c>
      <c r="G91" s="122" t="s">
        <v>245</v>
      </c>
      <c r="H91" s="122" t="s">
        <v>818</v>
      </c>
      <c r="I91" s="122" t="s">
        <v>53</v>
      </c>
      <c r="J91" s="122"/>
      <c r="K91" s="122" t="s">
        <v>633</v>
      </c>
      <c r="L91" s="122" t="s">
        <v>62</v>
      </c>
      <c r="M91" s="122" t="s">
        <v>55</v>
      </c>
      <c r="N91" s="122"/>
      <c r="O91" s="122" t="s">
        <v>2789</v>
      </c>
      <c r="P91" s="122"/>
      <c r="Q91" s="122" t="s">
        <v>298</v>
      </c>
      <c r="R91" s="122"/>
      <c r="S91" s="122" t="s">
        <v>1216</v>
      </c>
      <c r="T91" s="123">
        <v>0.18</v>
      </c>
      <c r="U91" s="122" t="s">
        <v>441</v>
      </c>
      <c r="V91" s="125">
        <v>0.08</v>
      </c>
      <c r="W91" s="122"/>
      <c r="X91" s="122"/>
      <c r="Y91" s="125"/>
      <c r="Z91" s="125">
        <v>8.8999999999999996E-2</v>
      </c>
      <c r="AA91" s="122" t="s">
        <v>3387</v>
      </c>
      <c r="AB91" s="122" t="s">
        <v>620</v>
      </c>
      <c r="AC91" s="122" t="s">
        <v>58</v>
      </c>
      <c r="AD91" s="122">
        <v>130000</v>
      </c>
      <c r="AE91" s="152">
        <v>0.68</v>
      </c>
      <c r="AF91" s="122" t="s">
        <v>3467</v>
      </c>
      <c r="AG91" s="122"/>
      <c r="AH91" s="122"/>
      <c r="AI91" s="122"/>
      <c r="AJ91" s="122" t="s">
        <v>55</v>
      </c>
      <c r="AK91" s="122" t="s">
        <v>775</v>
      </c>
      <c r="AL91" s="122"/>
      <c r="AM91" s="122" t="s">
        <v>305</v>
      </c>
      <c r="AN91" s="145">
        <v>45930</v>
      </c>
      <c r="AO91" s="145">
        <v>45930</v>
      </c>
      <c r="AP91" s="122"/>
      <c r="AQ91" s="123">
        <v>606074.66</v>
      </c>
      <c r="AR91" s="123">
        <v>101.21</v>
      </c>
      <c r="AS91" s="123">
        <v>1</v>
      </c>
      <c r="AT91" s="123">
        <v>613.40800000000002</v>
      </c>
      <c r="AU91" s="123">
        <v>613.40816299999994</v>
      </c>
      <c r="AV91" s="122"/>
      <c r="AW91" s="122"/>
      <c r="AX91" s="133"/>
      <c r="AY91" s="122"/>
      <c r="AZ91" s="125">
        <v>1.1999999999999999E-3</v>
      </c>
      <c r="BA91" s="126">
        <v>2.0000000000000002E-5</v>
      </c>
      <c r="BB91" s="159"/>
    </row>
    <row r="92" spans="1:54" x14ac:dyDescent="0.2">
      <c r="A92" s="121" t="s">
        <v>1223</v>
      </c>
      <c r="B92" s="122" t="s">
        <v>1223</v>
      </c>
      <c r="C92" s="122"/>
      <c r="D92" s="122"/>
      <c r="E92" s="122"/>
      <c r="F92" s="122" t="s">
        <v>3416</v>
      </c>
      <c r="G92" s="122" t="s">
        <v>245</v>
      </c>
      <c r="H92" s="122" t="s">
        <v>818</v>
      </c>
      <c r="I92" s="122" t="s">
        <v>53</v>
      </c>
      <c r="J92" s="122"/>
      <c r="K92" s="122" t="s">
        <v>633</v>
      </c>
      <c r="L92" s="122" t="s">
        <v>62</v>
      </c>
      <c r="M92" s="122" t="s">
        <v>55</v>
      </c>
      <c r="N92" s="122"/>
      <c r="O92" s="122" t="s">
        <v>3417</v>
      </c>
      <c r="P92" s="122"/>
      <c r="Q92" s="122" t="s">
        <v>298</v>
      </c>
      <c r="R92" s="122"/>
      <c r="S92" s="122" t="s">
        <v>1216</v>
      </c>
      <c r="T92" s="123">
        <v>0.18</v>
      </c>
      <c r="U92" s="122" t="s">
        <v>441</v>
      </c>
      <c r="V92" s="125">
        <v>0.08</v>
      </c>
      <c r="W92" s="122"/>
      <c r="X92" s="122"/>
      <c r="Y92" s="125"/>
      <c r="Z92" s="125">
        <v>8.2299999999999998E-2</v>
      </c>
      <c r="AA92" s="122" t="s">
        <v>3387</v>
      </c>
      <c r="AB92" s="122" t="s">
        <v>620</v>
      </c>
      <c r="AC92" s="122" t="s">
        <v>58</v>
      </c>
      <c r="AD92" s="122">
        <v>130000</v>
      </c>
      <c r="AE92" s="152">
        <v>0.68</v>
      </c>
      <c r="AF92" s="122" t="s">
        <v>3467</v>
      </c>
      <c r="AG92" s="122"/>
      <c r="AH92" s="122"/>
      <c r="AI92" s="122"/>
      <c r="AJ92" s="122" t="s">
        <v>55</v>
      </c>
      <c r="AK92" s="122" t="s">
        <v>775</v>
      </c>
      <c r="AL92" s="122"/>
      <c r="AM92" s="122" t="s">
        <v>305</v>
      </c>
      <c r="AN92" s="145">
        <v>45930</v>
      </c>
      <c r="AO92" s="145">
        <v>45930</v>
      </c>
      <c r="AP92" s="122"/>
      <c r="AQ92" s="123">
        <v>563577.42000000004</v>
      </c>
      <c r="AR92" s="123">
        <v>102.01</v>
      </c>
      <c r="AS92" s="123">
        <v>1</v>
      </c>
      <c r="AT92" s="123">
        <v>574.90499999999997</v>
      </c>
      <c r="AU92" s="123">
        <v>574.90532599999995</v>
      </c>
      <c r="AV92" s="122"/>
      <c r="AW92" s="122"/>
      <c r="AX92" s="133"/>
      <c r="AY92" s="122"/>
      <c r="AZ92" s="125">
        <v>1.1199999999999999E-3</v>
      </c>
      <c r="BA92" s="126">
        <v>2.0000000000000002E-5</v>
      </c>
      <c r="BB92" s="159"/>
    </row>
    <row r="93" spans="1:54" x14ac:dyDescent="0.2">
      <c r="A93" s="121" t="s">
        <v>1223</v>
      </c>
      <c r="B93" s="122" t="s">
        <v>1223</v>
      </c>
      <c r="C93" s="122"/>
      <c r="D93" s="122"/>
      <c r="E93" s="122"/>
      <c r="F93" s="122" t="s">
        <v>3452</v>
      </c>
      <c r="G93" s="122" t="s">
        <v>245</v>
      </c>
      <c r="H93" s="122"/>
      <c r="I93" s="122" t="s">
        <v>53</v>
      </c>
      <c r="J93" s="122"/>
      <c r="K93" s="122" t="s">
        <v>163</v>
      </c>
      <c r="L93" s="122" t="s">
        <v>62</v>
      </c>
      <c r="M93" s="122" t="s">
        <v>55</v>
      </c>
      <c r="N93" s="122"/>
      <c r="O93" s="122" t="s">
        <v>3453</v>
      </c>
      <c r="P93" s="122" t="s">
        <v>1454</v>
      </c>
      <c r="Q93" s="122" t="s">
        <v>70</v>
      </c>
      <c r="R93" s="122" t="s">
        <v>779</v>
      </c>
      <c r="S93" s="122" t="s">
        <v>1216</v>
      </c>
      <c r="T93" s="123">
        <v>0.99</v>
      </c>
      <c r="U93" s="122" t="s">
        <v>442</v>
      </c>
      <c r="V93" s="125">
        <v>4.7426000000000003E-2</v>
      </c>
      <c r="W93" s="122"/>
      <c r="X93" s="122"/>
      <c r="Y93" s="125"/>
      <c r="Z93" s="125">
        <v>3.7499999999999999E-2</v>
      </c>
      <c r="AA93" s="122" t="s">
        <v>1403</v>
      </c>
      <c r="AB93" s="122" t="s">
        <v>620</v>
      </c>
      <c r="AC93" s="122" t="s">
        <v>163</v>
      </c>
      <c r="AD93" s="122">
        <v>3000000</v>
      </c>
      <c r="AE93" s="152">
        <v>0.75</v>
      </c>
      <c r="AF93" s="122" t="s">
        <v>3467</v>
      </c>
      <c r="AG93" s="122"/>
      <c r="AH93" s="122"/>
      <c r="AI93" s="122"/>
      <c r="AJ93" s="122" t="s">
        <v>62</v>
      </c>
      <c r="AK93" s="122" t="s">
        <v>775</v>
      </c>
      <c r="AL93" s="122"/>
      <c r="AM93" s="122" t="s">
        <v>305</v>
      </c>
      <c r="AN93" s="145">
        <v>45930</v>
      </c>
      <c r="AO93" s="145">
        <v>45930</v>
      </c>
      <c r="AP93" s="122"/>
      <c r="AQ93" s="123">
        <v>285595.95</v>
      </c>
      <c r="AR93" s="123">
        <v>146</v>
      </c>
      <c r="AS93" s="123">
        <v>1</v>
      </c>
      <c r="AT93" s="123">
        <v>416.97</v>
      </c>
      <c r="AU93" s="123">
        <v>416.97008699999998</v>
      </c>
      <c r="AV93" s="122"/>
      <c r="AW93" s="122"/>
      <c r="AX93" s="133"/>
      <c r="AY93" s="122"/>
      <c r="AZ93" s="125">
        <v>8.1999999999999998E-4</v>
      </c>
      <c r="BA93" s="126">
        <v>2.0000000000000002E-5</v>
      </c>
      <c r="BB93" s="159"/>
    </row>
    <row r="94" spans="1:54" x14ac:dyDescent="0.2">
      <c r="A94" s="121" t="s">
        <v>1223</v>
      </c>
      <c r="B94" s="122" t="s">
        <v>1223</v>
      </c>
      <c r="C94" s="122"/>
      <c r="D94" s="122"/>
      <c r="E94" s="122"/>
      <c r="F94" s="122" t="s">
        <v>3418</v>
      </c>
      <c r="G94" s="122" t="s">
        <v>245</v>
      </c>
      <c r="H94" s="122" t="s">
        <v>818</v>
      </c>
      <c r="I94" s="122" t="s">
        <v>53</v>
      </c>
      <c r="J94" s="122"/>
      <c r="K94" s="122" t="s">
        <v>633</v>
      </c>
      <c r="L94" s="122" t="s">
        <v>62</v>
      </c>
      <c r="M94" s="122" t="s">
        <v>55</v>
      </c>
      <c r="N94" s="122"/>
      <c r="O94" s="122" t="s">
        <v>3419</v>
      </c>
      <c r="P94" s="122"/>
      <c r="Q94" s="122" t="s">
        <v>298</v>
      </c>
      <c r="R94" s="122"/>
      <c r="S94" s="122" t="s">
        <v>1216</v>
      </c>
      <c r="T94" s="123">
        <v>0.18</v>
      </c>
      <c r="U94" s="122" t="s">
        <v>441</v>
      </c>
      <c r="V94" s="125">
        <v>0.08</v>
      </c>
      <c r="W94" s="122"/>
      <c r="X94" s="122"/>
      <c r="Y94" s="125"/>
      <c r="Z94" s="125">
        <v>7.0099999999999996E-2</v>
      </c>
      <c r="AA94" s="122" t="s">
        <v>3387</v>
      </c>
      <c r="AB94" s="122" t="s">
        <v>620</v>
      </c>
      <c r="AC94" s="122" t="s">
        <v>58</v>
      </c>
      <c r="AD94" s="122">
        <v>130000</v>
      </c>
      <c r="AE94" s="152">
        <v>0.68</v>
      </c>
      <c r="AF94" s="122" t="s">
        <v>3467</v>
      </c>
      <c r="AG94" s="122"/>
      <c r="AH94" s="122"/>
      <c r="AI94" s="122"/>
      <c r="AJ94" s="122" t="s">
        <v>55</v>
      </c>
      <c r="AK94" s="122" t="s">
        <v>775</v>
      </c>
      <c r="AL94" s="122"/>
      <c r="AM94" s="122" t="s">
        <v>305</v>
      </c>
      <c r="AN94" s="145">
        <v>45930</v>
      </c>
      <c r="AO94" s="145">
        <v>45930</v>
      </c>
      <c r="AP94" s="122"/>
      <c r="AQ94" s="123">
        <v>380869.07</v>
      </c>
      <c r="AR94" s="123">
        <v>102.22</v>
      </c>
      <c r="AS94" s="123">
        <v>1</v>
      </c>
      <c r="AT94" s="123">
        <v>389.32400000000001</v>
      </c>
      <c r="AU94" s="123">
        <v>389.32436300000001</v>
      </c>
      <c r="AV94" s="122"/>
      <c r="AW94" s="122"/>
      <c r="AX94" s="133"/>
      <c r="AY94" s="122"/>
      <c r="AZ94" s="125">
        <v>7.6000000000000004E-4</v>
      </c>
      <c r="BA94" s="126">
        <v>1.0000000000000001E-5</v>
      </c>
      <c r="BB94" s="159"/>
    </row>
    <row r="95" spans="1:54" x14ac:dyDescent="0.2">
      <c r="A95" s="121" t="s">
        <v>1223</v>
      </c>
      <c r="B95" s="122" t="s">
        <v>1223</v>
      </c>
      <c r="C95" s="122"/>
      <c r="D95" s="122"/>
      <c r="E95" s="122"/>
      <c r="F95" s="122" t="s">
        <v>3420</v>
      </c>
      <c r="G95" s="122" t="s">
        <v>245</v>
      </c>
      <c r="H95" s="122" t="s">
        <v>818</v>
      </c>
      <c r="I95" s="122" t="s">
        <v>53</v>
      </c>
      <c r="J95" s="122"/>
      <c r="K95" s="122" t="s">
        <v>633</v>
      </c>
      <c r="L95" s="122" t="s">
        <v>62</v>
      </c>
      <c r="M95" s="122" t="s">
        <v>55</v>
      </c>
      <c r="N95" s="122"/>
      <c r="O95" s="122" t="s">
        <v>3421</v>
      </c>
      <c r="P95" s="122"/>
      <c r="Q95" s="122" t="s">
        <v>298</v>
      </c>
      <c r="R95" s="122"/>
      <c r="S95" s="122" t="s">
        <v>1216</v>
      </c>
      <c r="T95" s="123">
        <v>0.18</v>
      </c>
      <c r="U95" s="122" t="s">
        <v>441</v>
      </c>
      <c r="V95" s="125">
        <v>0.08</v>
      </c>
      <c r="W95" s="122"/>
      <c r="X95" s="122"/>
      <c r="Y95" s="125"/>
      <c r="Z95" s="125">
        <v>8.1100000000000005E-2</v>
      </c>
      <c r="AA95" s="122" t="s">
        <v>3387</v>
      </c>
      <c r="AB95" s="122" t="s">
        <v>620</v>
      </c>
      <c r="AC95" s="122" t="s">
        <v>58</v>
      </c>
      <c r="AD95" s="122">
        <v>130000</v>
      </c>
      <c r="AE95" s="152">
        <v>0.68</v>
      </c>
      <c r="AF95" s="122" t="s">
        <v>3467</v>
      </c>
      <c r="AG95" s="122"/>
      <c r="AH95" s="122"/>
      <c r="AI95" s="122"/>
      <c r="AJ95" s="122" t="s">
        <v>55</v>
      </c>
      <c r="AK95" s="122" t="s">
        <v>775</v>
      </c>
      <c r="AL95" s="122"/>
      <c r="AM95" s="122" t="s">
        <v>305</v>
      </c>
      <c r="AN95" s="145">
        <v>45930</v>
      </c>
      <c r="AO95" s="145">
        <v>45930</v>
      </c>
      <c r="AP95" s="122"/>
      <c r="AQ95" s="123">
        <v>336332.64</v>
      </c>
      <c r="AR95" s="123">
        <v>102.03</v>
      </c>
      <c r="AS95" s="123">
        <v>1</v>
      </c>
      <c r="AT95" s="123">
        <v>343.16</v>
      </c>
      <c r="AU95" s="123">
        <v>343.16019300000005</v>
      </c>
      <c r="AV95" s="122"/>
      <c r="AW95" s="122"/>
      <c r="AX95" s="133"/>
      <c r="AY95" s="122"/>
      <c r="AZ95" s="125">
        <v>6.7000000000000002E-4</v>
      </c>
      <c r="BA95" s="126">
        <v>1.0000000000000001E-5</v>
      </c>
      <c r="BB95" s="159"/>
    </row>
    <row r="96" spans="1:54" x14ac:dyDescent="0.2">
      <c r="A96" s="121" t="s">
        <v>1223</v>
      </c>
      <c r="B96" s="122" t="s">
        <v>1223</v>
      </c>
      <c r="C96" s="122"/>
      <c r="D96" s="122"/>
      <c r="E96" s="122"/>
      <c r="F96" s="122" t="s">
        <v>3422</v>
      </c>
      <c r="G96" s="122" t="s">
        <v>245</v>
      </c>
      <c r="H96" s="122" t="s">
        <v>818</v>
      </c>
      <c r="I96" s="122" t="s">
        <v>53</v>
      </c>
      <c r="J96" s="122"/>
      <c r="K96" s="122" t="s">
        <v>633</v>
      </c>
      <c r="L96" s="122" t="s">
        <v>62</v>
      </c>
      <c r="M96" s="122" t="s">
        <v>55</v>
      </c>
      <c r="N96" s="122"/>
      <c r="O96" s="122" t="s">
        <v>3423</v>
      </c>
      <c r="P96" s="122"/>
      <c r="Q96" s="122" t="s">
        <v>298</v>
      </c>
      <c r="R96" s="122"/>
      <c r="S96" s="122" t="s">
        <v>1216</v>
      </c>
      <c r="T96" s="123">
        <v>0.18</v>
      </c>
      <c r="U96" s="122" t="s">
        <v>441</v>
      </c>
      <c r="V96" s="125">
        <v>0.08</v>
      </c>
      <c r="W96" s="122"/>
      <c r="X96" s="122"/>
      <c r="Y96" s="125"/>
      <c r="Z96" s="125">
        <v>8.3400000000000002E-2</v>
      </c>
      <c r="AA96" s="122" t="s">
        <v>3387</v>
      </c>
      <c r="AB96" s="122" t="s">
        <v>620</v>
      </c>
      <c r="AC96" s="122" t="s">
        <v>58</v>
      </c>
      <c r="AD96" s="122">
        <v>130000</v>
      </c>
      <c r="AE96" s="152">
        <v>0.68</v>
      </c>
      <c r="AF96" s="122" t="s">
        <v>3467</v>
      </c>
      <c r="AG96" s="122"/>
      <c r="AH96" s="122"/>
      <c r="AI96" s="122"/>
      <c r="AJ96" s="122" t="s">
        <v>55</v>
      </c>
      <c r="AK96" s="122" t="s">
        <v>775</v>
      </c>
      <c r="AL96" s="122"/>
      <c r="AM96" s="122" t="s">
        <v>305</v>
      </c>
      <c r="AN96" s="145">
        <v>45930</v>
      </c>
      <c r="AO96" s="145">
        <v>45930</v>
      </c>
      <c r="AP96" s="122"/>
      <c r="AQ96" s="123">
        <v>280982.56</v>
      </c>
      <c r="AR96" s="123">
        <v>101.99</v>
      </c>
      <c r="AS96" s="123">
        <v>1</v>
      </c>
      <c r="AT96" s="123">
        <v>286.57400000000001</v>
      </c>
      <c r="AU96" s="123">
        <v>286.57411300000001</v>
      </c>
      <c r="AV96" s="122"/>
      <c r="AW96" s="122"/>
      <c r="AX96" s="133"/>
      <c r="AY96" s="122"/>
      <c r="AZ96" s="125">
        <v>5.5999999999999995E-4</v>
      </c>
      <c r="BA96" s="126">
        <v>1.0000000000000001E-5</v>
      </c>
      <c r="BB96" s="159"/>
    </row>
    <row r="97" spans="1:54" x14ac:dyDescent="0.2">
      <c r="A97" s="121" t="s">
        <v>1223</v>
      </c>
      <c r="B97" s="122" t="s">
        <v>1223</v>
      </c>
      <c r="C97" s="122"/>
      <c r="D97" s="122"/>
      <c r="E97" s="122"/>
      <c r="F97" s="122" t="s">
        <v>3424</v>
      </c>
      <c r="G97" s="122" t="s">
        <v>245</v>
      </c>
      <c r="H97" s="122" t="s">
        <v>818</v>
      </c>
      <c r="I97" s="122" t="s">
        <v>53</v>
      </c>
      <c r="J97" s="122"/>
      <c r="K97" s="122" t="s">
        <v>633</v>
      </c>
      <c r="L97" s="122" t="s">
        <v>62</v>
      </c>
      <c r="M97" s="122" t="s">
        <v>55</v>
      </c>
      <c r="N97" s="122"/>
      <c r="O97" s="122" t="s">
        <v>3425</v>
      </c>
      <c r="P97" s="122"/>
      <c r="Q97" s="122" t="s">
        <v>298</v>
      </c>
      <c r="R97" s="122"/>
      <c r="S97" s="122" t="s">
        <v>1216</v>
      </c>
      <c r="T97" s="123">
        <v>0.18</v>
      </c>
      <c r="U97" s="122" t="s">
        <v>441</v>
      </c>
      <c r="V97" s="125">
        <v>0.08</v>
      </c>
      <c r="W97" s="122"/>
      <c r="X97" s="122"/>
      <c r="Y97" s="125"/>
      <c r="Z97" s="125">
        <v>8.8099999999999998E-2</v>
      </c>
      <c r="AA97" s="122" t="s">
        <v>3387</v>
      </c>
      <c r="AB97" s="122" t="s">
        <v>620</v>
      </c>
      <c r="AC97" s="122" t="s">
        <v>58</v>
      </c>
      <c r="AD97" s="122">
        <v>130000</v>
      </c>
      <c r="AE97" s="152">
        <v>0.68</v>
      </c>
      <c r="AF97" s="122" t="s">
        <v>3467</v>
      </c>
      <c r="AG97" s="122"/>
      <c r="AH97" s="122"/>
      <c r="AI97" s="122"/>
      <c r="AJ97" s="122" t="s">
        <v>55</v>
      </c>
      <c r="AK97" s="122" t="s">
        <v>775</v>
      </c>
      <c r="AL97" s="122"/>
      <c r="AM97" s="122" t="s">
        <v>305</v>
      </c>
      <c r="AN97" s="145">
        <v>45930</v>
      </c>
      <c r="AO97" s="145">
        <v>45930</v>
      </c>
      <c r="AP97" s="122"/>
      <c r="AQ97" s="123">
        <v>243064.82</v>
      </c>
      <c r="AR97" s="123">
        <v>101.91</v>
      </c>
      <c r="AS97" s="123">
        <v>1</v>
      </c>
      <c r="AT97" s="123">
        <v>247.70699999999999</v>
      </c>
      <c r="AU97" s="123">
        <v>247.707358</v>
      </c>
      <c r="AV97" s="122"/>
      <c r="AW97" s="122"/>
      <c r="AX97" s="133"/>
      <c r="AY97" s="122"/>
      <c r="AZ97" s="125">
        <v>4.8000000000000001E-4</v>
      </c>
      <c r="BA97" s="126">
        <v>1.0000000000000001E-5</v>
      </c>
      <c r="BB97" s="159"/>
    </row>
    <row r="98" spans="1:54" x14ac:dyDescent="0.2">
      <c r="A98" s="121" t="s">
        <v>1223</v>
      </c>
      <c r="B98" s="122" t="s">
        <v>1223</v>
      </c>
      <c r="C98" s="122"/>
      <c r="D98" s="122"/>
      <c r="E98" s="122"/>
      <c r="F98" s="122" t="s">
        <v>3426</v>
      </c>
      <c r="G98" s="122" t="s">
        <v>245</v>
      </c>
      <c r="H98" s="122"/>
      <c r="I98" s="122" t="s">
        <v>53</v>
      </c>
      <c r="J98" s="122"/>
      <c r="K98" s="122" t="s">
        <v>267</v>
      </c>
      <c r="L98" s="122" t="s">
        <v>62</v>
      </c>
      <c r="M98" s="122" t="s">
        <v>55</v>
      </c>
      <c r="N98" s="122"/>
      <c r="O98" s="122" t="s">
        <v>3427</v>
      </c>
      <c r="P98" s="122" t="s">
        <v>1546</v>
      </c>
      <c r="Q98" s="122" t="s">
        <v>65</v>
      </c>
      <c r="R98" s="122" t="s">
        <v>779</v>
      </c>
      <c r="S98" s="122" t="s">
        <v>1216</v>
      </c>
      <c r="T98" s="123">
        <v>5.27</v>
      </c>
      <c r="U98" s="122" t="s">
        <v>442</v>
      </c>
      <c r="V98" s="125">
        <v>3.3099999999999997E-2</v>
      </c>
      <c r="W98" s="122"/>
      <c r="X98" s="122"/>
      <c r="Y98" s="125"/>
      <c r="Z98" s="125">
        <v>3.3500000000000002E-2</v>
      </c>
      <c r="AA98" s="122" t="s">
        <v>3359</v>
      </c>
      <c r="AB98" s="122" t="s">
        <v>620</v>
      </c>
      <c r="AC98" s="122"/>
      <c r="AD98" s="122"/>
      <c r="AE98" s="152"/>
      <c r="AF98" s="122" t="s">
        <v>3467</v>
      </c>
      <c r="AG98" s="122"/>
      <c r="AH98" s="122"/>
      <c r="AI98" s="122"/>
      <c r="AJ98" s="122"/>
      <c r="AK98" s="122" t="s">
        <v>775</v>
      </c>
      <c r="AL98" s="122"/>
      <c r="AM98" s="122" t="s">
        <v>305</v>
      </c>
      <c r="AN98" s="145">
        <v>45930</v>
      </c>
      <c r="AO98" s="145">
        <v>45930</v>
      </c>
      <c r="AP98" s="122"/>
      <c r="AQ98" s="123">
        <v>169565.01</v>
      </c>
      <c r="AR98" s="123">
        <v>120.03</v>
      </c>
      <c r="AS98" s="123">
        <v>1</v>
      </c>
      <c r="AT98" s="123">
        <v>203.529</v>
      </c>
      <c r="AU98" s="123">
        <v>203.52888200000001</v>
      </c>
      <c r="AV98" s="122"/>
      <c r="AW98" s="122"/>
      <c r="AX98" s="133"/>
      <c r="AY98" s="122"/>
      <c r="AZ98" s="125">
        <v>4.0000000000000002E-4</v>
      </c>
      <c r="BA98" s="126">
        <v>1.0000000000000001E-5</v>
      </c>
      <c r="BB98" s="159"/>
    </row>
    <row r="99" spans="1:54" x14ac:dyDescent="0.2">
      <c r="A99" s="121" t="s">
        <v>1223</v>
      </c>
      <c r="B99" s="122" t="s">
        <v>1223</v>
      </c>
      <c r="C99" s="122"/>
      <c r="D99" s="122"/>
      <c r="E99" s="122"/>
      <c r="F99" s="122" t="s">
        <v>3428</v>
      </c>
      <c r="G99" s="122" t="s">
        <v>245</v>
      </c>
      <c r="H99" s="122" t="s">
        <v>818</v>
      </c>
      <c r="I99" s="122" t="s">
        <v>53</v>
      </c>
      <c r="J99" s="122"/>
      <c r="K99" s="122" t="s">
        <v>633</v>
      </c>
      <c r="L99" s="122" t="s">
        <v>62</v>
      </c>
      <c r="M99" s="122" t="s">
        <v>55</v>
      </c>
      <c r="N99" s="122"/>
      <c r="O99" s="122" t="s">
        <v>3429</v>
      </c>
      <c r="P99" s="122"/>
      <c r="Q99" s="122" t="s">
        <v>298</v>
      </c>
      <c r="R99" s="122"/>
      <c r="S99" s="122" t="s">
        <v>1216</v>
      </c>
      <c r="T99" s="123">
        <v>0.18</v>
      </c>
      <c r="U99" s="122" t="s">
        <v>441</v>
      </c>
      <c r="V99" s="125">
        <v>0.08</v>
      </c>
      <c r="W99" s="122"/>
      <c r="X99" s="122"/>
      <c r="Y99" s="125"/>
      <c r="Z99" s="125">
        <v>8.7499999999999994E-2</v>
      </c>
      <c r="AA99" s="122" t="s">
        <v>3387</v>
      </c>
      <c r="AB99" s="122" t="s">
        <v>620</v>
      </c>
      <c r="AC99" s="122" t="s">
        <v>58</v>
      </c>
      <c r="AD99" s="122">
        <v>130000</v>
      </c>
      <c r="AE99" s="152">
        <v>0.68</v>
      </c>
      <c r="AF99" s="122" t="s">
        <v>3467</v>
      </c>
      <c r="AG99" s="122"/>
      <c r="AH99" s="122"/>
      <c r="AI99" s="122"/>
      <c r="AJ99" s="122" t="s">
        <v>55</v>
      </c>
      <c r="AK99" s="122" t="s">
        <v>775</v>
      </c>
      <c r="AL99" s="122"/>
      <c r="AM99" s="122" t="s">
        <v>305</v>
      </c>
      <c r="AN99" s="145">
        <v>45930</v>
      </c>
      <c r="AO99" s="145">
        <v>45930</v>
      </c>
      <c r="AP99" s="122"/>
      <c r="AQ99" s="123">
        <v>175047.78</v>
      </c>
      <c r="AR99" s="123">
        <v>101.92</v>
      </c>
      <c r="AS99" s="123">
        <v>1</v>
      </c>
      <c r="AT99" s="123">
        <v>178.40899999999999</v>
      </c>
      <c r="AU99" s="123">
        <v>178.40869699999999</v>
      </c>
      <c r="AV99" s="122"/>
      <c r="AW99" s="122"/>
      <c r="AX99" s="133"/>
      <c r="AY99" s="122"/>
      <c r="AZ99" s="125">
        <v>3.5E-4</v>
      </c>
      <c r="BA99" s="126">
        <v>1.0000000000000001E-5</v>
      </c>
      <c r="BB99" s="159"/>
    </row>
    <row r="100" spans="1:54" x14ac:dyDescent="0.2">
      <c r="A100" s="121" t="s">
        <v>1223</v>
      </c>
      <c r="B100" s="122" t="s">
        <v>1223</v>
      </c>
      <c r="C100" s="122"/>
      <c r="D100" s="122"/>
      <c r="E100" s="122"/>
      <c r="F100" s="122" t="s">
        <v>3430</v>
      </c>
      <c r="G100" s="122" t="s">
        <v>245</v>
      </c>
      <c r="H100" s="122" t="s">
        <v>818</v>
      </c>
      <c r="I100" s="122" t="s">
        <v>53</v>
      </c>
      <c r="J100" s="122"/>
      <c r="K100" s="122" t="s">
        <v>633</v>
      </c>
      <c r="L100" s="122" t="s">
        <v>62</v>
      </c>
      <c r="M100" s="122" t="s">
        <v>55</v>
      </c>
      <c r="N100" s="122"/>
      <c r="O100" s="122" t="s">
        <v>2789</v>
      </c>
      <c r="P100" s="122"/>
      <c r="Q100" s="122" t="s">
        <v>298</v>
      </c>
      <c r="R100" s="122"/>
      <c r="S100" s="122" t="s">
        <v>1216</v>
      </c>
      <c r="T100" s="123">
        <v>0.19</v>
      </c>
      <c r="U100" s="122" t="s">
        <v>441</v>
      </c>
      <c r="V100" s="125">
        <v>0.08</v>
      </c>
      <c r="W100" s="122"/>
      <c r="X100" s="122"/>
      <c r="Y100" s="125"/>
      <c r="Z100" s="125">
        <v>8.0600000000000005E-2</v>
      </c>
      <c r="AA100" s="122" t="s">
        <v>3387</v>
      </c>
      <c r="AB100" s="122" t="s">
        <v>620</v>
      </c>
      <c r="AC100" s="122" t="s">
        <v>58</v>
      </c>
      <c r="AD100" s="122">
        <v>130000</v>
      </c>
      <c r="AE100" s="152">
        <v>0.68</v>
      </c>
      <c r="AF100" s="122" t="s">
        <v>3467</v>
      </c>
      <c r="AG100" s="122"/>
      <c r="AH100" s="122"/>
      <c r="AI100" s="122"/>
      <c r="AJ100" s="122" t="s">
        <v>55</v>
      </c>
      <c r="AK100" s="122" t="s">
        <v>775</v>
      </c>
      <c r="AL100" s="122"/>
      <c r="AM100" s="122" t="s">
        <v>305</v>
      </c>
      <c r="AN100" s="145">
        <v>45930</v>
      </c>
      <c r="AO100" s="145">
        <v>45930</v>
      </c>
      <c r="AP100" s="122"/>
      <c r="AQ100" s="123">
        <v>128044</v>
      </c>
      <c r="AR100" s="123">
        <v>100.26</v>
      </c>
      <c r="AS100" s="123">
        <v>1</v>
      </c>
      <c r="AT100" s="123">
        <v>128.37700000000001</v>
      </c>
      <c r="AU100" s="123">
        <v>128.376914</v>
      </c>
      <c r="AV100" s="122"/>
      <c r="AW100" s="122"/>
      <c r="AX100" s="133"/>
      <c r="AY100" s="122"/>
      <c r="AZ100" s="125">
        <v>2.5000000000000001E-4</v>
      </c>
      <c r="BA100" s="126">
        <v>0</v>
      </c>
      <c r="BB100" s="159"/>
    </row>
    <row r="101" spans="1:54" x14ac:dyDescent="0.2">
      <c r="A101" s="121" t="s">
        <v>1223</v>
      </c>
      <c r="B101" s="122" t="s">
        <v>1223</v>
      </c>
      <c r="C101" s="122"/>
      <c r="D101" s="122"/>
      <c r="E101" s="122"/>
      <c r="F101" s="122" t="s">
        <v>3431</v>
      </c>
      <c r="G101" s="122" t="s">
        <v>245</v>
      </c>
      <c r="H101" s="122" t="s">
        <v>827</v>
      </c>
      <c r="I101" s="122" t="s">
        <v>53</v>
      </c>
      <c r="J101" s="122"/>
      <c r="K101" s="122" t="s">
        <v>140</v>
      </c>
      <c r="L101" s="122" t="s">
        <v>62</v>
      </c>
      <c r="M101" s="122" t="s">
        <v>55</v>
      </c>
      <c r="N101" s="122"/>
      <c r="O101" s="122" t="s">
        <v>3432</v>
      </c>
      <c r="P101" s="122"/>
      <c r="Q101" s="122" t="s">
        <v>298</v>
      </c>
      <c r="R101" s="122"/>
      <c r="S101" s="122" t="s">
        <v>1216</v>
      </c>
      <c r="T101" s="123">
        <v>0.01</v>
      </c>
      <c r="U101" s="122" t="s">
        <v>442</v>
      </c>
      <c r="V101" s="125">
        <v>0</v>
      </c>
      <c r="W101" s="122"/>
      <c r="X101" s="122"/>
      <c r="Y101" s="125"/>
      <c r="Z101" s="125">
        <v>1E-4</v>
      </c>
      <c r="AA101" s="122" t="s">
        <v>3433</v>
      </c>
      <c r="AB101" s="122" t="s">
        <v>620</v>
      </c>
      <c r="AC101" s="122" t="s">
        <v>596</v>
      </c>
      <c r="AD101" s="122"/>
      <c r="AE101" s="152"/>
      <c r="AF101" s="122" t="s">
        <v>3467</v>
      </c>
      <c r="AG101" s="122"/>
      <c r="AH101" s="122"/>
      <c r="AI101" s="122"/>
      <c r="AJ101" s="122"/>
      <c r="AK101" s="122" t="s">
        <v>102</v>
      </c>
      <c r="AL101" s="122"/>
      <c r="AM101" s="122" t="s">
        <v>304</v>
      </c>
      <c r="AN101" s="145">
        <v>45657</v>
      </c>
      <c r="AO101" s="145">
        <v>45657</v>
      </c>
      <c r="AP101" s="122"/>
      <c r="AQ101" s="123">
        <v>3446189.01</v>
      </c>
      <c r="AR101" s="123">
        <v>0.01</v>
      </c>
      <c r="AS101" s="123">
        <v>1</v>
      </c>
      <c r="AT101" s="123">
        <v>0.34499999999999997</v>
      </c>
      <c r="AU101" s="123">
        <v>0.34461900000000001</v>
      </c>
      <c r="AV101" s="122"/>
      <c r="AW101" s="122"/>
      <c r="AX101" s="133"/>
      <c r="AY101" s="122"/>
      <c r="AZ101" s="125">
        <v>0</v>
      </c>
      <c r="BA101" s="126">
        <v>0</v>
      </c>
      <c r="BB101" s="159"/>
    </row>
    <row r="102" spans="1:54" x14ac:dyDescent="0.2">
      <c r="A102" s="121" t="s">
        <v>1223</v>
      </c>
      <c r="B102" s="122" t="s">
        <v>1223</v>
      </c>
      <c r="C102" s="122"/>
      <c r="D102" s="122"/>
      <c r="E102" s="122"/>
      <c r="F102" s="122" t="s">
        <v>3434</v>
      </c>
      <c r="G102" s="122" t="s">
        <v>245</v>
      </c>
      <c r="H102" s="122" t="s">
        <v>827</v>
      </c>
      <c r="I102" s="122" t="s">
        <v>53</v>
      </c>
      <c r="J102" s="122"/>
      <c r="K102" s="122" t="s">
        <v>140</v>
      </c>
      <c r="L102" s="122" t="s">
        <v>62</v>
      </c>
      <c r="M102" s="122" t="s">
        <v>55</v>
      </c>
      <c r="N102" s="122"/>
      <c r="O102" s="122" t="s">
        <v>3432</v>
      </c>
      <c r="P102" s="122"/>
      <c r="Q102" s="122" t="s">
        <v>298</v>
      </c>
      <c r="R102" s="122"/>
      <c r="S102" s="122" t="s">
        <v>1216</v>
      </c>
      <c r="T102" s="123">
        <v>0.01</v>
      </c>
      <c r="U102" s="122" t="s">
        <v>441</v>
      </c>
      <c r="V102" s="125">
        <v>0</v>
      </c>
      <c r="W102" s="122"/>
      <c r="X102" s="122"/>
      <c r="Y102" s="125"/>
      <c r="Z102" s="125">
        <v>1E-4</v>
      </c>
      <c r="AA102" s="122" t="s">
        <v>3435</v>
      </c>
      <c r="AB102" s="122" t="s">
        <v>620</v>
      </c>
      <c r="AC102" s="122" t="s">
        <v>596</v>
      </c>
      <c r="AD102" s="122"/>
      <c r="AE102" s="152"/>
      <c r="AF102" s="122" t="s">
        <v>3467</v>
      </c>
      <c r="AG102" s="122"/>
      <c r="AH102" s="122"/>
      <c r="AI102" s="122"/>
      <c r="AJ102" s="122"/>
      <c r="AK102" s="122" t="s">
        <v>102</v>
      </c>
      <c r="AL102" s="122"/>
      <c r="AM102" s="122" t="s">
        <v>304</v>
      </c>
      <c r="AN102" s="145">
        <v>45657</v>
      </c>
      <c r="AO102" s="145">
        <v>45657</v>
      </c>
      <c r="AP102" s="122"/>
      <c r="AQ102" s="123">
        <v>264914.38</v>
      </c>
      <c r="AR102" s="123">
        <v>0.01</v>
      </c>
      <c r="AS102" s="123">
        <v>1</v>
      </c>
      <c r="AT102" s="123">
        <v>2.5999999999999999E-2</v>
      </c>
      <c r="AU102" s="123">
        <v>2.6491000000000001E-2</v>
      </c>
      <c r="AV102" s="122"/>
      <c r="AW102" s="122"/>
      <c r="AX102" s="133"/>
      <c r="AY102" s="122"/>
      <c r="AZ102" s="125">
        <v>0</v>
      </c>
      <c r="BA102" s="126">
        <v>0</v>
      </c>
      <c r="BB102" s="159"/>
    </row>
    <row r="103" spans="1:54" x14ac:dyDescent="0.2">
      <c r="A103" s="121" t="s">
        <v>1223</v>
      </c>
      <c r="B103" s="122" t="s">
        <v>1223</v>
      </c>
      <c r="C103" s="122"/>
      <c r="D103" s="122"/>
      <c r="E103" s="122"/>
      <c r="F103" s="122" t="s">
        <v>3436</v>
      </c>
      <c r="G103" s="122" t="s">
        <v>245</v>
      </c>
      <c r="H103" s="122"/>
      <c r="I103" s="122" t="s">
        <v>53</v>
      </c>
      <c r="J103" s="122"/>
      <c r="K103" s="122" t="s">
        <v>66</v>
      </c>
      <c r="L103" s="122" t="s">
        <v>62</v>
      </c>
      <c r="M103" s="122" t="s">
        <v>55</v>
      </c>
      <c r="N103" s="122"/>
      <c r="O103" s="122" t="s">
        <v>3437</v>
      </c>
      <c r="P103" s="122"/>
      <c r="Q103" s="122" t="s">
        <v>298</v>
      </c>
      <c r="R103" s="122"/>
      <c r="S103" s="122" t="s">
        <v>1217</v>
      </c>
      <c r="T103" s="123">
        <v>0.01</v>
      </c>
      <c r="U103" s="122" t="s">
        <v>102</v>
      </c>
      <c r="V103" s="125">
        <v>0</v>
      </c>
      <c r="W103" s="122"/>
      <c r="X103" s="122"/>
      <c r="Y103" s="125"/>
      <c r="Z103" s="125">
        <v>1E-4</v>
      </c>
      <c r="AA103" s="122" t="s">
        <v>3353</v>
      </c>
      <c r="AB103" s="122" t="s">
        <v>620</v>
      </c>
      <c r="AC103" s="122"/>
      <c r="AD103" s="122"/>
      <c r="AE103" s="152"/>
      <c r="AF103" s="122"/>
      <c r="AG103" s="122"/>
      <c r="AH103" s="122"/>
      <c r="AI103" s="122"/>
      <c r="AJ103" s="122"/>
      <c r="AK103" s="122" t="s">
        <v>303</v>
      </c>
      <c r="AL103" s="122"/>
      <c r="AM103" s="122" t="s">
        <v>305</v>
      </c>
      <c r="AN103" s="145">
        <v>45792</v>
      </c>
      <c r="AO103" s="145">
        <v>45792</v>
      </c>
      <c r="AP103" s="122"/>
      <c r="AQ103" s="123">
        <v>546282.56999999995</v>
      </c>
      <c r="AR103" s="123">
        <v>0</v>
      </c>
      <c r="AS103" s="123">
        <v>3.306</v>
      </c>
      <c r="AT103" s="123">
        <v>0</v>
      </c>
      <c r="AU103" s="123">
        <v>5.0000000000000004E-6</v>
      </c>
      <c r="AV103" s="122"/>
      <c r="AW103" s="122"/>
      <c r="AX103" s="133"/>
      <c r="AY103" s="122"/>
      <c r="AZ103" s="125">
        <v>0</v>
      </c>
      <c r="BA103" s="126">
        <v>0</v>
      </c>
      <c r="BB103" s="159"/>
    </row>
    <row r="104" spans="1:54" x14ac:dyDescent="0.2">
      <c r="A104" s="121" t="s">
        <v>1223</v>
      </c>
      <c r="B104" s="122" t="s">
        <v>1223</v>
      </c>
      <c r="C104" s="122"/>
      <c r="D104" s="122"/>
      <c r="E104" s="122"/>
      <c r="F104" s="122" t="s">
        <v>3438</v>
      </c>
      <c r="G104" s="122" t="s">
        <v>245</v>
      </c>
      <c r="H104" s="122" t="s">
        <v>1185</v>
      </c>
      <c r="I104" s="122" t="s">
        <v>61</v>
      </c>
      <c r="J104" s="122"/>
      <c r="K104" s="122" t="s">
        <v>267</v>
      </c>
      <c r="L104" s="122" t="s">
        <v>62</v>
      </c>
      <c r="M104" s="122" t="s">
        <v>55</v>
      </c>
      <c r="N104" s="122" t="s">
        <v>3438</v>
      </c>
      <c r="O104" s="122" t="s">
        <v>3375</v>
      </c>
      <c r="P104" s="122" t="s">
        <v>1750</v>
      </c>
      <c r="Q104" s="122" t="s">
        <v>65</v>
      </c>
      <c r="R104" s="122" t="s">
        <v>779</v>
      </c>
      <c r="S104" s="122" t="s">
        <v>1217</v>
      </c>
      <c r="T104" s="123">
        <v>1.35</v>
      </c>
      <c r="U104" s="122" t="s">
        <v>441</v>
      </c>
      <c r="V104" s="125">
        <v>8.1689999999999999E-2</v>
      </c>
      <c r="W104" s="122"/>
      <c r="X104" s="122"/>
      <c r="Y104" s="125"/>
      <c r="Z104" s="125">
        <v>0.151</v>
      </c>
      <c r="AA104" s="122" t="s">
        <v>3439</v>
      </c>
      <c r="AB104" s="122" t="s">
        <v>620</v>
      </c>
      <c r="AC104" s="122" t="s">
        <v>163</v>
      </c>
      <c r="AD104" s="122">
        <v>2800000</v>
      </c>
      <c r="AE104" s="152">
        <v>0.6</v>
      </c>
      <c r="AF104" s="122" t="s">
        <v>3467</v>
      </c>
      <c r="AG104" s="122"/>
      <c r="AH104" s="122"/>
      <c r="AI104" s="122"/>
      <c r="AJ104" s="122" t="s">
        <v>62</v>
      </c>
      <c r="AK104" s="122" t="s">
        <v>775</v>
      </c>
      <c r="AL104" s="122"/>
      <c r="AM104" s="122" t="s">
        <v>305</v>
      </c>
      <c r="AN104" s="145">
        <v>45930</v>
      </c>
      <c r="AO104" s="145">
        <v>45930</v>
      </c>
      <c r="AP104" s="152">
        <v>1.4999999999999999E-2</v>
      </c>
      <c r="AQ104" s="123">
        <v>6867938.0300000003</v>
      </c>
      <c r="AR104" s="123">
        <v>102.04</v>
      </c>
      <c r="AS104" s="123">
        <v>3.306</v>
      </c>
      <c r="AT104" s="123">
        <v>23168.593000000001</v>
      </c>
      <c r="AU104" s="123">
        <v>7008.0439660000002</v>
      </c>
      <c r="AV104" s="122"/>
      <c r="AW104" s="122"/>
      <c r="AX104" s="133"/>
      <c r="AY104" s="122"/>
      <c r="AZ104" s="125">
        <v>4.53E-2</v>
      </c>
      <c r="BA104" s="126">
        <v>8.4999999999999995E-4</v>
      </c>
      <c r="BB104" s="159"/>
    </row>
    <row r="105" spans="1:54" x14ac:dyDescent="0.2">
      <c r="A105" s="121" t="s">
        <v>1223</v>
      </c>
      <c r="B105" s="122" t="s">
        <v>1223</v>
      </c>
      <c r="C105" s="122"/>
      <c r="D105" s="122"/>
      <c r="E105" s="122"/>
      <c r="F105" s="122" t="s">
        <v>3440</v>
      </c>
      <c r="G105" s="122" t="s">
        <v>245</v>
      </c>
      <c r="H105" s="122" t="s">
        <v>1185</v>
      </c>
      <c r="I105" s="122" t="s">
        <v>61</v>
      </c>
      <c r="J105" s="122"/>
      <c r="K105" s="122" t="s">
        <v>267</v>
      </c>
      <c r="L105" s="122" t="s">
        <v>62</v>
      </c>
      <c r="M105" s="122" t="s">
        <v>55</v>
      </c>
      <c r="N105" s="122" t="s">
        <v>3440</v>
      </c>
      <c r="O105" s="122" t="s">
        <v>3441</v>
      </c>
      <c r="P105" s="122" t="s">
        <v>1750</v>
      </c>
      <c r="Q105" s="122" t="s">
        <v>65</v>
      </c>
      <c r="R105" s="122" t="s">
        <v>779</v>
      </c>
      <c r="S105" s="122" t="s">
        <v>1217</v>
      </c>
      <c r="T105" s="123">
        <v>1.28</v>
      </c>
      <c r="U105" s="122" t="s">
        <v>441</v>
      </c>
      <c r="V105" s="125">
        <v>8.2284999999999997E-2</v>
      </c>
      <c r="W105" s="122"/>
      <c r="X105" s="122"/>
      <c r="Y105" s="125"/>
      <c r="Z105" s="125">
        <v>0.17519999999999999</v>
      </c>
      <c r="AA105" s="122" t="s">
        <v>3439</v>
      </c>
      <c r="AB105" s="122" t="s">
        <v>620</v>
      </c>
      <c r="AC105" s="122" t="s">
        <v>163</v>
      </c>
      <c r="AD105" s="122">
        <v>2800000</v>
      </c>
      <c r="AE105" s="152">
        <v>0.6</v>
      </c>
      <c r="AF105" s="122" t="s">
        <v>3467</v>
      </c>
      <c r="AG105" s="122"/>
      <c r="AH105" s="122"/>
      <c r="AI105" s="122"/>
      <c r="AJ105" s="122" t="s">
        <v>62</v>
      </c>
      <c r="AK105" s="122" t="s">
        <v>775</v>
      </c>
      <c r="AL105" s="122"/>
      <c r="AM105" s="122" t="s">
        <v>305</v>
      </c>
      <c r="AN105" s="145">
        <v>45930</v>
      </c>
      <c r="AO105" s="145">
        <v>45930</v>
      </c>
      <c r="AP105" s="152">
        <v>1.4999999999999999E-2</v>
      </c>
      <c r="AQ105" s="123">
        <v>2810248.09</v>
      </c>
      <c r="AR105" s="123">
        <v>103.47</v>
      </c>
      <c r="AS105" s="123">
        <v>3.306</v>
      </c>
      <c r="AT105" s="123">
        <v>9613.0669999999991</v>
      </c>
      <c r="AU105" s="123">
        <v>2907.7636990000001</v>
      </c>
      <c r="AV105" s="122"/>
      <c r="AW105" s="122"/>
      <c r="AX105" s="133"/>
      <c r="AY105" s="122"/>
      <c r="AZ105" s="125">
        <v>1.8790000000000001E-2</v>
      </c>
      <c r="BA105" s="126">
        <v>3.5E-4</v>
      </c>
      <c r="BB105" s="159"/>
    </row>
    <row r="106" spans="1:54" x14ac:dyDescent="0.2">
      <c r="A106" s="121" t="s">
        <v>1223</v>
      </c>
      <c r="B106" s="122" t="s">
        <v>1223</v>
      </c>
      <c r="C106" s="122"/>
      <c r="D106" s="122"/>
      <c r="E106" s="122"/>
      <c r="F106" s="122" t="s">
        <v>3442</v>
      </c>
      <c r="G106" s="122" t="s">
        <v>245</v>
      </c>
      <c r="H106" s="122" t="s">
        <v>1185</v>
      </c>
      <c r="I106" s="122" t="s">
        <v>61</v>
      </c>
      <c r="J106" s="122"/>
      <c r="K106" s="122" t="s">
        <v>267</v>
      </c>
      <c r="L106" s="122" t="s">
        <v>62</v>
      </c>
      <c r="M106" s="122" t="s">
        <v>55</v>
      </c>
      <c r="N106" s="122" t="s">
        <v>3442</v>
      </c>
      <c r="O106" s="122" t="s">
        <v>2683</v>
      </c>
      <c r="P106" s="122" t="s">
        <v>1750</v>
      </c>
      <c r="Q106" s="122" t="s">
        <v>65</v>
      </c>
      <c r="R106" s="122" t="s">
        <v>779</v>
      </c>
      <c r="S106" s="122" t="s">
        <v>1217</v>
      </c>
      <c r="T106" s="123">
        <v>1.4</v>
      </c>
      <c r="U106" s="122" t="s">
        <v>441</v>
      </c>
      <c r="V106" s="125">
        <v>8.1262000000000001E-2</v>
      </c>
      <c r="W106" s="122"/>
      <c r="X106" s="122"/>
      <c r="Y106" s="125"/>
      <c r="Z106" s="125">
        <v>9.0399999999999994E-2</v>
      </c>
      <c r="AA106" s="122" t="s">
        <v>3439</v>
      </c>
      <c r="AB106" s="122" t="s">
        <v>620</v>
      </c>
      <c r="AC106" s="122" t="s">
        <v>163</v>
      </c>
      <c r="AD106" s="122">
        <v>2800000</v>
      </c>
      <c r="AE106" s="152">
        <v>0.6</v>
      </c>
      <c r="AF106" s="122" t="s">
        <v>3467</v>
      </c>
      <c r="AG106" s="122"/>
      <c r="AH106" s="122"/>
      <c r="AI106" s="122"/>
      <c r="AJ106" s="122" t="s">
        <v>62</v>
      </c>
      <c r="AK106" s="122" t="s">
        <v>775</v>
      </c>
      <c r="AL106" s="122"/>
      <c r="AM106" s="122" t="s">
        <v>305</v>
      </c>
      <c r="AN106" s="145">
        <v>45930</v>
      </c>
      <c r="AO106" s="145">
        <v>45930</v>
      </c>
      <c r="AP106" s="152">
        <v>1.4999999999999999E-2</v>
      </c>
      <c r="AQ106" s="123">
        <v>2803239.99</v>
      </c>
      <c r="AR106" s="123">
        <v>100.01</v>
      </c>
      <c r="AS106" s="123">
        <v>3.306</v>
      </c>
      <c r="AT106" s="123">
        <v>9268.4380000000001</v>
      </c>
      <c r="AU106" s="123">
        <v>2803.5203139999999</v>
      </c>
      <c r="AV106" s="122"/>
      <c r="AW106" s="122"/>
      <c r="AX106" s="133"/>
      <c r="AY106" s="122"/>
      <c r="AZ106" s="125">
        <v>1.8120000000000001E-2</v>
      </c>
      <c r="BA106" s="126">
        <v>3.4000000000000002E-4</v>
      </c>
      <c r="BB106" s="159"/>
    </row>
    <row r="107" spans="1:54" x14ac:dyDescent="0.2">
      <c r="A107" s="121" t="s">
        <v>1223</v>
      </c>
      <c r="B107" s="122" t="s">
        <v>1223</v>
      </c>
      <c r="C107" s="122"/>
      <c r="D107" s="122"/>
      <c r="E107" s="122"/>
      <c r="F107" s="122" t="s">
        <v>3443</v>
      </c>
      <c r="G107" s="122" t="s">
        <v>245</v>
      </c>
      <c r="H107" s="122" t="s">
        <v>1185</v>
      </c>
      <c r="I107" s="122" t="s">
        <v>61</v>
      </c>
      <c r="J107" s="122"/>
      <c r="K107" s="122" t="s">
        <v>267</v>
      </c>
      <c r="L107" s="122" t="s">
        <v>62</v>
      </c>
      <c r="M107" s="122" t="s">
        <v>55</v>
      </c>
      <c r="N107" s="122" t="s">
        <v>3443</v>
      </c>
      <c r="O107" s="122" t="s">
        <v>3444</v>
      </c>
      <c r="P107" s="122" t="s">
        <v>1750</v>
      </c>
      <c r="Q107" s="122" t="s">
        <v>65</v>
      </c>
      <c r="R107" s="122" t="s">
        <v>779</v>
      </c>
      <c r="S107" s="122" t="s">
        <v>1217</v>
      </c>
      <c r="T107" s="123">
        <v>1.28</v>
      </c>
      <c r="U107" s="122" t="s">
        <v>441</v>
      </c>
      <c r="V107" s="125">
        <v>8.6499999999999994E-2</v>
      </c>
      <c r="W107" s="122"/>
      <c r="X107" s="122"/>
      <c r="Y107" s="125"/>
      <c r="Z107" s="125">
        <v>0.17519999999999999</v>
      </c>
      <c r="AA107" s="122" t="s">
        <v>3439</v>
      </c>
      <c r="AB107" s="122" t="s">
        <v>620</v>
      </c>
      <c r="AC107" s="122" t="s">
        <v>163</v>
      </c>
      <c r="AD107" s="122">
        <v>2800000</v>
      </c>
      <c r="AE107" s="152">
        <v>0.6</v>
      </c>
      <c r="AF107" s="122" t="s">
        <v>3467</v>
      </c>
      <c r="AG107" s="122"/>
      <c r="AH107" s="122"/>
      <c r="AI107" s="122"/>
      <c r="AJ107" s="122" t="s">
        <v>62</v>
      </c>
      <c r="AK107" s="122" t="s">
        <v>775</v>
      </c>
      <c r="AL107" s="122"/>
      <c r="AM107" s="122" t="s">
        <v>305</v>
      </c>
      <c r="AN107" s="145">
        <v>45930</v>
      </c>
      <c r="AO107" s="145">
        <v>45930</v>
      </c>
      <c r="AP107" s="152">
        <v>1.4999999999999999E-2</v>
      </c>
      <c r="AQ107" s="123">
        <v>1534773.9</v>
      </c>
      <c r="AR107" s="123">
        <v>103.47</v>
      </c>
      <c r="AS107" s="123">
        <v>3.306</v>
      </c>
      <c r="AT107" s="123">
        <v>5250.0290000000005</v>
      </c>
      <c r="AU107" s="123">
        <v>1588.0305539999999</v>
      </c>
      <c r="AV107" s="122"/>
      <c r="AW107" s="122"/>
      <c r="AX107" s="133"/>
      <c r="AY107" s="122"/>
      <c r="AZ107" s="125">
        <v>1.026E-2</v>
      </c>
      <c r="BA107" s="126">
        <v>1.9000000000000001E-4</v>
      </c>
      <c r="BB107" s="159"/>
    </row>
    <row r="108" spans="1:54" x14ac:dyDescent="0.2">
      <c r="A108" s="121" t="s">
        <v>1211</v>
      </c>
      <c r="B108" s="122" t="s">
        <v>1220</v>
      </c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5"/>
      <c r="W108" s="122"/>
      <c r="X108" s="122"/>
      <c r="Y108" s="125"/>
      <c r="Z108" s="122"/>
      <c r="AA108" s="122"/>
      <c r="AB108" s="133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33"/>
      <c r="AY108" s="122"/>
      <c r="AZ108" s="122"/>
      <c r="BA108" s="143"/>
      <c r="BB108" s="159"/>
    </row>
    <row r="109" spans="1:54" x14ac:dyDescent="0.2">
      <c r="A109" s="127" t="s">
        <v>1223</v>
      </c>
      <c r="B109" s="128" t="s">
        <v>1225</v>
      </c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30"/>
      <c r="W109" s="128"/>
      <c r="X109" s="128"/>
      <c r="Y109" s="130"/>
      <c r="Z109" s="128"/>
      <c r="AA109" s="128"/>
      <c r="AB109" s="134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34"/>
      <c r="AY109" s="128"/>
      <c r="AZ109" s="128"/>
      <c r="BA109" s="144"/>
      <c r="BB109" s="159"/>
    </row>
    <row r="110" spans="1:54" x14ac:dyDescent="0.2">
      <c r="A110" s="159" t="s">
        <v>3483</v>
      </c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159"/>
      <c r="AG110" s="159"/>
      <c r="AH110" s="159"/>
      <c r="AI110" s="159"/>
      <c r="AJ110" s="159"/>
      <c r="AK110" s="159"/>
      <c r="AL110" s="159"/>
      <c r="AM110" s="159"/>
      <c r="AN110" s="159"/>
      <c r="AO110" s="159"/>
      <c r="AP110" s="159"/>
      <c r="AQ110" s="159"/>
      <c r="AR110" s="159"/>
      <c r="AS110" s="159"/>
      <c r="AT110" s="159"/>
      <c r="AU110" s="159"/>
      <c r="AV110" s="159"/>
      <c r="AW110" s="159"/>
      <c r="AX110" s="159"/>
      <c r="AY110" s="159"/>
      <c r="AZ110" s="159"/>
      <c r="BA110" s="159"/>
    </row>
    <row r="111" spans="1:54" x14ac:dyDescent="0.2">
      <c r="A111" t="s">
        <v>3482</v>
      </c>
    </row>
    <row r="112" spans="1:54" x14ac:dyDescent="0.2">
      <c r="A112" s="1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  <pageSetup orientation="portrait"/>
    </customSheetView>
  </customSheetViews>
  <mergeCells count="2">
    <mergeCell ref="A110:BA110"/>
    <mergeCell ref="BB2:BB109"/>
  </mergeCells>
  <dataValidations count="20">
    <dataValidation type="list" allowBlank="1" showInputMessage="1" showErrorMessage="1" sqref="K3:K21" xr:uid="{00000000-0002-0000-1800-000000000000}">
      <formula1>Industry_sectors</formula1>
    </dataValidation>
    <dataValidation type="list" allowBlank="1" showInputMessage="1" showErrorMessage="1" sqref="L3:L21" xr:uid="{00000000-0002-0000-1800-000001000000}">
      <formula1>Holding_interest</formula1>
    </dataValidation>
    <dataValidation type="list" allowBlank="1" showInputMessage="1" showErrorMessage="1" sqref="Q3:Q21" xr:uid="{00000000-0002-0000-1800-000002000000}">
      <formula1>Rating_Agency</formula1>
    </dataValidation>
    <dataValidation type="list" allowBlank="1" showInputMessage="1" showErrorMessage="1" sqref="M3:M21" xr:uid="{00000000-0002-0000-1800-000003000000}">
      <formula1>Consortium</formula1>
    </dataValidation>
    <dataValidation type="list" allowBlank="1" showInputMessage="1" showErrorMessage="1" sqref="AC3:AC21" xr:uid="{00000000-0002-0000-1800-000004000000}">
      <formula1>Type_of_Security</formula1>
    </dataValidation>
    <dataValidation type="list" allowBlank="1" showInputMessage="1" showErrorMessage="1" sqref="AM3:AM21" xr:uid="{00000000-0002-0000-1800-000005000000}">
      <formula1>Dependence_Independence</formula1>
    </dataValidation>
    <dataValidation type="list" allowBlank="1" showInputMessage="1" showErrorMessage="1" sqref="J3:J21" xr:uid="{00000000-0002-0000-1800-000006000000}">
      <formula1>Country_list</formula1>
    </dataValidation>
    <dataValidation type="list" allowBlank="1" showInputMessage="1" showErrorMessage="1" sqref="AH3:AH21" xr:uid="{00000000-0002-0000-1800-000007000000}">
      <formula1>Amoritization</formula1>
    </dataValidation>
    <dataValidation type="list" allowBlank="1" showInputMessage="1" showErrorMessage="1" sqref="U3:U21" xr:uid="{00000000-0002-0000-1800-000008000000}">
      <formula1>Type_of_Interest_Rate</formula1>
    </dataValidation>
    <dataValidation type="list" allowBlank="1" showInputMessage="1" showErrorMessage="1" sqref="AK3:AK21" xr:uid="{00000000-0002-0000-1800-000009000000}">
      <formula1>Valuation_Loans</formula1>
    </dataValidation>
    <dataValidation type="list" allowBlank="1" showInputMessage="1" showErrorMessage="1" sqref="X3:X21" xr:uid="{00000000-0002-0000-1800-00000A000000}">
      <formula1>Underlying_Interest_Rates</formula1>
    </dataValidation>
    <dataValidation type="list" allowBlank="1" showInputMessage="1" showErrorMessage="1" sqref="AB3:AB21" xr:uid="{00000000-0002-0000-1800-00000B000000}">
      <formula1>Subordination_Risk</formula1>
    </dataValidation>
    <dataValidation type="list" allowBlank="1" showInputMessage="1" showErrorMessage="1" sqref="AX3:AX21" xr:uid="{00000000-0002-0000-1800-00000C000000}">
      <formula1>Yes_No_Bad_Debt</formula1>
    </dataValidation>
    <dataValidation type="list" allowBlank="1" showInputMessage="1" showErrorMessage="1" sqref="AG3:AG21" xr:uid="{00000000-0002-0000-1800-00000D000000}">
      <formula1>Recourse_Nonrecourse</formula1>
    </dataValidation>
    <dataValidation type="list" allowBlank="1" showInputMessage="1" showErrorMessage="1" sqref="AJ3:AJ21" xr:uid="{00000000-0002-0000-1800-00000E000000}">
      <formula1>Repayment_Rights</formula1>
    </dataValidation>
    <dataValidation type="list" allowBlank="1" showInputMessage="1" showErrorMessage="1" sqref="D3:D21" xr:uid="{00000000-0002-0000-1800-00000F000000}">
      <formula1>issuer_number_loan</formula1>
    </dataValidation>
    <dataValidation type="list" allowBlank="1" showInputMessage="1" showErrorMessage="1" sqref="H3:H21" xr:uid="{00000000-0002-0000-1800-000010000000}">
      <formula1>real_estate_loans</formula1>
    </dataValidation>
    <dataValidation type="list" allowBlank="1" showInputMessage="1" showErrorMessage="1" sqref="I3:I21" xr:uid="{00000000-0002-0000-1800-000011000000}">
      <formula1>israel_abroad</formula1>
    </dataValidation>
    <dataValidation type="list" allowBlank="1" showInputMessage="1" showErrorMessage="1" sqref="AY3:AY21" xr:uid="{00000000-0002-0000-1800-000012000000}">
      <formula1>In_the_books</formula1>
    </dataValidation>
    <dataValidation type="list" allowBlank="1" showInputMessage="1" showErrorMessage="1" sqref="R3:R21" xr:uid="{00000000-0002-0000-1800-000013000000}">
      <formula1>what_is_rated_loans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14000000}">
          <x14:formula1>
            <xm:f>'אפשרויות בחירה'!$C$970:$C$976</xm:f>
          </x14:formula1>
          <xm:sqref>G3:G21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A1:AE22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5.125" customWidth="1"/>
    <col min="13" max="13" width="11.625" customWidth="1"/>
    <col min="14" max="14" width="12" customWidth="1"/>
    <col min="15" max="16" width="11.625" customWidth="1"/>
    <col min="17" max="17" width="19" customWidth="1"/>
    <col min="18" max="18" width="11.75" customWidth="1"/>
    <col min="19" max="20" width="11.625" customWidth="1"/>
    <col min="21" max="21" width="12.25" customWidth="1"/>
    <col min="22" max="22" width="14" customWidth="1"/>
    <col min="23" max="23" width="18.625" customWidth="1"/>
    <col min="24" max="24" width="16.375" customWidth="1"/>
    <col min="25" max="25" width="14.875" customWidth="1"/>
    <col min="26" max="26" width="10.5" customWidth="1"/>
    <col min="27" max="27" width="12.875" customWidth="1"/>
    <col min="28" max="28" width="17.875" customWidth="1"/>
    <col min="29" max="29" width="21.75" customWidth="1"/>
    <col min="30" max="30" width="20.125" customWidth="1"/>
    <col min="31" max="16384" width="9" hidden="1"/>
  </cols>
  <sheetData>
    <row r="1" spans="1:31" x14ac:dyDescent="0.2">
      <c r="A1" t="s">
        <v>3509</v>
      </c>
    </row>
    <row r="2" spans="1:31" x14ac:dyDescent="0.2">
      <c r="A2" s="118" t="s">
        <v>651</v>
      </c>
      <c r="B2" s="119" t="s">
        <v>0</v>
      </c>
      <c r="C2" s="119" t="s">
        <v>724</v>
      </c>
      <c r="D2" s="119" t="s">
        <v>2</v>
      </c>
      <c r="E2" s="119" t="s">
        <v>740</v>
      </c>
      <c r="F2" s="119" t="s">
        <v>1145</v>
      </c>
      <c r="G2" s="119" t="s">
        <v>29</v>
      </c>
      <c r="H2" s="119" t="s">
        <v>28</v>
      </c>
      <c r="I2" s="119" t="s">
        <v>1</v>
      </c>
      <c r="J2" s="119" t="s">
        <v>604</v>
      </c>
      <c r="K2" s="119" t="s">
        <v>605</v>
      </c>
      <c r="L2" s="119" t="s">
        <v>606</v>
      </c>
      <c r="M2" s="119" t="s">
        <v>10</v>
      </c>
      <c r="N2" s="119" t="s">
        <v>12</v>
      </c>
      <c r="O2" s="119" t="s">
        <v>6</v>
      </c>
      <c r="P2" s="119" t="s">
        <v>8</v>
      </c>
      <c r="Q2" s="119" t="s">
        <v>1146</v>
      </c>
      <c r="R2" s="119" t="s">
        <v>396</v>
      </c>
      <c r="S2" s="119" t="s">
        <v>13</v>
      </c>
      <c r="T2" s="119" t="s">
        <v>14</v>
      </c>
      <c r="U2" s="119" t="s">
        <v>621</v>
      </c>
      <c r="V2" s="119" t="s">
        <v>917</v>
      </c>
      <c r="W2" s="119" t="s">
        <v>372</v>
      </c>
      <c r="X2" s="119" t="s">
        <v>16</v>
      </c>
      <c r="Y2" s="119" t="s">
        <v>773</v>
      </c>
      <c r="Z2" s="119" t="s">
        <v>11</v>
      </c>
      <c r="AA2" s="119" t="s">
        <v>15</v>
      </c>
      <c r="AB2" s="119" t="s">
        <v>1153</v>
      </c>
      <c r="AC2" s="119" t="s">
        <v>19</v>
      </c>
      <c r="AD2" s="120" t="s">
        <v>30</v>
      </c>
      <c r="AE2" s="159" t="s">
        <v>3484</v>
      </c>
    </row>
    <row r="3" spans="1:31" x14ac:dyDescent="0.2">
      <c r="A3" s="121" t="s">
        <v>1211</v>
      </c>
      <c r="B3" s="122" t="s">
        <v>1211</v>
      </c>
      <c r="C3" s="122" t="s">
        <v>3454</v>
      </c>
      <c r="D3" s="122" t="s">
        <v>3455</v>
      </c>
      <c r="E3" s="122" t="s">
        <v>429</v>
      </c>
      <c r="F3" s="122" t="s">
        <v>3456</v>
      </c>
      <c r="G3" s="122" t="s">
        <v>3457</v>
      </c>
      <c r="H3" s="122" t="s">
        <v>78</v>
      </c>
      <c r="I3" s="122" t="s">
        <v>240</v>
      </c>
      <c r="J3" s="122" t="s">
        <v>53</v>
      </c>
      <c r="K3" s="122" t="s">
        <v>53</v>
      </c>
      <c r="L3" s="122" t="s">
        <v>62</v>
      </c>
      <c r="M3" s="135"/>
      <c r="N3" s="122" t="s">
        <v>3458</v>
      </c>
      <c r="O3" s="122" t="s">
        <v>1836</v>
      </c>
      <c r="P3" s="122" t="s">
        <v>65</v>
      </c>
      <c r="Q3" s="122" t="s">
        <v>64</v>
      </c>
      <c r="R3" s="122" t="s">
        <v>1217</v>
      </c>
      <c r="S3" s="123">
        <v>0.01</v>
      </c>
      <c r="T3" s="135"/>
      <c r="U3" s="125">
        <v>1E-4</v>
      </c>
      <c r="V3" s="122" t="s">
        <v>301</v>
      </c>
      <c r="W3" s="122" t="s">
        <v>305</v>
      </c>
      <c r="X3" s="145">
        <v>45930</v>
      </c>
      <c r="Y3" s="123">
        <v>1628341</v>
      </c>
      <c r="Z3" s="123">
        <v>3.306</v>
      </c>
      <c r="AA3" s="123">
        <v>117.42400000000001</v>
      </c>
      <c r="AB3" s="123">
        <v>6321.2910000000002</v>
      </c>
      <c r="AC3" s="125">
        <v>0.99975999999999998</v>
      </c>
      <c r="AD3" s="126">
        <v>5.3899999999999998E-3</v>
      </c>
      <c r="AE3" s="159"/>
    </row>
    <row r="4" spans="1:31" x14ac:dyDescent="0.2">
      <c r="A4" s="121" t="s">
        <v>1211</v>
      </c>
      <c r="B4" s="122" t="s">
        <v>1211</v>
      </c>
      <c r="C4" s="122" t="s">
        <v>2778</v>
      </c>
      <c r="D4" s="122" t="s">
        <v>2779</v>
      </c>
      <c r="E4" s="122" t="s">
        <v>102</v>
      </c>
      <c r="F4" s="122" t="s">
        <v>3459</v>
      </c>
      <c r="G4" s="122" t="s">
        <v>3460</v>
      </c>
      <c r="H4" s="122" t="s">
        <v>78</v>
      </c>
      <c r="I4" s="122" t="s">
        <v>240</v>
      </c>
      <c r="J4" s="122" t="s">
        <v>61</v>
      </c>
      <c r="K4" s="122" t="s">
        <v>53</v>
      </c>
      <c r="L4" s="122" t="s">
        <v>62</v>
      </c>
      <c r="M4" s="135"/>
      <c r="N4" s="122" t="s">
        <v>2781</v>
      </c>
      <c r="O4" s="135"/>
      <c r="P4" s="122" t="s">
        <v>298</v>
      </c>
      <c r="Q4" s="135"/>
      <c r="R4" s="122" t="s">
        <v>1217</v>
      </c>
      <c r="S4" s="123">
        <v>0.01</v>
      </c>
      <c r="T4" s="135"/>
      <c r="U4" s="125">
        <v>1E-4</v>
      </c>
      <c r="V4" s="122" t="s">
        <v>102</v>
      </c>
      <c r="W4" s="122" t="s">
        <v>305</v>
      </c>
      <c r="X4" s="145">
        <v>45305</v>
      </c>
      <c r="Y4" s="123">
        <v>193.83</v>
      </c>
      <c r="Z4" s="123">
        <v>3.306</v>
      </c>
      <c r="AA4" s="123">
        <v>2.3370000000000002</v>
      </c>
      <c r="AB4" s="123">
        <v>1.498</v>
      </c>
      <c r="AC4" s="125">
        <v>2.4000000000000001E-4</v>
      </c>
      <c r="AD4" s="126">
        <v>0</v>
      </c>
      <c r="AE4" s="159"/>
    </row>
    <row r="5" spans="1:31" x14ac:dyDescent="0.2">
      <c r="A5" s="121" t="s">
        <v>1223</v>
      </c>
      <c r="B5" s="122" t="s">
        <v>1223</v>
      </c>
      <c r="C5" s="122" t="s">
        <v>3454</v>
      </c>
      <c r="D5" s="122" t="s">
        <v>3455</v>
      </c>
      <c r="E5" s="122" t="s">
        <v>429</v>
      </c>
      <c r="F5" s="122" t="s">
        <v>3456</v>
      </c>
      <c r="G5" s="122" t="s">
        <v>3457</v>
      </c>
      <c r="H5" s="122" t="s">
        <v>78</v>
      </c>
      <c r="I5" s="122" t="s">
        <v>240</v>
      </c>
      <c r="J5" s="122" t="s">
        <v>53</v>
      </c>
      <c r="K5" s="122" t="s">
        <v>53</v>
      </c>
      <c r="L5" s="122" t="s">
        <v>62</v>
      </c>
      <c r="M5" s="135"/>
      <c r="N5" s="122" t="s">
        <v>3458</v>
      </c>
      <c r="O5" s="122" t="s">
        <v>1836</v>
      </c>
      <c r="P5" s="122" t="s">
        <v>65</v>
      </c>
      <c r="Q5" s="122" t="s">
        <v>64</v>
      </c>
      <c r="R5" s="122" t="s">
        <v>1217</v>
      </c>
      <c r="S5" s="123">
        <v>0.01</v>
      </c>
      <c r="T5" s="135"/>
      <c r="U5" s="125">
        <v>1E-4</v>
      </c>
      <c r="V5" s="122" t="s">
        <v>301</v>
      </c>
      <c r="W5" s="122" t="s">
        <v>305</v>
      </c>
      <c r="X5" s="145">
        <v>45930</v>
      </c>
      <c r="Y5" s="123">
        <v>36487495</v>
      </c>
      <c r="Z5" s="123">
        <v>3.306</v>
      </c>
      <c r="AA5" s="123">
        <v>117.42400000000001</v>
      </c>
      <c r="AB5" s="123">
        <v>141646.06299999999</v>
      </c>
      <c r="AC5" s="125">
        <v>0.99972000000000005</v>
      </c>
      <c r="AD5" s="126">
        <v>5.1900000000000002E-3</v>
      </c>
      <c r="AE5" s="159"/>
    </row>
    <row r="6" spans="1:31" x14ac:dyDescent="0.2">
      <c r="A6" s="121" t="s">
        <v>1223</v>
      </c>
      <c r="B6" s="122" t="s">
        <v>1223</v>
      </c>
      <c r="C6" s="122" t="s">
        <v>2778</v>
      </c>
      <c r="D6" s="122" t="s">
        <v>2779</v>
      </c>
      <c r="E6" s="122" t="s">
        <v>102</v>
      </c>
      <c r="F6" s="122" t="s">
        <v>3459</v>
      </c>
      <c r="G6" s="122" t="s">
        <v>3460</v>
      </c>
      <c r="H6" s="122" t="s">
        <v>78</v>
      </c>
      <c r="I6" s="122" t="s">
        <v>240</v>
      </c>
      <c r="J6" s="122" t="s">
        <v>61</v>
      </c>
      <c r="K6" s="122" t="s">
        <v>53</v>
      </c>
      <c r="L6" s="122" t="s">
        <v>62</v>
      </c>
      <c r="M6" s="135"/>
      <c r="N6" s="122" t="s">
        <v>2781</v>
      </c>
      <c r="O6" s="135"/>
      <c r="P6" s="122" t="s">
        <v>298</v>
      </c>
      <c r="Q6" s="135"/>
      <c r="R6" s="122" t="s">
        <v>1217</v>
      </c>
      <c r="S6" s="123">
        <v>0.01</v>
      </c>
      <c r="T6" s="135"/>
      <c r="U6" s="125">
        <v>1E-4</v>
      </c>
      <c r="V6" s="122" t="s">
        <v>102</v>
      </c>
      <c r="W6" s="122" t="s">
        <v>305</v>
      </c>
      <c r="X6" s="145">
        <v>45305</v>
      </c>
      <c r="Y6" s="123">
        <v>5196.09</v>
      </c>
      <c r="Z6" s="123">
        <v>3.306</v>
      </c>
      <c r="AA6" s="123">
        <v>2.3370000000000002</v>
      </c>
      <c r="AB6" s="123">
        <v>40.146999999999998</v>
      </c>
      <c r="AC6" s="125">
        <v>2.7999999999999998E-4</v>
      </c>
      <c r="AD6" s="126">
        <v>0</v>
      </c>
      <c r="AE6" s="159"/>
    </row>
    <row r="7" spans="1:31" x14ac:dyDescent="0.2">
      <c r="A7" s="121" t="s">
        <v>1211</v>
      </c>
      <c r="B7" s="122" t="s">
        <v>1212</v>
      </c>
      <c r="C7" s="135"/>
      <c r="D7" s="135"/>
      <c r="E7" s="132"/>
      <c r="F7" s="135"/>
      <c r="G7" s="135"/>
      <c r="H7" s="135"/>
      <c r="I7" s="135"/>
      <c r="J7" s="132"/>
      <c r="K7" s="132"/>
      <c r="L7" s="135"/>
      <c r="M7" s="135"/>
      <c r="N7" s="135"/>
      <c r="O7" s="135"/>
      <c r="P7" s="135"/>
      <c r="Q7" s="135"/>
      <c r="R7" s="132"/>
      <c r="S7" s="135"/>
      <c r="T7" s="135"/>
      <c r="U7" s="135"/>
      <c r="V7" s="135"/>
      <c r="W7" s="135"/>
      <c r="X7" s="122"/>
      <c r="Y7" s="135"/>
      <c r="Z7" s="135"/>
      <c r="AA7" s="135"/>
      <c r="AB7" s="135"/>
      <c r="AC7" s="135"/>
      <c r="AD7" s="140"/>
      <c r="AE7" s="159"/>
    </row>
    <row r="8" spans="1:31" x14ac:dyDescent="0.2">
      <c r="A8" s="121" t="s">
        <v>1211</v>
      </c>
      <c r="B8" s="122" t="s">
        <v>1220</v>
      </c>
      <c r="C8" s="135"/>
      <c r="D8" s="135"/>
      <c r="E8" s="132"/>
      <c r="F8" s="135"/>
      <c r="G8" s="135"/>
      <c r="H8" s="135"/>
      <c r="I8" s="135"/>
      <c r="J8" s="132"/>
      <c r="K8" s="132"/>
      <c r="L8" s="135"/>
      <c r="M8" s="135"/>
      <c r="N8" s="135"/>
      <c r="O8" s="135"/>
      <c r="P8" s="135"/>
      <c r="Q8" s="135"/>
      <c r="R8" s="132"/>
      <c r="S8" s="135"/>
      <c r="T8" s="135"/>
      <c r="U8" s="135"/>
      <c r="V8" s="135"/>
      <c r="W8" s="135"/>
      <c r="X8" s="122"/>
      <c r="Y8" s="135"/>
      <c r="Z8" s="135"/>
      <c r="AA8" s="135"/>
      <c r="AB8" s="135"/>
      <c r="AC8" s="135"/>
      <c r="AD8" s="140"/>
      <c r="AE8" s="159"/>
    </row>
    <row r="9" spans="1:31" x14ac:dyDescent="0.2">
      <c r="A9" s="121" t="s">
        <v>1223</v>
      </c>
      <c r="B9" s="122" t="s">
        <v>1224</v>
      </c>
      <c r="C9" s="135"/>
      <c r="D9" s="135"/>
      <c r="E9" s="132"/>
      <c r="F9" s="135"/>
      <c r="G9" s="135"/>
      <c r="H9" s="135"/>
      <c r="I9" s="135"/>
      <c r="J9" s="132"/>
      <c r="K9" s="132"/>
      <c r="L9" s="135"/>
      <c r="M9" s="135"/>
      <c r="N9" s="135"/>
      <c r="O9" s="135"/>
      <c r="P9" s="135"/>
      <c r="Q9" s="135"/>
      <c r="R9" s="132"/>
      <c r="S9" s="135"/>
      <c r="T9" s="135"/>
      <c r="U9" s="135"/>
      <c r="V9" s="135"/>
      <c r="W9" s="135"/>
      <c r="X9" s="122"/>
      <c r="Y9" s="135"/>
      <c r="Z9" s="135"/>
      <c r="AA9" s="135"/>
      <c r="AB9" s="135"/>
      <c r="AC9" s="135"/>
      <c r="AD9" s="140"/>
      <c r="AE9" s="159"/>
    </row>
    <row r="10" spans="1:31" x14ac:dyDescent="0.2">
      <c r="A10" s="127" t="s">
        <v>1223</v>
      </c>
      <c r="B10" s="128" t="s">
        <v>1225</v>
      </c>
      <c r="C10" s="138"/>
      <c r="D10" s="138"/>
      <c r="E10" s="137"/>
      <c r="F10" s="138"/>
      <c r="G10" s="138"/>
      <c r="H10" s="138"/>
      <c r="I10" s="138"/>
      <c r="J10" s="137"/>
      <c r="K10" s="137"/>
      <c r="L10" s="138"/>
      <c r="M10" s="138"/>
      <c r="N10" s="138"/>
      <c r="O10" s="138"/>
      <c r="P10" s="138"/>
      <c r="Q10" s="138"/>
      <c r="R10" s="137"/>
      <c r="S10" s="138"/>
      <c r="T10" s="138"/>
      <c r="U10" s="138"/>
      <c r="V10" s="138"/>
      <c r="W10" s="138"/>
      <c r="X10" s="128"/>
      <c r="Y10" s="138"/>
      <c r="Z10" s="138"/>
      <c r="AA10" s="138"/>
      <c r="AB10" s="138"/>
      <c r="AC10" s="138"/>
      <c r="AD10" s="141"/>
      <c r="AE10" s="159"/>
    </row>
    <row r="11" spans="1:31" x14ac:dyDescent="0.2">
      <c r="A11" s="162" t="s">
        <v>3483</v>
      </c>
      <c r="B11" s="162"/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</row>
    <row r="12" spans="1:31" x14ac:dyDescent="0.2">
      <c r="A12" s="9" t="s">
        <v>3482</v>
      </c>
      <c r="B12" s="9"/>
      <c r="C12" s="9"/>
      <c r="D12" s="9"/>
      <c r="E12" s="11"/>
      <c r="F12" s="9"/>
      <c r="G12" s="9"/>
      <c r="H12" s="9"/>
      <c r="I12" s="9"/>
      <c r="J12" s="11"/>
      <c r="K12" s="11"/>
      <c r="L12" s="9"/>
      <c r="M12" s="9"/>
      <c r="N12" s="9"/>
      <c r="O12" s="9"/>
      <c r="P12" s="9"/>
      <c r="Q12" s="9"/>
      <c r="R12" s="11"/>
      <c r="S12" s="9"/>
      <c r="T12" s="9"/>
      <c r="U12" s="9"/>
      <c r="V12" s="9"/>
      <c r="W12" s="9"/>
      <c r="Y12" s="9"/>
      <c r="Z12" s="9"/>
      <c r="AA12" s="9"/>
      <c r="AB12" s="9"/>
      <c r="AC12" s="9"/>
      <c r="AD12" s="9"/>
    </row>
    <row r="13" spans="1:31" x14ac:dyDescent="0.2">
      <c r="A13" s="157"/>
      <c r="B13" s="9"/>
      <c r="C13" s="9"/>
      <c r="D13" s="9"/>
      <c r="E13" s="11"/>
      <c r="F13" s="9"/>
      <c r="G13" s="9"/>
      <c r="H13" s="9"/>
      <c r="I13" s="9"/>
      <c r="J13" s="11"/>
      <c r="K13" s="11"/>
      <c r="L13" s="9"/>
      <c r="M13" s="9"/>
      <c r="N13" s="9"/>
      <c r="O13" s="9"/>
      <c r="P13" s="9"/>
      <c r="Q13" s="9"/>
      <c r="R13" s="11"/>
      <c r="S13" s="9"/>
      <c r="T13" s="9"/>
      <c r="U13" s="9"/>
      <c r="V13" s="9"/>
      <c r="W13" s="9"/>
      <c r="Y13" s="9"/>
      <c r="Z13" s="9"/>
      <c r="AA13" s="9"/>
      <c r="AB13" s="9"/>
      <c r="AC13" s="9"/>
      <c r="AD13" s="9"/>
    </row>
    <row r="14" spans="1:31" x14ac:dyDescent="0.2">
      <c r="A14" s="9"/>
      <c r="B14" s="9"/>
      <c r="C14" s="9"/>
      <c r="D14" s="9"/>
      <c r="E14" s="11"/>
      <c r="F14" s="9"/>
      <c r="G14" s="9"/>
      <c r="H14" s="9"/>
      <c r="I14" s="9"/>
      <c r="J14" s="11"/>
      <c r="K14" s="11"/>
      <c r="L14" s="9"/>
      <c r="M14" s="9"/>
      <c r="N14" s="9"/>
      <c r="O14" s="9"/>
      <c r="P14" s="9"/>
      <c r="Q14" s="9"/>
      <c r="R14" s="11"/>
      <c r="S14" s="9"/>
      <c r="T14" s="9"/>
      <c r="U14" s="9"/>
      <c r="V14" s="9"/>
      <c r="W14" s="9"/>
      <c r="Y14" s="9"/>
      <c r="Z14" s="9"/>
      <c r="AA14" s="9"/>
      <c r="AB14" s="9"/>
      <c r="AC14" s="9"/>
      <c r="AD14" s="9"/>
    </row>
    <row r="15" spans="1:31" x14ac:dyDescent="0.2">
      <c r="A15" s="9"/>
      <c r="B15" s="9"/>
      <c r="C15" s="9"/>
      <c r="D15" s="9"/>
      <c r="E15" s="11"/>
      <c r="F15" s="9"/>
      <c r="G15" s="9"/>
      <c r="H15" s="9"/>
      <c r="I15" s="9"/>
      <c r="J15" s="11"/>
      <c r="K15" s="11"/>
      <c r="L15" s="9"/>
      <c r="M15" s="9"/>
      <c r="N15" s="9"/>
      <c r="O15" s="9"/>
      <c r="P15" s="9"/>
      <c r="Q15" s="9"/>
      <c r="R15" s="11"/>
      <c r="S15" s="9"/>
      <c r="T15" s="9"/>
      <c r="U15" s="9"/>
      <c r="V15" s="9"/>
      <c r="W15" s="9"/>
      <c r="Y15" s="9"/>
      <c r="Z15" s="9"/>
      <c r="AA15" s="9"/>
      <c r="AB15" s="9"/>
      <c r="AC15" s="9"/>
      <c r="AD15" s="9"/>
    </row>
    <row r="16" spans="1:31" x14ac:dyDescent="0.2">
      <c r="A16" s="9"/>
      <c r="B16" s="9"/>
      <c r="C16" s="9"/>
      <c r="D16" s="9"/>
      <c r="E16" s="11"/>
      <c r="F16" s="9"/>
      <c r="G16" s="9"/>
      <c r="H16" s="9"/>
      <c r="I16" s="9"/>
      <c r="J16" s="11"/>
      <c r="K16" s="11"/>
      <c r="L16" s="9"/>
      <c r="M16" s="9"/>
      <c r="N16" s="9"/>
      <c r="O16" s="9"/>
      <c r="P16" s="9"/>
      <c r="Q16" s="9"/>
      <c r="R16" s="11"/>
      <c r="S16" s="9"/>
      <c r="T16" s="9"/>
      <c r="U16" s="9"/>
      <c r="V16" s="9"/>
      <c r="W16" s="9"/>
      <c r="Y16" s="9"/>
      <c r="Z16" s="9"/>
      <c r="AA16" s="9"/>
      <c r="AB16" s="9"/>
      <c r="AC16" s="9"/>
      <c r="AD16" s="9"/>
    </row>
    <row r="17" spans="1:30" x14ac:dyDescent="0.2">
      <c r="A17" s="9"/>
      <c r="B17" s="9"/>
      <c r="C17" s="9"/>
      <c r="D17" s="9"/>
      <c r="E17" s="11"/>
      <c r="F17" s="9"/>
      <c r="G17" s="9"/>
      <c r="H17" s="9"/>
      <c r="I17" s="9"/>
      <c r="J17" s="11"/>
      <c r="K17" s="11"/>
      <c r="L17" s="9"/>
      <c r="M17" s="9"/>
      <c r="N17" s="9"/>
      <c r="O17" s="9"/>
      <c r="P17" s="9"/>
      <c r="Q17" s="9"/>
      <c r="R17" s="11"/>
      <c r="S17" s="9"/>
      <c r="T17" s="9"/>
      <c r="U17" s="9"/>
      <c r="V17" s="9"/>
      <c r="W17" s="9"/>
      <c r="Y17" s="9"/>
      <c r="Z17" s="9"/>
      <c r="AA17" s="9"/>
      <c r="AB17" s="9"/>
      <c r="AC17" s="9"/>
      <c r="AD17" s="9"/>
    </row>
    <row r="18" spans="1:30" x14ac:dyDescent="0.2">
      <c r="A18" s="9"/>
      <c r="B18" s="9"/>
      <c r="C18" s="9"/>
      <c r="D18" s="9"/>
      <c r="E18" s="11"/>
      <c r="F18" s="9"/>
      <c r="G18" s="9"/>
      <c r="H18" s="9"/>
      <c r="I18" s="9"/>
      <c r="J18" s="11"/>
      <c r="K18" s="11"/>
      <c r="L18" s="9"/>
      <c r="M18" s="9"/>
      <c r="N18" s="9"/>
      <c r="O18" s="9"/>
      <c r="P18" s="9"/>
      <c r="Q18" s="9"/>
      <c r="R18" s="11"/>
      <c r="S18" s="9"/>
      <c r="T18" s="9"/>
      <c r="U18" s="9"/>
      <c r="V18" s="9"/>
      <c r="W18" s="9"/>
      <c r="Y18" s="9"/>
      <c r="Z18" s="9"/>
      <c r="AA18" s="9"/>
      <c r="AB18" s="9"/>
      <c r="AC18" s="9"/>
      <c r="AD18" s="9"/>
    </row>
    <row r="19" spans="1:30" x14ac:dyDescent="0.2">
      <c r="A19" s="9"/>
      <c r="B19" s="9"/>
      <c r="C19" s="9"/>
      <c r="D19" s="9"/>
      <c r="E19" s="11"/>
      <c r="F19" s="9"/>
      <c r="G19" s="9"/>
      <c r="H19" s="9"/>
      <c r="I19" s="9"/>
      <c r="J19" s="11"/>
      <c r="K19" s="11"/>
      <c r="L19" s="9"/>
      <c r="M19" s="9"/>
      <c r="N19" s="9"/>
      <c r="O19" s="9"/>
      <c r="P19" s="9"/>
      <c r="Q19" s="9"/>
      <c r="R19" s="11"/>
      <c r="S19" s="9"/>
      <c r="T19" s="9"/>
      <c r="U19" s="9"/>
      <c r="V19" s="9"/>
      <c r="W19" s="9"/>
      <c r="Y19" s="9"/>
      <c r="Z19" s="9"/>
      <c r="AA19" s="9"/>
      <c r="AB19" s="9"/>
      <c r="AC19" s="9"/>
      <c r="AD19" s="9"/>
    </row>
    <row r="20" spans="1:30" x14ac:dyDescent="0.2">
      <c r="A20" s="9"/>
      <c r="B20" s="9"/>
      <c r="C20" s="9"/>
      <c r="D20" s="9"/>
      <c r="E20" s="11"/>
      <c r="F20" s="9"/>
      <c r="G20" s="9"/>
      <c r="H20" s="9"/>
      <c r="I20" s="9"/>
      <c r="J20" s="11"/>
      <c r="K20" s="11"/>
      <c r="L20" s="9"/>
      <c r="M20" s="9"/>
      <c r="N20" s="9"/>
      <c r="O20" s="9"/>
      <c r="P20" s="9"/>
      <c r="Q20" s="9"/>
      <c r="R20" s="11"/>
      <c r="S20" s="9"/>
      <c r="T20" s="9"/>
      <c r="U20" s="9"/>
      <c r="V20" s="9"/>
      <c r="W20" s="9"/>
      <c r="Y20" s="9"/>
      <c r="Z20" s="9"/>
      <c r="AA20" s="9"/>
      <c r="AB20" s="9"/>
      <c r="AC20" s="9"/>
      <c r="AD20" s="9"/>
    </row>
    <row r="21" spans="1:30" x14ac:dyDescent="0.2">
      <c r="E21" s="11"/>
      <c r="H21" s="9"/>
      <c r="I21" s="9"/>
      <c r="J21" s="11"/>
      <c r="K21" s="11"/>
      <c r="L21" s="9"/>
      <c r="M21" s="9"/>
      <c r="P21" s="9"/>
      <c r="Q21" s="9"/>
      <c r="V21" s="9"/>
      <c r="W21" s="9"/>
    </row>
    <row r="22" spans="1:30" x14ac:dyDescent="0.2">
      <c r="E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AD11"/>
    <mergeCell ref="AE2:AE10"/>
  </mergeCells>
  <dataValidations count="12">
    <dataValidation type="list" allowBlank="1" showInputMessage="1" showErrorMessage="1" sqref="J3:J10 J12:J21" xr:uid="{00000000-0002-0000-1900-000000000000}">
      <formula1>israel_abroad</formula1>
    </dataValidation>
    <dataValidation type="list" allowBlank="1" showInputMessage="1" showErrorMessage="1" sqref="L3:L10 L12:L21" xr:uid="{00000000-0002-0000-1900-000001000000}">
      <formula1>Holding_interest</formula1>
    </dataValidation>
    <dataValidation type="list" allowBlank="1" showInputMessage="1" showErrorMessage="1" sqref="P3:P10 P12:P21" xr:uid="{00000000-0002-0000-1900-000002000000}">
      <formula1>Rating_Agency</formula1>
    </dataValidation>
    <dataValidation type="list" allowBlank="1" showInputMessage="1" showErrorMessage="1" sqref="Q3:Q10 Q12:Q21" xr:uid="{00000000-0002-0000-1900-000003000000}">
      <formula1>What_is_rated</formula1>
    </dataValidation>
    <dataValidation type="list" allowBlank="1" showInputMessage="1" showErrorMessage="1" sqref="V3:V10 V12:V21" xr:uid="{00000000-0002-0000-1900-000004000000}">
      <formula1>Valuation</formula1>
    </dataValidation>
    <dataValidation type="list" allowBlank="1" showInputMessage="1" showErrorMessage="1" sqref="W3:W10 W12:W21" xr:uid="{00000000-0002-0000-1900-000005000000}">
      <formula1>Dependence_Independence</formula1>
    </dataValidation>
    <dataValidation type="list" allowBlank="1" showInputMessage="1" showErrorMessage="1" sqref="K3:K10 K12:K21" xr:uid="{00000000-0002-0000-1900-000006000000}">
      <formula1>Country_list</formula1>
    </dataValidation>
    <dataValidation type="list" allowBlank="1" showInputMessage="1" showErrorMessage="1" sqref="H3:H10 H12:H21" xr:uid="{00000000-0002-0000-1900-000007000000}">
      <formula1>Type_of_Security_ID_Fund</formula1>
    </dataValidation>
    <dataValidation type="list" allowBlank="1" showInputMessage="1" showErrorMessage="1" sqref="M4:M10 M12:M21" xr:uid="{00000000-0002-0000-1900-000008000000}">
      <formula1>Underlying_Asset</formula1>
    </dataValidation>
    <dataValidation type="list" allowBlank="1" showInputMessage="1" showErrorMessage="1" sqref="E3" xr:uid="{00000000-0002-0000-1900-000009000000}">
      <formula1>Issuer_Number_Type_3</formula1>
    </dataValidation>
    <dataValidation type="list" allowBlank="1" showInputMessage="1" showErrorMessage="1" sqref="E4:E10 E12:E21" xr:uid="{00000000-0002-0000-1900-00000A000000}">
      <formula1>Issuer_Number_Type_2</formula1>
    </dataValidation>
    <dataValidation type="list" allowBlank="1" showInputMessage="1" showErrorMessage="1" sqref="M3" xr:uid="{00000000-0002-0000-1900-00000B000000}">
      <formula1>Underlying_Asset_Structured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C000000}">
          <x14:formula1>
            <xm:f>'אפשרויות בחירה'!$C$986:$C$991</xm:f>
          </x14:formula1>
          <xm:sqref>I3:I10 I12:I21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A1:W21"/>
  <sheetViews>
    <sheetView rightToLeft="1" workbookViewId="0"/>
  </sheetViews>
  <sheetFormatPr defaultColWidth="0" defaultRowHeight="14.25" x14ac:dyDescent="0.2"/>
  <cols>
    <col min="1" max="1" width="29.375" customWidth="1"/>
    <col min="2" max="3" width="11.625" customWidth="1"/>
    <col min="4" max="4" width="13.75" customWidth="1"/>
    <col min="5" max="5" width="16.5" style="3" customWidth="1"/>
    <col min="6" max="6" width="11.625" customWidth="1"/>
    <col min="7" max="7" width="17" customWidth="1"/>
    <col min="8" max="8" width="11.625" customWidth="1"/>
    <col min="9" max="9" width="19.875" customWidth="1"/>
    <col min="10" max="10" width="15.125" customWidth="1"/>
    <col min="11" max="12" width="11.625" customWidth="1"/>
    <col min="13" max="13" width="11.75" customWidth="1"/>
    <col min="14" max="15" width="11.625" customWidth="1"/>
    <col min="16" max="16" width="12.25" customWidth="1"/>
    <col min="17" max="19" width="11.625" customWidth="1"/>
    <col min="20" max="20" width="17.875" customWidth="1"/>
    <col min="21" max="21" width="21.75" customWidth="1"/>
    <col min="22" max="22" width="20.125" customWidth="1"/>
    <col min="23" max="16384" width="9" hidden="1"/>
  </cols>
  <sheetData>
    <row r="1" spans="1:23" x14ac:dyDescent="0.2">
      <c r="A1" t="s">
        <v>3510</v>
      </c>
    </row>
    <row r="2" spans="1:23" x14ac:dyDescent="0.2">
      <c r="A2" s="118" t="s">
        <v>651</v>
      </c>
      <c r="B2" s="119" t="s">
        <v>0</v>
      </c>
      <c r="C2" s="119" t="s">
        <v>723</v>
      </c>
      <c r="D2" s="119" t="s">
        <v>741</v>
      </c>
      <c r="E2" s="119" t="s">
        <v>742</v>
      </c>
      <c r="F2" s="119" t="s">
        <v>1</v>
      </c>
      <c r="G2" s="119" t="s">
        <v>625</v>
      </c>
      <c r="H2" s="119" t="s">
        <v>604</v>
      </c>
      <c r="I2" s="119" t="s">
        <v>605</v>
      </c>
      <c r="J2" s="119" t="s">
        <v>606</v>
      </c>
      <c r="K2" s="119" t="s">
        <v>772</v>
      </c>
      <c r="L2" s="119" t="s">
        <v>8</v>
      </c>
      <c r="M2" s="119" t="s">
        <v>396</v>
      </c>
      <c r="N2" s="119" t="s">
        <v>13</v>
      </c>
      <c r="O2" s="119" t="s">
        <v>14</v>
      </c>
      <c r="P2" s="119" t="s">
        <v>621</v>
      </c>
      <c r="Q2" s="119" t="s">
        <v>922</v>
      </c>
      <c r="R2" s="119" t="s">
        <v>11</v>
      </c>
      <c r="S2" s="119" t="s">
        <v>795</v>
      </c>
      <c r="T2" s="119" t="s">
        <v>1153</v>
      </c>
      <c r="U2" s="119" t="s">
        <v>19</v>
      </c>
      <c r="V2" s="120" t="s">
        <v>30</v>
      </c>
      <c r="W2" s="159" t="s">
        <v>3484</v>
      </c>
    </row>
    <row r="3" spans="1:23" x14ac:dyDescent="0.2">
      <c r="A3" s="121" t="s">
        <v>1211</v>
      </c>
      <c r="B3" s="122" t="s">
        <v>1211</v>
      </c>
      <c r="C3" s="122" t="s">
        <v>1213</v>
      </c>
      <c r="D3" s="122" t="s">
        <v>1214</v>
      </c>
      <c r="E3" s="122" t="s">
        <v>776</v>
      </c>
      <c r="F3" s="122" t="s">
        <v>228</v>
      </c>
      <c r="G3" s="122" t="s">
        <v>3461</v>
      </c>
      <c r="H3" s="122" t="s">
        <v>53</v>
      </c>
      <c r="I3" s="122" t="s">
        <v>53</v>
      </c>
      <c r="J3" s="122" t="s">
        <v>62</v>
      </c>
      <c r="K3" s="122" t="s">
        <v>1215</v>
      </c>
      <c r="L3" s="122" t="s">
        <v>70</v>
      </c>
      <c r="M3" s="122" t="s">
        <v>1216</v>
      </c>
      <c r="N3" s="123">
        <v>0.6</v>
      </c>
      <c r="O3" s="135"/>
      <c r="P3" s="125">
        <v>4.1300000000000003E-2</v>
      </c>
      <c r="Q3" s="123">
        <v>760.03800000000001</v>
      </c>
      <c r="R3" s="123">
        <v>1</v>
      </c>
      <c r="S3" s="123">
        <v>100</v>
      </c>
      <c r="T3" s="123">
        <v>760.03800000000001</v>
      </c>
      <c r="U3" s="125">
        <v>0.75185000000000002</v>
      </c>
      <c r="V3" s="126">
        <v>6.4999999999999997E-4</v>
      </c>
      <c r="W3" s="159"/>
    </row>
    <row r="4" spans="1:23" x14ac:dyDescent="0.2">
      <c r="A4" s="121" t="s">
        <v>1211</v>
      </c>
      <c r="B4" s="122" t="s">
        <v>1211</v>
      </c>
      <c r="C4" s="122" t="s">
        <v>1213</v>
      </c>
      <c r="D4" s="122" t="s">
        <v>1214</v>
      </c>
      <c r="E4" s="122" t="s">
        <v>776</v>
      </c>
      <c r="F4" s="122" t="s">
        <v>246</v>
      </c>
      <c r="G4" s="122" t="s">
        <v>1458</v>
      </c>
      <c r="H4" s="122" t="s">
        <v>53</v>
      </c>
      <c r="I4" s="122" t="s">
        <v>314</v>
      </c>
      <c r="J4" s="122" t="s">
        <v>62</v>
      </c>
      <c r="K4" s="122" t="s">
        <v>1330</v>
      </c>
      <c r="L4" s="122" t="s">
        <v>65</v>
      </c>
      <c r="M4" s="122" t="s">
        <v>1217</v>
      </c>
      <c r="N4" s="123">
        <v>1.43</v>
      </c>
      <c r="O4" s="135"/>
      <c r="P4" s="125">
        <v>3.1699999999999999E-2</v>
      </c>
      <c r="Q4" s="123">
        <v>75.876999999999995</v>
      </c>
      <c r="R4" s="123">
        <v>3.306</v>
      </c>
      <c r="S4" s="123">
        <v>100</v>
      </c>
      <c r="T4" s="123">
        <v>250.84899999999999</v>
      </c>
      <c r="U4" s="125">
        <v>0.24815000000000001</v>
      </c>
      <c r="V4" s="126">
        <v>2.1000000000000001E-4</v>
      </c>
      <c r="W4" s="159"/>
    </row>
    <row r="5" spans="1:23" x14ac:dyDescent="0.2">
      <c r="A5" s="121" t="s">
        <v>1223</v>
      </c>
      <c r="B5" s="122" t="s">
        <v>1223</v>
      </c>
      <c r="C5" s="122" t="s">
        <v>1213</v>
      </c>
      <c r="D5" s="122" t="s">
        <v>1214</v>
      </c>
      <c r="E5" s="122" t="s">
        <v>776</v>
      </c>
      <c r="F5" s="122" t="s">
        <v>228</v>
      </c>
      <c r="G5" s="122" t="s">
        <v>3461</v>
      </c>
      <c r="H5" s="122" t="s">
        <v>53</v>
      </c>
      <c r="I5" s="122" t="s">
        <v>53</v>
      </c>
      <c r="J5" s="122" t="s">
        <v>62</v>
      </c>
      <c r="K5" s="122" t="s">
        <v>1215</v>
      </c>
      <c r="L5" s="122" t="s">
        <v>70</v>
      </c>
      <c r="M5" s="122" t="s">
        <v>1216</v>
      </c>
      <c r="N5" s="123">
        <v>0.6</v>
      </c>
      <c r="O5" s="135"/>
      <c r="P5" s="125">
        <v>4.1300000000000003E-2</v>
      </c>
      <c r="Q5" s="123">
        <v>17380.868999999999</v>
      </c>
      <c r="R5" s="123">
        <v>1</v>
      </c>
      <c r="S5" s="123">
        <v>100</v>
      </c>
      <c r="T5" s="123">
        <v>17380.868999999999</v>
      </c>
      <c r="U5" s="125">
        <v>0.75880000000000003</v>
      </c>
      <c r="V5" s="126">
        <v>6.4000000000000005E-4</v>
      </c>
      <c r="W5" s="159"/>
    </row>
    <row r="6" spans="1:23" x14ac:dyDescent="0.2">
      <c r="A6" s="121" t="s">
        <v>1223</v>
      </c>
      <c r="B6" s="122" t="s">
        <v>1223</v>
      </c>
      <c r="C6" s="122" t="s">
        <v>1213</v>
      </c>
      <c r="D6" s="122" t="s">
        <v>1214</v>
      </c>
      <c r="E6" s="122" t="s">
        <v>776</v>
      </c>
      <c r="F6" s="122" t="s">
        <v>246</v>
      </c>
      <c r="G6" s="122" t="s">
        <v>1458</v>
      </c>
      <c r="H6" s="122" t="s">
        <v>53</v>
      </c>
      <c r="I6" s="122" t="s">
        <v>314</v>
      </c>
      <c r="J6" s="122" t="s">
        <v>62</v>
      </c>
      <c r="K6" s="122" t="s">
        <v>1330</v>
      </c>
      <c r="L6" s="122" t="s">
        <v>65</v>
      </c>
      <c r="M6" s="122" t="s">
        <v>1217</v>
      </c>
      <c r="N6" s="123">
        <v>1.43</v>
      </c>
      <c r="O6" s="135"/>
      <c r="P6" s="125">
        <v>3.1699999999999999E-2</v>
      </c>
      <c r="Q6" s="123">
        <v>1671.1379999999999</v>
      </c>
      <c r="R6" s="123">
        <v>3.306</v>
      </c>
      <c r="S6" s="123">
        <v>100</v>
      </c>
      <c r="T6" s="123">
        <v>5524.7820000000002</v>
      </c>
      <c r="U6" s="125">
        <v>0.2412</v>
      </c>
      <c r="V6" s="126">
        <v>2.0000000000000001E-4</v>
      </c>
      <c r="W6" s="159"/>
    </row>
    <row r="7" spans="1:23" x14ac:dyDescent="0.2">
      <c r="A7" s="121" t="s">
        <v>1211</v>
      </c>
      <c r="B7" s="122" t="s">
        <v>1212</v>
      </c>
      <c r="C7" s="135"/>
      <c r="D7" s="122"/>
      <c r="E7" s="132"/>
      <c r="F7" s="135"/>
      <c r="G7" s="135"/>
      <c r="H7" s="132"/>
      <c r="I7" s="132"/>
      <c r="J7" s="135"/>
      <c r="K7" s="135"/>
      <c r="L7" s="122"/>
      <c r="M7" s="132"/>
      <c r="N7" s="135"/>
      <c r="O7" s="135"/>
      <c r="P7" s="135"/>
      <c r="Q7" s="122"/>
      <c r="R7" s="135"/>
      <c r="S7" s="122"/>
      <c r="T7" s="135"/>
      <c r="U7" s="135"/>
      <c r="V7" s="140"/>
      <c r="W7" s="159"/>
    </row>
    <row r="8" spans="1:23" x14ac:dyDescent="0.2">
      <c r="A8" s="121" t="s">
        <v>1211</v>
      </c>
      <c r="B8" s="122" t="s">
        <v>1220</v>
      </c>
      <c r="C8" s="135"/>
      <c r="D8" s="122"/>
      <c r="E8" s="132"/>
      <c r="F8" s="135"/>
      <c r="G8" s="135"/>
      <c r="H8" s="132"/>
      <c r="I8" s="132"/>
      <c r="J8" s="135"/>
      <c r="K8" s="135"/>
      <c r="L8" s="122"/>
      <c r="M8" s="132"/>
      <c r="N8" s="135"/>
      <c r="O8" s="135"/>
      <c r="P8" s="135"/>
      <c r="Q8" s="122"/>
      <c r="R8" s="135"/>
      <c r="S8" s="135"/>
      <c r="T8" s="135"/>
      <c r="U8" s="135"/>
      <c r="V8" s="140"/>
      <c r="W8" s="159"/>
    </row>
    <row r="9" spans="1:23" x14ac:dyDescent="0.2">
      <c r="A9" s="121" t="s">
        <v>1223</v>
      </c>
      <c r="B9" s="122" t="s">
        <v>1224</v>
      </c>
      <c r="C9" s="135"/>
      <c r="D9" s="122"/>
      <c r="E9" s="132"/>
      <c r="F9" s="135"/>
      <c r="G9" s="135"/>
      <c r="H9" s="132"/>
      <c r="I9" s="132"/>
      <c r="J9" s="135"/>
      <c r="K9" s="135"/>
      <c r="L9" s="122"/>
      <c r="M9" s="132"/>
      <c r="N9" s="135"/>
      <c r="O9" s="135"/>
      <c r="P9" s="135"/>
      <c r="Q9" s="122"/>
      <c r="R9" s="135"/>
      <c r="S9" s="135"/>
      <c r="T9" s="135"/>
      <c r="U9" s="135"/>
      <c r="V9" s="140"/>
      <c r="W9" s="159"/>
    </row>
    <row r="10" spans="1:23" x14ac:dyDescent="0.2">
      <c r="A10" s="127" t="s">
        <v>1223</v>
      </c>
      <c r="B10" s="128" t="s">
        <v>1225</v>
      </c>
      <c r="C10" s="138"/>
      <c r="D10" s="128"/>
      <c r="E10" s="137"/>
      <c r="F10" s="138"/>
      <c r="G10" s="138"/>
      <c r="H10" s="137"/>
      <c r="I10" s="137"/>
      <c r="J10" s="138"/>
      <c r="K10" s="138"/>
      <c r="L10" s="128"/>
      <c r="M10" s="137"/>
      <c r="N10" s="138"/>
      <c r="O10" s="138"/>
      <c r="P10" s="138"/>
      <c r="Q10" s="128"/>
      <c r="R10" s="138"/>
      <c r="S10" s="138"/>
      <c r="T10" s="138"/>
      <c r="U10" s="138"/>
      <c r="V10" s="141"/>
      <c r="W10" s="159"/>
    </row>
    <row r="11" spans="1:23" x14ac:dyDescent="0.2">
      <c r="A11" s="162" t="s">
        <v>3483</v>
      </c>
      <c r="B11" s="162"/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</row>
    <row r="12" spans="1:23" x14ac:dyDescent="0.2">
      <c r="A12" s="9" t="s">
        <v>3482</v>
      </c>
      <c r="B12" s="9"/>
      <c r="C12" s="9"/>
      <c r="E12" s="11"/>
      <c r="F12" s="9"/>
      <c r="G12" s="9"/>
      <c r="H12" s="11"/>
      <c r="I12" s="11"/>
      <c r="J12" s="9"/>
      <c r="K12" s="9"/>
      <c r="M12" s="11"/>
      <c r="N12" s="9"/>
      <c r="O12" s="9"/>
      <c r="P12" s="9"/>
      <c r="R12" s="9"/>
      <c r="S12" s="9"/>
      <c r="T12" s="9"/>
      <c r="U12" s="9"/>
      <c r="V12" s="9"/>
    </row>
    <row r="13" spans="1:23" x14ac:dyDescent="0.2">
      <c r="A13" s="157"/>
      <c r="B13" s="9"/>
      <c r="C13" s="9"/>
      <c r="E13" s="11"/>
      <c r="F13" s="9"/>
      <c r="G13" s="9"/>
      <c r="H13" s="11"/>
      <c r="I13" s="11"/>
      <c r="J13" s="9"/>
      <c r="K13" s="9"/>
      <c r="M13" s="11"/>
      <c r="N13" s="9"/>
      <c r="O13" s="9"/>
      <c r="P13" s="9"/>
      <c r="R13" s="9"/>
      <c r="S13" s="9"/>
      <c r="T13" s="9"/>
      <c r="U13" s="9"/>
      <c r="V13" s="9"/>
    </row>
    <row r="14" spans="1:23" x14ac:dyDescent="0.2">
      <c r="A14" s="9"/>
      <c r="B14" s="9"/>
      <c r="C14" s="9"/>
      <c r="E14" s="11"/>
      <c r="F14" s="9"/>
      <c r="G14" s="9"/>
      <c r="H14" s="11"/>
      <c r="I14" s="11"/>
      <c r="J14" s="9"/>
      <c r="K14" s="9"/>
      <c r="M14" s="11"/>
      <c r="N14" s="9"/>
      <c r="O14" s="9"/>
      <c r="P14" s="9"/>
      <c r="R14" s="9"/>
      <c r="S14" s="9"/>
      <c r="T14" s="9"/>
      <c r="U14" s="9"/>
      <c r="V14" s="9"/>
    </row>
    <row r="15" spans="1:23" x14ac:dyDescent="0.2">
      <c r="A15" s="9"/>
      <c r="B15" s="9"/>
      <c r="C15" s="9"/>
      <c r="E15" s="11"/>
      <c r="F15" s="9"/>
      <c r="G15" s="9"/>
      <c r="H15" s="11"/>
      <c r="I15" s="11"/>
      <c r="J15" s="9"/>
      <c r="K15" s="9"/>
      <c r="M15" s="11"/>
      <c r="N15" s="9"/>
      <c r="O15" s="9"/>
      <c r="P15" s="9"/>
      <c r="R15" s="9"/>
      <c r="S15" s="9"/>
      <c r="T15" s="9"/>
      <c r="U15" s="9"/>
      <c r="V15" s="9"/>
    </row>
    <row r="16" spans="1:23" x14ac:dyDescent="0.2">
      <c r="A16" s="9"/>
      <c r="B16" s="9"/>
      <c r="C16" s="9"/>
      <c r="E16" s="11"/>
      <c r="F16" s="9"/>
      <c r="G16" s="9"/>
      <c r="H16" s="11"/>
      <c r="I16" s="11"/>
      <c r="J16" s="9"/>
      <c r="K16" s="9"/>
      <c r="M16" s="11"/>
      <c r="N16" s="9"/>
      <c r="O16" s="9"/>
      <c r="P16" s="9"/>
      <c r="R16" s="9"/>
      <c r="S16" s="9"/>
      <c r="T16" s="9"/>
      <c r="U16" s="9"/>
      <c r="V16" s="9"/>
    </row>
    <row r="17" spans="1:22" x14ac:dyDescent="0.2">
      <c r="A17" s="9"/>
      <c r="B17" s="9"/>
      <c r="C17" s="9"/>
      <c r="E17" s="11"/>
      <c r="F17" s="9"/>
      <c r="G17" s="9"/>
      <c r="H17" s="11"/>
      <c r="I17" s="11"/>
      <c r="J17" s="9"/>
      <c r="K17" s="9"/>
      <c r="M17" s="11"/>
      <c r="N17" s="9"/>
      <c r="O17" s="9"/>
      <c r="P17" s="9"/>
      <c r="R17" s="9"/>
      <c r="S17" s="9"/>
      <c r="T17" s="9"/>
      <c r="U17" s="9"/>
      <c r="V17" s="9"/>
    </row>
    <row r="18" spans="1:22" x14ac:dyDescent="0.2">
      <c r="A18" s="9"/>
      <c r="B18" s="9"/>
      <c r="C18" s="9"/>
      <c r="E18" s="11"/>
      <c r="F18" s="9"/>
      <c r="G18" s="9"/>
      <c r="H18" s="11"/>
      <c r="I18" s="11"/>
      <c r="J18" s="9"/>
      <c r="K18" s="9"/>
      <c r="M18" s="11"/>
      <c r="N18" s="9"/>
      <c r="O18" s="9"/>
      <c r="P18" s="9"/>
      <c r="R18" s="9"/>
      <c r="S18" s="9"/>
      <c r="T18" s="9"/>
      <c r="U18" s="9"/>
      <c r="V18" s="9"/>
    </row>
    <row r="19" spans="1:22" x14ac:dyDescent="0.2">
      <c r="A19" s="9"/>
      <c r="B19" s="9"/>
      <c r="C19" s="9"/>
      <c r="E19" s="11"/>
      <c r="F19" s="9"/>
      <c r="G19" s="9"/>
      <c r="H19" s="11"/>
      <c r="I19" s="11"/>
      <c r="J19" s="9"/>
      <c r="K19" s="9"/>
      <c r="M19" s="11"/>
      <c r="N19" s="9"/>
      <c r="O19" s="9"/>
      <c r="P19" s="9"/>
      <c r="R19" s="9"/>
      <c r="S19" s="9"/>
      <c r="T19" s="9"/>
      <c r="U19" s="9"/>
      <c r="V19" s="9"/>
    </row>
    <row r="20" spans="1:22" x14ac:dyDescent="0.2">
      <c r="A20" s="9"/>
      <c r="B20" s="9"/>
      <c r="C20" s="9"/>
      <c r="E20" s="11"/>
      <c r="F20" s="9"/>
      <c r="G20" s="9"/>
      <c r="H20" s="11"/>
      <c r="I20" s="11"/>
      <c r="J20" s="9"/>
      <c r="K20" s="9"/>
      <c r="M20" s="11"/>
      <c r="N20" s="9"/>
      <c r="O20" s="9"/>
      <c r="P20" s="9"/>
      <c r="R20" s="9"/>
      <c r="S20" s="9"/>
      <c r="T20" s="9"/>
      <c r="U20" s="9"/>
      <c r="V20" s="9"/>
    </row>
    <row r="21" spans="1:22" x14ac:dyDescent="0.2">
      <c r="E21" s="11"/>
      <c r="F21" s="9"/>
      <c r="H21" s="11"/>
      <c r="I21" s="11"/>
      <c r="J21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V11"/>
    <mergeCell ref="W2:W10"/>
  </mergeCells>
  <dataValidations count="5">
    <dataValidation type="list" allowBlank="1" showInputMessage="1" showErrorMessage="1" sqref="H3:H10 H12:H21" xr:uid="{00000000-0002-0000-1A00-000000000000}">
      <formula1>israel_abroad</formula1>
    </dataValidation>
    <dataValidation type="list" allowBlank="1" showInputMessage="1" showErrorMessage="1" sqref="J3:J10 J12:J21" xr:uid="{00000000-0002-0000-1A00-000001000000}">
      <formula1>Holding_interest</formula1>
    </dataValidation>
    <dataValidation type="list" allowBlank="1" showInputMessage="1" showErrorMessage="1" sqref="I3:I10 I12:I21" xr:uid="{00000000-0002-0000-1A00-000002000000}">
      <formula1>Country_list</formula1>
    </dataValidation>
    <dataValidation type="list" allowBlank="1" showInputMessage="1" showErrorMessage="1" sqref="E3:E10 E12:E21" xr:uid="{00000000-0002-0000-1A00-000003000000}">
      <formula1>Issuer_Number_Banks</formula1>
    </dataValidation>
    <dataValidation type="list" allowBlank="1" showInputMessage="1" showErrorMessage="1" sqref="L3:L10 L12:L21" xr:uid="{00000000-0002-0000-1A00-000004000000}">
      <formula1>Rating_Agency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5000000}">
          <x14:formula1>
            <xm:f>'אפשרויות בחירה'!$C$992:$C$997</xm:f>
          </x14:formula1>
          <xm:sqref>F3:F10 F12:F21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/>
  <dimension ref="A1:Y22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5.375" customWidth="1"/>
    <col min="6" max="6" width="15.125" customWidth="1"/>
    <col min="7" max="7" width="12" customWidth="1"/>
    <col min="8" max="8" width="15.25" customWidth="1"/>
    <col min="9" max="9" width="13.125" customWidth="1"/>
    <col min="10" max="10" width="11.625" customWidth="1"/>
    <col min="11" max="11" width="26.75" customWidth="1"/>
    <col min="12" max="12" width="27.5" customWidth="1"/>
    <col min="13" max="14" width="14" customWidth="1"/>
    <col min="15" max="15" width="18.625" customWidth="1"/>
    <col min="16" max="16" width="16.375" customWidth="1"/>
    <col min="17" max="17" width="11.75" customWidth="1"/>
    <col min="18" max="18" width="21.125" customWidth="1"/>
    <col min="19" max="19" width="17.875" customWidth="1"/>
    <col min="20" max="20" width="21.375" customWidth="1"/>
    <col min="21" max="21" width="24.625" customWidth="1"/>
    <col min="22" max="22" width="22" customWidth="1"/>
    <col min="23" max="23" width="21.75" customWidth="1"/>
    <col min="24" max="24" width="20.125" customWidth="1"/>
    <col min="25" max="16384" width="9" hidden="1"/>
  </cols>
  <sheetData>
    <row r="1" spans="1:25" x14ac:dyDescent="0.2">
      <c r="A1" t="s">
        <v>3511</v>
      </c>
    </row>
    <row r="2" spans="1:25" x14ac:dyDescent="0.2">
      <c r="A2" s="118" t="s">
        <v>651</v>
      </c>
      <c r="B2" s="119" t="s">
        <v>0</v>
      </c>
      <c r="C2" s="119" t="s">
        <v>299</v>
      </c>
      <c r="D2" s="119" t="s">
        <v>1</v>
      </c>
      <c r="E2" s="119" t="s">
        <v>782</v>
      </c>
      <c r="F2" s="119" t="s">
        <v>606</v>
      </c>
      <c r="G2" s="119" t="s">
        <v>12</v>
      </c>
      <c r="H2" s="119" t="s">
        <v>24</v>
      </c>
      <c r="I2" s="119" t="s">
        <v>286</v>
      </c>
      <c r="J2" s="119" t="s">
        <v>25</v>
      </c>
      <c r="K2" s="119" t="s">
        <v>949</v>
      </c>
      <c r="L2" s="119" t="s">
        <v>1149</v>
      </c>
      <c r="M2" s="119" t="s">
        <v>917</v>
      </c>
      <c r="N2" s="119" t="s">
        <v>731</v>
      </c>
      <c r="O2" s="119" t="s">
        <v>372</v>
      </c>
      <c r="P2" s="119" t="s">
        <v>16</v>
      </c>
      <c r="Q2" s="119" t="s">
        <v>396</v>
      </c>
      <c r="R2" s="119" t="s">
        <v>787</v>
      </c>
      <c r="S2" s="119" t="s">
        <v>1153</v>
      </c>
      <c r="T2" s="119" t="s">
        <v>1154</v>
      </c>
      <c r="U2" s="119" t="s">
        <v>788</v>
      </c>
      <c r="V2" s="119" t="s">
        <v>26</v>
      </c>
      <c r="W2" s="119" t="s">
        <v>19</v>
      </c>
      <c r="X2" s="120" t="s">
        <v>30</v>
      </c>
      <c r="Y2" s="159" t="s">
        <v>3484</v>
      </c>
    </row>
    <row r="3" spans="1:25" x14ac:dyDescent="0.2">
      <c r="A3" s="121" t="s">
        <v>1211</v>
      </c>
      <c r="B3" s="122" t="s">
        <v>1212</v>
      </c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2"/>
      <c r="R3" s="135"/>
      <c r="S3" s="135"/>
      <c r="T3" s="135"/>
      <c r="U3" s="135"/>
      <c r="V3" s="135"/>
      <c r="W3" s="135"/>
      <c r="X3" s="140"/>
      <c r="Y3" s="159"/>
    </row>
    <row r="4" spans="1:25" x14ac:dyDescent="0.2">
      <c r="A4" s="121" t="s">
        <v>1211</v>
      </c>
      <c r="B4" s="122" t="s">
        <v>1220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2"/>
      <c r="R4" s="135"/>
      <c r="S4" s="135"/>
      <c r="T4" s="135"/>
      <c r="U4" s="135"/>
      <c r="V4" s="135"/>
      <c r="W4" s="135"/>
      <c r="X4" s="140"/>
      <c r="Y4" s="159"/>
    </row>
    <row r="5" spans="1:25" x14ac:dyDescent="0.2">
      <c r="A5" s="121" t="s">
        <v>1211</v>
      </c>
      <c r="B5" s="122" t="s">
        <v>1211</v>
      </c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2"/>
      <c r="R5" s="135"/>
      <c r="S5" s="135"/>
      <c r="T5" s="135"/>
      <c r="U5" s="135"/>
      <c r="V5" s="135"/>
      <c r="W5" s="135"/>
      <c r="X5" s="140"/>
      <c r="Y5" s="159"/>
    </row>
    <row r="6" spans="1:25" x14ac:dyDescent="0.2">
      <c r="A6" s="121" t="s">
        <v>1223</v>
      </c>
      <c r="B6" s="122" t="s">
        <v>1224</v>
      </c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2"/>
      <c r="R6" s="135"/>
      <c r="S6" s="135"/>
      <c r="T6" s="135"/>
      <c r="U6" s="135"/>
      <c r="V6" s="135"/>
      <c r="W6" s="135"/>
      <c r="X6" s="140"/>
      <c r="Y6" s="159"/>
    </row>
    <row r="7" spans="1:25" x14ac:dyDescent="0.2">
      <c r="A7" s="121" t="s">
        <v>1223</v>
      </c>
      <c r="B7" s="122" t="s">
        <v>1225</v>
      </c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2"/>
      <c r="R7" s="135"/>
      <c r="S7" s="135"/>
      <c r="T7" s="135"/>
      <c r="U7" s="135"/>
      <c r="V7" s="135"/>
      <c r="W7" s="135"/>
      <c r="X7" s="140"/>
      <c r="Y7" s="159"/>
    </row>
    <row r="8" spans="1:25" x14ac:dyDescent="0.2">
      <c r="A8" s="127" t="s">
        <v>1223</v>
      </c>
      <c r="B8" s="128" t="s">
        <v>1223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7"/>
      <c r="R8" s="138"/>
      <c r="S8" s="138"/>
      <c r="T8" s="138"/>
      <c r="U8" s="138"/>
      <c r="V8" s="138"/>
      <c r="W8" s="138"/>
      <c r="X8" s="141"/>
      <c r="Y8" s="159"/>
    </row>
    <row r="9" spans="1:25" x14ac:dyDescent="0.2">
      <c r="A9" s="162" t="s">
        <v>3483</v>
      </c>
      <c r="B9" s="162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</row>
    <row r="10" spans="1:25" x14ac:dyDescent="0.2">
      <c r="A10" s="9" t="s">
        <v>3482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1"/>
      <c r="R10" s="9"/>
      <c r="S10" s="9"/>
      <c r="T10" s="9"/>
      <c r="U10" s="9"/>
      <c r="V10" s="9"/>
      <c r="W10" s="9"/>
      <c r="X10" s="9"/>
    </row>
    <row r="11" spans="1:25" x14ac:dyDescent="0.2">
      <c r="A11" s="157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1"/>
      <c r="R11" s="9"/>
      <c r="S11" s="9"/>
      <c r="T11" s="9"/>
      <c r="U11" s="9"/>
      <c r="V11" s="9"/>
      <c r="W11" s="9"/>
      <c r="X11" s="9"/>
    </row>
    <row r="12" spans="1:25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11"/>
      <c r="R12" s="9"/>
      <c r="S12" s="9"/>
      <c r="T12" s="9"/>
      <c r="U12" s="9"/>
      <c r="V12" s="9"/>
      <c r="W12" s="9"/>
      <c r="X12" s="9"/>
    </row>
    <row r="13" spans="1:25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1"/>
      <c r="R13" s="9"/>
      <c r="S13" s="9"/>
      <c r="T13" s="9"/>
      <c r="U13" s="9"/>
      <c r="V13" s="9"/>
      <c r="W13" s="9"/>
      <c r="X13" s="9"/>
    </row>
    <row r="14" spans="1:25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1"/>
      <c r="R14" s="9"/>
      <c r="S14" s="9"/>
      <c r="T14" s="9"/>
      <c r="U14" s="9"/>
      <c r="V14" s="9"/>
      <c r="W14" s="9"/>
      <c r="X14" s="9"/>
    </row>
    <row r="15" spans="1:25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1"/>
      <c r="R15" s="9"/>
      <c r="S15" s="9"/>
      <c r="T15" s="9"/>
      <c r="U15" s="9"/>
      <c r="V15" s="9"/>
      <c r="W15" s="9"/>
      <c r="X15" s="9"/>
    </row>
    <row r="16" spans="1:25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11"/>
      <c r="R16" s="9"/>
      <c r="S16" s="9"/>
      <c r="T16" s="9"/>
      <c r="U16" s="9"/>
      <c r="V16" s="9"/>
      <c r="W16" s="9"/>
      <c r="X16" s="9"/>
    </row>
    <row r="17" spans="1:24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11"/>
      <c r="R17" s="9"/>
      <c r="S17" s="9"/>
      <c r="T17" s="9"/>
      <c r="U17" s="9"/>
      <c r="V17" s="9"/>
      <c r="W17" s="9"/>
      <c r="X17" s="9"/>
    </row>
    <row r="18" spans="1:24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11"/>
      <c r="R18" s="9"/>
      <c r="S18" s="9"/>
      <c r="T18" s="9"/>
      <c r="U18" s="9"/>
      <c r="V18" s="9"/>
      <c r="W18" s="9"/>
      <c r="X18" s="9"/>
    </row>
    <row r="19" spans="1:24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1"/>
      <c r="R19" s="9"/>
      <c r="S19" s="9"/>
      <c r="T19" s="9"/>
      <c r="U19" s="9"/>
      <c r="V19" s="9"/>
      <c r="W19" s="9"/>
      <c r="X19" s="9"/>
    </row>
    <row r="20" spans="1:24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1"/>
      <c r="R20" s="9"/>
      <c r="S20" s="9"/>
      <c r="T20" s="9"/>
      <c r="U20" s="9"/>
      <c r="V20" s="9"/>
      <c r="W20" s="9"/>
      <c r="X20" s="9"/>
    </row>
    <row r="21" spans="1:24" x14ac:dyDescent="0.2">
      <c r="D21" s="9"/>
      <c r="E21" s="9"/>
      <c r="F21" s="9"/>
      <c r="H21" s="9"/>
      <c r="I21" s="9"/>
      <c r="L21" s="9"/>
      <c r="M21" s="9"/>
      <c r="O21" s="9"/>
      <c r="V21" s="9"/>
    </row>
    <row r="22" spans="1:24" x14ac:dyDescent="0.2">
      <c r="D22" s="9"/>
      <c r="E22" s="9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mergeCells count="2">
    <mergeCell ref="A9:X9"/>
    <mergeCell ref="Y2:Y8"/>
  </mergeCells>
  <dataValidations count="8">
    <dataValidation type="list" allowBlank="1" showInputMessage="1" showErrorMessage="1" sqref="F3:F8 F10:F21" xr:uid="{00000000-0002-0000-1B00-000000000000}">
      <formula1>Holding_interest</formula1>
    </dataValidation>
    <dataValidation type="list" allowBlank="1" showInputMessage="1" showErrorMessage="1" sqref="V3:V8 V10:V21" xr:uid="{00000000-0002-0000-1B00-000001000000}">
      <formula1>In_the_books</formula1>
    </dataValidation>
    <dataValidation type="list" allowBlank="1" showInputMessage="1" showErrorMessage="1" sqref="L3:L8 L10:L21" xr:uid="{00000000-0002-0000-1B00-000002000000}">
      <formula1>Valuation_Method</formula1>
    </dataValidation>
    <dataValidation type="list" allowBlank="1" showInputMessage="1" showErrorMessage="1" sqref="O3:O8 O10:O21" xr:uid="{00000000-0002-0000-1B00-000003000000}">
      <formula1>Dependence_Independence</formula1>
    </dataValidation>
    <dataValidation type="list" allowBlank="1" showInputMessage="1" showErrorMessage="1" sqref="E3:E8 E10:E22" xr:uid="{00000000-0002-0000-1B00-000004000000}">
      <formula1>Country_list</formula1>
    </dataValidation>
    <dataValidation type="list" allowBlank="1" showInputMessage="1" showErrorMessage="1" sqref="I3:I8 I10:I21" xr:uid="{00000000-0002-0000-1B00-000005000000}">
      <formula1>real_estate_lifestage</formula1>
    </dataValidation>
    <dataValidation type="list" allowBlank="1" showInputMessage="1" showErrorMessage="1" sqref="M3:M8 M10:M21" xr:uid="{00000000-0002-0000-1B00-000006000000}">
      <formula1>Valuation_Realestate</formula1>
    </dataValidation>
    <dataValidation type="list" allowBlank="1" showInputMessage="1" showErrorMessage="1" sqref="H3:H8 H10:H21" xr:uid="{00000000-0002-0000-1B00-000007000000}">
      <formula1>Real_Estate_Main_Use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8000000}">
          <x14:formula1>
            <xm:f>'אפשרויות בחירה'!$C$998:$C$999</xm:f>
          </x14:formula1>
          <xm:sqref>D3:D8 D10:D22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/>
  <dimension ref="A1:X22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customWidth="1"/>
    <col min="13" max="13" width="15.125" customWidth="1"/>
    <col min="14" max="14" width="11.75" customWidth="1"/>
    <col min="15" max="15" width="14" customWidth="1"/>
    <col min="16" max="16" width="18.625" customWidth="1"/>
    <col min="17" max="17" width="16.375" customWidth="1"/>
    <col min="18" max="18" width="30" customWidth="1"/>
    <col min="19" max="19" width="22.5" customWidth="1"/>
    <col min="20" max="20" width="18.875" customWidth="1"/>
    <col min="21" max="21" width="17.875" customWidth="1"/>
    <col min="22" max="22" width="21.75" customWidth="1"/>
    <col min="23" max="23" width="20.125" customWidth="1"/>
    <col min="24" max="16384" width="9" hidden="1"/>
  </cols>
  <sheetData>
    <row r="1" spans="1:24" x14ac:dyDescent="0.2">
      <c r="A1" t="s">
        <v>3512</v>
      </c>
    </row>
    <row r="2" spans="1:24" x14ac:dyDescent="0.2">
      <c r="A2" s="118" t="s">
        <v>651</v>
      </c>
      <c r="B2" s="119" t="s">
        <v>0</v>
      </c>
      <c r="C2" s="119" t="s">
        <v>724</v>
      </c>
      <c r="D2" s="119" t="s">
        <v>2</v>
      </c>
      <c r="E2" s="119" t="s">
        <v>740</v>
      </c>
      <c r="F2" s="119" t="s">
        <v>1145</v>
      </c>
      <c r="G2" s="119" t="s">
        <v>29</v>
      </c>
      <c r="H2" s="119" t="s">
        <v>28</v>
      </c>
      <c r="I2" s="119" t="s">
        <v>1</v>
      </c>
      <c r="J2" s="119" t="s">
        <v>604</v>
      </c>
      <c r="K2" s="119" t="s">
        <v>605</v>
      </c>
      <c r="L2" s="119" t="s">
        <v>9</v>
      </c>
      <c r="M2" s="119" t="s">
        <v>606</v>
      </c>
      <c r="N2" s="119" t="s">
        <v>396</v>
      </c>
      <c r="O2" s="119" t="s">
        <v>917</v>
      </c>
      <c r="P2" s="119" t="s">
        <v>372</v>
      </c>
      <c r="Q2" s="119" t="s">
        <v>16</v>
      </c>
      <c r="R2" s="119" t="s">
        <v>1147</v>
      </c>
      <c r="S2" s="119" t="s">
        <v>618</v>
      </c>
      <c r="T2" s="119" t="s">
        <v>1156</v>
      </c>
      <c r="U2" s="119" t="s">
        <v>1153</v>
      </c>
      <c r="V2" s="119" t="s">
        <v>19</v>
      </c>
      <c r="W2" s="120" t="s">
        <v>30</v>
      </c>
      <c r="X2" s="159" t="s">
        <v>3484</v>
      </c>
    </row>
    <row r="3" spans="1:24" x14ac:dyDescent="0.2">
      <c r="A3" s="121" t="s">
        <v>1211</v>
      </c>
      <c r="B3" s="122" t="s">
        <v>1212</v>
      </c>
      <c r="C3" s="135"/>
      <c r="D3" s="135"/>
      <c r="E3" s="132"/>
      <c r="F3" s="135"/>
      <c r="G3" s="135"/>
      <c r="H3" s="135"/>
      <c r="I3" s="135"/>
      <c r="J3" s="132"/>
      <c r="K3" s="132"/>
      <c r="L3" s="135"/>
      <c r="M3" s="135"/>
      <c r="N3" s="132"/>
      <c r="O3" s="135"/>
      <c r="P3" s="135"/>
      <c r="Q3" s="135"/>
      <c r="R3" s="135"/>
      <c r="S3" s="135"/>
      <c r="T3" s="135"/>
      <c r="U3" s="135"/>
      <c r="V3" s="135"/>
      <c r="W3" s="140"/>
      <c r="X3" s="159"/>
    </row>
    <row r="4" spans="1:24" x14ac:dyDescent="0.2">
      <c r="A4" s="121" t="s">
        <v>1211</v>
      </c>
      <c r="B4" s="122" t="s">
        <v>1220</v>
      </c>
      <c r="C4" s="135"/>
      <c r="D4" s="135"/>
      <c r="E4" s="132"/>
      <c r="F4" s="135"/>
      <c r="G4" s="135"/>
      <c r="H4" s="135"/>
      <c r="I4" s="135"/>
      <c r="J4" s="132"/>
      <c r="K4" s="132"/>
      <c r="L4" s="135"/>
      <c r="M4" s="135"/>
      <c r="N4" s="132"/>
      <c r="O4" s="135"/>
      <c r="P4" s="135"/>
      <c r="Q4" s="135"/>
      <c r="R4" s="135"/>
      <c r="S4" s="135"/>
      <c r="T4" s="135"/>
      <c r="U4" s="135"/>
      <c r="V4" s="135"/>
      <c r="W4" s="140"/>
      <c r="X4" s="159"/>
    </row>
    <row r="5" spans="1:24" x14ac:dyDescent="0.2">
      <c r="A5" s="121" t="s">
        <v>1211</v>
      </c>
      <c r="B5" s="122" t="s">
        <v>1211</v>
      </c>
      <c r="C5" s="135"/>
      <c r="D5" s="135"/>
      <c r="E5" s="132"/>
      <c r="F5" s="135"/>
      <c r="G5" s="135"/>
      <c r="H5" s="135"/>
      <c r="I5" s="135"/>
      <c r="J5" s="132"/>
      <c r="K5" s="132"/>
      <c r="L5" s="135"/>
      <c r="M5" s="135"/>
      <c r="N5" s="132"/>
      <c r="O5" s="135"/>
      <c r="P5" s="135"/>
      <c r="Q5" s="135"/>
      <c r="R5" s="135"/>
      <c r="S5" s="135"/>
      <c r="T5" s="135"/>
      <c r="U5" s="135"/>
      <c r="V5" s="135"/>
      <c r="W5" s="140"/>
      <c r="X5" s="159"/>
    </row>
    <row r="6" spans="1:24" x14ac:dyDescent="0.2">
      <c r="A6" s="121" t="s">
        <v>1223</v>
      </c>
      <c r="B6" s="122" t="s">
        <v>1224</v>
      </c>
      <c r="C6" s="135"/>
      <c r="D6" s="135"/>
      <c r="E6" s="132"/>
      <c r="F6" s="135"/>
      <c r="G6" s="135"/>
      <c r="H6" s="135"/>
      <c r="I6" s="135"/>
      <c r="J6" s="132"/>
      <c r="K6" s="132"/>
      <c r="L6" s="135"/>
      <c r="M6" s="135"/>
      <c r="N6" s="132"/>
      <c r="O6" s="135"/>
      <c r="P6" s="135"/>
      <c r="Q6" s="135"/>
      <c r="R6" s="135"/>
      <c r="S6" s="135"/>
      <c r="T6" s="135"/>
      <c r="U6" s="135"/>
      <c r="V6" s="135"/>
      <c r="W6" s="140"/>
      <c r="X6" s="159"/>
    </row>
    <row r="7" spans="1:24" x14ac:dyDescent="0.2">
      <c r="A7" s="121" t="s">
        <v>1223</v>
      </c>
      <c r="B7" s="122" t="s">
        <v>1225</v>
      </c>
      <c r="C7" s="135"/>
      <c r="D7" s="135"/>
      <c r="E7" s="132"/>
      <c r="F7" s="135"/>
      <c r="G7" s="135"/>
      <c r="H7" s="135"/>
      <c r="I7" s="135"/>
      <c r="J7" s="132"/>
      <c r="K7" s="132"/>
      <c r="L7" s="135"/>
      <c r="M7" s="135"/>
      <c r="N7" s="132"/>
      <c r="O7" s="135"/>
      <c r="P7" s="135"/>
      <c r="Q7" s="135"/>
      <c r="R7" s="135"/>
      <c r="S7" s="135"/>
      <c r="T7" s="135"/>
      <c r="U7" s="135"/>
      <c r="V7" s="135"/>
      <c r="W7" s="140"/>
      <c r="X7" s="159"/>
    </row>
    <row r="8" spans="1:24" x14ac:dyDescent="0.2">
      <c r="A8" s="127" t="s">
        <v>1223</v>
      </c>
      <c r="B8" s="128" t="s">
        <v>1223</v>
      </c>
      <c r="C8" s="138"/>
      <c r="D8" s="138"/>
      <c r="E8" s="137"/>
      <c r="F8" s="138"/>
      <c r="G8" s="138"/>
      <c r="H8" s="138"/>
      <c r="I8" s="138"/>
      <c r="J8" s="137"/>
      <c r="K8" s="137"/>
      <c r="L8" s="138"/>
      <c r="M8" s="138"/>
      <c r="N8" s="137"/>
      <c r="O8" s="138"/>
      <c r="P8" s="138"/>
      <c r="Q8" s="138"/>
      <c r="R8" s="138"/>
      <c r="S8" s="138"/>
      <c r="T8" s="138"/>
      <c r="U8" s="138"/>
      <c r="V8" s="138"/>
      <c r="W8" s="141"/>
      <c r="X8" s="159"/>
    </row>
    <row r="9" spans="1:24" x14ac:dyDescent="0.2">
      <c r="A9" s="162" t="s">
        <v>3483</v>
      </c>
      <c r="B9" s="162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</row>
    <row r="10" spans="1:24" x14ac:dyDescent="0.2">
      <c r="A10" s="9" t="s">
        <v>3482</v>
      </c>
      <c r="B10" s="9"/>
      <c r="C10" s="9"/>
      <c r="D10" s="9"/>
      <c r="E10" s="11"/>
      <c r="F10" s="9"/>
      <c r="G10" s="9"/>
      <c r="H10" s="9"/>
      <c r="I10" s="9"/>
      <c r="J10" s="11"/>
      <c r="K10" s="11"/>
      <c r="L10" s="9"/>
      <c r="M10" s="9"/>
      <c r="N10" s="11"/>
      <c r="O10" s="9"/>
      <c r="P10" s="9"/>
      <c r="Q10" s="9"/>
      <c r="R10" s="9"/>
      <c r="S10" s="9"/>
      <c r="T10" s="9"/>
      <c r="U10" s="9"/>
      <c r="V10" s="9"/>
      <c r="W10" s="9"/>
    </row>
    <row r="11" spans="1:24" x14ac:dyDescent="0.2">
      <c r="A11" s="157"/>
      <c r="B11" s="9"/>
      <c r="C11" s="9"/>
      <c r="D11" s="9"/>
      <c r="E11" s="11"/>
      <c r="F11" s="9"/>
      <c r="G11" s="9"/>
      <c r="H11" s="9"/>
      <c r="I11" s="9"/>
      <c r="J11" s="11"/>
      <c r="K11" s="11"/>
      <c r="L11" s="9"/>
      <c r="M11" s="9"/>
      <c r="N11" s="11"/>
      <c r="O11" s="9"/>
      <c r="P11" s="9"/>
      <c r="Q11" s="9"/>
      <c r="R11" s="9"/>
      <c r="S11" s="9"/>
      <c r="T11" s="9"/>
      <c r="U11" s="9"/>
      <c r="V11" s="9"/>
      <c r="W11" s="9"/>
    </row>
    <row r="12" spans="1:24" x14ac:dyDescent="0.2">
      <c r="A12" s="9"/>
      <c r="B12" s="9"/>
      <c r="C12" s="9"/>
      <c r="D12" s="9"/>
      <c r="E12" s="11"/>
      <c r="F12" s="9"/>
      <c r="G12" s="9"/>
      <c r="H12" s="9"/>
      <c r="I12" s="9"/>
      <c r="J12" s="11"/>
      <c r="K12" s="11"/>
      <c r="L12" s="9"/>
      <c r="M12" s="9"/>
      <c r="N12" s="11"/>
      <c r="O12" s="9"/>
      <c r="P12" s="9"/>
      <c r="Q12" s="9"/>
      <c r="R12" s="9"/>
      <c r="S12" s="9"/>
      <c r="T12" s="9"/>
      <c r="U12" s="9"/>
      <c r="V12" s="9"/>
      <c r="W12" s="9"/>
    </row>
    <row r="13" spans="1:24" x14ac:dyDescent="0.2">
      <c r="A13" s="9"/>
      <c r="B13" s="9"/>
      <c r="C13" s="9"/>
      <c r="D13" s="9"/>
      <c r="E13" s="11"/>
      <c r="F13" s="9"/>
      <c r="G13" s="9"/>
      <c r="H13" s="9"/>
      <c r="I13" s="9"/>
      <c r="J13" s="11"/>
      <c r="K13" s="11"/>
      <c r="L13" s="9"/>
      <c r="M13" s="9"/>
      <c r="N13" s="11"/>
      <c r="O13" s="9"/>
      <c r="P13" s="9"/>
      <c r="Q13" s="9"/>
      <c r="R13" s="9"/>
      <c r="S13" s="9"/>
      <c r="T13" s="9"/>
      <c r="U13" s="9"/>
      <c r="V13" s="9"/>
      <c r="W13" s="9"/>
    </row>
    <row r="14" spans="1:24" x14ac:dyDescent="0.2">
      <c r="A14" s="9"/>
      <c r="B14" s="9"/>
      <c r="C14" s="9"/>
      <c r="D14" s="9"/>
      <c r="E14" s="11"/>
      <c r="F14" s="9"/>
      <c r="G14" s="9"/>
      <c r="H14" s="9"/>
      <c r="I14" s="9"/>
      <c r="J14" s="11"/>
      <c r="K14" s="11"/>
      <c r="L14" s="9"/>
      <c r="M14" s="9"/>
      <c r="N14" s="11"/>
      <c r="O14" s="9"/>
      <c r="P14" s="9"/>
      <c r="Q14" s="9"/>
      <c r="R14" s="9"/>
      <c r="S14" s="9"/>
      <c r="T14" s="9"/>
      <c r="U14" s="9"/>
      <c r="V14" s="9"/>
      <c r="W14" s="9"/>
    </row>
    <row r="15" spans="1:24" x14ac:dyDescent="0.2">
      <c r="A15" s="9"/>
      <c r="B15" s="9"/>
      <c r="C15" s="9"/>
      <c r="D15" s="9"/>
      <c r="E15" s="11"/>
      <c r="F15" s="9"/>
      <c r="G15" s="9"/>
      <c r="H15" s="9"/>
      <c r="I15" s="9"/>
      <c r="J15" s="11"/>
      <c r="K15" s="11"/>
      <c r="L15" s="9"/>
      <c r="M15" s="9"/>
      <c r="N15" s="11"/>
      <c r="O15" s="9"/>
      <c r="P15" s="9"/>
      <c r="Q15" s="9"/>
      <c r="R15" s="9"/>
      <c r="S15" s="9"/>
      <c r="T15" s="9"/>
      <c r="U15" s="9"/>
      <c r="V15" s="9"/>
      <c r="W15" s="9"/>
    </row>
    <row r="16" spans="1:24" x14ac:dyDescent="0.2">
      <c r="A16" s="9"/>
      <c r="B16" s="9"/>
      <c r="C16" s="9"/>
      <c r="D16" s="9"/>
      <c r="E16" s="11"/>
      <c r="F16" s="9"/>
      <c r="G16" s="9"/>
      <c r="H16" s="9"/>
      <c r="I16" s="9"/>
      <c r="J16" s="11"/>
      <c r="K16" s="11"/>
      <c r="L16" s="9"/>
      <c r="M16" s="9"/>
      <c r="N16" s="11"/>
      <c r="O16" s="9"/>
      <c r="P16" s="9"/>
      <c r="Q16" s="9"/>
      <c r="R16" s="9"/>
      <c r="S16" s="9"/>
      <c r="T16" s="9"/>
      <c r="U16" s="9"/>
      <c r="V16" s="9"/>
      <c r="W16" s="9"/>
    </row>
    <row r="17" spans="1:23" ht="15" x14ac:dyDescent="0.25">
      <c r="A17" s="15"/>
      <c r="B17" s="9"/>
      <c r="C17" s="9"/>
      <c r="D17" s="9"/>
      <c r="E17" s="11"/>
      <c r="F17" s="9"/>
      <c r="G17" s="9"/>
      <c r="H17" s="9"/>
      <c r="I17" s="9"/>
      <c r="J17" s="11"/>
      <c r="K17" s="11"/>
      <c r="L17" s="9"/>
      <c r="M17" s="9"/>
      <c r="N17" s="11"/>
      <c r="O17" s="9"/>
      <c r="P17" s="9"/>
      <c r="Q17" s="9"/>
      <c r="R17" s="9"/>
      <c r="S17" s="9"/>
      <c r="T17" s="9"/>
      <c r="U17" s="9"/>
      <c r="V17" s="9"/>
      <c r="W17" s="9"/>
    </row>
    <row r="18" spans="1:23" x14ac:dyDescent="0.2">
      <c r="A18" s="9"/>
      <c r="B18" s="9"/>
      <c r="C18" s="9"/>
      <c r="D18" s="9"/>
      <c r="E18" s="11"/>
      <c r="F18" s="9"/>
      <c r="G18" s="9"/>
      <c r="H18" s="9"/>
      <c r="I18" s="9"/>
      <c r="J18" s="11"/>
      <c r="K18" s="11"/>
      <c r="L18" s="9"/>
      <c r="M18" s="9"/>
      <c r="N18" s="11"/>
      <c r="O18" s="9"/>
      <c r="P18" s="9"/>
      <c r="Q18" s="9"/>
      <c r="R18" s="9"/>
      <c r="S18" s="9"/>
      <c r="T18" s="9"/>
      <c r="U18" s="9"/>
      <c r="V18" s="9"/>
      <c r="W18" s="9"/>
    </row>
    <row r="19" spans="1:23" x14ac:dyDescent="0.2">
      <c r="A19" s="9"/>
      <c r="B19" s="9"/>
      <c r="C19" s="9"/>
      <c r="D19" s="9"/>
      <c r="E19" s="11"/>
      <c r="F19" s="9"/>
      <c r="G19" s="9"/>
      <c r="H19" s="9"/>
      <c r="I19" s="9"/>
      <c r="J19" s="11"/>
      <c r="K19" s="11"/>
      <c r="L19" s="9"/>
      <c r="M19" s="9"/>
      <c r="N19" s="11"/>
      <c r="O19" s="9"/>
      <c r="P19" s="9"/>
      <c r="Q19" s="9"/>
      <c r="R19" s="9"/>
      <c r="S19" s="9"/>
      <c r="T19" s="9"/>
      <c r="U19" s="9"/>
      <c r="V19" s="9"/>
      <c r="W19" s="9"/>
    </row>
    <row r="20" spans="1:23" x14ac:dyDescent="0.2">
      <c r="A20" s="9"/>
      <c r="B20" s="9"/>
      <c r="C20" s="9"/>
      <c r="D20" s="9"/>
      <c r="E20" s="11"/>
      <c r="F20" s="9"/>
      <c r="G20" s="9"/>
      <c r="H20" s="9"/>
      <c r="J20" s="11"/>
      <c r="K20" s="11"/>
      <c r="L20" s="9"/>
      <c r="M20" s="9"/>
      <c r="N20" s="11"/>
      <c r="O20" s="9"/>
      <c r="P20" s="9"/>
      <c r="Q20" s="9"/>
      <c r="R20" s="9"/>
      <c r="S20" s="9"/>
      <c r="T20" s="9"/>
      <c r="U20" s="9"/>
      <c r="V20" s="9"/>
      <c r="W20" s="9"/>
    </row>
    <row r="21" spans="1:23" x14ac:dyDescent="0.2">
      <c r="E21" s="11"/>
      <c r="H21" s="9"/>
      <c r="I21" s="9"/>
      <c r="J21" s="11"/>
      <c r="K21" s="11"/>
      <c r="L21" s="9"/>
      <c r="M21" s="9"/>
      <c r="O21" s="9"/>
      <c r="P21" s="9"/>
    </row>
    <row r="22" spans="1:23" x14ac:dyDescent="0.2">
      <c r="E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W9"/>
    <mergeCell ref="X2:X8"/>
  </mergeCells>
  <dataValidations count="10">
    <dataValidation type="list" allowBlank="1" showInputMessage="1" showErrorMessage="1" sqref="J3:J8 J10:J21" xr:uid="{00000000-0002-0000-1C00-000000000000}">
      <formula1>israel_abroad</formula1>
    </dataValidation>
    <dataValidation type="list" allowBlank="1" showInputMessage="1" showErrorMessage="1" sqref="M3:M8 M10:M21" xr:uid="{00000000-0002-0000-1C00-000001000000}">
      <formula1>Holding_interest</formula1>
    </dataValidation>
    <dataValidation type="list" allowBlank="1" showInputMessage="1" showErrorMessage="1" sqref="O3:O8 O10:O21" xr:uid="{00000000-0002-0000-1C00-000002000000}">
      <formula1>Valuation</formula1>
    </dataValidation>
    <dataValidation type="list" allowBlank="1" showInputMessage="1" showErrorMessage="1" sqref="P3:P8 P10:P21" xr:uid="{00000000-0002-0000-1C00-000003000000}">
      <formula1>Dependence_Independence</formula1>
    </dataValidation>
    <dataValidation type="list" allowBlank="1" showInputMessage="1" showErrorMessage="1" sqref="K3:K8 K10:K21" xr:uid="{00000000-0002-0000-1C00-000004000000}">
      <formula1>Country_list</formula1>
    </dataValidation>
    <dataValidation type="list" allowBlank="1" showInputMessage="1" showErrorMessage="1" sqref="E4:E8 E10:E21" xr:uid="{00000000-0002-0000-1C00-000005000000}">
      <formula1>Issuer_Number_Type_2</formula1>
    </dataValidation>
    <dataValidation type="list" allowBlank="1" showInputMessage="1" showErrorMessage="1" sqref="E3" xr:uid="{00000000-0002-0000-1C00-000006000000}">
      <formula1>Issuer_Number_Type_3</formula1>
    </dataValidation>
    <dataValidation type="list" allowBlank="1" showInputMessage="1" showErrorMessage="1" sqref="H3:H8 H10:H21" xr:uid="{00000000-0002-0000-1C00-000007000000}">
      <formula1>Type_of_Security_ID_Fund</formula1>
    </dataValidation>
    <dataValidation type="list" allowBlank="1" showInputMessage="1" showErrorMessage="1" sqref="L3:L8 L10:L21" xr:uid="{00000000-0002-0000-1C00-000008000000}">
      <formula1>Industry_Sector</formula1>
    </dataValidation>
    <dataValidation type="list" allowBlank="1" showInputMessage="1" showErrorMessage="1" sqref="I21" xr:uid="{00000000-0002-0000-1C00-000009000000}">
      <formula1>#REF!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A000000}">
          <x14:formula1>
            <xm:f>'אפשרויות בחירה'!$C$1034:$C$1036</xm:f>
          </x14:formula1>
          <xm:sqref>I3:I8 I10:I19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A1:S21"/>
  <sheetViews>
    <sheetView rightToLeft="1" workbookViewId="0"/>
  </sheetViews>
  <sheetFormatPr defaultColWidth="0" defaultRowHeight="14.25" x14ac:dyDescent="0.2"/>
  <cols>
    <col min="1" max="1" width="29.375" customWidth="1"/>
    <col min="2" max="2" width="11.625" customWidth="1"/>
    <col min="3" max="3" width="13.25" customWidth="1"/>
    <col min="4" max="4" width="14.875" customWidth="1"/>
    <col min="5" max="6" width="11.625" customWidth="1"/>
    <col min="7" max="7" width="19.875" customWidth="1"/>
    <col min="8" max="8" width="15.125" customWidth="1"/>
    <col min="9" max="9" width="11.625" customWidth="1"/>
    <col min="10" max="10" width="11.75" customWidth="1"/>
    <col min="11" max="11" width="16.375" customWidth="1"/>
    <col min="12" max="13" width="11.625" customWidth="1"/>
    <col min="14" max="14" width="17.875" customWidth="1"/>
    <col min="15" max="15" width="21.375" customWidth="1"/>
    <col min="16" max="16" width="22" customWidth="1"/>
    <col min="17" max="17" width="21.75" customWidth="1"/>
    <col min="18" max="18" width="20.125" customWidth="1"/>
    <col min="19" max="16384" width="9" hidden="1"/>
  </cols>
  <sheetData>
    <row r="1" spans="1:19" x14ac:dyDescent="0.2">
      <c r="A1" t="s">
        <v>3513</v>
      </c>
    </row>
    <row r="2" spans="1:19" x14ac:dyDescent="0.2">
      <c r="A2" s="118" t="s">
        <v>651</v>
      </c>
      <c r="B2" s="119" t="s">
        <v>0</v>
      </c>
      <c r="C2" s="119" t="s">
        <v>785</v>
      </c>
      <c r="D2" s="119" t="s">
        <v>786</v>
      </c>
      <c r="E2" s="119" t="s">
        <v>1</v>
      </c>
      <c r="F2" s="119" t="s">
        <v>604</v>
      </c>
      <c r="G2" s="119" t="s">
        <v>605</v>
      </c>
      <c r="H2" s="119" t="s">
        <v>606</v>
      </c>
      <c r="I2" s="119" t="s">
        <v>794</v>
      </c>
      <c r="J2" s="119" t="s">
        <v>396</v>
      </c>
      <c r="K2" s="119" t="s">
        <v>16</v>
      </c>
      <c r="L2" s="119" t="s">
        <v>922</v>
      </c>
      <c r="M2" s="119" t="s">
        <v>11</v>
      </c>
      <c r="N2" s="119" t="s">
        <v>1153</v>
      </c>
      <c r="O2" s="119" t="s">
        <v>1154</v>
      </c>
      <c r="P2" s="119" t="s">
        <v>26</v>
      </c>
      <c r="Q2" s="119" t="s">
        <v>19</v>
      </c>
      <c r="R2" s="120" t="s">
        <v>30</v>
      </c>
      <c r="S2" s="159" t="s">
        <v>3484</v>
      </c>
    </row>
    <row r="3" spans="1:19" x14ac:dyDescent="0.2">
      <c r="A3" s="121" t="s">
        <v>1211</v>
      </c>
      <c r="B3" s="122" t="s">
        <v>1211</v>
      </c>
      <c r="C3" s="122" t="s">
        <v>3462</v>
      </c>
      <c r="D3" s="122" t="s">
        <v>3463</v>
      </c>
      <c r="E3" s="122" t="s">
        <v>705</v>
      </c>
      <c r="F3" s="122" t="s">
        <v>53</v>
      </c>
      <c r="G3" s="122" t="s">
        <v>53</v>
      </c>
      <c r="H3" s="122" t="s">
        <v>62</v>
      </c>
      <c r="I3" s="122"/>
      <c r="J3" s="122" t="s">
        <v>1216</v>
      </c>
      <c r="K3" s="146">
        <v>45930</v>
      </c>
      <c r="L3" s="123">
        <v>6.89</v>
      </c>
      <c r="M3" s="123">
        <v>1</v>
      </c>
      <c r="N3" s="123">
        <v>6.89</v>
      </c>
      <c r="O3" s="135"/>
      <c r="P3" s="132"/>
      <c r="Q3" s="125">
        <v>1</v>
      </c>
      <c r="R3" s="126">
        <v>1.0000000000000001E-5</v>
      </c>
      <c r="S3" s="159"/>
    </row>
    <row r="4" spans="1:19" x14ac:dyDescent="0.2">
      <c r="A4" s="121" t="s">
        <v>1223</v>
      </c>
      <c r="B4" s="122" t="s">
        <v>1223</v>
      </c>
      <c r="C4" s="122" t="s">
        <v>3462</v>
      </c>
      <c r="D4" s="122" t="s">
        <v>3463</v>
      </c>
      <c r="E4" s="122" t="s">
        <v>705</v>
      </c>
      <c r="F4" s="122" t="s">
        <v>53</v>
      </c>
      <c r="G4" s="122" t="s">
        <v>53</v>
      </c>
      <c r="H4" s="122" t="s">
        <v>62</v>
      </c>
      <c r="I4" s="122"/>
      <c r="J4" s="122" t="s">
        <v>1216</v>
      </c>
      <c r="K4" s="146">
        <v>45930</v>
      </c>
      <c r="L4" s="123">
        <v>151.16800000000001</v>
      </c>
      <c r="M4" s="123">
        <v>1</v>
      </c>
      <c r="N4" s="123">
        <v>151.16800000000001</v>
      </c>
      <c r="O4" s="135"/>
      <c r="P4" s="132"/>
      <c r="Q4" s="125">
        <v>1</v>
      </c>
      <c r="R4" s="126">
        <v>1.0000000000000001E-5</v>
      </c>
      <c r="S4" s="159"/>
    </row>
    <row r="5" spans="1:19" x14ac:dyDescent="0.2">
      <c r="A5" s="121" t="s">
        <v>1211</v>
      </c>
      <c r="B5" s="122" t="s">
        <v>1212</v>
      </c>
      <c r="C5" s="135"/>
      <c r="D5" s="135"/>
      <c r="E5" s="135"/>
      <c r="F5" s="132"/>
      <c r="G5" s="132"/>
      <c r="H5" s="135"/>
      <c r="I5" s="122"/>
      <c r="J5" s="132"/>
      <c r="K5" s="135"/>
      <c r="L5" s="122"/>
      <c r="M5" s="135"/>
      <c r="N5" s="135"/>
      <c r="O5" s="135"/>
      <c r="P5" s="132"/>
      <c r="Q5" s="135"/>
      <c r="R5" s="140"/>
      <c r="S5" s="159"/>
    </row>
    <row r="6" spans="1:19" x14ac:dyDescent="0.2">
      <c r="A6" s="121" t="s">
        <v>1211</v>
      </c>
      <c r="B6" s="122" t="s">
        <v>1220</v>
      </c>
      <c r="C6" s="135"/>
      <c r="D6" s="135"/>
      <c r="E6" s="135"/>
      <c r="F6" s="132"/>
      <c r="G6" s="132"/>
      <c r="H6" s="135"/>
      <c r="I6" s="122"/>
      <c r="J6" s="132"/>
      <c r="K6" s="135"/>
      <c r="L6" s="122"/>
      <c r="M6" s="135"/>
      <c r="N6" s="135"/>
      <c r="O6" s="135"/>
      <c r="P6" s="132"/>
      <c r="Q6" s="135"/>
      <c r="R6" s="140"/>
      <c r="S6" s="159"/>
    </row>
    <row r="7" spans="1:19" x14ac:dyDescent="0.2">
      <c r="A7" s="121" t="s">
        <v>1223</v>
      </c>
      <c r="B7" s="122" t="s">
        <v>1224</v>
      </c>
      <c r="C7" s="135"/>
      <c r="D7" s="135"/>
      <c r="E7" s="135"/>
      <c r="F7" s="132"/>
      <c r="G7" s="132"/>
      <c r="H7" s="135"/>
      <c r="I7" s="122"/>
      <c r="J7" s="132"/>
      <c r="K7" s="135"/>
      <c r="L7" s="122"/>
      <c r="M7" s="135"/>
      <c r="N7" s="135"/>
      <c r="O7" s="135"/>
      <c r="P7" s="132"/>
      <c r="Q7" s="135"/>
      <c r="R7" s="140"/>
      <c r="S7" s="159"/>
    </row>
    <row r="8" spans="1:19" x14ac:dyDescent="0.2">
      <c r="A8" s="127" t="s">
        <v>1223</v>
      </c>
      <c r="B8" s="128" t="s">
        <v>1225</v>
      </c>
      <c r="C8" s="138"/>
      <c r="D8" s="138"/>
      <c r="E8" s="138"/>
      <c r="F8" s="137"/>
      <c r="G8" s="137"/>
      <c r="H8" s="138"/>
      <c r="I8" s="128"/>
      <c r="J8" s="137"/>
      <c r="K8" s="138"/>
      <c r="L8" s="128"/>
      <c r="M8" s="138"/>
      <c r="N8" s="138"/>
      <c r="O8" s="138"/>
      <c r="P8" s="137"/>
      <c r="Q8" s="138"/>
      <c r="R8" s="141"/>
      <c r="S8" s="159"/>
    </row>
    <row r="9" spans="1:19" x14ac:dyDescent="0.2">
      <c r="A9" s="162" t="s">
        <v>3483</v>
      </c>
      <c r="B9" s="162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</row>
    <row r="10" spans="1:19" x14ac:dyDescent="0.2">
      <c r="A10" s="9" t="s">
        <v>3482</v>
      </c>
      <c r="B10" s="9"/>
      <c r="C10" s="9"/>
      <c r="D10" s="9"/>
      <c r="E10" s="9"/>
      <c r="F10" s="11"/>
      <c r="G10" s="11"/>
      <c r="H10" s="9"/>
      <c r="I10" s="9"/>
      <c r="J10" s="11"/>
      <c r="K10" s="9"/>
      <c r="M10" s="9"/>
      <c r="N10" s="9"/>
      <c r="O10" s="9"/>
      <c r="P10" s="11"/>
      <c r="Q10" s="9"/>
      <c r="R10" s="9"/>
    </row>
    <row r="11" spans="1:19" x14ac:dyDescent="0.2">
      <c r="A11" s="157"/>
      <c r="B11" s="9"/>
      <c r="C11" s="9"/>
      <c r="D11" s="9"/>
      <c r="E11" s="9"/>
      <c r="F11" s="11"/>
      <c r="G11" s="11"/>
      <c r="H11" s="9"/>
      <c r="I11" s="9"/>
      <c r="J11" s="11"/>
      <c r="K11" s="9"/>
      <c r="M11" s="9"/>
      <c r="N11" s="9"/>
      <c r="O11" s="9"/>
      <c r="P11" s="11"/>
      <c r="Q11" s="9"/>
      <c r="R11" s="9"/>
    </row>
    <row r="12" spans="1:19" x14ac:dyDescent="0.2">
      <c r="A12" s="9"/>
      <c r="B12" s="9"/>
      <c r="C12" s="9"/>
      <c r="D12" s="9"/>
      <c r="E12" s="9"/>
      <c r="F12" s="11"/>
      <c r="G12" s="11"/>
      <c r="H12" s="9"/>
      <c r="I12" s="9"/>
      <c r="J12" s="11"/>
      <c r="K12" s="9"/>
      <c r="M12" s="9"/>
      <c r="N12" s="9"/>
      <c r="O12" s="9"/>
      <c r="P12" s="11"/>
      <c r="Q12" s="9"/>
      <c r="R12" s="9"/>
    </row>
    <row r="13" spans="1:19" x14ac:dyDescent="0.2">
      <c r="A13" s="9"/>
      <c r="B13" s="9"/>
      <c r="C13" s="9"/>
      <c r="D13" s="9"/>
      <c r="E13" s="9"/>
      <c r="F13" s="11"/>
      <c r="G13" s="11"/>
      <c r="H13" s="9"/>
      <c r="I13" s="9"/>
      <c r="J13" s="11"/>
      <c r="K13" s="9"/>
      <c r="M13" s="9"/>
      <c r="N13" s="9"/>
      <c r="O13" s="9"/>
      <c r="P13" s="11"/>
      <c r="Q13" s="9"/>
      <c r="R13" s="9"/>
    </row>
    <row r="14" spans="1:19" x14ac:dyDescent="0.2">
      <c r="A14" s="9"/>
      <c r="B14" s="9"/>
      <c r="C14" s="9"/>
      <c r="D14" s="9"/>
      <c r="E14" s="9"/>
      <c r="F14" s="11"/>
      <c r="G14" s="11"/>
      <c r="H14" s="9"/>
      <c r="I14" s="9"/>
      <c r="J14" s="11"/>
      <c r="K14" s="9"/>
      <c r="M14" s="9"/>
      <c r="N14" s="9"/>
      <c r="O14" s="9"/>
      <c r="P14" s="11"/>
      <c r="Q14" s="9"/>
      <c r="R14" s="9"/>
    </row>
    <row r="15" spans="1:19" x14ac:dyDescent="0.2">
      <c r="A15" s="9"/>
      <c r="B15" s="9"/>
      <c r="C15" s="9"/>
      <c r="D15" s="9"/>
      <c r="E15" s="9"/>
      <c r="F15" s="11"/>
      <c r="G15" s="11"/>
      <c r="H15" s="9"/>
      <c r="I15" s="9"/>
      <c r="J15" s="11"/>
      <c r="K15" s="9"/>
      <c r="M15" s="9"/>
      <c r="N15" s="9"/>
      <c r="O15" s="9"/>
      <c r="P15" s="11"/>
      <c r="Q15" s="9"/>
      <c r="R15" s="9"/>
    </row>
    <row r="16" spans="1:19" x14ac:dyDescent="0.2">
      <c r="A16" s="9"/>
      <c r="B16" s="9"/>
      <c r="C16" s="9"/>
      <c r="D16" s="9"/>
      <c r="E16" s="9"/>
      <c r="F16" s="11"/>
      <c r="G16" s="11"/>
      <c r="H16" s="9"/>
      <c r="I16" s="9"/>
      <c r="J16" s="11"/>
      <c r="K16" s="9"/>
      <c r="M16" s="9"/>
      <c r="N16" s="9"/>
      <c r="O16" s="9"/>
      <c r="P16" s="11"/>
      <c r="Q16" s="9"/>
      <c r="R16" s="9"/>
    </row>
    <row r="17" spans="1:18" x14ac:dyDescent="0.2">
      <c r="A17" s="9"/>
      <c r="B17" s="9"/>
      <c r="C17" s="9"/>
      <c r="D17" s="9"/>
      <c r="E17" s="9"/>
      <c r="F17" s="11"/>
      <c r="G17" s="11"/>
      <c r="H17" s="9"/>
      <c r="I17" s="9"/>
      <c r="J17" s="11"/>
      <c r="K17" s="9"/>
      <c r="M17" s="9"/>
      <c r="N17" s="9"/>
      <c r="O17" s="9"/>
      <c r="P17" s="11"/>
      <c r="Q17" s="9"/>
      <c r="R17" s="9"/>
    </row>
    <row r="18" spans="1:18" x14ac:dyDescent="0.2">
      <c r="A18" s="9"/>
      <c r="B18" s="9"/>
      <c r="C18" s="9"/>
      <c r="D18" s="9"/>
      <c r="E18" s="9"/>
      <c r="F18" s="11"/>
      <c r="G18" s="11"/>
      <c r="H18" s="9"/>
      <c r="I18" s="9"/>
      <c r="J18" s="11"/>
      <c r="K18" s="9"/>
      <c r="M18" s="9"/>
      <c r="N18" s="9"/>
      <c r="O18" s="9"/>
      <c r="P18" s="11"/>
      <c r="Q18" s="9"/>
      <c r="R18" s="9"/>
    </row>
    <row r="19" spans="1:18" x14ac:dyDescent="0.2">
      <c r="A19" s="9"/>
      <c r="B19" s="9"/>
      <c r="C19" s="9"/>
      <c r="D19" s="9"/>
      <c r="E19" s="9"/>
      <c r="F19" s="11"/>
      <c r="G19" s="11"/>
      <c r="H19" s="9"/>
      <c r="I19" s="9"/>
      <c r="J19" s="11"/>
      <c r="K19" s="9"/>
      <c r="M19" s="9"/>
      <c r="N19" s="9"/>
      <c r="O19" s="9"/>
      <c r="P19" s="11"/>
      <c r="Q19" s="9"/>
      <c r="R19" s="9"/>
    </row>
    <row r="20" spans="1:18" x14ac:dyDescent="0.2">
      <c r="A20" s="9"/>
      <c r="B20" s="9"/>
      <c r="C20" s="9"/>
      <c r="D20" s="9"/>
      <c r="E20" s="9"/>
      <c r="F20" s="11"/>
      <c r="G20" s="11"/>
      <c r="H20" s="9"/>
      <c r="I20" s="9"/>
      <c r="J20" s="11"/>
      <c r="K20" s="9"/>
      <c r="M20" s="9"/>
      <c r="N20" s="9"/>
      <c r="O20" s="9"/>
      <c r="P20" s="11"/>
      <c r="Q20" s="9"/>
      <c r="R20" s="9"/>
    </row>
    <row r="21" spans="1:18" x14ac:dyDescent="0.2">
      <c r="E21" s="9"/>
      <c r="F21" s="11"/>
      <c r="G21" s="11"/>
      <c r="H21" s="9"/>
      <c r="P21" s="1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mergeCells count="2">
    <mergeCell ref="A9:R9"/>
    <mergeCell ref="S2:S8"/>
  </mergeCells>
  <dataValidations count="5">
    <dataValidation type="list" allowBlank="1" showInputMessage="1" showErrorMessage="1" sqref="F3:F8 F10:F21" xr:uid="{00000000-0002-0000-1D00-000000000000}">
      <formula1>israel_abroad</formula1>
    </dataValidation>
    <dataValidation type="list" allowBlank="1" showInputMessage="1" showErrorMessage="1" sqref="H3:H8 H10:H21" xr:uid="{00000000-0002-0000-1D00-000001000000}">
      <formula1>Holding_interest</formula1>
    </dataValidation>
    <dataValidation type="list" allowBlank="1" showInputMessage="1" showErrorMessage="1" sqref="P3:P8 P10:P21" xr:uid="{00000000-0002-0000-1D00-000002000000}">
      <formula1>In_the_books</formula1>
    </dataValidation>
    <dataValidation type="list" allowBlank="1" showInputMessage="1" showErrorMessage="1" sqref="G3:G8 G10:G21" xr:uid="{00000000-0002-0000-1D00-000003000000}">
      <formula1>Country_list</formula1>
    </dataValidation>
    <dataValidation type="list" allowBlank="1" showInputMessage="1" showErrorMessage="1" sqref="E3:E8 E10:E21" xr:uid="{00000000-0002-0000-1D00-000004000000}">
      <formula1>other_investments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/>
  <dimension ref="A1:U23"/>
  <sheetViews>
    <sheetView rightToLeft="1" workbookViewId="0"/>
  </sheetViews>
  <sheetFormatPr defaultColWidth="0" defaultRowHeight="14.1" customHeight="1" x14ac:dyDescent="0.2"/>
  <cols>
    <col min="1" max="1" width="29.375" customWidth="1"/>
    <col min="2" max="2" width="11.625" customWidth="1"/>
    <col min="3" max="3" width="14" customWidth="1"/>
    <col min="4" max="4" width="16.75" customWidth="1"/>
    <col min="5" max="5" width="11.625" customWidth="1"/>
    <col min="6" max="6" width="11.875" customWidth="1"/>
    <col min="7" max="7" width="22.875" customWidth="1"/>
    <col min="8" max="8" width="11.625" customWidth="1"/>
    <col min="9" max="9" width="19.875" customWidth="1"/>
    <col min="10" max="10" width="15.125" customWidth="1"/>
    <col min="11" max="12" width="11.625" customWidth="1"/>
    <col min="13" max="13" width="17.125" customWidth="1"/>
    <col min="14" max="14" width="11.75" customWidth="1"/>
    <col min="15" max="17" width="11.625" customWidth="1"/>
    <col min="18" max="18" width="36" customWidth="1"/>
    <col min="19" max="19" width="32.75" customWidth="1"/>
    <col min="20" max="20" width="21.25" customWidth="1"/>
    <col min="21" max="16384" width="11.625" hidden="1"/>
  </cols>
  <sheetData>
    <row r="1" spans="1:21" ht="14.1" customHeight="1" x14ac:dyDescent="0.2">
      <c r="A1" t="s">
        <v>3514</v>
      </c>
    </row>
    <row r="2" spans="1:21" ht="14.25" x14ac:dyDescent="0.2">
      <c r="A2" s="118" t="s">
        <v>651</v>
      </c>
      <c r="B2" s="119" t="s">
        <v>0</v>
      </c>
      <c r="C2" s="119" t="s">
        <v>725</v>
      </c>
      <c r="D2" s="119" t="s">
        <v>726</v>
      </c>
      <c r="E2" s="119" t="s">
        <v>727</v>
      </c>
      <c r="F2" s="119" t="s">
        <v>728</v>
      </c>
      <c r="G2" s="119" t="s">
        <v>733</v>
      </c>
      <c r="H2" s="119" t="s">
        <v>604</v>
      </c>
      <c r="I2" s="119" t="s">
        <v>605</v>
      </c>
      <c r="J2" s="119" t="s">
        <v>606</v>
      </c>
      <c r="K2" s="119" t="s">
        <v>6</v>
      </c>
      <c r="L2" s="119" t="s">
        <v>8</v>
      </c>
      <c r="M2" s="119" t="s">
        <v>1148</v>
      </c>
      <c r="N2" s="119" t="s">
        <v>396</v>
      </c>
      <c r="O2" s="119" t="s">
        <v>11</v>
      </c>
      <c r="P2" s="119" t="s">
        <v>14</v>
      </c>
      <c r="Q2" s="119" t="s">
        <v>440</v>
      </c>
      <c r="R2" s="119" t="s">
        <v>796</v>
      </c>
      <c r="S2" s="119" t="s">
        <v>1157</v>
      </c>
      <c r="T2" s="120" t="s">
        <v>748</v>
      </c>
      <c r="U2" s="159" t="s">
        <v>3484</v>
      </c>
    </row>
    <row r="3" spans="1:21" ht="14.1" customHeight="1" x14ac:dyDescent="0.2">
      <c r="A3" s="121" t="s">
        <v>1211</v>
      </c>
      <c r="B3" s="122" t="s">
        <v>1212</v>
      </c>
      <c r="C3" s="122"/>
      <c r="D3" s="135"/>
      <c r="E3" s="122"/>
      <c r="F3" s="122"/>
      <c r="G3" s="132"/>
      <c r="H3" s="132"/>
      <c r="I3" s="132"/>
      <c r="J3" s="135"/>
      <c r="K3" s="135"/>
      <c r="L3" s="135"/>
      <c r="M3" s="135"/>
      <c r="N3" s="122"/>
      <c r="O3" s="122"/>
      <c r="P3" s="122"/>
      <c r="Q3" s="135"/>
      <c r="R3" s="132"/>
      <c r="S3" s="132"/>
      <c r="T3" s="153"/>
      <c r="U3" s="159"/>
    </row>
    <row r="4" spans="1:21" ht="14.1" customHeight="1" x14ac:dyDescent="0.2">
      <c r="A4" s="121" t="s">
        <v>1211</v>
      </c>
      <c r="B4" s="122" t="s">
        <v>1220</v>
      </c>
      <c r="C4" s="122"/>
      <c r="D4" s="135"/>
      <c r="E4" s="122"/>
      <c r="F4" s="122"/>
      <c r="G4" s="122"/>
      <c r="H4" s="132"/>
      <c r="I4" s="132"/>
      <c r="J4" s="135"/>
      <c r="K4" s="135"/>
      <c r="L4" s="135"/>
      <c r="M4" s="135"/>
      <c r="N4" s="122"/>
      <c r="O4" s="122"/>
      <c r="P4" s="122"/>
      <c r="Q4" s="135"/>
      <c r="R4" s="122"/>
      <c r="S4" s="122"/>
      <c r="T4" s="143"/>
      <c r="U4" s="159"/>
    </row>
    <row r="5" spans="1:21" ht="14.1" customHeight="1" x14ac:dyDescent="0.2">
      <c r="A5" s="121" t="s">
        <v>1211</v>
      </c>
      <c r="B5" s="122" t="s">
        <v>1211</v>
      </c>
      <c r="C5" s="122"/>
      <c r="D5" s="135"/>
      <c r="E5" s="122"/>
      <c r="F5" s="122"/>
      <c r="G5" s="122"/>
      <c r="H5" s="132"/>
      <c r="I5" s="132"/>
      <c r="J5" s="135"/>
      <c r="K5" s="135"/>
      <c r="L5" s="135"/>
      <c r="M5" s="135"/>
      <c r="N5" s="122"/>
      <c r="O5" s="122"/>
      <c r="P5" s="122"/>
      <c r="Q5" s="135"/>
      <c r="R5" s="122"/>
      <c r="S5" s="122"/>
      <c r="T5" s="143"/>
      <c r="U5" s="159"/>
    </row>
    <row r="6" spans="1:21" ht="14.1" customHeight="1" x14ac:dyDescent="0.2">
      <c r="A6" s="121" t="s">
        <v>1223</v>
      </c>
      <c r="B6" s="122" t="s">
        <v>1224</v>
      </c>
      <c r="C6" s="122"/>
      <c r="D6" s="135"/>
      <c r="E6" s="122"/>
      <c r="F6" s="122"/>
      <c r="G6" s="122"/>
      <c r="H6" s="132"/>
      <c r="I6" s="132"/>
      <c r="J6" s="135"/>
      <c r="K6" s="135"/>
      <c r="L6" s="135"/>
      <c r="M6" s="135"/>
      <c r="N6" s="122"/>
      <c r="O6" s="122"/>
      <c r="P6" s="122"/>
      <c r="Q6" s="135"/>
      <c r="R6" s="122"/>
      <c r="S6" s="122"/>
      <c r="T6" s="143"/>
      <c r="U6" s="159"/>
    </row>
    <row r="7" spans="1:21" ht="14.1" customHeight="1" x14ac:dyDescent="0.2">
      <c r="A7" s="121" t="s">
        <v>1223</v>
      </c>
      <c r="B7" s="122" t="s">
        <v>1225</v>
      </c>
      <c r="C7" s="122"/>
      <c r="D7" s="135"/>
      <c r="E7" s="122"/>
      <c r="F7" s="122"/>
      <c r="G7" s="122"/>
      <c r="H7" s="132"/>
      <c r="I7" s="132"/>
      <c r="J7" s="135"/>
      <c r="K7" s="135"/>
      <c r="L7" s="135"/>
      <c r="M7" s="135"/>
      <c r="N7" s="122"/>
      <c r="O7" s="122"/>
      <c r="P7" s="122"/>
      <c r="Q7" s="135"/>
      <c r="R7" s="122"/>
      <c r="S7" s="122"/>
      <c r="T7" s="143"/>
      <c r="U7" s="159"/>
    </row>
    <row r="8" spans="1:21" ht="14.1" customHeight="1" x14ac:dyDescent="0.2">
      <c r="A8" s="127" t="s">
        <v>1223</v>
      </c>
      <c r="B8" s="128" t="s">
        <v>1223</v>
      </c>
      <c r="C8" s="128"/>
      <c r="D8" s="138"/>
      <c r="E8" s="128"/>
      <c r="F8" s="128"/>
      <c r="G8" s="128"/>
      <c r="H8" s="137"/>
      <c r="I8" s="137"/>
      <c r="J8" s="138"/>
      <c r="K8" s="138"/>
      <c r="L8" s="138"/>
      <c r="M8" s="138"/>
      <c r="N8" s="128"/>
      <c r="O8" s="128"/>
      <c r="P8" s="128"/>
      <c r="Q8" s="138"/>
      <c r="R8" s="128"/>
      <c r="S8" s="128"/>
      <c r="T8" s="144"/>
      <c r="U8" s="159"/>
    </row>
    <row r="9" spans="1:21" ht="14.1" customHeight="1" x14ac:dyDescent="0.2">
      <c r="A9" s="159" t="s">
        <v>3483</v>
      </c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</row>
    <row r="10" spans="1:21" ht="14.1" customHeight="1" x14ac:dyDescent="0.2">
      <c r="A10" t="s">
        <v>3482</v>
      </c>
      <c r="D10" s="9"/>
      <c r="H10" s="11"/>
      <c r="I10" s="11"/>
      <c r="J10" s="9"/>
      <c r="K10" s="9"/>
      <c r="L10" s="9"/>
      <c r="M10" s="9"/>
      <c r="Q10" s="9"/>
    </row>
    <row r="11" spans="1:21" ht="13.7" customHeight="1" x14ac:dyDescent="0.2">
      <c r="A11" s="1"/>
      <c r="D11" s="9"/>
      <c r="H11" s="11"/>
      <c r="I11" s="11"/>
      <c r="J11" s="9"/>
      <c r="K11" s="9"/>
      <c r="L11" s="9"/>
      <c r="M11" s="9"/>
      <c r="Q11" s="9"/>
    </row>
    <row r="12" spans="1:21" ht="13.7" customHeight="1" x14ac:dyDescent="0.2">
      <c r="D12" s="9"/>
      <c r="H12" s="11"/>
      <c r="I12" s="11"/>
      <c r="J12" s="9"/>
      <c r="K12" s="9"/>
      <c r="L12" s="9"/>
      <c r="M12" s="9"/>
      <c r="Q12" s="9"/>
    </row>
    <row r="13" spans="1:21" ht="14.1" customHeight="1" x14ac:dyDescent="0.2">
      <c r="D13" s="9"/>
      <c r="H13" s="11"/>
      <c r="I13" s="11"/>
      <c r="J13" s="9"/>
      <c r="K13" s="9"/>
      <c r="L13" s="9"/>
      <c r="M13" s="9"/>
      <c r="Q13" s="9"/>
    </row>
    <row r="14" spans="1:21" ht="14.1" customHeight="1" x14ac:dyDescent="0.2">
      <c r="D14" s="9"/>
      <c r="H14" s="11"/>
      <c r="I14" s="11"/>
      <c r="J14" s="9"/>
      <c r="K14" s="9"/>
      <c r="L14" s="9"/>
      <c r="M14" s="9"/>
      <c r="Q14" s="9"/>
    </row>
    <row r="15" spans="1:21" ht="14.1" customHeight="1" x14ac:dyDescent="0.2">
      <c r="D15" s="9"/>
      <c r="H15" s="11"/>
      <c r="I15" s="11"/>
      <c r="J15" s="9"/>
      <c r="K15" s="9"/>
      <c r="L15" s="9"/>
      <c r="M15" s="9"/>
      <c r="Q15" s="9"/>
    </row>
    <row r="16" spans="1:21" ht="14.1" customHeight="1" x14ac:dyDescent="0.2">
      <c r="D16" s="9"/>
      <c r="H16" s="11"/>
      <c r="I16" s="11"/>
      <c r="J16" s="9"/>
      <c r="K16" s="9"/>
      <c r="L16" s="9"/>
      <c r="M16" s="9"/>
      <c r="Q16" s="9"/>
    </row>
    <row r="17" spans="4:17" ht="14.1" customHeight="1" x14ac:dyDescent="0.2">
      <c r="D17" s="9"/>
      <c r="H17" s="11"/>
      <c r="I17" s="11"/>
      <c r="J17" s="9"/>
      <c r="K17" s="9"/>
      <c r="L17" s="9"/>
      <c r="M17" s="9"/>
      <c r="Q17" s="9"/>
    </row>
    <row r="18" spans="4:17" ht="14.1" customHeight="1" x14ac:dyDescent="0.2">
      <c r="D18" s="9"/>
      <c r="H18" s="11"/>
      <c r="I18" s="11"/>
      <c r="J18" s="9"/>
      <c r="K18" s="9"/>
      <c r="L18" s="9"/>
      <c r="M18" s="9"/>
      <c r="Q18" s="9"/>
    </row>
    <row r="19" spans="4:17" ht="14.1" customHeight="1" x14ac:dyDescent="0.2">
      <c r="D19" s="9"/>
      <c r="H19" s="11"/>
      <c r="I19" s="11"/>
      <c r="J19" s="9"/>
      <c r="K19" s="9"/>
      <c r="L19" s="9"/>
      <c r="M19" s="9"/>
      <c r="Q19" s="9"/>
    </row>
    <row r="20" spans="4:17" ht="14.1" customHeight="1" x14ac:dyDescent="0.2">
      <c r="D20" s="9"/>
      <c r="H20" s="11"/>
      <c r="I20" s="11"/>
      <c r="J20" s="9"/>
      <c r="K20" s="9"/>
      <c r="L20" s="9"/>
      <c r="M20" s="9"/>
      <c r="Q20" s="9"/>
    </row>
    <row r="21" spans="4:17" ht="14.1" customHeight="1" x14ac:dyDescent="0.2">
      <c r="D21" s="9"/>
      <c r="H21" s="11"/>
      <c r="I21" s="11"/>
      <c r="J21" s="9"/>
      <c r="L21" s="9"/>
      <c r="M21" s="9"/>
      <c r="Q21" s="9"/>
    </row>
    <row r="22" spans="4:17" ht="14.1" customHeight="1" x14ac:dyDescent="0.2">
      <c r="D22" s="3"/>
    </row>
    <row r="23" spans="4:17" ht="14.1" customHeight="1" x14ac:dyDescent="0.2">
      <c r="D23" s="3"/>
    </row>
  </sheetData>
  <sheetProtection formatColumns="0"/>
  <customSheetViews>
    <customSheetView guid="{AE318230-F718-49FC-82EB-7CAC3DCD05F1}" showGridLines="0" hiddenRows="1">
      <selection activeCell="F2" sqref="F2"/>
      <pageMargins left="0.7" right="0.7" top="0.75" bottom="0.75" header="0.3" footer="0.3"/>
      <pageSetup orientation="portrait"/>
    </customSheetView>
  </customSheetViews>
  <mergeCells count="2">
    <mergeCell ref="A9:T9"/>
    <mergeCell ref="U2:U8"/>
  </mergeCells>
  <dataValidations count="7">
    <dataValidation type="list" allowBlank="1" showInputMessage="1" showErrorMessage="1" sqref="H3:H8 H10:H21" xr:uid="{00000000-0002-0000-1E00-000000000000}">
      <formula1>israel_abroad</formula1>
    </dataValidation>
    <dataValidation type="list" allowBlank="1" showInputMessage="1" showErrorMessage="1" sqref="I3:I8 I10:I21" xr:uid="{00000000-0002-0000-1E00-000001000000}">
      <formula1>Country_list</formula1>
    </dataValidation>
    <dataValidation type="list" allowBlank="1" showInputMessage="1" showErrorMessage="1" sqref="D3:D8 D10:D21" xr:uid="{00000000-0002-0000-1E00-000002000000}">
      <formula1>issuer_number_loan</formula1>
    </dataValidation>
    <dataValidation type="list" allowBlank="1" showInputMessage="1" showErrorMessage="1" sqref="L3:L8 L10:L21" xr:uid="{00000000-0002-0000-1E00-000003000000}">
      <formula1>Rating_Agency</formula1>
    </dataValidation>
    <dataValidation type="list" allowBlank="1" showInputMessage="1" showErrorMessage="1" sqref="Q3:Q8 Q10:Q21" xr:uid="{00000000-0002-0000-1E00-000004000000}">
      <formula1>Type_of_Interest_Rate</formula1>
    </dataValidation>
    <dataValidation type="list" allowBlank="1" showInputMessage="1" showErrorMessage="1" sqref="J3:J8 J10:J21" xr:uid="{00000000-0002-0000-1E00-000005000000}">
      <formula1>Holding_interest</formula1>
    </dataValidation>
    <dataValidation type="list" allowBlank="1" showInputMessage="1" showErrorMessage="1" sqref="M3:M8 M10:M21" xr:uid="{00000000-0002-0000-1E00-000006000000}">
      <formula1>what_is_rated_loans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4"/>
  <dimension ref="A1:R247"/>
  <sheetViews>
    <sheetView rightToLeft="1" workbookViewId="0"/>
  </sheetViews>
  <sheetFormatPr defaultColWidth="0" defaultRowHeight="14.1" customHeight="1" x14ac:dyDescent="0.2"/>
  <cols>
    <col min="1" max="1" width="29.375" customWidth="1"/>
    <col min="2" max="3" width="11.625" customWidth="1"/>
    <col min="4" max="4" width="21.75" customWidth="1"/>
    <col min="5" max="5" width="27.5" customWidth="1"/>
    <col min="6" max="6" width="30.25" customWidth="1"/>
    <col min="7" max="7" width="13.5" customWidth="1"/>
    <col min="8" max="8" width="19.25" customWidth="1"/>
    <col min="9" max="9" width="22.625" customWidth="1"/>
    <col min="10" max="10" width="11.75" customWidth="1"/>
    <col min="11" max="11" width="28.875" customWidth="1"/>
    <col min="12" max="12" width="42.25" customWidth="1"/>
    <col min="13" max="13" width="28.375" customWidth="1"/>
    <col min="14" max="14" width="47.25" customWidth="1"/>
    <col min="15" max="15" width="33.375" customWidth="1"/>
    <col min="16" max="16" width="17.875" customWidth="1"/>
    <col min="17" max="17" width="24.5" customWidth="1"/>
    <col min="18" max="16384" width="11.625" hidden="1"/>
  </cols>
  <sheetData>
    <row r="1" spans="1:18" ht="14.1" customHeight="1" x14ac:dyDescent="0.2">
      <c r="A1" t="s">
        <v>3515</v>
      </c>
    </row>
    <row r="2" spans="1:18" ht="14.25" x14ac:dyDescent="0.2">
      <c r="A2" s="118" t="s">
        <v>651</v>
      </c>
      <c r="B2" s="119" t="s">
        <v>0</v>
      </c>
      <c r="C2" s="119" t="s">
        <v>1</v>
      </c>
      <c r="D2" s="119" t="s">
        <v>780</v>
      </c>
      <c r="E2" s="119" t="s">
        <v>793</v>
      </c>
      <c r="F2" s="119" t="s">
        <v>781</v>
      </c>
      <c r="G2" s="119" t="s">
        <v>747</v>
      </c>
      <c r="H2" s="119" t="s">
        <v>746</v>
      </c>
      <c r="I2" s="119" t="s">
        <v>751</v>
      </c>
      <c r="J2" s="119" t="s">
        <v>396</v>
      </c>
      <c r="K2" s="119" t="s">
        <v>745</v>
      </c>
      <c r="L2" s="119" t="s">
        <v>923</v>
      </c>
      <c r="M2" s="119" t="s">
        <v>1158</v>
      </c>
      <c r="N2" s="119" t="s">
        <v>924</v>
      </c>
      <c r="O2" s="119" t="s">
        <v>1159</v>
      </c>
      <c r="P2" s="119" t="s">
        <v>22</v>
      </c>
      <c r="Q2" s="120" t="s">
        <v>797</v>
      </c>
      <c r="R2" s="159" t="s">
        <v>3484</v>
      </c>
    </row>
    <row r="3" spans="1:18" ht="14.1" customHeight="1" x14ac:dyDescent="0.2">
      <c r="A3" s="121" t="s">
        <v>1211</v>
      </c>
      <c r="B3" s="122" t="s">
        <v>1211</v>
      </c>
      <c r="C3" s="122" t="s">
        <v>248</v>
      </c>
      <c r="D3" s="122" t="s">
        <v>2848</v>
      </c>
      <c r="E3" s="122"/>
      <c r="F3" s="135"/>
      <c r="G3" s="122" t="s">
        <v>2849</v>
      </c>
      <c r="H3" s="122" t="s">
        <v>2850</v>
      </c>
      <c r="I3" s="122" t="s">
        <v>78</v>
      </c>
      <c r="J3" s="122" t="s">
        <v>1217</v>
      </c>
      <c r="K3" s="146">
        <v>43116</v>
      </c>
      <c r="L3" s="123">
        <v>533.19899999999996</v>
      </c>
      <c r="M3" s="123">
        <v>1762.7558940000001</v>
      </c>
      <c r="N3" s="123">
        <v>101.65300000000001</v>
      </c>
      <c r="O3" s="123">
        <v>336.064818</v>
      </c>
      <c r="P3" s="151">
        <v>0.19064739431244246</v>
      </c>
      <c r="Q3" s="154">
        <v>46265</v>
      </c>
      <c r="R3" s="159"/>
    </row>
    <row r="4" spans="1:18" ht="13.7" customHeight="1" x14ac:dyDescent="0.2">
      <c r="A4" s="121" t="s">
        <v>1211</v>
      </c>
      <c r="B4" s="122" t="s">
        <v>1211</v>
      </c>
      <c r="C4" s="122" t="s">
        <v>248</v>
      </c>
      <c r="D4" s="122" t="s">
        <v>2971</v>
      </c>
      <c r="E4" s="122"/>
      <c r="F4" s="135"/>
      <c r="G4" s="122" t="s">
        <v>2972</v>
      </c>
      <c r="H4" s="122" t="s">
        <v>2973</v>
      </c>
      <c r="I4" s="122" t="s">
        <v>102</v>
      </c>
      <c r="J4" s="122" t="s">
        <v>1216</v>
      </c>
      <c r="K4" s="146">
        <v>42982</v>
      </c>
      <c r="L4" s="123">
        <v>1244.7629999999999</v>
      </c>
      <c r="M4" s="123">
        <v>1244.7629999999999</v>
      </c>
      <c r="N4" s="123">
        <v>613.90499999999997</v>
      </c>
      <c r="O4" s="123">
        <v>613.90499999999997</v>
      </c>
      <c r="P4" s="151">
        <v>0.49319026995500348</v>
      </c>
      <c r="Q4" s="154">
        <v>46996</v>
      </c>
      <c r="R4" s="159"/>
    </row>
    <row r="5" spans="1:18" ht="14.1" customHeight="1" x14ac:dyDescent="0.2">
      <c r="A5" s="121" t="s">
        <v>1211</v>
      </c>
      <c r="B5" s="122" t="s">
        <v>1211</v>
      </c>
      <c r="C5" s="122" t="s">
        <v>248</v>
      </c>
      <c r="D5" s="122" t="s">
        <v>2938</v>
      </c>
      <c r="E5" s="122"/>
      <c r="F5" s="135"/>
      <c r="G5" s="122" t="s">
        <v>2939</v>
      </c>
      <c r="H5" s="122" t="s">
        <v>2940</v>
      </c>
      <c r="I5" s="122" t="s">
        <v>102</v>
      </c>
      <c r="J5" s="122" t="s">
        <v>1216</v>
      </c>
      <c r="K5" s="146">
        <v>43782</v>
      </c>
      <c r="L5" s="123">
        <v>1709.979</v>
      </c>
      <c r="M5" s="123">
        <v>1709.979</v>
      </c>
      <c r="N5" s="123">
        <v>214.256</v>
      </c>
      <c r="O5" s="123">
        <v>214.256</v>
      </c>
      <c r="P5" s="151">
        <v>0.1252974451733033</v>
      </c>
      <c r="Q5" s="154">
        <v>46691</v>
      </c>
      <c r="R5" s="159"/>
    </row>
    <row r="6" spans="1:18" ht="14.1" customHeight="1" x14ac:dyDescent="0.2">
      <c r="A6" s="121" t="s">
        <v>1211</v>
      </c>
      <c r="B6" s="122" t="s">
        <v>1211</v>
      </c>
      <c r="C6" s="122" t="s">
        <v>248</v>
      </c>
      <c r="D6" s="122" t="s">
        <v>3186</v>
      </c>
      <c r="E6" s="122"/>
      <c r="F6" s="135"/>
      <c r="G6" s="122" t="s">
        <v>3187</v>
      </c>
      <c r="H6" s="122" t="s">
        <v>3188</v>
      </c>
      <c r="I6" s="122" t="s">
        <v>102</v>
      </c>
      <c r="J6" s="122" t="s">
        <v>1217</v>
      </c>
      <c r="K6" s="146">
        <v>43082</v>
      </c>
      <c r="L6" s="123">
        <v>302.20815492509996</v>
      </c>
      <c r="M6" s="123">
        <v>999.10016018238059</v>
      </c>
      <c r="N6" s="123">
        <v>9.3881549250999807</v>
      </c>
      <c r="O6" s="123">
        <v>31.037240182380536</v>
      </c>
      <c r="P6" s="151">
        <v>3.1065193880776526E-2</v>
      </c>
      <c r="Q6" s="154">
        <v>46735</v>
      </c>
      <c r="R6" s="159"/>
    </row>
    <row r="7" spans="1:18" ht="14.1" customHeight="1" x14ac:dyDescent="0.2">
      <c r="A7" s="121" t="s">
        <v>1211</v>
      </c>
      <c r="B7" s="122" t="s">
        <v>1211</v>
      </c>
      <c r="C7" s="122" t="s">
        <v>248</v>
      </c>
      <c r="D7" s="122" t="s">
        <v>3104</v>
      </c>
      <c r="E7" s="122"/>
      <c r="F7" s="135"/>
      <c r="G7" s="122" t="s">
        <v>3105</v>
      </c>
      <c r="H7" s="122" t="s">
        <v>3106</v>
      </c>
      <c r="I7" s="122" t="s">
        <v>102</v>
      </c>
      <c r="J7" s="122" t="s">
        <v>1217</v>
      </c>
      <c r="K7" s="146">
        <v>43971</v>
      </c>
      <c r="L7" s="123">
        <v>469.791</v>
      </c>
      <c r="M7" s="123">
        <v>1553.129046</v>
      </c>
      <c r="N7" s="123">
        <v>126.495</v>
      </c>
      <c r="O7" s="123">
        <v>418.19247000000001</v>
      </c>
      <c r="P7" s="151">
        <v>0.26925803176306062</v>
      </c>
      <c r="Q7" s="154">
        <v>47624</v>
      </c>
      <c r="R7" s="159"/>
    </row>
    <row r="8" spans="1:18" ht="14.1" customHeight="1" x14ac:dyDescent="0.2">
      <c r="A8" s="121" t="s">
        <v>1211</v>
      </c>
      <c r="B8" s="122" t="s">
        <v>1211</v>
      </c>
      <c r="C8" s="122" t="s">
        <v>248</v>
      </c>
      <c r="D8" s="122" t="s">
        <v>2967</v>
      </c>
      <c r="E8" s="122"/>
      <c r="F8" s="135"/>
      <c r="G8" s="122" t="s">
        <v>2913</v>
      </c>
      <c r="H8" s="122" t="s">
        <v>2968</v>
      </c>
      <c r="I8" s="122" t="s">
        <v>102</v>
      </c>
      <c r="J8" s="122" t="s">
        <v>1216</v>
      </c>
      <c r="K8" s="146">
        <v>42572</v>
      </c>
      <c r="L8" s="123">
        <v>560.06799999999998</v>
      </c>
      <c r="M8" s="123">
        <v>560.06799999999998</v>
      </c>
      <c r="N8" s="123">
        <v>242.53899999999999</v>
      </c>
      <c r="O8" s="123">
        <v>242.53899999999999</v>
      </c>
      <c r="P8" s="151">
        <v>0.43305277216338017</v>
      </c>
      <c r="Q8" s="154">
        <v>46225</v>
      </c>
      <c r="R8" s="159"/>
    </row>
    <row r="9" spans="1:18" ht="14.1" customHeight="1" x14ac:dyDescent="0.2">
      <c r="A9" s="121" t="s">
        <v>1211</v>
      </c>
      <c r="B9" s="122" t="s">
        <v>1211</v>
      </c>
      <c r="C9" s="122" t="s">
        <v>248</v>
      </c>
      <c r="D9" s="122" t="s">
        <v>102</v>
      </c>
      <c r="E9" s="122"/>
      <c r="F9" s="135"/>
      <c r="G9" s="122" t="s">
        <v>2894</v>
      </c>
      <c r="H9" s="122" t="s">
        <v>2895</v>
      </c>
      <c r="I9" s="122" t="s">
        <v>102</v>
      </c>
      <c r="J9" s="122" t="s">
        <v>1218</v>
      </c>
      <c r="K9" s="146">
        <v>43396</v>
      </c>
      <c r="L9" s="123">
        <v>354.27596401147497</v>
      </c>
      <c r="M9" s="123">
        <v>1374.8387335393311</v>
      </c>
      <c r="N9" s="123">
        <v>90.645234011474997</v>
      </c>
      <c r="O9" s="123">
        <v>351.76695962833099</v>
      </c>
      <c r="P9" s="152">
        <v>0.25586052461786257</v>
      </c>
      <c r="Q9" s="154">
        <v>46203</v>
      </c>
      <c r="R9" s="159"/>
    </row>
    <row r="10" spans="1:18" ht="14.1" customHeight="1" x14ac:dyDescent="0.2">
      <c r="A10" s="121" t="s">
        <v>1211</v>
      </c>
      <c r="B10" s="122" t="s">
        <v>1211</v>
      </c>
      <c r="C10" s="122" t="s">
        <v>248</v>
      </c>
      <c r="D10" s="122" t="s">
        <v>2875</v>
      </c>
      <c r="E10" s="122"/>
      <c r="F10" s="135"/>
      <c r="G10" s="122" t="s">
        <v>2876</v>
      </c>
      <c r="H10" s="122" t="s">
        <v>2877</v>
      </c>
      <c r="I10" s="122" t="s">
        <v>102</v>
      </c>
      <c r="J10" s="122" t="s">
        <v>1217</v>
      </c>
      <c r="K10" s="146">
        <v>44286</v>
      </c>
      <c r="L10" s="123">
        <v>478.19299999999998</v>
      </c>
      <c r="M10" s="123">
        <v>1580.906058</v>
      </c>
      <c r="N10" s="123">
        <v>200.84098999999998</v>
      </c>
      <c r="O10" s="123">
        <v>663.98031293999998</v>
      </c>
      <c r="P10" s="152">
        <v>0.41999985361559034</v>
      </c>
      <c r="Q10" s="154">
        <v>47848</v>
      </c>
      <c r="R10" s="159"/>
    </row>
    <row r="11" spans="1:18" ht="14.1" customHeight="1" x14ac:dyDescent="0.2">
      <c r="A11" s="121" t="s">
        <v>1211</v>
      </c>
      <c r="B11" s="122" t="s">
        <v>1211</v>
      </c>
      <c r="C11" s="122" t="s">
        <v>248</v>
      </c>
      <c r="D11" s="122" t="s">
        <v>3113</v>
      </c>
      <c r="E11" s="122"/>
      <c r="F11" s="135"/>
      <c r="G11" s="122" t="s">
        <v>3114</v>
      </c>
      <c r="H11" s="122" t="s">
        <v>3115</v>
      </c>
      <c r="I11" s="122" t="s">
        <v>102</v>
      </c>
      <c r="J11" s="122" t="s">
        <v>1218</v>
      </c>
      <c r="K11" s="146">
        <v>44651</v>
      </c>
      <c r="L11" s="123">
        <v>474.00000000000006</v>
      </c>
      <c r="M11" s="123">
        <v>1839.4518000000003</v>
      </c>
      <c r="N11" s="123">
        <v>168.03299000000004</v>
      </c>
      <c r="O11" s="123">
        <v>652.08562429300025</v>
      </c>
      <c r="P11" s="152">
        <v>0.35449997890295365</v>
      </c>
      <c r="Q11" s="154">
        <v>48305</v>
      </c>
      <c r="R11" s="159"/>
    </row>
    <row r="12" spans="1:18" ht="14.1" customHeight="1" x14ac:dyDescent="0.2">
      <c r="A12" s="121" t="s">
        <v>1211</v>
      </c>
      <c r="B12" s="122" t="s">
        <v>1211</v>
      </c>
      <c r="C12" s="122" t="s">
        <v>248</v>
      </c>
      <c r="D12" s="122" t="s">
        <v>3095</v>
      </c>
      <c r="E12" s="122"/>
      <c r="F12" s="135"/>
      <c r="G12" s="122" t="s">
        <v>3215</v>
      </c>
      <c r="H12" s="122" t="s">
        <v>3216</v>
      </c>
      <c r="I12" s="122" t="s">
        <v>102</v>
      </c>
      <c r="J12" s="122" t="s">
        <v>1217</v>
      </c>
      <c r="K12" s="146">
        <v>45475</v>
      </c>
      <c r="L12" s="123">
        <v>422.01506000000001</v>
      </c>
      <c r="M12" s="123">
        <v>1395.1817883600002</v>
      </c>
      <c r="N12" s="123">
        <v>321.64004</v>
      </c>
      <c r="O12" s="123">
        <v>1063.3419722400001</v>
      </c>
      <c r="P12" s="152">
        <v>0.76215299046436868</v>
      </c>
      <c r="Q12" s="154">
        <v>49127</v>
      </c>
      <c r="R12" s="159"/>
    </row>
    <row r="13" spans="1:18" ht="14.1" customHeight="1" x14ac:dyDescent="0.2">
      <c r="A13" s="121" t="s">
        <v>1211</v>
      </c>
      <c r="B13" s="122" t="s">
        <v>1211</v>
      </c>
      <c r="C13" s="122" t="s">
        <v>248</v>
      </c>
      <c r="D13" s="122" t="s">
        <v>102</v>
      </c>
      <c r="E13" s="122"/>
      <c r="F13" s="135"/>
      <c r="G13" s="122" t="s">
        <v>2990</v>
      </c>
      <c r="H13" s="122" t="s">
        <v>2991</v>
      </c>
      <c r="I13" s="122" t="s">
        <v>102</v>
      </c>
      <c r="J13" s="122" t="s">
        <v>1217</v>
      </c>
      <c r="K13" s="145">
        <v>39387</v>
      </c>
      <c r="L13" s="123">
        <v>25</v>
      </c>
      <c r="M13" s="123">
        <v>82.65</v>
      </c>
      <c r="N13" s="123">
        <v>0.48047999999999957</v>
      </c>
      <c r="O13" s="123">
        <v>1.5884668799999986</v>
      </c>
      <c r="P13" s="152">
        <v>1.9219199999999981E-2</v>
      </c>
      <c r="Q13" s="154">
        <v>46387</v>
      </c>
      <c r="R13" s="159"/>
    </row>
    <row r="14" spans="1:18" ht="14.1" customHeight="1" x14ac:dyDescent="0.2">
      <c r="A14" s="121" t="s">
        <v>1211</v>
      </c>
      <c r="B14" s="122" t="s">
        <v>1211</v>
      </c>
      <c r="C14" s="122" t="s">
        <v>248</v>
      </c>
      <c r="D14" s="122" t="s">
        <v>3201</v>
      </c>
      <c r="E14" s="122"/>
      <c r="F14" s="122"/>
      <c r="G14" s="122" t="s">
        <v>3202</v>
      </c>
      <c r="H14" s="122" t="s">
        <v>3203</v>
      </c>
      <c r="I14" s="122" t="s">
        <v>102</v>
      </c>
      <c r="J14" s="122" t="s">
        <v>1217</v>
      </c>
      <c r="K14" s="145">
        <v>44651</v>
      </c>
      <c r="L14" s="123">
        <v>632</v>
      </c>
      <c r="M14" s="123">
        <v>2089.3919999999998</v>
      </c>
      <c r="N14" s="123">
        <v>433.55599000000001</v>
      </c>
      <c r="O14" s="123">
        <v>1433.3361029399998</v>
      </c>
      <c r="P14" s="152">
        <v>0.68600631329113915</v>
      </c>
      <c r="Q14" s="154">
        <v>48307</v>
      </c>
      <c r="R14" s="159"/>
    </row>
    <row r="15" spans="1:18" ht="14.1" customHeight="1" x14ac:dyDescent="0.2">
      <c r="A15" s="121" t="s">
        <v>1211</v>
      </c>
      <c r="B15" s="122" t="s">
        <v>1211</v>
      </c>
      <c r="C15" s="122" t="s">
        <v>248</v>
      </c>
      <c r="D15" s="122" t="s">
        <v>102</v>
      </c>
      <c r="E15" s="122"/>
      <c r="F15" s="122"/>
      <c r="G15" s="122" t="s">
        <v>3042</v>
      </c>
      <c r="H15" s="122" t="s">
        <v>3043</v>
      </c>
      <c r="I15" s="122" t="s">
        <v>102</v>
      </c>
      <c r="J15" s="122" t="s">
        <v>1217</v>
      </c>
      <c r="K15" s="145">
        <v>44742</v>
      </c>
      <c r="L15" s="123">
        <v>490.0558178</v>
      </c>
      <c r="M15" s="123">
        <v>1620.1245336468</v>
      </c>
      <c r="N15" s="123">
        <v>32.821697800000024</v>
      </c>
      <c r="O15" s="123">
        <v>108.50853292680007</v>
      </c>
      <c r="P15" s="152">
        <v>6.697542730406908E-2</v>
      </c>
      <c r="Q15" s="154">
        <v>48415</v>
      </c>
      <c r="R15" s="159"/>
    </row>
    <row r="16" spans="1:18" ht="14.1" customHeight="1" x14ac:dyDescent="0.2">
      <c r="A16" s="121" t="s">
        <v>1211</v>
      </c>
      <c r="B16" s="122" t="s">
        <v>1211</v>
      </c>
      <c r="C16" s="122" t="s">
        <v>248</v>
      </c>
      <c r="D16" s="122" t="s">
        <v>2906</v>
      </c>
      <c r="E16" s="122"/>
      <c r="F16" s="122"/>
      <c r="G16" s="122" t="s">
        <v>2907</v>
      </c>
      <c r="H16" s="122" t="s">
        <v>2908</v>
      </c>
      <c r="I16" s="122" t="s">
        <v>102</v>
      </c>
      <c r="J16" s="122" t="s">
        <v>1217</v>
      </c>
      <c r="K16" s="145">
        <v>45475</v>
      </c>
      <c r="L16" s="123">
        <v>565.90700000000004</v>
      </c>
      <c r="M16" s="123">
        <v>1870.8885420000001</v>
      </c>
      <c r="N16" s="123">
        <v>326.91500000000002</v>
      </c>
      <c r="O16" s="123">
        <v>1080.78099</v>
      </c>
      <c r="P16" s="152">
        <v>0.57768325891003292</v>
      </c>
      <c r="Q16" s="154">
        <v>49127</v>
      </c>
      <c r="R16" s="159"/>
    </row>
    <row r="17" spans="1:18" ht="14.1" customHeight="1" x14ac:dyDescent="0.2">
      <c r="A17" s="121" t="s">
        <v>1211</v>
      </c>
      <c r="B17" s="122" t="s">
        <v>1211</v>
      </c>
      <c r="C17" s="122" t="s">
        <v>248</v>
      </c>
      <c r="D17" s="122" t="s">
        <v>3071</v>
      </c>
      <c r="E17" s="122"/>
      <c r="F17" s="122"/>
      <c r="G17" s="122" t="s">
        <v>3131</v>
      </c>
      <c r="H17" s="122" t="s">
        <v>3132</v>
      </c>
      <c r="I17" s="122" t="s">
        <v>102</v>
      </c>
      <c r="J17" s="122" t="s">
        <v>1217</v>
      </c>
      <c r="K17" s="145">
        <v>45140</v>
      </c>
      <c r="L17" s="123">
        <v>474.00099999999998</v>
      </c>
      <c r="M17" s="123">
        <v>1567.0473060000002</v>
      </c>
      <c r="N17" s="123">
        <v>223.916</v>
      </c>
      <c r="O17" s="123">
        <v>740.26629600000001</v>
      </c>
      <c r="P17" s="152">
        <v>0.47239562785732514</v>
      </c>
      <c r="Q17" s="154">
        <v>47848</v>
      </c>
      <c r="R17" s="159"/>
    </row>
    <row r="18" spans="1:18" ht="14.1" customHeight="1" x14ac:dyDescent="0.2">
      <c r="A18" s="121" t="s">
        <v>1211</v>
      </c>
      <c r="B18" s="122" t="s">
        <v>1211</v>
      </c>
      <c r="C18" s="122" t="s">
        <v>248</v>
      </c>
      <c r="D18" s="122" t="s">
        <v>3201</v>
      </c>
      <c r="E18" s="122"/>
      <c r="F18" s="122"/>
      <c r="G18" s="122" t="s">
        <v>3261</v>
      </c>
      <c r="H18" s="122" t="s">
        <v>3262</v>
      </c>
      <c r="I18" s="122" t="s">
        <v>102</v>
      </c>
      <c r="J18" s="122" t="s">
        <v>1217</v>
      </c>
      <c r="K18" s="145">
        <v>44651</v>
      </c>
      <c r="L18" s="123">
        <v>63.2</v>
      </c>
      <c r="M18" s="123">
        <v>208.9392</v>
      </c>
      <c r="N18" s="123">
        <v>33.024990000000003</v>
      </c>
      <c r="O18" s="123">
        <v>109.18061694000002</v>
      </c>
      <c r="P18" s="152">
        <v>0.5225473101265824</v>
      </c>
      <c r="Q18" s="154">
        <v>46478</v>
      </c>
      <c r="R18" s="159"/>
    </row>
    <row r="19" spans="1:18" ht="14.1" customHeight="1" x14ac:dyDescent="0.2">
      <c r="A19" s="121" t="s">
        <v>1211</v>
      </c>
      <c r="B19" s="122" t="s">
        <v>1211</v>
      </c>
      <c r="C19" s="122" t="s">
        <v>248</v>
      </c>
      <c r="D19" s="122" t="s">
        <v>2872</v>
      </c>
      <c r="E19" s="122"/>
      <c r="F19" s="122"/>
      <c r="G19" s="122" t="s">
        <v>2873</v>
      </c>
      <c r="H19" s="122" t="s">
        <v>2874</v>
      </c>
      <c r="I19" s="122" t="s">
        <v>102</v>
      </c>
      <c r="J19" s="122" t="s">
        <v>1216</v>
      </c>
      <c r="K19" s="145">
        <v>43802</v>
      </c>
      <c r="L19" s="123">
        <v>2152.4989999999998</v>
      </c>
      <c r="M19" s="123">
        <v>2152.4989999999998</v>
      </c>
      <c r="N19" s="123">
        <v>638.35500000000002</v>
      </c>
      <c r="O19" s="123">
        <v>638.35500000000002</v>
      </c>
      <c r="P19" s="152">
        <v>0.29656459770713017</v>
      </c>
      <c r="Q19" s="154">
        <v>46721</v>
      </c>
      <c r="R19" s="159"/>
    </row>
    <row r="20" spans="1:18" ht="14.1" customHeight="1" x14ac:dyDescent="0.2">
      <c r="A20" s="121" t="s">
        <v>1211</v>
      </c>
      <c r="B20" s="122" t="s">
        <v>1211</v>
      </c>
      <c r="C20" s="122" t="s">
        <v>248</v>
      </c>
      <c r="D20" s="122" t="s">
        <v>3177</v>
      </c>
      <c r="E20" s="122"/>
      <c r="F20" s="122"/>
      <c r="G20" s="122" t="s">
        <v>3178</v>
      </c>
      <c r="H20" s="122" t="s">
        <v>3179</v>
      </c>
      <c r="I20" s="122" t="s">
        <v>102</v>
      </c>
      <c r="J20" s="122" t="s">
        <v>1217</v>
      </c>
      <c r="K20" s="145">
        <v>44139</v>
      </c>
      <c r="L20" s="123">
        <v>199.24700000000001</v>
      </c>
      <c r="M20" s="123">
        <v>658.71058200000004</v>
      </c>
      <c r="N20" s="123">
        <v>17.933</v>
      </c>
      <c r="O20" s="123">
        <v>59.286498000000002</v>
      </c>
      <c r="P20" s="152">
        <v>9.0003864550030857E-2</v>
      </c>
      <c r="Q20" s="154">
        <v>48883</v>
      </c>
      <c r="R20" s="159"/>
    </row>
    <row r="21" spans="1:18" ht="14.1" customHeight="1" x14ac:dyDescent="0.2">
      <c r="A21" s="121" t="s">
        <v>1211</v>
      </c>
      <c r="B21" s="122" t="s">
        <v>1211</v>
      </c>
      <c r="C21" s="122" t="s">
        <v>248</v>
      </c>
      <c r="D21" s="122" t="s">
        <v>3247</v>
      </c>
      <c r="E21" s="122"/>
      <c r="F21" s="122"/>
      <c r="G21" s="122" t="s">
        <v>3248</v>
      </c>
      <c r="H21" s="122" t="s">
        <v>3249</v>
      </c>
      <c r="I21" s="122" t="s">
        <v>102</v>
      </c>
      <c r="J21" s="122" t="s">
        <v>1217</v>
      </c>
      <c r="K21" s="145">
        <v>45722</v>
      </c>
      <c r="L21" s="123">
        <v>350</v>
      </c>
      <c r="M21" s="123">
        <v>1157.0999999999999</v>
      </c>
      <c r="N21" s="123">
        <v>271.39620000000002</v>
      </c>
      <c r="O21" s="123">
        <v>897.23583720000011</v>
      </c>
      <c r="P21" s="152">
        <v>0.77541771428571438</v>
      </c>
      <c r="Q21" s="154">
        <v>49374</v>
      </c>
      <c r="R21" s="159"/>
    </row>
    <row r="22" spans="1:18" ht="14.1" customHeight="1" x14ac:dyDescent="0.2">
      <c r="A22" s="121" t="s">
        <v>1211</v>
      </c>
      <c r="B22" s="122" t="s">
        <v>1211</v>
      </c>
      <c r="C22" s="122" t="s">
        <v>248</v>
      </c>
      <c r="D22" s="122" t="s">
        <v>3049</v>
      </c>
      <c r="E22" s="122"/>
      <c r="F22" s="122"/>
      <c r="G22" s="122" t="s">
        <v>3023</v>
      </c>
      <c r="H22" s="122" t="s">
        <v>3050</v>
      </c>
      <c r="I22" s="122" t="s">
        <v>102</v>
      </c>
      <c r="J22" s="122" t="s">
        <v>1217</v>
      </c>
      <c r="K22" s="145">
        <v>45449</v>
      </c>
      <c r="L22" s="123">
        <v>525</v>
      </c>
      <c r="M22" s="123">
        <v>1735.65</v>
      </c>
      <c r="N22" s="123">
        <v>12.593999999999999</v>
      </c>
      <c r="O22" s="123">
        <v>41.635764000000002</v>
      </c>
      <c r="P22" s="152">
        <v>2.3988571428571429E-2</v>
      </c>
      <c r="Q22" s="154">
        <v>49101</v>
      </c>
      <c r="R22" s="159"/>
    </row>
    <row r="23" spans="1:18" ht="14.25" x14ac:dyDescent="0.2">
      <c r="A23" s="121" t="s">
        <v>1211</v>
      </c>
      <c r="B23" s="122" t="s">
        <v>1211</v>
      </c>
      <c r="C23" s="122" t="s">
        <v>248</v>
      </c>
      <c r="D23" s="122" t="s">
        <v>3244</v>
      </c>
      <c r="E23" s="122"/>
      <c r="F23" s="122"/>
      <c r="G23" s="122" t="s">
        <v>3245</v>
      </c>
      <c r="H23" s="122" t="s">
        <v>3246</v>
      </c>
      <c r="I23" s="122" t="s">
        <v>102</v>
      </c>
      <c r="J23" s="122" t="s">
        <v>1217</v>
      </c>
      <c r="K23" s="145">
        <v>44538</v>
      </c>
      <c r="L23" s="123">
        <v>431.899</v>
      </c>
      <c r="M23" s="123">
        <v>1427.8580939999999</v>
      </c>
      <c r="N23" s="123">
        <v>81.233999999999995</v>
      </c>
      <c r="O23" s="123">
        <v>268.55960399999998</v>
      </c>
      <c r="P23" s="152">
        <v>0.188085640392777</v>
      </c>
      <c r="Q23" s="154">
        <v>47093</v>
      </c>
      <c r="R23" s="159"/>
    </row>
    <row r="24" spans="1:18" ht="14.25" x14ac:dyDescent="0.2">
      <c r="A24" s="121" t="s">
        <v>1211</v>
      </c>
      <c r="B24" s="122" t="s">
        <v>1211</v>
      </c>
      <c r="C24" s="122" t="s">
        <v>248</v>
      </c>
      <c r="D24" s="122" t="s">
        <v>2944</v>
      </c>
      <c r="E24" s="122"/>
      <c r="F24" s="122"/>
      <c r="G24" s="122" t="s">
        <v>2945</v>
      </c>
      <c r="H24" s="122" t="s">
        <v>2946</v>
      </c>
      <c r="I24" s="122" t="s">
        <v>102</v>
      </c>
      <c r="J24" s="122" t="s">
        <v>1217</v>
      </c>
      <c r="K24" s="145">
        <v>43194</v>
      </c>
      <c r="L24" s="123">
        <v>291.15100000000001</v>
      </c>
      <c r="M24" s="123">
        <v>962.54520600000001</v>
      </c>
      <c r="N24" s="123">
        <v>20.378640000000015</v>
      </c>
      <c r="O24" s="123">
        <v>67.371783840000049</v>
      </c>
      <c r="P24" s="152">
        <v>6.9993371137313673E-2</v>
      </c>
      <c r="Q24" s="154">
        <v>46842</v>
      </c>
      <c r="R24" s="159"/>
    </row>
    <row r="25" spans="1:18" ht="14.25" x14ac:dyDescent="0.2">
      <c r="A25" s="121" t="s">
        <v>1211</v>
      </c>
      <c r="B25" s="122" t="s">
        <v>1211</v>
      </c>
      <c r="C25" s="122" t="s">
        <v>248</v>
      </c>
      <c r="D25" s="122" t="s">
        <v>3086</v>
      </c>
      <c r="E25" s="122"/>
      <c r="F25" s="122"/>
      <c r="G25" s="122" t="s">
        <v>3087</v>
      </c>
      <c r="H25" s="122" t="s">
        <v>3088</v>
      </c>
      <c r="I25" s="122" t="s">
        <v>102</v>
      </c>
      <c r="J25" s="122" t="s">
        <v>1217</v>
      </c>
      <c r="K25" s="145">
        <v>43230</v>
      </c>
      <c r="L25" s="123">
        <v>587.47068999999999</v>
      </c>
      <c r="M25" s="123">
        <v>1942.1781011399999</v>
      </c>
      <c r="N25" s="123">
        <v>87.827689999999947</v>
      </c>
      <c r="O25" s="123">
        <v>290.35834313999982</v>
      </c>
      <c r="P25" s="152">
        <v>0.14950139895489928</v>
      </c>
      <c r="Q25" s="154">
        <v>47938</v>
      </c>
      <c r="R25" s="159"/>
    </row>
    <row r="26" spans="1:18" ht="14.25" x14ac:dyDescent="0.2">
      <c r="A26" s="121" t="s">
        <v>1211</v>
      </c>
      <c r="B26" s="122" t="s">
        <v>1211</v>
      </c>
      <c r="C26" s="122" t="s">
        <v>248</v>
      </c>
      <c r="D26" s="122" t="s">
        <v>3095</v>
      </c>
      <c r="E26" s="122"/>
      <c r="F26" s="122"/>
      <c r="G26" s="122" t="s">
        <v>3263</v>
      </c>
      <c r="H26" s="122" t="s">
        <v>3264</v>
      </c>
      <c r="I26" s="122" t="s">
        <v>102</v>
      </c>
      <c r="J26" s="122" t="s">
        <v>1217</v>
      </c>
      <c r="K26" s="145">
        <v>45512</v>
      </c>
      <c r="L26" s="123">
        <v>56.88</v>
      </c>
      <c r="M26" s="123">
        <v>188.04527999999999</v>
      </c>
      <c r="N26" s="123">
        <v>44.766500000000001</v>
      </c>
      <c r="O26" s="123">
        <v>147.99804900000001</v>
      </c>
      <c r="P26" s="152">
        <v>0.78703410689170183</v>
      </c>
      <c r="Q26" s="154">
        <v>49164</v>
      </c>
      <c r="R26" s="159"/>
    </row>
    <row r="27" spans="1:18" ht="14.25" x14ac:dyDescent="0.2">
      <c r="A27" s="121" t="s">
        <v>1211</v>
      </c>
      <c r="B27" s="122" t="s">
        <v>1211</v>
      </c>
      <c r="C27" s="122" t="s">
        <v>248</v>
      </c>
      <c r="D27" s="122" t="s">
        <v>2941</v>
      </c>
      <c r="E27" s="122"/>
      <c r="F27" s="122"/>
      <c r="G27" s="122" t="s">
        <v>2942</v>
      </c>
      <c r="H27" s="122" t="s">
        <v>2943</v>
      </c>
      <c r="I27" s="122" t="s">
        <v>102</v>
      </c>
      <c r="J27" s="122" t="s">
        <v>1217</v>
      </c>
      <c r="K27" s="145">
        <v>44143</v>
      </c>
      <c r="L27" s="123">
        <v>286.91500000000002</v>
      </c>
      <c r="M27" s="123">
        <v>948.54098999999997</v>
      </c>
      <c r="N27" s="123">
        <v>71.728739999999988</v>
      </c>
      <c r="O27" s="123">
        <v>237.13521443999997</v>
      </c>
      <c r="P27" s="152">
        <v>0.24999996514647194</v>
      </c>
      <c r="Q27" s="154">
        <v>45688</v>
      </c>
      <c r="R27" s="159"/>
    </row>
    <row r="28" spans="1:18" ht="14.25" x14ac:dyDescent="0.2">
      <c r="A28" s="121" t="s">
        <v>1211</v>
      </c>
      <c r="B28" s="122" t="s">
        <v>1211</v>
      </c>
      <c r="C28" s="122" t="s">
        <v>248</v>
      </c>
      <c r="D28" s="122" t="s">
        <v>102</v>
      </c>
      <c r="E28" s="122"/>
      <c r="F28" s="122"/>
      <c r="G28" s="122" t="s">
        <v>3220</v>
      </c>
      <c r="H28" s="122" t="s">
        <v>3221</v>
      </c>
      <c r="I28" s="122" t="s">
        <v>102</v>
      </c>
      <c r="J28" s="122" t="s">
        <v>1217</v>
      </c>
      <c r="K28" s="145">
        <v>45055</v>
      </c>
      <c r="L28" s="123">
        <v>221.2</v>
      </c>
      <c r="M28" s="123">
        <v>731.28719999999998</v>
      </c>
      <c r="N28" s="123">
        <v>83.090999999999994</v>
      </c>
      <c r="O28" s="123">
        <v>274.698846</v>
      </c>
      <c r="P28" s="152">
        <v>0.37563743218806517</v>
      </c>
      <c r="Q28" s="154">
        <v>49309</v>
      </c>
      <c r="R28" s="159"/>
    </row>
    <row r="29" spans="1:18" ht="14.25" x14ac:dyDescent="0.2">
      <c r="A29" s="121" t="s">
        <v>1211</v>
      </c>
      <c r="B29" s="122" t="s">
        <v>1211</v>
      </c>
      <c r="C29" s="122" t="s">
        <v>248</v>
      </c>
      <c r="D29" s="122" t="s">
        <v>3210</v>
      </c>
      <c r="E29" s="122"/>
      <c r="F29" s="122"/>
      <c r="G29" s="122" t="s">
        <v>3211</v>
      </c>
      <c r="H29" s="122" t="s">
        <v>3212</v>
      </c>
      <c r="I29" s="122" t="s">
        <v>102</v>
      </c>
      <c r="J29" s="122" t="s">
        <v>1217</v>
      </c>
      <c r="K29" s="145">
        <v>45574</v>
      </c>
      <c r="L29" s="123">
        <v>456.54399999999998</v>
      </c>
      <c r="M29" s="123">
        <v>1509.334464</v>
      </c>
      <c r="N29" s="123">
        <v>321.28200000000004</v>
      </c>
      <c r="O29" s="123">
        <v>1062.1582920000001</v>
      </c>
      <c r="P29" s="152">
        <v>0.70372625639587871</v>
      </c>
      <c r="Q29" s="154">
        <v>48983</v>
      </c>
      <c r="R29" s="159"/>
    </row>
    <row r="30" spans="1:18" ht="14.25" x14ac:dyDescent="0.2">
      <c r="A30" s="121" t="s">
        <v>1211</v>
      </c>
      <c r="B30" s="122" t="s">
        <v>1211</v>
      </c>
      <c r="C30" s="122" t="s">
        <v>248</v>
      </c>
      <c r="D30" s="122" t="s">
        <v>3028</v>
      </c>
      <c r="E30" s="122"/>
      <c r="F30" s="122"/>
      <c r="G30" s="122" t="s">
        <v>3029</v>
      </c>
      <c r="H30" s="122" t="s">
        <v>3030</v>
      </c>
      <c r="I30" s="122" t="s">
        <v>102</v>
      </c>
      <c r="J30" s="122" t="s">
        <v>1217</v>
      </c>
      <c r="K30" s="145">
        <v>43565</v>
      </c>
      <c r="L30" s="123">
        <v>814.33821</v>
      </c>
      <c r="M30" s="123">
        <v>2692.2021222600001</v>
      </c>
      <c r="N30" s="123">
        <v>130.05904999999993</v>
      </c>
      <c r="O30" s="123">
        <v>429.97521929999976</v>
      </c>
      <c r="P30" s="152">
        <v>0.1597113440127044</v>
      </c>
      <c r="Q30" s="154">
        <v>46748</v>
      </c>
      <c r="R30" s="159"/>
    </row>
    <row r="31" spans="1:18" ht="14.25" x14ac:dyDescent="0.2">
      <c r="A31" s="121" t="s">
        <v>1211</v>
      </c>
      <c r="B31" s="122" t="s">
        <v>1211</v>
      </c>
      <c r="C31" s="122" t="s">
        <v>248</v>
      </c>
      <c r="D31" s="122" t="s">
        <v>2909</v>
      </c>
      <c r="E31" s="122"/>
      <c r="F31" s="122"/>
      <c r="G31" s="122" t="s">
        <v>2910</v>
      </c>
      <c r="H31" s="122" t="s">
        <v>2911</v>
      </c>
      <c r="I31" s="122" t="s">
        <v>102</v>
      </c>
      <c r="J31" s="122" t="s">
        <v>1216</v>
      </c>
      <c r="K31" s="145">
        <v>44722</v>
      </c>
      <c r="L31" s="123">
        <v>1106</v>
      </c>
      <c r="M31" s="123">
        <v>1106</v>
      </c>
      <c r="N31" s="123">
        <v>180.124</v>
      </c>
      <c r="O31" s="123">
        <v>180.124</v>
      </c>
      <c r="P31" s="152">
        <v>0.16286075949367088</v>
      </c>
      <c r="Q31" s="154">
        <v>48286</v>
      </c>
      <c r="R31" s="159"/>
    </row>
    <row r="32" spans="1:18" ht="14.25" x14ac:dyDescent="0.2">
      <c r="A32" s="121" t="s">
        <v>1211</v>
      </c>
      <c r="B32" s="122" t="s">
        <v>1211</v>
      </c>
      <c r="C32" s="122" t="s">
        <v>248</v>
      </c>
      <c r="D32" s="122" t="s">
        <v>2915</v>
      </c>
      <c r="E32" s="122"/>
      <c r="F32" s="122"/>
      <c r="G32" s="122" t="s">
        <v>2916</v>
      </c>
      <c r="H32" s="122" t="s">
        <v>2917</v>
      </c>
      <c r="I32" s="122" t="s">
        <v>102</v>
      </c>
      <c r="J32" s="122" t="s">
        <v>1216</v>
      </c>
      <c r="K32" s="145">
        <v>45056</v>
      </c>
      <c r="L32" s="123">
        <v>1580</v>
      </c>
      <c r="M32" s="123">
        <v>1580</v>
      </c>
      <c r="N32" s="123">
        <v>637.60699999999997</v>
      </c>
      <c r="O32" s="123">
        <v>637.60699999999997</v>
      </c>
      <c r="P32" s="152">
        <v>0.40354873417721521</v>
      </c>
      <c r="Q32" s="154">
        <v>48944</v>
      </c>
      <c r="R32" s="159"/>
    </row>
    <row r="33" spans="1:18" ht="14.25" x14ac:dyDescent="0.2">
      <c r="A33" s="121" t="s">
        <v>1211</v>
      </c>
      <c r="B33" s="122" t="s">
        <v>1211</v>
      </c>
      <c r="C33" s="122" t="s">
        <v>248</v>
      </c>
      <c r="D33" s="122" t="s">
        <v>2969</v>
      </c>
      <c r="E33" s="122"/>
      <c r="F33" s="122"/>
      <c r="G33" s="122" t="s">
        <v>2969</v>
      </c>
      <c r="H33" s="122" t="s">
        <v>2970</v>
      </c>
      <c r="I33" s="122" t="s">
        <v>102</v>
      </c>
      <c r="J33" s="122" t="s">
        <v>1216</v>
      </c>
      <c r="K33" s="145">
        <v>45576</v>
      </c>
      <c r="L33" s="123">
        <v>1750</v>
      </c>
      <c r="M33" s="123">
        <v>1750</v>
      </c>
      <c r="N33" s="123">
        <v>1602.771</v>
      </c>
      <c r="O33" s="123">
        <v>1602.771</v>
      </c>
      <c r="P33" s="152">
        <v>0.91586914285714283</v>
      </c>
      <c r="Q33" s="154">
        <v>50022</v>
      </c>
      <c r="R33" s="159"/>
    </row>
    <row r="34" spans="1:18" ht="14.25" x14ac:dyDescent="0.2">
      <c r="A34" s="121" t="s">
        <v>1211</v>
      </c>
      <c r="B34" s="122" t="s">
        <v>1211</v>
      </c>
      <c r="C34" s="122" t="s">
        <v>248</v>
      </c>
      <c r="D34" s="122" t="s">
        <v>3165</v>
      </c>
      <c r="E34" s="122"/>
      <c r="F34" s="122"/>
      <c r="G34" s="122" t="s">
        <v>3166</v>
      </c>
      <c r="H34" s="122" t="s">
        <v>3167</v>
      </c>
      <c r="I34" s="122" t="s">
        <v>102</v>
      </c>
      <c r="J34" s="122" t="s">
        <v>1218</v>
      </c>
      <c r="K34" s="145">
        <v>45271</v>
      </c>
      <c r="L34" s="123">
        <v>474</v>
      </c>
      <c r="M34" s="123">
        <v>1839.4518</v>
      </c>
      <c r="N34" s="123">
        <v>214.41105999999999</v>
      </c>
      <c r="O34" s="123">
        <v>832.06500054200001</v>
      </c>
      <c r="P34" s="152">
        <v>0.45234400843881856</v>
      </c>
      <c r="Q34" s="154">
        <v>48884</v>
      </c>
      <c r="R34" s="159"/>
    </row>
    <row r="35" spans="1:18" ht="14.25" x14ac:dyDescent="0.2">
      <c r="A35" s="121" t="s">
        <v>1211</v>
      </c>
      <c r="B35" s="122" t="s">
        <v>1211</v>
      </c>
      <c r="C35" s="122" t="s">
        <v>248</v>
      </c>
      <c r="D35" s="122" t="s">
        <v>2932</v>
      </c>
      <c r="E35" s="122"/>
      <c r="F35" s="122"/>
      <c r="G35" s="122" t="s">
        <v>2933</v>
      </c>
      <c r="H35" s="122" t="s">
        <v>2934</v>
      </c>
      <c r="I35" s="122" t="s">
        <v>102</v>
      </c>
      <c r="J35" s="122" t="s">
        <v>1217</v>
      </c>
      <c r="K35" s="145">
        <v>44938</v>
      </c>
      <c r="L35" s="123">
        <v>316</v>
      </c>
      <c r="M35" s="123">
        <v>1044.6959999999999</v>
      </c>
      <c r="N35" s="123">
        <v>145.67599999999999</v>
      </c>
      <c r="O35" s="123">
        <v>481.60485600000004</v>
      </c>
      <c r="P35" s="152">
        <v>0.46100000000000002</v>
      </c>
      <c r="Q35" s="154">
        <v>47515</v>
      </c>
      <c r="R35" s="159"/>
    </row>
    <row r="36" spans="1:18" ht="14.25" x14ac:dyDescent="0.2">
      <c r="A36" s="121" t="s">
        <v>1211</v>
      </c>
      <c r="B36" s="122" t="s">
        <v>1211</v>
      </c>
      <c r="C36" s="122" t="s">
        <v>248</v>
      </c>
      <c r="D36" s="122" t="s">
        <v>3089</v>
      </c>
      <c r="E36" s="122"/>
      <c r="F36" s="122"/>
      <c r="G36" s="122" t="s">
        <v>3090</v>
      </c>
      <c r="H36" s="122" t="s">
        <v>3091</v>
      </c>
      <c r="I36" s="122" t="s">
        <v>102</v>
      </c>
      <c r="J36" s="122" t="s">
        <v>1218</v>
      </c>
      <c r="K36" s="145">
        <v>45302</v>
      </c>
      <c r="L36" s="123">
        <v>474</v>
      </c>
      <c r="M36" s="123">
        <v>1839.4518</v>
      </c>
      <c r="N36" s="123">
        <v>159.43453000000002</v>
      </c>
      <c r="O36" s="123">
        <v>618.7175805710001</v>
      </c>
      <c r="P36" s="152">
        <v>0.33635976793248951</v>
      </c>
      <c r="Q36" s="154">
        <v>49021</v>
      </c>
      <c r="R36" s="159"/>
    </row>
    <row r="37" spans="1:18" ht="14.25" x14ac:dyDescent="0.2">
      <c r="A37" s="121" t="s">
        <v>1211</v>
      </c>
      <c r="B37" s="122" t="s">
        <v>1211</v>
      </c>
      <c r="C37" s="122" t="s">
        <v>248</v>
      </c>
      <c r="D37" s="122" t="s">
        <v>3128</v>
      </c>
      <c r="E37" s="122"/>
      <c r="F37" s="122"/>
      <c r="G37" s="122" t="s">
        <v>3213</v>
      </c>
      <c r="H37" s="122" t="s">
        <v>3214</v>
      </c>
      <c r="I37" s="122" t="s">
        <v>102</v>
      </c>
      <c r="J37" s="122" t="s">
        <v>1218</v>
      </c>
      <c r="K37" s="145">
        <v>45089</v>
      </c>
      <c r="L37" s="123">
        <v>259.16543000000001</v>
      </c>
      <c r="M37" s="123">
        <v>1005.7432842010001</v>
      </c>
      <c r="N37" s="123">
        <v>135.06488000000002</v>
      </c>
      <c r="O37" s="123">
        <v>524.14627981600006</v>
      </c>
      <c r="P37" s="152">
        <v>0.52115314916808153</v>
      </c>
      <c r="Q37" s="154">
        <v>50040</v>
      </c>
      <c r="R37" s="159"/>
    </row>
    <row r="38" spans="1:18" ht="14.25" x14ac:dyDescent="0.2">
      <c r="A38" s="121" t="s">
        <v>1211</v>
      </c>
      <c r="B38" s="122" t="s">
        <v>1211</v>
      </c>
      <c r="C38" s="122" t="s">
        <v>248</v>
      </c>
      <c r="D38" s="122" t="s">
        <v>3241</v>
      </c>
      <c r="E38" s="122"/>
      <c r="F38" s="122"/>
      <c r="G38" s="122" t="s">
        <v>3242</v>
      </c>
      <c r="H38" s="122" t="s">
        <v>3243</v>
      </c>
      <c r="I38" s="122" t="s">
        <v>102</v>
      </c>
      <c r="J38" s="122" t="s">
        <v>1216</v>
      </c>
      <c r="K38" s="145">
        <v>45119</v>
      </c>
      <c r="L38" s="123">
        <v>1580</v>
      </c>
      <c r="M38" s="123">
        <v>1580</v>
      </c>
      <c r="N38" s="123">
        <v>1190.1020000000001</v>
      </c>
      <c r="O38" s="123">
        <v>1190.1020000000001</v>
      </c>
      <c r="P38" s="152">
        <v>0.75322911392405067</v>
      </c>
      <c r="Q38" s="154">
        <v>47848</v>
      </c>
      <c r="R38" s="159"/>
    </row>
    <row r="39" spans="1:18" ht="14.25" x14ac:dyDescent="0.2">
      <c r="A39" s="121" t="s">
        <v>1211</v>
      </c>
      <c r="B39" s="122" t="s">
        <v>1211</v>
      </c>
      <c r="C39" s="122" t="s">
        <v>248</v>
      </c>
      <c r="D39" s="122" t="s">
        <v>3148</v>
      </c>
      <c r="E39" s="122"/>
      <c r="F39" s="122"/>
      <c r="G39" s="122" t="s">
        <v>3149</v>
      </c>
      <c r="H39" s="122" t="s">
        <v>3150</v>
      </c>
      <c r="I39" s="122" t="s">
        <v>102</v>
      </c>
      <c r="J39" s="122" t="s">
        <v>1217</v>
      </c>
      <c r="K39" s="145">
        <v>44420</v>
      </c>
      <c r="L39" s="123">
        <v>480</v>
      </c>
      <c r="M39" s="123">
        <v>1586.88</v>
      </c>
      <c r="N39" s="123">
        <v>216.73</v>
      </c>
      <c r="O39" s="123">
        <v>716.50937999999996</v>
      </c>
      <c r="P39" s="152">
        <v>0.45152083333333332</v>
      </c>
      <c r="Q39" s="154">
        <v>48822</v>
      </c>
      <c r="R39" s="159"/>
    </row>
    <row r="40" spans="1:18" ht="14.25" x14ac:dyDescent="0.2">
      <c r="A40" s="121" t="s">
        <v>1211</v>
      </c>
      <c r="B40" s="122" t="s">
        <v>1211</v>
      </c>
      <c r="C40" s="122" t="s">
        <v>248</v>
      </c>
      <c r="D40" s="122" t="s">
        <v>3019</v>
      </c>
      <c r="E40" s="122"/>
      <c r="F40" s="122"/>
      <c r="G40" s="122" t="s">
        <v>3020</v>
      </c>
      <c r="H40" s="122" t="s">
        <v>3021</v>
      </c>
      <c r="I40" s="122" t="s">
        <v>102</v>
      </c>
      <c r="J40" s="122" t="s">
        <v>1217</v>
      </c>
      <c r="K40" s="145">
        <v>44116</v>
      </c>
      <c r="L40" s="123">
        <v>777.70100000000002</v>
      </c>
      <c r="M40" s="123">
        <v>2571.079506</v>
      </c>
      <c r="N40" s="123">
        <v>108.875</v>
      </c>
      <c r="O40" s="123">
        <v>359.94074999999998</v>
      </c>
      <c r="P40" s="152">
        <v>0.13999596245857984</v>
      </c>
      <c r="Q40" s="154">
        <v>47573</v>
      </c>
      <c r="R40" s="159"/>
    </row>
    <row r="41" spans="1:18" ht="14.25" x14ac:dyDescent="0.2">
      <c r="A41" s="121" t="s">
        <v>1211</v>
      </c>
      <c r="B41" s="122" t="s">
        <v>1211</v>
      </c>
      <c r="C41" s="122" t="s">
        <v>248</v>
      </c>
      <c r="D41" s="122" t="s">
        <v>3016</v>
      </c>
      <c r="E41" s="122"/>
      <c r="F41" s="122"/>
      <c r="G41" s="122" t="s">
        <v>3017</v>
      </c>
      <c r="H41" s="122" t="s">
        <v>3018</v>
      </c>
      <c r="I41" s="122" t="s">
        <v>102</v>
      </c>
      <c r="J41" s="122" t="s">
        <v>1217</v>
      </c>
      <c r="K41" s="145">
        <v>43843</v>
      </c>
      <c r="L41" s="123">
        <v>763.29499999999996</v>
      </c>
      <c r="M41" s="123">
        <v>2523.45327</v>
      </c>
      <c r="N41" s="123">
        <v>145.024</v>
      </c>
      <c r="O41" s="123">
        <v>479.449344</v>
      </c>
      <c r="P41" s="152">
        <v>0.18999731427560773</v>
      </c>
      <c r="Q41" s="154">
        <v>47483</v>
      </c>
      <c r="R41" s="159"/>
    </row>
    <row r="42" spans="1:18" ht="14.25" x14ac:dyDescent="0.2">
      <c r="A42" s="121" t="s">
        <v>1211</v>
      </c>
      <c r="B42" s="122" t="s">
        <v>1211</v>
      </c>
      <c r="C42" s="122" t="s">
        <v>248</v>
      </c>
      <c r="D42" s="122" t="s">
        <v>2903</v>
      </c>
      <c r="E42" s="122"/>
      <c r="F42" s="122"/>
      <c r="G42" s="122" t="s">
        <v>2904</v>
      </c>
      <c r="H42" s="122" t="s">
        <v>2905</v>
      </c>
      <c r="I42" s="122" t="s">
        <v>102</v>
      </c>
      <c r="J42" s="122" t="s">
        <v>1217</v>
      </c>
      <c r="K42" s="145">
        <v>44633</v>
      </c>
      <c r="L42" s="123">
        <v>317.70999999999998</v>
      </c>
      <c r="M42" s="123">
        <v>1050.34926</v>
      </c>
      <c r="N42" s="123">
        <v>87.036000000000001</v>
      </c>
      <c r="O42" s="123">
        <v>287.741016</v>
      </c>
      <c r="P42" s="152">
        <v>0.27394793994523309</v>
      </c>
      <c r="Q42" s="154">
        <v>48286</v>
      </c>
      <c r="R42" s="159"/>
    </row>
    <row r="43" spans="1:18" ht="14.25" x14ac:dyDescent="0.2">
      <c r="A43" s="121" t="s">
        <v>1211</v>
      </c>
      <c r="B43" s="122" t="s">
        <v>1211</v>
      </c>
      <c r="C43" s="122" t="s">
        <v>248</v>
      </c>
      <c r="D43" s="122" t="s">
        <v>3258</v>
      </c>
      <c r="E43" s="122"/>
      <c r="F43" s="122"/>
      <c r="G43" s="122" t="s">
        <v>3259</v>
      </c>
      <c r="H43" s="122" t="s">
        <v>3260</v>
      </c>
      <c r="I43" s="122" t="s">
        <v>102</v>
      </c>
      <c r="J43" s="122" t="s">
        <v>1217</v>
      </c>
      <c r="K43" s="145">
        <v>45882</v>
      </c>
      <c r="L43" s="123">
        <v>420</v>
      </c>
      <c r="M43" s="123">
        <v>1388.52</v>
      </c>
      <c r="N43" s="123">
        <v>381.55676</v>
      </c>
      <c r="O43" s="123">
        <v>1261.4266485600001</v>
      </c>
      <c r="P43" s="152">
        <v>0.90846847619047633</v>
      </c>
      <c r="Q43" s="154">
        <v>48760</v>
      </c>
      <c r="R43" s="159"/>
    </row>
    <row r="44" spans="1:18" ht="14.25" x14ac:dyDescent="0.2">
      <c r="A44" s="121" t="s">
        <v>1211</v>
      </c>
      <c r="B44" s="122" t="s">
        <v>1211</v>
      </c>
      <c r="C44" s="122" t="s">
        <v>248</v>
      </c>
      <c r="D44" s="122" t="s">
        <v>3159</v>
      </c>
      <c r="E44" s="122"/>
      <c r="F44" s="122"/>
      <c r="G44" s="122" t="s">
        <v>3160</v>
      </c>
      <c r="H44" s="122" t="s">
        <v>3161</v>
      </c>
      <c r="I44" s="122" t="s">
        <v>102</v>
      </c>
      <c r="J44" s="122" t="s">
        <v>1218</v>
      </c>
      <c r="K44" s="145">
        <v>45671</v>
      </c>
      <c r="L44" s="123">
        <v>350</v>
      </c>
      <c r="M44" s="123">
        <v>1358.2449999999999</v>
      </c>
      <c r="N44" s="123">
        <v>156.86089000000001</v>
      </c>
      <c r="O44" s="123">
        <v>608.73005582300004</v>
      </c>
      <c r="P44" s="152">
        <v>0.44817397142857146</v>
      </c>
      <c r="Q44" s="154">
        <v>48227</v>
      </c>
      <c r="R44" s="159"/>
    </row>
    <row r="45" spans="1:18" ht="14.25" x14ac:dyDescent="0.2">
      <c r="A45" s="121" t="s">
        <v>1211</v>
      </c>
      <c r="B45" s="122" t="s">
        <v>1211</v>
      </c>
      <c r="C45" s="122" t="s">
        <v>248</v>
      </c>
      <c r="D45" s="122" t="s">
        <v>3063</v>
      </c>
      <c r="E45" s="122"/>
      <c r="F45" s="122"/>
      <c r="G45" s="122" t="s">
        <v>3064</v>
      </c>
      <c r="H45" s="122" t="s">
        <v>3065</v>
      </c>
      <c r="I45" s="122" t="s">
        <v>102</v>
      </c>
      <c r="J45" s="122" t="s">
        <v>1218</v>
      </c>
      <c r="K45" s="145">
        <v>43965</v>
      </c>
      <c r="L45" s="123">
        <v>469.791</v>
      </c>
      <c r="M45" s="123">
        <v>1823.1179336999999</v>
      </c>
      <c r="N45" s="123">
        <v>15.855640000000014</v>
      </c>
      <c r="O45" s="123">
        <v>61.530982148000056</v>
      </c>
      <c r="P45" s="152">
        <v>3.3750412417436718E-2</v>
      </c>
      <c r="Q45" s="154">
        <v>46507</v>
      </c>
      <c r="R45" s="159"/>
    </row>
    <row r="46" spans="1:18" ht="14.25" x14ac:dyDescent="0.2">
      <c r="A46" s="121" t="s">
        <v>1211</v>
      </c>
      <c r="B46" s="122" t="s">
        <v>1211</v>
      </c>
      <c r="C46" s="122" t="s">
        <v>248</v>
      </c>
      <c r="D46" s="122" t="s">
        <v>102</v>
      </c>
      <c r="E46" s="122"/>
      <c r="F46" s="122"/>
      <c r="G46" s="122" t="s">
        <v>3084</v>
      </c>
      <c r="H46" s="122" t="s">
        <v>3085</v>
      </c>
      <c r="I46" s="122" t="s">
        <v>102</v>
      </c>
      <c r="J46" s="122" t="s">
        <v>1218</v>
      </c>
      <c r="K46" s="145">
        <v>44026</v>
      </c>
      <c r="L46" s="123">
        <v>465.16199999999998</v>
      </c>
      <c r="M46" s="123">
        <v>1805.1541734</v>
      </c>
      <c r="N46" s="123">
        <v>151.85499999999999</v>
      </c>
      <c r="O46" s="123">
        <v>589.30369850000011</v>
      </c>
      <c r="P46" s="152">
        <v>0.32645615935953498</v>
      </c>
      <c r="Q46" s="154">
        <v>47664</v>
      </c>
      <c r="R46" s="159"/>
    </row>
    <row r="47" spans="1:18" ht="14.25" x14ac:dyDescent="0.2">
      <c r="A47" s="121" t="s">
        <v>1211</v>
      </c>
      <c r="B47" s="122" t="s">
        <v>1211</v>
      </c>
      <c r="C47" s="122" t="s">
        <v>248</v>
      </c>
      <c r="D47" s="122" t="s">
        <v>3142</v>
      </c>
      <c r="E47" s="122"/>
      <c r="F47" s="122"/>
      <c r="G47" s="122" t="s">
        <v>3143</v>
      </c>
      <c r="H47" s="122" t="s">
        <v>3144</v>
      </c>
      <c r="I47" s="122" t="s">
        <v>102</v>
      </c>
      <c r="J47" s="122" t="s">
        <v>1217</v>
      </c>
      <c r="K47" s="145">
        <v>44742</v>
      </c>
      <c r="L47" s="123">
        <v>632</v>
      </c>
      <c r="M47" s="123">
        <v>2089.3919999999998</v>
      </c>
      <c r="N47" s="123">
        <v>347.59998999999999</v>
      </c>
      <c r="O47" s="123">
        <v>1149.16556694</v>
      </c>
      <c r="P47" s="152">
        <v>0.54999998417721518</v>
      </c>
      <c r="Q47" s="154">
        <v>49490</v>
      </c>
      <c r="R47" s="159"/>
    </row>
    <row r="48" spans="1:18" ht="14.25" x14ac:dyDescent="0.2">
      <c r="A48" s="121" t="s">
        <v>1211</v>
      </c>
      <c r="B48" s="122" t="s">
        <v>1211</v>
      </c>
      <c r="C48" s="122" t="s">
        <v>248</v>
      </c>
      <c r="D48" s="122" t="s">
        <v>3016</v>
      </c>
      <c r="E48" s="122"/>
      <c r="F48" s="122"/>
      <c r="G48" s="122" t="s">
        <v>3066</v>
      </c>
      <c r="H48" s="122" t="s">
        <v>3067</v>
      </c>
      <c r="I48" s="122" t="s">
        <v>102</v>
      </c>
      <c r="J48" s="122" t="s">
        <v>1217</v>
      </c>
      <c r="K48" s="145">
        <v>44453</v>
      </c>
      <c r="L48" s="123">
        <v>800</v>
      </c>
      <c r="M48" s="123">
        <v>2644.8</v>
      </c>
      <c r="N48" s="123">
        <v>80</v>
      </c>
      <c r="O48" s="123">
        <v>264.48</v>
      </c>
      <c r="P48" s="152">
        <v>0.1</v>
      </c>
      <c r="Q48" s="154">
        <v>47745</v>
      </c>
      <c r="R48" s="159"/>
    </row>
    <row r="49" spans="1:18" ht="14.25" x14ac:dyDescent="0.2">
      <c r="A49" s="121" t="s">
        <v>1211</v>
      </c>
      <c r="B49" s="122" t="s">
        <v>1211</v>
      </c>
      <c r="C49" s="122" t="s">
        <v>248</v>
      </c>
      <c r="D49" s="122" t="s">
        <v>2889</v>
      </c>
      <c r="E49" s="122"/>
      <c r="F49" s="122"/>
      <c r="G49" s="122" t="s">
        <v>2890</v>
      </c>
      <c r="H49" s="122" t="s">
        <v>2891</v>
      </c>
      <c r="I49" s="122" t="s">
        <v>102</v>
      </c>
      <c r="J49" s="122" t="s">
        <v>1217</v>
      </c>
      <c r="K49" s="145">
        <v>43327</v>
      </c>
      <c r="L49" s="123">
        <v>439.85899999999998</v>
      </c>
      <c r="M49" s="123">
        <v>1454.1738540000001</v>
      </c>
      <c r="N49" s="123">
        <v>15.707000000000003</v>
      </c>
      <c r="O49" s="123">
        <v>51.927342000000003</v>
      </c>
      <c r="P49" s="152">
        <v>3.5709170438708769E-2</v>
      </c>
      <c r="Q49" s="154">
        <v>46965</v>
      </c>
      <c r="R49" s="159"/>
    </row>
    <row r="50" spans="1:18" ht="14.25" x14ac:dyDescent="0.2">
      <c r="A50" s="121" t="s">
        <v>1211</v>
      </c>
      <c r="B50" s="122" t="s">
        <v>1211</v>
      </c>
      <c r="C50" s="122" t="s">
        <v>248</v>
      </c>
      <c r="D50" s="122" t="s">
        <v>2947</v>
      </c>
      <c r="E50" s="122"/>
      <c r="F50" s="122"/>
      <c r="G50" s="122" t="s">
        <v>2948</v>
      </c>
      <c r="H50" s="122" t="s">
        <v>2949</v>
      </c>
      <c r="I50" s="122" t="s">
        <v>102</v>
      </c>
      <c r="J50" s="122" t="s">
        <v>1217</v>
      </c>
      <c r="K50" s="145">
        <v>43116</v>
      </c>
      <c r="L50" s="123">
        <v>230.84299999999999</v>
      </c>
      <c r="M50" s="123">
        <v>763.16695800000002</v>
      </c>
      <c r="N50" s="123">
        <v>27.386619999999997</v>
      </c>
      <c r="O50" s="123">
        <v>90.54016571999999</v>
      </c>
      <c r="P50" s="152">
        <v>0.11863742890189435</v>
      </c>
      <c r="Q50" s="154">
        <v>46752</v>
      </c>
      <c r="R50" s="159"/>
    </row>
    <row r="51" spans="1:18" ht="14.25" x14ac:dyDescent="0.2">
      <c r="A51" s="121" t="s">
        <v>1211</v>
      </c>
      <c r="B51" s="122" t="s">
        <v>1211</v>
      </c>
      <c r="C51" s="122" t="s">
        <v>248</v>
      </c>
      <c r="D51" s="122" t="s">
        <v>3195</v>
      </c>
      <c r="E51" s="122"/>
      <c r="F51" s="122"/>
      <c r="G51" s="122" t="s">
        <v>3196</v>
      </c>
      <c r="H51" s="122" t="s">
        <v>3197</v>
      </c>
      <c r="I51" s="122" t="s">
        <v>102</v>
      </c>
      <c r="J51" s="122" t="s">
        <v>1217</v>
      </c>
      <c r="K51" s="145">
        <v>44525</v>
      </c>
      <c r="L51" s="123">
        <v>160</v>
      </c>
      <c r="M51" s="123">
        <v>528.96</v>
      </c>
      <c r="N51" s="123">
        <v>9.9200000000000017</v>
      </c>
      <c r="O51" s="123">
        <v>32.795520000000003</v>
      </c>
      <c r="P51" s="152">
        <v>6.2000000000000006E-2</v>
      </c>
      <c r="Q51" s="154">
        <v>47073</v>
      </c>
      <c r="R51" s="159"/>
    </row>
    <row r="52" spans="1:18" ht="14.25" x14ac:dyDescent="0.2">
      <c r="A52" s="121" t="s">
        <v>1211</v>
      </c>
      <c r="B52" s="122" t="s">
        <v>1211</v>
      </c>
      <c r="C52" s="122" t="s">
        <v>248</v>
      </c>
      <c r="D52" s="122" t="s">
        <v>2884</v>
      </c>
      <c r="E52" s="122"/>
      <c r="F52" s="122"/>
      <c r="G52" s="122" t="s">
        <v>2885</v>
      </c>
      <c r="H52" s="122" t="s">
        <v>2886</v>
      </c>
      <c r="I52" s="122" t="s">
        <v>102</v>
      </c>
      <c r="J52" s="122" t="s">
        <v>1216</v>
      </c>
      <c r="K52" s="145">
        <v>44636</v>
      </c>
      <c r="L52" s="123">
        <v>2091.52</v>
      </c>
      <c r="M52" s="123">
        <v>2091.52</v>
      </c>
      <c r="N52" s="123">
        <v>1358.518</v>
      </c>
      <c r="O52" s="123">
        <v>1358.518</v>
      </c>
      <c r="P52" s="152">
        <v>0.64953622246022036</v>
      </c>
      <c r="Q52" s="154">
        <v>48290</v>
      </c>
      <c r="R52" s="159"/>
    </row>
    <row r="53" spans="1:18" ht="14.25" x14ac:dyDescent="0.2">
      <c r="A53" s="121" t="s">
        <v>1211</v>
      </c>
      <c r="B53" s="122" t="s">
        <v>1211</v>
      </c>
      <c r="C53" s="122" t="s">
        <v>248</v>
      </c>
      <c r="D53" s="122" t="s">
        <v>3033</v>
      </c>
      <c r="E53" s="122"/>
      <c r="F53" s="122"/>
      <c r="G53" s="122" t="s">
        <v>3034</v>
      </c>
      <c r="H53" s="122" t="s">
        <v>3035</v>
      </c>
      <c r="I53" s="122" t="s">
        <v>102</v>
      </c>
      <c r="J53" s="122" t="s">
        <v>1217</v>
      </c>
      <c r="K53" s="145">
        <v>43207</v>
      </c>
      <c r="L53" s="123">
        <v>379.13706000000002</v>
      </c>
      <c r="M53" s="123">
        <v>1253.4271203600001</v>
      </c>
      <c r="N53" s="123">
        <v>11.099529999999969</v>
      </c>
      <c r="O53" s="123">
        <v>36.695046179999906</v>
      </c>
      <c r="P53" s="152">
        <v>2.9275771669485359E-2</v>
      </c>
      <c r="Q53" s="154">
        <v>46842</v>
      </c>
      <c r="R53" s="159"/>
    </row>
    <row r="54" spans="1:18" ht="14.25" x14ac:dyDescent="0.2">
      <c r="A54" s="121" t="s">
        <v>1211</v>
      </c>
      <c r="B54" s="122" t="s">
        <v>1211</v>
      </c>
      <c r="C54" s="122" t="s">
        <v>248</v>
      </c>
      <c r="D54" s="122" t="s">
        <v>2878</v>
      </c>
      <c r="E54" s="122"/>
      <c r="F54" s="122"/>
      <c r="G54" s="122" t="s">
        <v>2879</v>
      </c>
      <c r="H54" s="122" t="s">
        <v>2880</v>
      </c>
      <c r="I54" s="122" t="s">
        <v>102</v>
      </c>
      <c r="J54" s="122" t="s">
        <v>1217</v>
      </c>
      <c r="K54" s="145">
        <v>43664</v>
      </c>
      <c r="L54" s="123">
        <v>458.536</v>
      </c>
      <c r="M54" s="123">
        <v>1515.920016</v>
      </c>
      <c r="N54" s="123">
        <v>93.986000000000004</v>
      </c>
      <c r="O54" s="123">
        <v>310.717716</v>
      </c>
      <c r="P54" s="152">
        <v>0.20496972974859118</v>
      </c>
      <c r="Q54" s="154">
        <v>46934</v>
      </c>
      <c r="R54" s="159"/>
    </row>
    <row r="55" spans="1:18" ht="14.25" x14ac:dyDescent="0.2">
      <c r="A55" s="121" t="s">
        <v>1211</v>
      </c>
      <c r="B55" s="122" t="s">
        <v>1211</v>
      </c>
      <c r="C55" s="122" t="s">
        <v>248</v>
      </c>
      <c r="D55" s="122" t="s">
        <v>3168</v>
      </c>
      <c r="E55" s="122"/>
      <c r="F55" s="122"/>
      <c r="G55" s="122" t="s">
        <v>3169</v>
      </c>
      <c r="H55" s="122" t="s">
        <v>3170</v>
      </c>
      <c r="I55" s="122" t="s">
        <v>102</v>
      </c>
      <c r="J55" s="122" t="s">
        <v>1218</v>
      </c>
      <c r="K55" s="145">
        <v>44029</v>
      </c>
      <c r="L55" s="123">
        <v>615.72400000000005</v>
      </c>
      <c r="M55" s="123">
        <v>2389.4401268000001</v>
      </c>
      <c r="N55" s="123">
        <v>44.538420000000045</v>
      </c>
      <c r="O55" s="123">
        <v>172.84024649400016</v>
      </c>
      <c r="P55" s="152">
        <v>7.2335039725591396E-2</v>
      </c>
      <c r="Q55" s="154">
        <v>46568</v>
      </c>
      <c r="R55" s="159"/>
    </row>
    <row r="56" spans="1:18" ht="14.25" x14ac:dyDescent="0.2">
      <c r="A56" s="121" t="s">
        <v>1211</v>
      </c>
      <c r="B56" s="122" t="s">
        <v>1211</v>
      </c>
      <c r="C56" s="122" t="s">
        <v>248</v>
      </c>
      <c r="D56" s="122" t="s">
        <v>3116</v>
      </c>
      <c r="E56" s="122"/>
      <c r="F56" s="122"/>
      <c r="G56" s="122" t="s">
        <v>3117</v>
      </c>
      <c r="H56" s="122" t="s">
        <v>3118</v>
      </c>
      <c r="I56" s="122" t="s">
        <v>102</v>
      </c>
      <c r="J56" s="122" t="s">
        <v>1217</v>
      </c>
      <c r="K56" s="145">
        <v>45124</v>
      </c>
      <c r="L56" s="123">
        <v>328.92</v>
      </c>
      <c r="M56" s="123">
        <v>1087.4095199999999</v>
      </c>
      <c r="N56" s="123">
        <v>33.869999999999997</v>
      </c>
      <c r="O56" s="123">
        <v>111.97422</v>
      </c>
      <c r="P56" s="152">
        <v>0.10297336738416636</v>
      </c>
      <c r="Q56" s="154">
        <v>47848</v>
      </c>
      <c r="R56" s="159"/>
    </row>
    <row r="57" spans="1:18" ht="14.25" x14ac:dyDescent="0.2">
      <c r="A57" s="121" t="s">
        <v>1211</v>
      </c>
      <c r="B57" s="122" t="s">
        <v>1211</v>
      </c>
      <c r="C57" s="122" t="s">
        <v>248</v>
      </c>
      <c r="D57" s="122" t="s">
        <v>2921</v>
      </c>
      <c r="E57" s="122"/>
      <c r="F57" s="122"/>
      <c r="G57" s="122" t="s">
        <v>2922</v>
      </c>
      <c r="H57" s="122" t="s">
        <v>2923</v>
      </c>
      <c r="I57" s="122" t="s">
        <v>102</v>
      </c>
      <c r="J57" s="122" t="s">
        <v>1217</v>
      </c>
      <c r="K57" s="145">
        <v>45215</v>
      </c>
      <c r="L57" s="123">
        <v>474</v>
      </c>
      <c r="M57" s="123">
        <v>1567.0440000000001</v>
      </c>
      <c r="N57" s="123">
        <v>267.81</v>
      </c>
      <c r="O57" s="123">
        <v>885.37986000000001</v>
      </c>
      <c r="P57" s="152">
        <v>0.56499999999999995</v>
      </c>
      <c r="Q57" s="154">
        <v>48869</v>
      </c>
      <c r="R57" s="159"/>
    </row>
    <row r="58" spans="1:18" ht="14.25" x14ac:dyDescent="0.2">
      <c r="A58" s="121" t="s">
        <v>1211</v>
      </c>
      <c r="B58" s="122" t="s">
        <v>1211</v>
      </c>
      <c r="C58" s="122" t="s">
        <v>248</v>
      </c>
      <c r="D58" s="122" t="s">
        <v>2977</v>
      </c>
      <c r="E58" s="122"/>
      <c r="F58" s="122"/>
      <c r="G58" s="122" t="s">
        <v>2978</v>
      </c>
      <c r="H58" s="122" t="s">
        <v>2979</v>
      </c>
      <c r="I58" s="122" t="s">
        <v>102</v>
      </c>
      <c r="J58" s="122" t="s">
        <v>1216</v>
      </c>
      <c r="K58" s="145">
        <v>42753</v>
      </c>
      <c r="L58" s="123">
        <v>1107.7021499999998</v>
      </c>
      <c r="M58" s="123">
        <v>1107.7021499999998</v>
      </c>
      <c r="N58" s="123">
        <v>83.097149999999914</v>
      </c>
      <c r="O58" s="123">
        <v>83.097149999999914</v>
      </c>
      <c r="P58" s="152">
        <v>7.5017593854087863E-2</v>
      </c>
      <c r="Q58" s="154">
        <v>45838</v>
      </c>
      <c r="R58" s="159"/>
    </row>
    <row r="59" spans="1:18" ht="14.25" x14ac:dyDescent="0.2">
      <c r="A59" s="121" t="s">
        <v>1211</v>
      </c>
      <c r="B59" s="122" t="s">
        <v>1211</v>
      </c>
      <c r="C59" s="122" t="s">
        <v>248</v>
      </c>
      <c r="D59" s="122" t="s">
        <v>2918</v>
      </c>
      <c r="E59" s="122"/>
      <c r="F59" s="122"/>
      <c r="G59" s="122" t="s">
        <v>2919</v>
      </c>
      <c r="H59" s="122" t="s">
        <v>2920</v>
      </c>
      <c r="I59" s="122" t="s">
        <v>102</v>
      </c>
      <c r="J59" s="122" t="s">
        <v>1216</v>
      </c>
      <c r="K59" s="145">
        <v>45034</v>
      </c>
      <c r="L59" s="123">
        <v>1580</v>
      </c>
      <c r="M59" s="123">
        <v>1580</v>
      </c>
      <c r="N59" s="123">
        <v>837.4</v>
      </c>
      <c r="O59" s="123">
        <v>837.4</v>
      </c>
      <c r="P59" s="152">
        <v>0.53</v>
      </c>
      <c r="Q59" s="154">
        <v>48944</v>
      </c>
      <c r="R59" s="159"/>
    </row>
    <row r="60" spans="1:18" ht="14.25" x14ac:dyDescent="0.2">
      <c r="A60" s="121" t="s">
        <v>1211</v>
      </c>
      <c r="B60" s="122" t="s">
        <v>1211</v>
      </c>
      <c r="C60" s="122" t="s">
        <v>248</v>
      </c>
      <c r="D60" s="122" t="s">
        <v>3054</v>
      </c>
      <c r="E60" s="122"/>
      <c r="F60" s="122"/>
      <c r="G60" s="122" t="s">
        <v>3055</v>
      </c>
      <c r="H60" s="122" t="s">
        <v>3056</v>
      </c>
      <c r="I60" s="122" t="s">
        <v>102</v>
      </c>
      <c r="J60" s="122" t="s">
        <v>1217</v>
      </c>
      <c r="K60" s="145">
        <v>44731</v>
      </c>
      <c r="L60" s="123">
        <v>640</v>
      </c>
      <c r="M60" s="123">
        <v>2115.84</v>
      </c>
      <c r="N60" s="123">
        <v>138.80071000000001</v>
      </c>
      <c r="O60" s="123">
        <v>458.87514726000006</v>
      </c>
      <c r="P60" s="152">
        <v>0.21687610937500001</v>
      </c>
      <c r="Q60" s="154">
        <v>47299</v>
      </c>
      <c r="R60" s="159"/>
    </row>
    <row r="61" spans="1:18" ht="14.25" x14ac:dyDescent="0.2">
      <c r="A61" s="121" t="s">
        <v>1211</v>
      </c>
      <c r="B61" s="122" t="s">
        <v>1211</v>
      </c>
      <c r="C61" s="122" t="s">
        <v>248</v>
      </c>
      <c r="D61" s="122" t="s">
        <v>3101</v>
      </c>
      <c r="E61" s="122"/>
      <c r="F61" s="122"/>
      <c r="G61" s="122" t="s">
        <v>3102</v>
      </c>
      <c r="H61" s="122" t="s">
        <v>3103</v>
      </c>
      <c r="I61" s="122" t="s">
        <v>102</v>
      </c>
      <c r="J61" s="122" t="s">
        <v>1218</v>
      </c>
      <c r="K61" s="145">
        <v>44427</v>
      </c>
      <c r="L61" s="123">
        <v>478.01</v>
      </c>
      <c r="M61" s="123">
        <v>1855.0134070000001</v>
      </c>
      <c r="N61" s="123">
        <v>65.744129999999998</v>
      </c>
      <c r="O61" s="123">
        <v>255.13324529100004</v>
      </c>
      <c r="P61" s="152">
        <v>0.13753714357440222</v>
      </c>
      <c r="Q61" s="154">
        <v>46265</v>
      </c>
      <c r="R61" s="159"/>
    </row>
    <row r="62" spans="1:18" ht="14.25" x14ac:dyDescent="0.2">
      <c r="A62" s="121" t="s">
        <v>1211</v>
      </c>
      <c r="B62" s="122" t="s">
        <v>1211</v>
      </c>
      <c r="C62" s="122" t="s">
        <v>248</v>
      </c>
      <c r="D62" s="122" t="s">
        <v>3010</v>
      </c>
      <c r="E62" s="122"/>
      <c r="F62" s="122"/>
      <c r="G62" s="122" t="s">
        <v>3011</v>
      </c>
      <c r="H62" s="122" t="s">
        <v>3012</v>
      </c>
      <c r="I62" s="122" t="s">
        <v>102</v>
      </c>
      <c r="J62" s="122" t="s">
        <v>1217</v>
      </c>
      <c r="K62" s="145">
        <v>43727</v>
      </c>
      <c r="L62" s="123">
        <v>756.35299999999995</v>
      </c>
      <c r="M62" s="123">
        <v>2500.5030180000003</v>
      </c>
      <c r="N62" s="123">
        <v>89.604810000000057</v>
      </c>
      <c r="O62" s="123">
        <v>296.23350186000022</v>
      </c>
      <c r="P62" s="152">
        <v>0.11846956381477967</v>
      </c>
      <c r="Q62" s="154">
        <v>47360</v>
      </c>
      <c r="R62" s="159"/>
    </row>
    <row r="63" spans="1:18" ht="14.25" x14ac:dyDescent="0.2">
      <c r="A63" s="121" t="s">
        <v>1211</v>
      </c>
      <c r="B63" s="122" t="s">
        <v>1211</v>
      </c>
      <c r="C63" s="122" t="s">
        <v>248</v>
      </c>
      <c r="D63" s="122" t="s">
        <v>2983</v>
      </c>
      <c r="E63" s="122"/>
      <c r="F63" s="122"/>
      <c r="G63" s="122" t="s">
        <v>2984</v>
      </c>
      <c r="H63" s="122" t="s">
        <v>2985</v>
      </c>
      <c r="I63" s="122" t="s">
        <v>102</v>
      </c>
      <c r="J63" s="122" t="s">
        <v>1217</v>
      </c>
      <c r="K63" s="145">
        <v>45757</v>
      </c>
      <c r="L63" s="123">
        <v>227.5</v>
      </c>
      <c r="M63" s="123">
        <v>752.11500000000001</v>
      </c>
      <c r="N63" s="123">
        <v>216.125</v>
      </c>
      <c r="O63" s="123">
        <v>714.50924999999995</v>
      </c>
      <c r="P63" s="152">
        <v>0.95</v>
      </c>
      <c r="Q63" s="154">
        <v>50505</v>
      </c>
      <c r="R63" s="159"/>
    </row>
    <row r="64" spans="1:18" ht="14.25" x14ac:dyDescent="0.2">
      <c r="A64" s="121" t="s">
        <v>1211</v>
      </c>
      <c r="B64" s="122" t="s">
        <v>1211</v>
      </c>
      <c r="C64" s="122" t="s">
        <v>248</v>
      </c>
      <c r="D64" s="122" t="s">
        <v>3016</v>
      </c>
      <c r="E64" s="122"/>
      <c r="F64" s="122"/>
      <c r="G64" s="122" t="s">
        <v>3154</v>
      </c>
      <c r="H64" s="122" t="s">
        <v>3155</v>
      </c>
      <c r="I64" s="122" t="s">
        <v>102</v>
      </c>
      <c r="J64" s="122" t="s">
        <v>1217</v>
      </c>
      <c r="K64" s="145">
        <v>45371</v>
      </c>
      <c r="L64" s="123">
        <v>525</v>
      </c>
      <c r="M64" s="123">
        <v>1735.65</v>
      </c>
      <c r="N64" s="123">
        <v>309.75</v>
      </c>
      <c r="O64" s="123">
        <v>1024.0335</v>
      </c>
      <c r="P64" s="152">
        <v>0.59</v>
      </c>
      <c r="Q64" s="154">
        <v>49023</v>
      </c>
      <c r="R64" s="159"/>
    </row>
    <row r="65" spans="1:18" ht="14.25" x14ac:dyDescent="0.2">
      <c r="A65" s="121" t="s">
        <v>1211</v>
      </c>
      <c r="B65" s="122" t="s">
        <v>1211</v>
      </c>
      <c r="C65" s="122" t="s">
        <v>248</v>
      </c>
      <c r="D65" s="122" t="s">
        <v>3107</v>
      </c>
      <c r="E65" s="122"/>
      <c r="F65" s="122"/>
      <c r="G65" s="122" t="s">
        <v>3108</v>
      </c>
      <c r="H65" s="122" t="s">
        <v>3109</v>
      </c>
      <c r="I65" s="122" t="s">
        <v>102</v>
      </c>
      <c r="J65" s="122" t="s">
        <v>1217</v>
      </c>
      <c r="K65" s="145">
        <v>43971</v>
      </c>
      <c r="L65" s="123">
        <v>626.04399999999998</v>
      </c>
      <c r="M65" s="123">
        <v>2069.7014639999998</v>
      </c>
      <c r="N65" s="123">
        <v>143.86340000000001</v>
      </c>
      <c r="O65" s="123">
        <v>475.61240040000013</v>
      </c>
      <c r="P65" s="152">
        <v>0.22979758611215831</v>
      </c>
      <c r="Q65" s="154">
        <v>46142</v>
      </c>
      <c r="R65" s="159"/>
    </row>
    <row r="66" spans="1:18" ht="14.25" x14ac:dyDescent="0.2">
      <c r="A66" s="121" t="s">
        <v>1211</v>
      </c>
      <c r="B66" s="122" t="s">
        <v>1211</v>
      </c>
      <c r="C66" s="122" t="s">
        <v>248</v>
      </c>
      <c r="D66" s="122" t="s">
        <v>3125</v>
      </c>
      <c r="E66" s="122"/>
      <c r="F66" s="122"/>
      <c r="G66" s="122" t="s">
        <v>3126</v>
      </c>
      <c r="H66" s="122" t="s">
        <v>3127</v>
      </c>
      <c r="I66" s="122" t="s">
        <v>102</v>
      </c>
      <c r="J66" s="122" t="s">
        <v>1217</v>
      </c>
      <c r="K66" s="145">
        <v>45218</v>
      </c>
      <c r="L66" s="123">
        <v>350</v>
      </c>
      <c r="M66" s="123">
        <v>1157.0999999999999</v>
      </c>
      <c r="N66" s="123">
        <v>19.604580000000016</v>
      </c>
      <c r="O66" s="123">
        <v>64.812741480000057</v>
      </c>
      <c r="P66" s="152">
        <v>5.601308571428576E-2</v>
      </c>
      <c r="Q66" s="154">
        <v>48884</v>
      </c>
      <c r="R66" s="159"/>
    </row>
    <row r="67" spans="1:18" ht="14.25" x14ac:dyDescent="0.2">
      <c r="A67" s="121" t="s">
        <v>1211</v>
      </c>
      <c r="B67" s="122" t="s">
        <v>1211</v>
      </c>
      <c r="C67" s="122" t="s">
        <v>248</v>
      </c>
      <c r="D67" s="122" t="s">
        <v>2857</v>
      </c>
      <c r="E67" s="122"/>
      <c r="F67" s="122"/>
      <c r="G67" s="122" t="s">
        <v>2959</v>
      </c>
      <c r="H67" s="122" t="s">
        <v>2960</v>
      </c>
      <c r="I67" s="122" t="s">
        <v>102</v>
      </c>
      <c r="J67" s="122" t="s">
        <v>1216</v>
      </c>
      <c r="K67" s="145">
        <v>45250</v>
      </c>
      <c r="L67" s="123">
        <v>2212</v>
      </c>
      <c r="M67" s="123">
        <v>2212</v>
      </c>
      <c r="N67" s="123">
        <v>1860.703</v>
      </c>
      <c r="O67" s="123">
        <v>1860.703</v>
      </c>
      <c r="P67" s="152">
        <v>0.84118580470162752</v>
      </c>
      <c r="Q67" s="154">
        <v>48913</v>
      </c>
      <c r="R67" s="159"/>
    </row>
    <row r="68" spans="1:18" ht="14.25" x14ac:dyDescent="0.2">
      <c r="A68" s="121" t="s">
        <v>1211</v>
      </c>
      <c r="B68" s="122" t="s">
        <v>1211</v>
      </c>
      <c r="C68" s="122" t="s">
        <v>248</v>
      </c>
      <c r="D68" s="122" t="s">
        <v>2906</v>
      </c>
      <c r="E68" s="122"/>
      <c r="F68" s="122"/>
      <c r="G68" s="122" t="s">
        <v>3077</v>
      </c>
      <c r="H68" s="122" t="s">
        <v>3078</v>
      </c>
      <c r="I68" s="122" t="s">
        <v>102</v>
      </c>
      <c r="J68" s="122" t="s">
        <v>1217</v>
      </c>
      <c r="K68" s="145">
        <v>44259</v>
      </c>
      <c r="L68" s="123">
        <v>771.72400000000005</v>
      </c>
      <c r="M68" s="123">
        <v>2551.3195440000004</v>
      </c>
      <c r="N68" s="123">
        <v>322.61500000000001</v>
      </c>
      <c r="O68" s="123">
        <v>1066.56519</v>
      </c>
      <c r="P68" s="152">
        <v>0.41804453405621694</v>
      </c>
      <c r="Q68" s="154">
        <v>47907</v>
      </c>
      <c r="R68" s="159"/>
    </row>
    <row r="69" spans="1:18" ht="14.25" x14ac:dyDescent="0.2">
      <c r="A69" s="121" t="s">
        <v>1211</v>
      </c>
      <c r="B69" s="122" t="s">
        <v>1211</v>
      </c>
      <c r="C69" s="122" t="s">
        <v>248</v>
      </c>
      <c r="D69" s="122" t="s">
        <v>3068</v>
      </c>
      <c r="E69" s="122"/>
      <c r="F69" s="122"/>
      <c r="G69" s="122" t="s">
        <v>3069</v>
      </c>
      <c r="H69" s="122" t="s">
        <v>3070</v>
      </c>
      <c r="I69" s="122" t="s">
        <v>102</v>
      </c>
      <c r="J69" s="122" t="s">
        <v>1218</v>
      </c>
      <c r="K69" s="145">
        <v>44613</v>
      </c>
      <c r="L69" s="123">
        <v>384</v>
      </c>
      <c r="M69" s="123">
        <v>1490.1888000000001</v>
      </c>
      <c r="N69" s="123">
        <v>71.040609999999987</v>
      </c>
      <c r="O69" s="123">
        <v>275.68729522699999</v>
      </c>
      <c r="P69" s="152">
        <v>0.18500158854166665</v>
      </c>
      <c r="Q69" s="154">
        <v>48265</v>
      </c>
      <c r="R69" s="159"/>
    </row>
    <row r="70" spans="1:18" ht="14.25" x14ac:dyDescent="0.2">
      <c r="A70" s="121" t="s">
        <v>1211</v>
      </c>
      <c r="B70" s="122" t="s">
        <v>1211</v>
      </c>
      <c r="C70" s="122" t="s">
        <v>248</v>
      </c>
      <c r="D70" s="122" t="s">
        <v>3232</v>
      </c>
      <c r="E70" s="122"/>
      <c r="F70" s="122"/>
      <c r="G70" s="122" t="s">
        <v>3233</v>
      </c>
      <c r="H70" s="122" t="s">
        <v>3234</v>
      </c>
      <c r="I70" s="122" t="s">
        <v>102</v>
      </c>
      <c r="J70" s="122" t="s">
        <v>1217</v>
      </c>
      <c r="K70" s="145">
        <v>45749</v>
      </c>
      <c r="L70" s="123">
        <v>426.34199999999998</v>
      </c>
      <c r="M70" s="123">
        <v>1409.486652</v>
      </c>
      <c r="N70" s="123">
        <v>321.94453000000004</v>
      </c>
      <c r="O70" s="123">
        <v>1064.3486161800001</v>
      </c>
      <c r="P70" s="152">
        <v>0.75513210052023971</v>
      </c>
      <c r="Q70" s="154">
        <v>46844</v>
      </c>
      <c r="R70" s="159"/>
    </row>
    <row r="71" spans="1:18" ht="14.25" x14ac:dyDescent="0.2">
      <c r="A71" s="121" t="s">
        <v>1211</v>
      </c>
      <c r="B71" s="122" t="s">
        <v>1211</v>
      </c>
      <c r="C71" s="122" t="s">
        <v>248</v>
      </c>
      <c r="D71" s="122" t="s">
        <v>3207</v>
      </c>
      <c r="E71" s="122"/>
      <c r="F71" s="122"/>
      <c r="G71" s="122" t="s">
        <v>3208</v>
      </c>
      <c r="H71" s="122" t="s">
        <v>3209</v>
      </c>
      <c r="I71" s="122" t="s">
        <v>102</v>
      </c>
      <c r="J71" s="122" t="s">
        <v>1217</v>
      </c>
      <c r="K71" s="145">
        <v>45799</v>
      </c>
      <c r="L71" s="123">
        <v>350</v>
      </c>
      <c r="M71" s="123">
        <v>1157.0999999999999</v>
      </c>
      <c r="N71" s="123">
        <v>214.053</v>
      </c>
      <c r="O71" s="123">
        <v>707.65921800000001</v>
      </c>
      <c r="P71" s="152">
        <v>0.61158000000000001</v>
      </c>
      <c r="Q71" s="154">
        <v>49451</v>
      </c>
      <c r="R71" s="159"/>
    </row>
    <row r="72" spans="1:18" ht="14.25" x14ac:dyDescent="0.2">
      <c r="A72" s="121" t="s">
        <v>1211</v>
      </c>
      <c r="B72" s="122" t="s">
        <v>1211</v>
      </c>
      <c r="C72" s="122" t="s">
        <v>248</v>
      </c>
      <c r="D72" s="122" t="s">
        <v>2980</v>
      </c>
      <c r="E72" s="122"/>
      <c r="F72" s="122"/>
      <c r="G72" s="122" t="s">
        <v>2981</v>
      </c>
      <c r="H72" s="122" t="s">
        <v>2982</v>
      </c>
      <c r="I72" s="122" t="s">
        <v>102</v>
      </c>
      <c r="J72" s="122" t="s">
        <v>1217</v>
      </c>
      <c r="K72" s="145">
        <v>45830</v>
      </c>
      <c r="L72" s="123">
        <v>350</v>
      </c>
      <c r="M72" s="123">
        <v>1157.0999999999999</v>
      </c>
      <c r="N72" s="123">
        <v>324.72000000000003</v>
      </c>
      <c r="O72" s="123">
        <v>1073.52432</v>
      </c>
      <c r="P72" s="152">
        <v>0.92777142857142858</v>
      </c>
      <c r="Q72" s="154">
        <v>48753</v>
      </c>
      <c r="R72" s="159"/>
    </row>
    <row r="73" spans="1:18" ht="14.25" x14ac:dyDescent="0.2">
      <c r="A73" s="121" t="s">
        <v>1211</v>
      </c>
      <c r="B73" s="122" t="s">
        <v>1211</v>
      </c>
      <c r="C73" s="122" t="s">
        <v>248</v>
      </c>
      <c r="D73" s="122" t="s">
        <v>102</v>
      </c>
      <c r="E73" s="122"/>
      <c r="F73" s="122"/>
      <c r="G73" s="122" t="s">
        <v>3005</v>
      </c>
      <c r="H73" s="122" t="s">
        <v>3006</v>
      </c>
      <c r="I73" s="122" t="s">
        <v>102</v>
      </c>
      <c r="J73" s="122" t="s">
        <v>1217</v>
      </c>
      <c r="K73" s="145">
        <v>43761</v>
      </c>
      <c r="L73" s="123">
        <v>954.55601000000001</v>
      </c>
      <c r="M73" s="123">
        <v>3155.7621690600004</v>
      </c>
      <c r="N73" s="123">
        <v>181.05277000000001</v>
      </c>
      <c r="O73" s="123">
        <v>598.56045762000008</v>
      </c>
      <c r="P73" s="152">
        <v>0.18967223306257328</v>
      </c>
      <c r="Q73" s="154">
        <v>47422</v>
      </c>
      <c r="R73" s="159"/>
    </row>
    <row r="74" spans="1:18" ht="14.25" x14ac:dyDescent="0.2">
      <c r="A74" s="121" t="s">
        <v>1211</v>
      </c>
      <c r="B74" s="122" t="s">
        <v>1211</v>
      </c>
      <c r="C74" s="122" t="s">
        <v>248</v>
      </c>
      <c r="D74" s="122" t="s">
        <v>3222</v>
      </c>
      <c r="E74" s="122"/>
      <c r="F74" s="122"/>
      <c r="G74" s="122" t="s">
        <v>3223</v>
      </c>
      <c r="H74" s="122" t="s">
        <v>3224</v>
      </c>
      <c r="I74" s="122" t="s">
        <v>102</v>
      </c>
      <c r="J74" s="122" t="s">
        <v>1218</v>
      </c>
      <c r="K74" s="145">
        <v>43335</v>
      </c>
      <c r="L74" s="123">
        <v>323.57382195616543</v>
      </c>
      <c r="M74" s="123">
        <v>1255.6929308652914</v>
      </c>
      <c r="N74" s="123">
        <v>21.564231956165401</v>
      </c>
      <c r="O74" s="123">
        <v>83.684314952291075</v>
      </c>
      <c r="P74" s="152">
        <v>6.6643932521484095E-2</v>
      </c>
      <c r="Q74" s="154">
        <v>46965</v>
      </c>
      <c r="R74" s="159"/>
    </row>
    <row r="75" spans="1:18" ht="14.25" x14ac:dyDescent="0.2">
      <c r="A75" s="121" t="s">
        <v>1211</v>
      </c>
      <c r="B75" s="122" t="s">
        <v>1211</v>
      </c>
      <c r="C75" s="122" t="s">
        <v>248</v>
      </c>
      <c r="D75" s="122" t="s">
        <v>3039</v>
      </c>
      <c r="E75" s="122"/>
      <c r="F75" s="122"/>
      <c r="G75" s="122" t="s">
        <v>3040</v>
      </c>
      <c r="H75" s="122" t="s">
        <v>3041</v>
      </c>
      <c r="I75" s="122" t="s">
        <v>102</v>
      </c>
      <c r="J75" s="122" t="s">
        <v>1217</v>
      </c>
      <c r="K75" s="145">
        <v>43914</v>
      </c>
      <c r="L75" s="123">
        <v>388.78376502731788</v>
      </c>
      <c r="M75" s="123">
        <v>1285.3191271803128</v>
      </c>
      <c r="N75" s="123">
        <v>10.617585027317867</v>
      </c>
      <c r="O75" s="123">
        <v>35.10173610031287</v>
      </c>
      <c r="P75" s="152">
        <v>2.7309743827836595E-2</v>
      </c>
      <c r="Q75" s="154">
        <v>47542</v>
      </c>
      <c r="R75" s="159"/>
    </row>
    <row r="76" spans="1:18" ht="14.25" x14ac:dyDescent="0.2">
      <c r="A76" s="121" t="s">
        <v>1211</v>
      </c>
      <c r="B76" s="122" t="s">
        <v>1211</v>
      </c>
      <c r="C76" s="122" t="s">
        <v>248</v>
      </c>
      <c r="D76" s="122" t="s">
        <v>3238</v>
      </c>
      <c r="E76" s="122"/>
      <c r="F76" s="122"/>
      <c r="G76" s="122" t="s">
        <v>3239</v>
      </c>
      <c r="H76" s="122" t="s">
        <v>3240</v>
      </c>
      <c r="I76" s="122" t="s">
        <v>102</v>
      </c>
      <c r="J76" s="122" t="s">
        <v>1217</v>
      </c>
      <c r="K76" s="145">
        <v>45771</v>
      </c>
      <c r="L76" s="123">
        <v>350</v>
      </c>
      <c r="M76" s="123">
        <v>1157.0999999999999</v>
      </c>
      <c r="N76" s="123">
        <v>233.42599999999999</v>
      </c>
      <c r="O76" s="123">
        <v>771.70635600000003</v>
      </c>
      <c r="P76" s="152">
        <v>0.66693142857142862</v>
      </c>
      <c r="Q76" s="154">
        <v>49423</v>
      </c>
      <c r="R76" s="159"/>
    </row>
    <row r="77" spans="1:18" ht="14.25" x14ac:dyDescent="0.2">
      <c r="A77" s="121" t="s">
        <v>1211</v>
      </c>
      <c r="B77" s="122" t="s">
        <v>1211</v>
      </c>
      <c r="C77" s="122" t="s">
        <v>248</v>
      </c>
      <c r="D77" s="122" t="s">
        <v>3253</v>
      </c>
      <c r="E77" s="122"/>
      <c r="F77" s="122"/>
      <c r="G77" s="122" t="s">
        <v>3254</v>
      </c>
      <c r="H77" s="122" t="s">
        <v>3255</v>
      </c>
      <c r="I77" s="122" t="s">
        <v>102</v>
      </c>
      <c r="J77" s="122" t="s">
        <v>1217</v>
      </c>
      <c r="K77" s="145">
        <v>45832</v>
      </c>
      <c r="L77" s="123">
        <v>350</v>
      </c>
      <c r="M77" s="123">
        <v>1157.0999999999999</v>
      </c>
      <c r="N77" s="123">
        <v>295.75</v>
      </c>
      <c r="O77" s="123">
        <v>977.74950000000001</v>
      </c>
      <c r="P77" s="152">
        <v>0.84499999999999997</v>
      </c>
      <c r="Q77" s="154">
        <v>48945</v>
      </c>
      <c r="R77" s="159"/>
    </row>
    <row r="78" spans="1:18" ht="14.25" x14ac:dyDescent="0.2">
      <c r="A78" s="121" t="s">
        <v>1211</v>
      </c>
      <c r="B78" s="122" t="s">
        <v>1211</v>
      </c>
      <c r="C78" s="122" t="s">
        <v>248</v>
      </c>
      <c r="D78" s="122" t="s">
        <v>2906</v>
      </c>
      <c r="E78" s="122"/>
      <c r="F78" s="122"/>
      <c r="G78" s="122" t="s">
        <v>3031</v>
      </c>
      <c r="H78" s="122" t="s">
        <v>3032</v>
      </c>
      <c r="I78" s="122" t="s">
        <v>102</v>
      </c>
      <c r="J78" s="122" t="s">
        <v>1217</v>
      </c>
      <c r="K78" s="145">
        <v>44858</v>
      </c>
      <c r="L78" s="123">
        <v>593.41</v>
      </c>
      <c r="M78" s="123">
        <v>1961.8134599999998</v>
      </c>
      <c r="N78" s="123">
        <v>47.567999999999991</v>
      </c>
      <c r="O78" s="123">
        <v>157.25980799999999</v>
      </c>
      <c r="P78" s="152">
        <v>8.0160428708650006E-2</v>
      </c>
      <c r="Q78" s="154">
        <v>49096</v>
      </c>
      <c r="R78" s="159"/>
    </row>
    <row r="79" spans="1:18" ht="14.25" x14ac:dyDescent="0.2">
      <c r="A79" s="121" t="s">
        <v>1211</v>
      </c>
      <c r="B79" s="122" t="s">
        <v>1211</v>
      </c>
      <c r="C79" s="122" t="s">
        <v>248</v>
      </c>
      <c r="D79" s="122" t="s">
        <v>2935</v>
      </c>
      <c r="E79" s="122"/>
      <c r="F79" s="122"/>
      <c r="G79" s="122" t="s">
        <v>2936</v>
      </c>
      <c r="H79" s="122" t="s">
        <v>2937</v>
      </c>
      <c r="I79" s="122" t="s">
        <v>102</v>
      </c>
      <c r="J79" s="122" t="s">
        <v>1217</v>
      </c>
      <c r="K79" s="145">
        <v>44524</v>
      </c>
      <c r="L79" s="123">
        <v>320</v>
      </c>
      <c r="M79" s="123">
        <v>1057.92</v>
      </c>
      <c r="N79" s="123">
        <v>32</v>
      </c>
      <c r="O79" s="123">
        <v>105.792</v>
      </c>
      <c r="P79" s="152">
        <v>0.1</v>
      </c>
      <c r="Q79" s="154">
        <v>47081</v>
      </c>
      <c r="R79" s="159"/>
    </row>
    <row r="80" spans="1:18" ht="14.25" x14ac:dyDescent="0.2">
      <c r="A80" s="121" t="s">
        <v>1211</v>
      </c>
      <c r="B80" s="122" t="s">
        <v>1211</v>
      </c>
      <c r="C80" s="122" t="s">
        <v>248</v>
      </c>
      <c r="D80" s="122" t="s">
        <v>102</v>
      </c>
      <c r="E80" s="122"/>
      <c r="F80" s="122"/>
      <c r="G80" s="122" t="s">
        <v>3230</v>
      </c>
      <c r="H80" s="122" t="s">
        <v>3231</v>
      </c>
      <c r="I80" s="122" t="s">
        <v>102</v>
      </c>
      <c r="J80" s="122" t="s">
        <v>1217</v>
      </c>
      <c r="K80" s="145">
        <v>43521</v>
      </c>
      <c r="L80" s="123">
        <v>345.98628293375236</v>
      </c>
      <c r="M80" s="123">
        <v>1143.8306513789853</v>
      </c>
      <c r="N80" s="123">
        <v>51.231392933752332</v>
      </c>
      <c r="O80" s="123">
        <v>169.3709850389852</v>
      </c>
      <c r="P80" s="152">
        <v>0.14807347996383385</v>
      </c>
      <c r="Q80" s="154">
        <v>47149</v>
      </c>
      <c r="R80" s="159"/>
    </row>
    <row r="81" spans="1:18" ht="14.25" x14ac:dyDescent="0.2">
      <c r="A81" s="121" t="s">
        <v>1211</v>
      </c>
      <c r="B81" s="122" t="s">
        <v>1211</v>
      </c>
      <c r="C81" s="122" t="s">
        <v>248</v>
      </c>
      <c r="D81" s="122" t="s">
        <v>3081</v>
      </c>
      <c r="E81" s="122"/>
      <c r="F81" s="122"/>
      <c r="G81" s="122" t="s">
        <v>3082</v>
      </c>
      <c r="H81" s="122" t="s">
        <v>3083</v>
      </c>
      <c r="I81" s="122" t="s">
        <v>102</v>
      </c>
      <c r="J81" s="122" t="s">
        <v>1217</v>
      </c>
      <c r="K81" s="145">
        <v>44342</v>
      </c>
      <c r="L81" s="123">
        <v>637.88091000000009</v>
      </c>
      <c r="M81" s="123">
        <v>2108.8342884600002</v>
      </c>
      <c r="N81" s="123">
        <v>69.58384000000008</v>
      </c>
      <c r="O81" s="123">
        <v>230.04417504000028</v>
      </c>
      <c r="P81" s="152">
        <v>0.10908594207655484</v>
      </c>
      <c r="Q81" s="154">
        <v>47995</v>
      </c>
      <c r="R81" s="159"/>
    </row>
    <row r="82" spans="1:18" ht="14.25" x14ac:dyDescent="0.2">
      <c r="A82" s="121" t="s">
        <v>1211</v>
      </c>
      <c r="B82" s="122" t="s">
        <v>1211</v>
      </c>
      <c r="C82" s="122" t="s">
        <v>248</v>
      </c>
      <c r="D82" s="122" t="s">
        <v>3139</v>
      </c>
      <c r="E82" s="122"/>
      <c r="F82" s="122"/>
      <c r="G82" s="122" t="s">
        <v>3140</v>
      </c>
      <c r="H82" s="122" t="s">
        <v>3141</v>
      </c>
      <c r="I82" s="122" t="s">
        <v>102</v>
      </c>
      <c r="J82" s="122" t="s">
        <v>1217</v>
      </c>
      <c r="K82" s="145">
        <v>44769</v>
      </c>
      <c r="L82" s="123">
        <v>379.2</v>
      </c>
      <c r="M82" s="123">
        <v>1253.6351999999999</v>
      </c>
      <c r="N82" s="123">
        <v>5.6880000000000006</v>
      </c>
      <c r="O82" s="123">
        <v>18.804528000000001</v>
      </c>
      <c r="P82" s="152">
        <v>1.5000000000000003E-2</v>
      </c>
      <c r="Q82" s="154">
        <v>48352</v>
      </c>
      <c r="R82" s="159"/>
    </row>
    <row r="83" spans="1:18" ht="14.25" x14ac:dyDescent="0.2">
      <c r="A83" s="121" t="s">
        <v>1211</v>
      </c>
      <c r="B83" s="122" t="s">
        <v>1211</v>
      </c>
      <c r="C83" s="122" t="s">
        <v>248</v>
      </c>
      <c r="D83" s="122" t="s">
        <v>3217</v>
      </c>
      <c r="E83" s="122"/>
      <c r="F83" s="122"/>
      <c r="G83" s="122" t="s">
        <v>3218</v>
      </c>
      <c r="H83" s="122" t="s">
        <v>3219</v>
      </c>
      <c r="I83" s="122" t="s">
        <v>102</v>
      </c>
      <c r="J83" s="122" t="s">
        <v>1217</v>
      </c>
      <c r="K83" s="145">
        <v>45498</v>
      </c>
      <c r="L83" s="123">
        <v>395</v>
      </c>
      <c r="M83" s="123">
        <v>1305.8699999999999</v>
      </c>
      <c r="N83" s="123">
        <v>266.625</v>
      </c>
      <c r="O83" s="123">
        <v>881.46225000000004</v>
      </c>
      <c r="P83" s="152">
        <v>0.67500000000000004</v>
      </c>
      <c r="Q83" s="154">
        <v>49150</v>
      </c>
      <c r="R83" s="159"/>
    </row>
    <row r="84" spans="1:18" ht="14.25" x14ac:dyDescent="0.2">
      <c r="A84" s="121" t="s">
        <v>1211</v>
      </c>
      <c r="B84" s="122" t="s">
        <v>1211</v>
      </c>
      <c r="C84" s="122" t="s">
        <v>248</v>
      </c>
      <c r="D84" s="122" t="s">
        <v>2956</v>
      </c>
      <c r="E84" s="122"/>
      <c r="F84" s="122"/>
      <c r="G84" s="122" t="s">
        <v>2957</v>
      </c>
      <c r="H84" s="122" t="s">
        <v>2958</v>
      </c>
      <c r="I84" s="122" t="s">
        <v>102</v>
      </c>
      <c r="J84" s="122" t="s">
        <v>1216</v>
      </c>
      <c r="K84" s="145">
        <v>43398</v>
      </c>
      <c r="L84" s="123">
        <v>1188.7078000000001</v>
      </c>
      <c r="M84" s="123">
        <v>1188.7078000000001</v>
      </c>
      <c r="N84" s="123">
        <v>290.66780000000006</v>
      </c>
      <c r="O84" s="123">
        <v>290.66780000000006</v>
      </c>
      <c r="P84" s="152">
        <v>0.24452417995406445</v>
      </c>
      <c r="Q84" s="154">
        <v>47026</v>
      </c>
      <c r="R84" s="159"/>
    </row>
    <row r="85" spans="1:18" ht="14.25" x14ac:dyDescent="0.2">
      <c r="A85" s="121" t="s">
        <v>1211</v>
      </c>
      <c r="B85" s="122" t="s">
        <v>1211</v>
      </c>
      <c r="C85" s="122" t="s">
        <v>248</v>
      </c>
      <c r="D85" s="122" t="s">
        <v>3171</v>
      </c>
      <c r="E85" s="122"/>
      <c r="F85" s="122"/>
      <c r="G85" s="122" t="s">
        <v>3172</v>
      </c>
      <c r="H85" s="122" t="s">
        <v>3173</v>
      </c>
      <c r="I85" s="122" t="s">
        <v>102</v>
      </c>
      <c r="J85" s="122" t="s">
        <v>1217</v>
      </c>
      <c r="K85" s="145">
        <v>44525</v>
      </c>
      <c r="L85" s="123">
        <v>224</v>
      </c>
      <c r="M85" s="123">
        <v>740.54399999999998</v>
      </c>
      <c r="N85" s="123">
        <v>14.336</v>
      </c>
      <c r="O85" s="123">
        <v>47.394815999999999</v>
      </c>
      <c r="P85" s="152">
        <v>6.4000000000000001E-2</v>
      </c>
      <c r="Q85" s="154">
        <v>47082</v>
      </c>
      <c r="R85" s="159"/>
    </row>
    <row r="86" spans="1:18" ht="14.25" x14ac:dyDescent="0.2">
      <c r="A86" s="121" t="s">
        <v>1211</v>
      </c>
      <c r="B86" s="122" t="s">
        <v>1211</v>
      </c>
      <c r="C86" s="122" t="s">
        <v>248</v>
      </c>
      <c r="D86" s="122" t="s">
        <v>3051</v>
      </c>
      <c r="E86" s="122"/>
      <c r="F86" s="122"/>
      <c r="G86" s="122" t="s">
        <v>3052</v>
      </c>
      <c r="H86" s="122" t="s">
        <v>3053</v>
      </c>
      <c r="I86" s="122" t="s">
        <v>102</v>
      </c>
      <c r="J86" s="122" t="s">
        <v>1217</v>
      </c>
      <c r="K86" s="145">
        <v>44315</v>
      </c>
      <c r="L86" s="123">
        <v>474.82</v>
      </c>
      <c r="M86" s="123">
        <v>1569.7549199999999</v>
      </c>
      <c r="N86" s="123">
        <v>73.510989999999993</v>
      </c>
      <c r="O86" s="123">
        <v>243.02733293999995</v>
      </c>
      <c r="P86" s="152">
        <v>0.15481864706625667</v>
      </c>
      <c r="Q86" s="154">
        <v>47968</v>
      </c>
      <c r="R86" s="159"/>
    </row>
    <row r="87" spans="1:18" ht="14.25" x14ac:dyDescent="0.2">
      <c r="A87" s="121" t="s">
        <v>1211</v>
      </c>
      <c r="B87" s="122" t="s">
        <v>1211</v>
      </c>
      <c r="C87" s="122" t="s">
        <v>248</v>
      </c>
      <c r="D87" s="122" t="s">
        <v>2866</v>
      </c>
      <c r="E87" s="122"/>
      <c r="F87" s="122"/>
      <c r="G87" s="122" t="s">
        <v>2892</v>
      </c>
      <c r="H87" s="122" t="s">
        <v>2893</v>
      </c>
      <c r="I87" s="122" t="s">
        <v>102</v>
      </c>
      <c r="J87" s="122" t="s">
        <v>1216</v>
      </c>
      <c r="K87" s="145">
        <v>43611</v>
      </c>
      <c r="L87" s="123">
        <v>1345.0129999999999</v>
      </c>
      <c r="M87" s="123">
        <v>1345.0129999999999</v>
      </c>
      <c r="N87" s="123">
        <v>57.094000000000001</v>
      </c>
      <c r="O87" s="123">
        <v>57.094000000000001</v>
      </c>
      <c r="P87" s="152">
        <v>4.2448660347520803E-2</v>
      </c>
      <c r="Q87" s="154">
        <v>47238</v>
      </c>
      <c r="R87" s="159"/>
    </row>
    <row r="88" spans="1:18" ht="14.25" x14ac:dyDescent="0.2">
      <c r="A88" s="121" t="s">
        <v>1211</v>
      </c>
      <c r="B88" s="122" t="s">
        <v>1211</v>
      </c>
      <c r="C88" s="122" t="s">
        <v>248</v>
      </c>
      <c r="D88" s="122" t="s">
        <v>3162</v>
      </c>
      <c r="E88" s="122"/>
      <c r="F88" s="122"/>
      <c r="G88" s="122" t="s">
        <v>3163</v>
      </c>
      <c r="H88" s="122" t="s">
        <v>3164</v>
      </c>
      <c r="I88" s="122" t="s">
        <v>102</v>
      </c>
      <c r="J88" s="122" t="s">
        <v>1217</v>
      </c>
      <c r="K88" s="145">
        <v>44769</v>
      </c>
      <c r="L88" s="123">
        <v>268.60000000000002</v>
      </c>
      <c r="M88" s="123">
        <v>887.99159999999995</v>
      </c>
      <c r="N88" s="123">
        <v>65.918299999999988</v>
      </c>
      <c r="O88" s="123">
        <v>217.92589979999997</v>
      </c>
      <c r="P88" s="152">
        <v>0.24541437081161574</v>
      </c>
      <c r="Q88" s="154">
        <v>48055</v>
      </c>
      <c r="R88" s="159"/>
    </row>
    <row r="89" spans="1:18" ht="14.25" x14ac:dyDescent="0.2">
      <c r="A89" s="121" t="s">
        <v>1211</v>
      </c>
      <c r="B89" s="122" t="s">
        <v>1211</v>
      </c>
      <c r="C89" s="122" t="s">
        <v>248</v>
      </c>
      <c r="D89" s="122" t="s">
        <v>3183</v>
      </c>
      <c r="E89" s="122"/>
      <c r="F89" s="122"/>
      <c r="G89" s="122" t="s">
        <v>3184</v>
      </c>
      <c r="H89" s="122" t="s">
        <v>3185</v>
      </c>
      <c r="I89" s="122" t="s">
        <v>102</v>
      </c>
      <c r="J89" s="122" t="s">
        <v>1217</v>
      </c>
      <c r="K89" s="145">
        <v>44525</v>
      </c>
      <c r="L89" s="123">
        <v>318.20400000000001</v>
      </c>
      <c r="M89" s="123">
        <v>1051.982424</v>
      </c>
      <c r="N89" s="123">
        <v>147.66499999999999</v>
      </c>
      <c r="O89" s="123">
        <v>488.18048999999996</v>
      </c>
      <c r="P89" s="152">
        <v>0.46405764855250087</v>
      </c>
      <c r="Q89" s="154">
        <v>47083</v>
      </c>
      <c r="R89" s="159"/>
    </row>
    <row r="90" spans="1:18" ht="14.25" x14ac:dyDescent="0.2">
      <c r="A90" s="121" t="s">
        <v>1211</v>
      </c>
      <c r="B90" s="122" t="s">
        <v>1211</v>
      </c>
      <c r="C90" s="122" t="s">
        <v>248</v>
      </c>
      <c r="D90" s="122" t="s">
        <v>3227</v>
      </c>
      <c r="E90" s="122"/>
      <c r="F90" s="122"/>
      <c r="G90" s="122" t="s">
        <v>3228</v>
      </c>
      <c r="H90" s="122" t="s">
        <v>3229</v>
      </c>
      <c r="I90" s="122" t="s">
        <v>102</v>
      </c>
      <c r="J90" s="122" t="s">
        <v>1217</v>
      </c>
      <c r="K90" s="145">
        <v>45350</v>
      </c>
      <c r="L90" s="123">
        <v>350</v>
      </c>
      <c r="M90" s="123">
        <v>1157.0999999999999</v>
      </c>
      <c r="N90" s="123">
        <v>235.98194000000001</v>
      </c>
      <c r="O90" s="123">
        <v>780.15629364000006</v>
      </c>
      <c r="P90" s="152">
        <v>0.67423411428571434</v>
      </c>
      <c r="Q90" s="154">
        <v>49003</v>
      </c>
      <c r="R90" s="159"/>
    </row>
    <row r="91" spans="1:18" ht="14.25" x14ac:dyDescent="0.2">
      <c r="A91" s="121" t="s">
        <v>1211</v>
      </c>
      <c r="B91" s="122" t="s">
        <v>1211</v>
      </c>
      <c r="C91" s="122" t="s">
        <v>248</v>
      </c>
      <c r="D91" s="122" t="s">
        <v>3156</v>
      </c>
      <c r="E91" s="122"/>
      <c r="F91" s="122"/>
      <c r="G91" s="122" t="s">
        <v>3157</v>
      </c>
      <c r="H91" s="122" t="s">
        <v>3158</v>
      </c>
      <c r="I91" s="122" t="s">
        <v>102</v>
      </c>
      <c r="J91" s="122" t="s">
        <v>1217</v>
      </c>
      <c r="K91" s="145">
        <v>45012</v>
      </c>
      <c r="L91" s="123">
        <v>252.8</v>
      </c>
      <c r="M91" s="123">
        <v>835.7568</v>
      </c>
      <c r="N91" s="123">
        <v>44.484000000000002</v>
      </c>
      <c r="O91" s="123">
        <v>147.06410399999999</v>
      </c>
      <c r="P91" s="152">
        <v>0.17596518987341769</v>
      </c>
      <c r="Q91" s="154">
        <v>47543</v>
      </c>
      <c r="R91" s="159"/>
    </row>
    <row r="92" spans="1:18" ht="14.25" x14ac:dyDescent="0.2">
      <c r="A92" s="121" t="s">
        <v>1211</v>
      </c>
      <c r="B92" s="122" t="s">
        <v>1211</v>
      </c>
      <c r="C92" s="122" t="s">
        <v>248</v>
      </c>
      <c r="D92" s="122" t="s">
        <v>102</v>
      </c>
      <c r="E92" s="122"/>
      <c r="F92" s="122"/>
      <c r="G92" s="122" t="s">
        <v>3079</v>
      </c>
      <c r="H92" s="122" t="s">
        <v>3080</v>
      </c>
      <c r="I92" s="122" t="s">
        <v>102</v>
      </c>
      <c r="J92" s="122" t="s">
        <v>1217</v>
      </c>
      <c r="K92" s="145">
        <v>43643</v>
      </c>
      <c r="L92" s="123">
        <v>464.322</v>
      </c>
      <c r="M92" s="123">
        <v>1535.048532</v>
      </c>
      <c r="N92" s="123">
        <v>18.385000000000002</v>
      </c>
      <c r="O92" s="123">
        <v>60.780809999999995</v>
      </c>
      <c r="P92" s="152">
        <v>3.9595367008239964E-2</v>
      </c>
      <c r="Q92" s="154">
        <v>47269</v>
      </c>
      <c r="R92" s="159"/>
    </row>
    <row r="93" spans="1:18" ht="14.25" x14ac:dyDescent="0.2">
      <c r="A93" s="121" t="s">
        <v>1211</v>
      </c>
      <c r="B93" s="122" t="s">
        <v>1211</v>
      </c>
      <c r="C93" s="122" t="s">
        <v>248</v>
      </c>
      <c r="D93" s="122" t="s">
        <v>3060</v>
      </c>
      <c r="E93" s="122"/>
      <c r="F93" s="122"/>
      <c r="G93" s="122" t="s">
        <v>3061</v>
      </c>
      <c r="H93" s="122" t="s">
        <v>3062</v>
      </c>
      <c r="I93" s="122" t="s">
        <v>102</v>
      </c>
      <c r="J93" s="122" t="s">
        <v>1217</v>
      </c>
      <c r="K93" s="145">
        <v>44769</v>
      </c>
      <c r="L93" s="123">
        <v>720.06600000000003</v>
      </c>
      <c r="M93" s="123">
        <v>2380.538196</v>
      </c>
      <c r="N93" s="123">
        <v>0.52100000000000002</v>
      </c>
      <c r="O93" s="123">
        <v>1.722426</v>
      </c>
      <c r="P93" s="152">
        <v>7.2354478617237862E-4</v>
      </c>
      <c r="Q93" s="154">
        <v>47543</v>
      </c>
      <c r="R93" s="159"/>
    </row>
    <row r="94" spans="1:18" ht="14.25" x14ac:dyDescent="0.2">
      <c r="A94" s="121" t="s">
        <v>1211</v>
      </c>
      <c r="B94" s="122" t="s">
        <v>1211</v>
      </c>
      <c r="C94" s="122" t="s">
        <v>248</v>
      </c>
      <c r="D94" s="122" t="s">
        <v>2930</v>
      </c>
      <c r="E94" s="122"/>
      <c r="F94" s="122"/>
      <c r="G94" s="122" t="s">
        <v>2930</v>
      </c>
      <c r="H94" s="122" t="s">
        <v>2931</v>
      </c>
      <c r="I94" s="122" t="s">
        <v>102</v>
      </c>
      <c r="J94" s="122" t="s">
        <v>1216</v>
      </c>
      <c r="K94" s="145">
        <v>44192</v>
      </c>
      <c r="L94" s="123">
        <v>796.31100000000004</v>
      </c>
      <c r="M94" s="123">
        <v>796.31100000000004</v>
      </c>
      <c r="N94" s="123">
        <v>151.40798999999998</v>
      </c>
      <c r="O94" s="123">
        <v>151.40798999999998</v>
      </c>
      <c r="P94" s="152">
        <v>0.19013675561432655</v>
      </c>
      <c r="Q94" s="154">
        <v>46905</v>
      </c>
      <c r="R94" s="159"/>
    </row>
    <row r="95" spans="1:18" ht="14.25" x14ac:dyDescent="0.2">
      <c r="A95" s="121" t="s">
        <v>1211</v>
      </c>
      <c r="B95" s="122" t="s">
        <v>1211</v>
      </c>
      <c r="C95" s="122" t="s">
        <v>248</v>
      </c>
      <c r="D95" s="122" t="s">
        <v>3002</v>
      </c>
      <c r="E95" s="122"/>
      <c r="F95" s="122"/>
      <c r="G95" s="122" t="s">
        <v>3003</v>
      </c>
      <c r="H95" s="122" t="s">
        <v>3004</v>
      </c>
      <c r="I95" s="122" t="s">
        <v>102</v>
      </c>
      <c r="J95" s="122" t="s">
        <v>1217</v>
      </c>
      <c r="K95" s="145">
        <v>44679</v>
      </c>
      <c r="L95" s="123">
        <v>982.61699999999996</v>
      </c>
      <c r="M95" s="123">
        <v>3248.531802</v>
      </c>
      <c r="N95" s="123">
        <v>131.62700000000001</v>
      </c>
      <c r="O95" s="123">
        <v>435.158862</v>
      </c>
      <c r="P95" s="152">
        <v>0.13395554931372039</v>
      </c>
      <c r="Q95" s="154">
        <v>47664</v>
      </c>
      <c r="R95" s="159"/>
    </row>
    <row r="96" spans="1:18" ht="14.25" x14ac:dyDescent="0.2">
      <c r="A96" s="121" t="s">
        <v>1211</v>
      </c>
      <c r="B96" s="122" t="s">
        <v>1211</v>
      </c>
      <c r="C96" s="122" t="s">
        <v>248</v>
      </c>
      <c r="D96" s="122" t="s">
        <v>3013</v>
      </c>
      <c r="E96" s="122"/>
      <c r="F96" s="122"/>
      <c r="G96" s="122" t="s">
        <v>3014</v>
      </c>
      <c r="H96" s="122" t="s">
        <v>3015</v>
      </c>
      <c r="I96" s="122" t="s">
        <v>102</v>
      </c>
      <c r="J96" s="122" t="s">
        <v>1217</v>
      </c>
      <c r="K96" s="145">
        <v>43340</v>
      </c>
      <c r="L96" s="123">
        <v>444.63799999999998</v>
      </c>
      <c r="M96" s="123">
        <v>1469.9732280000001</v>
      </c>
      <c r="N96" s="123">
        <v>13.339000000000002</v>
      </c>
      <c r="O96" s="123">
        <v>44.098734000000007</v>
      </c>
      <c r="P96" s="152">
        <v>2.9999685137122784E-2</v>
      </c>
      <c r="Q96" s="154">
        <v>48060</v>
      </c>
      <c r="R96" s="159"/>
    </row>
    <row r="97" spans="1:18" ht="14.25" x14ac:dyDescent="0.2">
      <c r="A97" s="121" t="s">
        <v>1211</v>
      </c>
      <c r="B97" s="122" t="s">
        <v>1211</v>
      </c>
      <c r="C97" s="122" t="s">
        <v>248</v>
      </c>
      <c r="D97" s="122" t="s">
        <v>3095</v>
      </c>
      <c r="E97" s="122"/>
      <c r="F97" s="122"/>
      <c r="G97" s="122" t="s">
        <v>3096</v>
      </c>
      <c r="H97" s="122" t="s">
        <v>3097</v>
      </c>
      <c r="I97" s="122" t="s">
        <v>102</v>
      </c>
      <c r="J97" s="122" t="s">
        <v>1217</v>
      </c>
      <c r="K97" s="145">
        <v>44195</v>
      </c>
      <c r="L97" s="123">
        <v>515.48479999999995</v>
      </c>
      <c r="M97" s="123">
        <v>1704.1927487999999</v>
      </c>
      <c r="N97" s="123">
        <v>199.23294000000001</v>
      </c>
      <c r="O97" s="123">
        <v>658.66409964000002</v>
      </c>
      <c r="P97" s="152">
        <v>0.3864962458640876</v>
      </c>
      <c r="Q97" s="154">
        <v>47817</v>
      </c>
      <c r="R97" s="159"/>
    </row>
    <row r="98" spans="1:18" ht="14.25" x14ac:dyDescent="0.2">
      <c r="A98" s="121" t="s">
        <v>1211</v>
      </c>
      <c r="B98" s="122" t="s">
        <v>1211</v>
      </c>
      <c r="C98" s="122" t="s">
        <v>248</v>
      </c>
      <c r="D98" s="122" t="s">
        <v>2906</v>
      </c>
      <c r="E98" s="122"/>
      <c r="F98" s="122"/>
      <c r="G98" s="122" t="s">
        <v>3047</v>
      </c>
      <c r="H98" s="122" t="s">
        <v>3048</v>
      </c>
      <c r="I98" s="122" t="s">
        <v>102</v>
      </c>
      <c r="J98" s="122" t="s">
        <v>1217</v>
      </c>
      <c r="K98" s="145">
        <v>43614</v>
      </c>
      <c r="L98" s="123">
        <v>723.851</v>
      </c>
      <c r="M98" s="123">
        <v>2393.051406</v>
      </c>
      <c r="N98" s="123">
        <v>130.268</v>
      </c>
      <c r="O98" s="123">
        <v>430.66600800000003</v>
      </c>
      <c r="P98" s="152">
        <v>0.17996521383544406</v>
      </c>
      <c r="Q98" s="154">
        <v>47046</v>
      </c>
      <c r="R98" s="159"/>
    </row>
    <row r="99" spans="1:18" ht="14.25" x14ac:dyDescent="0.2">
      <c r="A99" s="121" t="s">
        <v>1211</v>
      </c>
      <c r="B99" s="122" t="s">
        <v>1211</v>
      </c>
      <c r="C99" s="122" t="s">
        <v>248</v>
      </c>
      <c r="D99" s="122" t="s">
        <v>3235</v>
      </c>
      <c r="E99" s="122"/>
      <c r="F99" s="122"/>
      <c r="G99" s="122" t="s">
        <v>3236</v>
      </c>
      <c r="H99" s="122" t="s">
        <v>3237</v>
      </c>
      <c r="I99" s="122" t="s">
        <v>102</v>
      </c>
      <c r="J99" s="122" t="s">
        <v>1217</v>
      </c>
      <c r="K99" s="145">
        <v>44393</v>
      </c>
      <c r="L99" s="123">
        <v>318.20400000000001</v>
      </c>
      <c r="M99" s="123">
        <v>1051.982424</v>
      </c>
      <c r="N99" s="123">
        <v>205.40553999999997</v>
      </c>
      <c r="O99" s="123">
        <v>679.07071523999991</v>
      </c>
      <c r="P99" s="152">
        <v>0.6455152669356764</v>
      </c>
      <c r="Q99" s="154">
        <v>46203</v>
      </c>
      <c r="R99" s="159"/>
    </row>
    <row r="100" spans="1:18" ht="14.25" x14ac:dyDescent="0.2">
      <c r="A100" s="121" t="s">
        <v>1211</v>
      </c>
      <c r="B100" s="122" t="s">
        <v>1211</v>
      </c>
      <c r="C100" s="122" t="s">
        <v>248</v>
      </c>
      <c r="D100" s="122" t="s">
        <v>3225</v>
      </c>
      <c r="E100" s="122"/>
      <c r="F100" s="122"/>
      <c r="G100" s="122" t="s">
        <v>3178</v>
      </c>
      <c r="H100" s="122" t="s">
        <v>3226</v>
      </c>
      <c r="I100" s="122" t="s">
        <v>102</v>
      </c>
      <c r="J100" s="122" t="s">
        <v>1217</v>
      </c>
      <c r="K100" s="145">
        <v>44133</v>
      </c>
      <c r="L100" s="123">
        <v>119.548</v>
      </c>
      <c r="M100" s="123">
        <v>395.22568800000005</v>
      </c>
      <c r="N100" s="123">
        <v>19.129000000000001</v>
      </c>
      <c r="O100" s="123">
        <v>63.240473999999999</v>
      </c>
      <c r="P100" s="152">
        <v>0.16001104158998897</v>
      </c>
      <c r="Q100" s="154">
        <v>48883</v>
      </c>
      <c r="R100" s="159"/>
    </row>
    <row r="101" spans="1:18" ht="14.25" x14ac:dyDescent="0.2">
      <c r="A101" s="121" t="s">
        <v>1211</v>
      </c>
      <c r="B101" s="122" t="s">
        <v>1211</v>
      </c>
      <c r="C101" s="122" t="s">
        <v>248</v>
      </c>
      <c r="D101" s="122" t="s">
        <v>2872</v>
      </c>
      <c r="E101" s="122"/>
      <c r="F101" s="122"/>
      <c r="G101" s="122" t="s">
        <v>2901</v>
      </c>
      <c r="H101" s="122" t="s">
        <v>2902</v>
      </c>
      <c r="I101" s="122" t="s">
        <v>102</v>
      </c>
      <c r="J101" s="122" t="s">
        <v>1216</v>
      </c>
      <c r="K101" s="145">
        <v>43130</v>
      </c>
      <c r="L101" s="123">
        <v>1455</v>
      </c>
      <c r="M101" s="123">
        <v>1455</v>
      </c>
      <c r="N101" s="123">
        <v>117.315</v>
      </c>
      <c r="O101" s="123">
        <v>117.315</v>
      </c>
      <c r="P101" s="152">
        <v>8.0628865979381445E-2</v>
      </c>
      <c r="Q101" s="154">
        <v>46783</v>
      </c>
      <c r="R101" s="159"/>
    </row>
    <row r="102" spans="1:18" ht="14.25" x14ac:dyDescent="0.2">
      <c r="A102" s="121" t="s">
        <v>1211</v>
      </c>
      <c r="B102" s="122" t="s">
        <v>1211</v>
      </c>
      <c r="C102" s="122" t="s">
        <v>248</v>
      </c>
      <c r="D102" s="122" t="s">
        <v>3057</v>
      </c>
      <c r="E102" s="122"/>
      <c r="F102" s="122"/>
      <c r="G102" s="122" t="s">
        <v>3058</v>
      </c>
      <c r="H102" s="122" t="s">
        <v>3059</v>
      </c>
      <c r="I102" s="122" t="s">
        <v>102</v>
      </c>
      <c r="J102" s="122" t="s">
        <v>1218</v>
      </c>
      <c r="K102" s="145">
        <v>43495</v>
      </c>
      <c r="L102" s="123">
        <v>872.67465691566804</v>
      </c>
      <c r="M102" s="123">
        <v>3386.588541092633</v>
      </c>
      <c r="N102" s="123">
        <v>107.51265691566805</v>
      </c>
      <c r="O102" s="123">
        <v>417.224367692633</v>
      </c>
      <c r="P102" s="152">
        <v>0.12319901358847146</v>
      </c>
      <c r="Q102" s="154">
        <v>45961</v>
      </c>
      <c r="R102" s="159"/>
    </row>
    <row r="103" spans="1:18" ht="14.25" x14ac:dyDescent="0.2">
      <c r="A103" s="121" t="s">
        <v>1211</v>
      </c>
      <c r="B103" s="122" t="s">
        <v>1211</v>
      </c>
      <c r="C103" s="122" t="s">
        <v>248</v>
      </c>
      <c r="D103" s="122" t="s">
        <v>3071</v>
      </c>
      <c r="E103" s="122"/>
      <c r="F103" s="122"/>
      <c r="G103" s="122" t="s">
        <v>3072</v>
      </c>
      <c r="H103" s="122" t="s">
        <v>3073</v>
      </c>
      <c r="I103" s="122" t="s">
        <v>102</v>
      </c>
      <c r="J103" s="122" t="s">
        <v>1217</v>
      </c>
      <c r="K103" s="145">
        <v>44651</v>
      </c>
      <c r="L103" s="123">
        <v>576</v>
      </c>
      <c r="M103" s="123">
        <v>1904.2560000000001</v>
      </c>
      <c r="N103" s="123">
        <v>175.39999</v>
      </c>
      <c r="O103" s="123">
        <v>579.87236694000001</v>
      </c>
      <c r="P103" s="152">
        <v>0.30451387152777776</v>
      </c>
      <c r="Q103" s="154">
        <v>48303</v>
      </c>
      <c r="R103" s="159"/>
    </row>
    <row r="104" spans="1:18" ht="14.25" x14ac:dyDescent="0.2">
      <c r="A104" s="121" t="s">
        <v>1211</v>
      </c>
      <c r="B104" s="122" t="s">
        <v>1211</v>
      </c>
      <c r="C104" s="122" t="s">
        <v>248</v>
      </c>
      <c r="D104" s="122" t="s">
        <v>2857</v>
      </c>
      <c r="E104" s="122"/>
      <c r="F104" s="122"/>
      <c r="G104" s="122" t="s">
        <v>2858</v>
      </c>
      <c r="H104" s="122" t="s">
        <v>2859</v>
      </c>
      <c r="I104" s="122" t="s">
        <v>102</v>
      </c>
      <c r="J104" s="122" t="s">
        <v>1216</v>
      </c>
      <c r="K104" s="145">
        <v>43615</v>
      </c>
      <c r="L104" s="123">
        <v>3025.306</v>
      </c>
      <c r="M104" s="123">
        <v>3025.306</v>
      </c>
      <c r="N104" s="123">
        <v>362.65960000000007</v>
      </c>
      <c r="O104" s="123">
        <v>362.65960000000007</v>
      </c>
      <c r="P104" s="152">
        <v>0.11987534484114998</v>
      </c>
      <c r="Q104" s="154">
        <v>46507</v>
      </c>
      <c r="R104" s="159"/>
    </row>
    <row r="105" spans="1:18" ht="14.25" x14ac:dyDescent="0.2">
      <c r="A105" s="121" t="s">
        <v>1211</v>
      </c>
      <c r="B105" s="122" t="s">
        <v>1211</v>
      </c>
      <c r="C105" s="122" t="s">
        <v>248</v>
      </c>
      <c r="D105" s="122" t="s">
        <v>3250</v>
      </c>
      <c r="E105" s="122"/>
      <c r="F105" s="122"/>
      <c r="G105" s="122" t="s">
        <v>3251</v>
      </c>
      <c r="H105" s="122" t="s">
        <v>3252</v>
      </c>
      <c r="I105" s="122" t="s">
        <v>102</v>
      </c>
      <c r="J105" s="122" t="s">
        <v>1217</v>
      </c>
      <c r="K105" s="145">
        <v>44742</v>
      </c>
      <c r="L105" s="123">
        <v>505.6</v>
      </c>
      <c r="M105" s="123">
        <v>1671.5136</v>
      </c>
      <c r="N105" s="123">
        <v>424.26589000000001</v>
      </c>
      <c r="O105" s="123">
        <v>1402.6230323400002</v>
      </c>
      <c r="P105" s="152">
        <v>0.83913348496835449</v>
      </c>
      <c r="Q105" s="154">
        <v>48395</v>
      </c>
      <c r="R105" s="159"/>
    </row>
    <row r="106" spans="1:18" ht="14.25" x14ac:dyDescent="0.2">
      <c r="A106" s="121" t="s">
        <v>1211</v>
      </c>
      <c r="B106" s="122" t="s">
        <v>1211</v>
      </c>
      <c r="C106" s="122" t="s">
        <v>248</v>
      </c>
      <c r="D106" s="122" t="s">
        <v>3189</v>
      </c>
      <c r="E106" s="122"/>
      <c r="F106" s="122"/>
      <c r="G106" s="122" t="s">
        <v>3190</v>
      </c>
      <c r="H106" s="122" t="s">
        <v>3191</v>
      </c>
      <c r="I106" s="122" t="s">
        <v>102</v>
      </c>
      <c r="J106" s="122" t="s">
        <v>1217</v>
      </c>
      <c r="K106" s="145">
        <v>45503</v>
      </c>
      <c r="L106" s="123">
        <v>350</v>
      </c>
      <c r="M106" s="123">
        <v>1157.0999999999999</v>
      </c>
      <c r="N106" s="123">
        <v>157.5</v>
      </c>
      <c r="O106" s="123">
        <v>520.69500000000005</v>
      </c>
      <c r="P106" s="152">
        <v>0.45</v>
      </c>
      <c r="Q106" s="154">
        <v>49155</v>
      </c>
      <c r="R106" s="159"/>
    </row>
    <row r="107" spans="1:18" ht="14.25" x14ac:dyDescent="0.2">
      <c r="A107" s="121" t="s">
        <v>1211</v>
      </c>
      <c r="B107" s="122" t="s">
        <v>1211</v>
      </c>
      <c r="C107" s="122" t="s">
        <v>248</v>
      </c>
      <c r="D107" s="122" t="s">
        <v>2866</v>
      </c>
      <c r="E107" s="122"/>
      <c r="F107" s="122"/>
      <c r="G107" s="122" t="s">
        <v>2867</v>
      </c>
      <c r="H107" s="122" t="s">
        <v>2868</v>
      </c>
      <c r="I107" s="122" t="s">
        <v>102</v>
      </c>
      <c r="J107" s="122" t="s">
        <v>1216</v>
      </c>
      <c r="K107" s="145">
        <v>44286</v>
      </c>
      <c r="L107" s="123">
        <v>1876.6189999999999</v>
      </c>
      <c r="M107" s="123">
        <v>1876.6189999999999</v>
      </c>
      <c r="N107" s="123">
        <v>390.62998999999996</v>
      </c>
      <c r="O107" s="123">
        <v>390.62998999999996</v>
      </c>
      <c r="P107" s="152">
        <v>0.20815625867584203</v>
      </c>
      <c r="Q107" s="154">
        <v>48669</v>
      </c>
      <c r="R107" s="159"/>
    </row>
    <row r="108" spans="1:18" ht="14.25" x14ac:dyDescent="0.2">
      <c r="A108" s="121" t="s">
        <v>1211</v>
      </c>
      <c r="B108" s="122" t="s">
        <v>1211</v>
      </c>
      <c r="C108" s="122" t="s">
        <v>248</v>
      </c>
      <c r="D108" s="122" t="s">
        <v>2896</v>
      </c>
      <c r="E108" s="122"/>
      <c r="F108" s="122"/>
      <c r="G108" s="122" t="s">
        <v>2897</v>
      </c>
      <c r="H108" s="122" t="s">
        <v>2898</v>
      </c>
      <c r="I108" s="122" t="s">
        <v>102</v>
      </c>
      <c r="J108" s="122" t="s">
        <v>1216</v>
      </c>
      <c r="K108" s="145">
        <v>44651</v>
      </c>
      <c r="L108" s="123">
        <v>1280</v>
      </c>
      <c r="M108" s="123">
        <v>1280</v>
      </c>
      <c r="N108" s="123">
        <v>335.46898999999996</v>
      </c>
      <c r="O108" s="123">
        <v>335.46898999999996</v>
      </c>
      <c r="P108" s="152">
        <v>0.26208514843749997</v>
      </c>
      <c r="Q108" s="154">
        <v>48304</v>
      </c>
      <c r="R108" s="159"/>
    </row>
    <row r="109" spans="1:18" ht="14.25" x14ac:dyDescent="0.2">
      <c r="A109" s="121" t="s">
        <v>1211</v>
      </c>
      <c r="B109" s="122" t="s">
        <v>1211</v>
      </c>
      <c r="C109" s="122" t="s">
        <v>248</v>
      </c>
      <c r="D109" s="122" t="s">
        <v>2953</v>
      </c>
      <c r="E109" s="122"/>
      <c r="F109" s="122"/>
      <c r="G109" s="122" t="s">
        <v>2954</v>
      </c>
      <c r="H109" s="122" t="s">
        <v>2955</v>
      </c>
      <c r="I109" s="122" t="s">
        <v>102</v>
      </c>
      <c r="J109" s="122" t="s">
        <v>1217</v>
      </c>
      <c r="K109" s="145">
        <v>45504</v>
      </c>
      <c r="L109" s="123">
        <v>420</v>
      </c>
      <c r="M109" s="123">
        <v>1388.52</v>
      </c>
      <c r="N109" s="123">
        <v>306.83600000000001</v>
      </c>
      <c r="O109" s="123">
        <v>1014.399816</v>
      </c>
      <c r="P109" s="152">
        <v>0.73056190476190475</v>
      </c>
      <c r="Q109" s="154">
        <v>49156</v>
      </c>
      <c r="R109" s="159"/>
    </row>
    <row r="110" spans="1:18" ht="14.25" x14ac:dyDescent="0.2">
      <c r="A110" s="121" t="s">
        <v>1211</v>
      </c>
      <c r="B110" s="122" t="s">
        <v>1211</v>
      </c>
      <c r="C110" s="122" t="s">
        <v>248</v>
      </c>
      <c r="D110" s="122" t="s">
        <v>3145</v>
      </c>
      <c r="E110" s="122"/>
      <c r="F110" s="122"/>
      <c r="G110" s="122" t="s">
        <v>3146</v>
      </c>
      <c r="H110" s="122" t="s">
        <v>3147</v>
      </c>
      <c r="I110" s="122" t="s">
        <v>102</v>
      </c>
      <c r="J110" s="122" t="s">
        <v>1217</v>
      </c>
      <c r="K110" s="145">
        <v>45862</v>
      </c>
      <c r="L110" s="123">
        <v>420</v>
      </c>
      <c r="M110" s="123">
        <v>1388.52</v>
      </c>
      <c r="N110" s="123">
        <v>132.53182000000001</v>
      </c>
      <c r="O110" s="123">
        <v>438.15019692000004</v>
      </c>
      <c r="P110" s="152">
        <v>0.31555195238095241</v>
      </c>
      <c r="Q110" s="154">
        <v>48427</v>
      </c>
      <c r="R110" s="159"/>
    </row>
    <row r="111" spans="1:18" ht="14.25" x14ac:dyDescent="0.2">
      <c r="A111" s="121" t="s">
        <v>1211</v>
      </c>
      <c r="B111" s="122" t="s">
        <v>1211</v>
      </c>
      <c r="C111" s="122" t="s">
        <v>248</v>
      </c>
      <c r="D111" s="122" t="s">
        <v>3036</v>
      </c>
      <c r="E111" s="122"/>
      <c r="F111" s="122"/>
      <c r="G111" s="122" t="s">
        <v>3037</v>
      </c>
      <c r="H111" s="122" t="s">
        <v>3038</v>
      </c>
      <c r="I111" s="122" t="s">
        <v>102</v>
      </c>
      <c r="J111" s="122" t="s">
        <v>1218</v>
      </c>
      <c r="K111" s="145">
        <v>44143</v>
      </c>
      <c r="L111" s="123">
        <v>563.01319999999998</v>
      </c>
      <c r="M111" s="123">
        <v>2184.8853252399995</v>
      </c>
      <c r="N111" s="123">
        <v>86.362549999999928</v>
      </c>
      <c r="O111" s="123">
        <v>335.14714778499973</v>
      </c>
      <c r="P111" s="152">
        <v>0.15339347283509508</v>
      </c>
      <c r="Q111" s="154">
        <v>48518</v>
      </c>
      <c r="R111" s="159"/>
    </row>
    <row r="112" spans="1:18" ht="14.25" x14ac:dyDescent="0.2">
      <c r="A112" s="121" t="s">
        <v>1211</v>
      </c>
      <c r="B112" s="122" t="s">
        <v>1211</v>
      </c>
      <c r="C112" s="122" t="s">
        <v>248</v>
      </c>
      <c r="D112" s="122" t="s">
        <v>3128</v>
      </c>
      <c r="E112" s="122"/>
      <c r="F112" s="122"/>
      <c r="G112" s="122" t="s">
        <v>3129</v>
      </c>
      <c r="H112" s="122" t="s">
        <v>3130</v>
      </c>
      <c r="I112" s="122" t="s">
        <v>102</v>
      </c>
      <c r="J112" s="122" t="s">
        <v>1218</v>
      </c>
      <c r="K112" s="145">
        <v>44143</v>
      </c>
      <c r="L112" s="123">
        <v>312.00997999999998</v>
      </c>
      <c r="M112" s="123">
        <v>1210.8171293859998</v>
      </c>
      <c r="N112" s="123">
        <v>25.458889999999954</v>
      </c>
      <c r="O112" s="123">
        <v>98.798314422999823</v>
      </c>
      <c r="P112" s="152">
        <v>8.1596396371680036E-2</v>
      </c>
      <c r="Q112" s="154">
        <v>48052</v>
      </c>
      <c r="R112" s="159"/>
    </row>
    <row r="113" spans="1:18" ht="14.25" x14ac:dyDescent="0.2">
      <c r="A113" s="121" t="s">
        <v>1211</v>
      </c>
      <c r="B113" s="122" t="s">
        <v>1211</v>
      </c>
      <c r="C113" s="122" t="s">
        <v>248</v>
      </c>
      <c r="D113" s="122" t="s">
        <v>3044</v>
      </c>
      <c r="E113" s="122"/>
      <c r="F113" s="122"/>
      <c r="G113" s="122" t="s">
        <v>3045</v>
      </c>
      <c r="H113" s="122" t="s">
        <v>3046</v>
      </c>
      <c r="I113" s="122" t="s">
        <v>102</v>
      </c>
      <c r="J113" s="122" t="s">
        <v>1218</v>
      </c>
      <c r="K113" s="145">
        <v>44143</v>
      </c>
      <c r="L113" s="123">
        <v>442.73278999999997</v>
      </c>
      <c r="M113" s="123">
        <v>1718.1131381530001</v>
      </c>
      <c r="N113" s="123">
        <v>18.357419999999983</v>
      </c>
      <c r="O113" s="123">
        <v>71.239639793999942</v>
      </c>
      <c r="P113" s="152">
        <v>4.1463881633885723E-2</v>
      </c>
      <c r="Q113" s="154">
        <v>47664</v>
      </c>
      <c r="R113" s="159"/>
    </row>
    <row r="114" spans="1:18" ht="14.25" x14ac:dyDescent="0.2">
      <c r="A114" s="121" t="s">
        <v>1211</v>
      </c>
      <c r="B114" s="122" t="s">
        <v>1211</v>
      </c>
      <c r="C114" s="122" t="s">
        <v>248</v>
      </c>
      <c r="D114" s="122" t="s">
        <v>3133</v>
      </c>
      <c r="E114" s="122"/>
      <c r="F114" s="122"/>
      <c r="G114" s="122" t="s">
        <v>3134</v>
      </c>
      <c r="H114" s="122" t="s">
        <v>3135</v>
      </c>
      <c r="I114" s="122" t="s">
        <v>102</v>
      </c>
      <c r="J114" s="122" t="s">
        <v>1217</v>
      </c>
      <c r="K114" s="145">
        <v>43934</v>
      </c>
      <c r="L114" s="123">
        <v>310.27199999999999</v>
      </c>
      <c r="M114" s="123">
        <v>1025.7592319999999</v>
      </c>
      <c r="N114" s="123">
        <v>3.7229999999999994</v>
      </c>
      <c r="O114" s="123">
        <v>12.308237999999999</v>
      </c>
      <c r="P114" s="152">
        <v>1.1999149133663366E-2</v>
      </c>
      <c r="Q114" s="154">
        <v>47573</v>
      </c>
      <c r="R114" s="159"/>
    </row>
    <row r="115" spans="1:18" ht="14.25" x14ac:dyDescent="0.2">
      <c r="A115" s="121" t="s">
        <v>1211</v>
      </c>
      <c r="B115" s="122" t="s">
        <v>1211</v>
      </c>
      <c r="C115" s="122" t="s">
        <v>248</v>
      </c>
      <c r="D115" s="122" t="s">
        <v>3192</v>
      </c>
      <c r="E115" s="122"/>
      <c r="F115" s="122"/>
      <c r="G115" s="122" t="s">
        <v>3193</v>
      </c>
      <c r="H115" s="122" t="s">
        <v>3194</v>
      </c>
      <c r="I115" s="122" t="s">
        <v>102</v>
      </c>
      <c r="J115" s="122" t="s">
        <v>1217</v>
      </c>
      <c r="K115" s="145">
        <v>42710</v>
      </c>
      <c r="L115" s="123">
        <v>313.32882000000001</v>
      </c>
      <c r="M115" s="123">
        <v>1035.8650789200001</v>
      </c>
      <c r="N115" s="123">
        <v>51.383890000000015</v>
      </c>
      <c r="O115" s="123">
        <v>169.87514034000003</v>
      </c>
      <c r="P115" s="152">
        <v>0.1639935005021243</v>
      </c>
      <c r="Q115" s="154">
        <v>46363</v>
      </c>
      <c r="R115" s="159"/>
    </row>
    <row r="116" spans="1:18" ht="14.25" x14ac:dyDescent="0.2">
      <c r="A116" s="121" t="s">
        <v>1211</v>
      </c>
      <c r="B116" s="122" t="s">
        <v>1211</v>
      </c>
      <c r="C116" s="122" t="s">
        <v>248</v>
      </c>
      <c r="D116" s="122" t="s">
        <v>2869</v>
      </c>
      <c r="E116" s="122"/>
      <c r="F116" s="122"/>
      <c r="G116" s="122" t="s">
        <v>2870</v>
      </c>
      <c r="H116" s="122" t="s">
        <v>2871</v>
      </c>
      <c r="I116" s="122" t="s">
        <v>102</v>
      </c>
      <c r="J116" s="122" t="s">
        <v>1217</v>
      </c>
      <c r="K116" s="145">
        <v>42576</v>
      </c>
      <c r="L116" s="123">
        <v>275</v>
      </c>
      <c r="M116" s="123">
        <v>909.15</v>
      </c>
      <c r="N116" s="123">
        <v>29.5</v>
      </c>
      <c r="O116" s="123">
        <v>97.527000000000001</v>
      </c>
      <c r="P116" s="152">
        <v>0.10727272727272727</v>
      </c>
      <c r="Q116" s="154">
        <v>46229</v>
      </c>
      <c r="R116" s="159"/>
    </row>
    <row r="117" spans="1:18" ht="14.25" x14ac:dyDescent="0.2">
      <c r="A117" s="121" t="s">
        <v>1211</v>
      </c>
      <c r="B117" s="122" t="s">
        <v>1211</v>
      </c>
      <c r="C117" s="122" t="s">
        <v>248</v>
      </c>
      <c r="D117" s="122" t="s">
        <v>2961</v>
      </c>
      <c r="E117" s="122"/>
      <c r="F117" s="122"/>
      <c r="G117" s="122" t="s">
        <v>2962</v>
      </c>
      <c r="H117" s="122" t="s">
        <v>2963</v>
      </c>
      <c r="I117" s="122" t="s">
        <v>102</v>
      </c>
      <c r="J117" s="122" t="s">
        <v>1217</v>
      </c>
      <c r="K117" s="145">
        <v>41148</v>
      </c>
      <c r="L117" s="123">
        <v>200</v>
      </c>
      <c r="M117" s="123">
        <v>661.2</v>
      </c>
      <c r="N117" s="123">
        <v>18.053000000000001</v>
      </c>
      <c r="O117" s="123">
        <v>59.683218000000004</v>
      </c>
      <c r="P117" s="152">
        <v>9.0264999999999998E-2</v>
      </c>
      <c r="Q117" s="154">
        <v>45657</v>
      </c>
      <c r="R117" s="159"/>
    </row>
    <row r="118" spans="1:18" ht="14.25" x14ac:dyDescent="0.2">
      <c r="A118" s="121" t="s">
        <v>1211</v>
      </c>
      <c r="B118" s="122" t="s">
        <v>1211</v>
      </c>
      <c r="C118" s="122" t="s">
        <v>248</v>
      </c>
      <c r="D118" s="122" t="s">
        <v>2912</v>
      </c>
      <c r="E118" s="122"/>
      <c r="F118" s="122"/>
      <c r="G118" s="122" t="s">
        <v>2913</v>
      </c>
      <c r="H118" s="122" t="s">
        <v>2914</v>
      </c>
      <c r="I118" s="122" t="s">
        <v>102</v>
      </c>
      <c r="J118" s="122" t="s">
        <v>1216</v>
      </c>
      <c r="K118" s="145">
        <v>44560</v>
      </c>
      <c r="L118" s="123">
        <v>2327.556</v>
      </c>
      <c r="M118" s="123">
        <v>2327.556</v>
      </c>
      <c r="N118" s="123">
        <v>1015.802</v>
      </c>
      <c r="O118" s="123">
        <v>1015.802</v>
      </c>
      <c r="P118" s="152">
        <v>0.43642430085463035</v>
      </c>
      <c r="Q118" s="154">
        <v>47118</v>
      </c>
      <c r="R118" s="159"/>
    </row>
    <row r="119" spans="1:18" ht="14.25" x14ac:dyDescent="0.2">
      <c r="A119" s="121" t="s">
        <v>1211</v>
      </c>
      <c r="B119" s="122" t="s">
        <v>1211</v>
      </c>
      <c r="C119" s="122" t="s">
        <v>248</v>
      </c>
      <c r="D119" s="122" t="s">
        <v>2964</v>
      </c>
      <c r="E119" s="122"/>
      <c r="F119" s="122"/>
      <c r="G119" s="122" t="s">
        <v>2965</v>
      </c>
      <c r="H119" s="122" t="s">
        <v>2966</v>
      </c>
      <c r="I119" s="122" t="s">
        <v>102</v>
      </c>
      <c r="J119" s="122" t="s">
        <v>1217</v>
      </c>
      <c r="K119" s="145">
        <v>44560</v>
      </c>
      <c r="L119" s="123">
        <v>192</v>
      </c>
      <c r="M119" s="123">
        <v>634.75199999999995</v>
      </c>
      <c r="N119" s="123">
        <v>105.50399</v>
      </c>
      <c r="O119" s="123">
        <v>348.79619093999997</v>
      </c>
      <c r="P119" s="152">
        <v>0.54949994791666668</v>
      </c>
      <c r="Q119" s="154">
        <v>47118</v>
      </c>
      <c r="R119" s="159"/>
    </row>
    <row r="120" spans="1:18" ht="14.25" x14ac:dyDescent="0.2">
      <c r="A120" s="121" t="s">
        <v>1211</v>
      </c>
      <c r="B120" s="122" t="s">
        <v>1211</v>
      </c>
      <c r="C120" s="122" t="s">
        <v>248</v>
      </c>
      <c r="D120" s="122" t="s">
        <v>2964</v>
      </c>
      <c r="E120" s="122"/>
      <c r="F120" s="122"/>
      <c r="G120" s="122" t="s">
        <v>2986</v>
      </c>
      <c r="H120" s="122" t="s">
        <v>2987</v>
      </c>
      <c r="I120" s="122" t="s">
        <v>102</v>
      </c>
      <c r="J120" s="122" t="s">
        <v>1217</v>
      </c>
      <c r="K120" s="145">
        <v>44560</v>
      </c>
      <c r="L120" s="123">
        <v>128</v>
      </c>
      <c r="M120" s="123">
        <v>423.16800000000001</v>
      </c>
      <c r="N120" s="123">
        <v>121.42499000000001</v>
      </c>
      <c r="O120" s="123">
        <v>401.43101694000001</v>
      </c>
      <c r="P120" s="152">
        <v>0.94863273437499995</v>
      </c>
      <c r="Q120" s="154">
        <v>47118</v>
      </c>
      <c r="R120" s="159"/>
    </row>
    <row r="121" spans="1:18" ht="14.25" x14ac:dyDescent="0.2">
      <c r="A121" s="121" t="s">
        <v>1211</v>
      </c>
      <c r="B121" s="122" t="s">
        <v>1211</v>
      </c>
      <c r="C121" s="122" t="s">
        <v>248</v>
      </c>
      <c r="D121" s="122" t="s">
        <v>2881</v>
      </c>
      <c r="E121" s="122"/>
      <c r="F121" s="122"/>
      <c r="G121" s="122" t="s">
        <v>2882</v>
      </c>
      <c r="H121" s="122" t="s">
        <v>2883</v>
      </c>
      <c r="I121" s="122" t="s">
        <v>102</v>
      </c>
      <c r="J121" s="122" t="s">
        <v>1217</v>
      </c>
      <c r="K121" s="145">
        <v>44560</v>
      </c>
      <c r="L121" s="123">
        <v>480</v>
      </c>
      <c r="M121" s="123">
        <v>1586.88</v>
      </c>
      <c r="N121" s="123">
        <v>189.67098999999999</v>
      </c>
      <c r="O121" s="123">
        <v>627.05229293999992</v>
      </c>
      <c r="P121" s="152">
        <v>0.39514789583333332</v>
      </c>
      <c r="Q121" s="154">
        <v>47118</v>
      </c>
      <c r="R121" s="159"/>
    </row>
    <row r="122" spans="1:18" ht="14.25" x14ac:dyDescent="0.2">
      <c r="A122" s="121" t="s">
        <v>1223</v>
      </c>
      <c r="B122" s="122" t="s">
        <v>1223</v>
      </c>
      <c r="C122" s="122" t="s">
        <v>248</v>
      </c>
      <c r="D122" s="122" t="s">
        <v>2848</v>
      </c>
      <c r="E122" s="122"/>
      <c r="F122" s="122"/>
      <c r="G122" s="122" t="s">
        <v>2849</v>
      </c>
      <c r="H122" s="122" t="s">
        <v>2850</v>
      </c>
      <c r="I122" s="122" t="s">
        <v>78</v>
      </c>
      <c r="J122" s="122" t="s">
        <v>1217</v>
      </c>
      <c r="K122" s="145">
        <v>43116</v>
      </c>
      <c r="L122" s="123">
        <v>12724.078</v>
      </c>
      <c r="M122" s="123">
        <v>42065.801868000002</v>
      </c>
      <c r="N122" s="123">
        <v>2425.7779999999998</v>
      </c>
      <c r="O122" s="123">
        <v>8019.6220679999997</v>
      </c>
      <c r="P122" s="152">
        <v>0.19064469739968584</v>
      </c>
      <c r="Q122" s="154">
        <v>46265</v>
      </c>
      <c r="R122" s="159"/>
    </row>
    <row r="123" spans="1:18" ht="14.25" x14ac:dyDescent="0.2">
      <c r="A123" s="121" t="s">
        <v>1223</v>
      </c>
      <c r="B123" s="122" t="s">
        <v>1223</v>
      </c>
      <c r="C123" s="122" t="s">
        <v>248</v>
      </c>
      <c r="D123" s="122" t="s">
        <v>2971</v>
      </c>
      <c r="E123" s="122"/>
      <c r="F123" s="122"/>
      <c r="G123" s="122" t="s">
        <v>2972</v>
      </c>
      <c r="H123" s="122" t="s">
        <v>2973</v>
      </c>
      <c r="I123" s="122" t="s">
        <v>102</v>
      </c>
      <c r="J123" s="122" t="s">
        <v>1216</v>
      </c>
      <c r="K123" s="145">
        <v>42982</v>
      </c>
      <c r="L123" s="123">
        <v>30209.703000000001</v>
      </c>
      <c r="M123" s="123">
        <v>30209.703000000001</v>
      </c>
      <c r="N123" s="123">
        <v>14899.08</v>
      </c>
      <c r="O123" s="123">
        <v>14899.08</v>
      </c>
      <c r="P123" s="152">
        <v>0.49318856262837141</v>
      </c>
      <c r="Q123" s="154">
        <v>46996</v>
      </c>
      <c r="R123" s="159"/>
    </row>
    <row r="124" spans="1:18" ht="14.25" x14ac:dyDescent="0.2">
      <c r="A124" s="121" t="s">
        <v>1223</v>
      </c>
      <c r="B124" s="122" t="s">
        <v>1223</v>
      </c>
      <c r="C124" s="122" t="s">
        <v>248</v>
      </c>
      <c r="D124" s="122" t="s">
        <v>2938</v>
      </c>
      <c r="E124" s="122"/>
      <c r="F124" s="122"/>
      <c r="G124" s="122" t="s">
        <v>2939</v>
      </c>
      <c r="H124" s="122" t="s">
        <v>2940</v>
      </c>
      <c r="I124" s="122" t="s">
        <v>102</v>
      </c>
      <c r="J124" s="122" t="s">
        <v>1216</v>
      </c>
      <c r="K124" s="145">
        <v>43782</v>
      </c>
      <c r="L124" s="123">
        <v>38871.633999999998</v>
      </c>
      <c r="M124" s="123">
        <v>38871.633999999998</v>
      </c>
      <c r="N124" s="123">
        <v>4870.4970000000003</v>
      </c>
      <c r="O124" s="123">
        <v>4870.4970000000003</v>
      </c>
      <c r="P124" s="152">
        <v>0.12529694532522095</v>
      </c>
      <c r="Q124" s="154">
        <v>46691</v>
      </c>
      <c r="R124" s="159"/>
    </row>
    <row r="125" spans="1:18" ht="14.25" x14ac:dyDescent="0.2">
      <c r="A125" s="121" t="s">
        <v>1223</v>
      </c>
      <c r="B125" s="122" t="s">
        <v>1223</v>
      </c>
      <c r="C125" s="122" t="s">
        <v>248</v>
      </c>
      <c r="D125" s="122" t="s">
        <v>3186</v>
      </c>
      <c r="E125" s="122"/>
      <c r="F125" s="122"/>
      <c r="G125" s="122" t="s">
        <v>3187</v>
      </c>
      <c r="H125" s="122" t="s">
        <v>3188</v>
      </c>
      <c r="I125" s="122" t="s">
        <v>102</v>
      </c>
      <c r="J125" s="122" t="s">
        <v>1217</v>
      </c>
      <c r="K125" s="145">
        <v>43082</v>
      </c>
      <c r="L125" s="123">
        <v>7255.4639297214999</v>
      </c>
      <c r="M125" s="123">
        <v>23986.563751659276</v>
      </c>
      <c r="N125" s="123">
        <v>225.44992972149979</v>
      </c>
      <c r="O125" s="123">
        <v>745.33746765927833</v>
      </c>
      <c r="P125" s="152">
        <v>3.1073123911202968E-2</v>
      </c>
      <c r="Q125" s="154">
        <v>46735</v>
      </c>
      <c r="R125" s="159"/>
    </row>
    <row r="126" spans="1:18" ht="14.25" x14ac:dyDescent="0.2">
      <c r="A126" s="121" t="s">
        <v>1223</v>
      </c>
      <c r="B126" s="122" t="s">
        <v>1223</v>
      </c>
      <c r="C126" s="122" t="s">
        <v>248</v>
      </c>
      <c r="D126" s="122" t="s">
        <v>3104</v>
      </c>
      <c r="E126" s="122"/>
      <c r="F126" s="122"/>
      <c r="G126" s="122" t="s">
        <v>3105</v>
      </c>
      <c r="H126" s="122" t="s">
        <v>3106</v>
      </c>
      <c r="I126" s="122" t="s">
        <v>102</v>
      </c>
      <c r="J126" s="122" t="s">
        <v>1217</v>
      </c>
      <c r="K126" s="145">
        <v>43971</v>
      </c>
      <c r="L126" s="123">
        <v>10433.111000000001</v>
      </c>
      <c r="M126" s="123">
        <v>34491.864966000001</v>
      </c>
      <c r="N126" s="123">
        <v>2809.2409999999995</v>
      </c>
      <c r="O126" s="123">
        <v>9287.3507460000001</v>
      </c>
      <c r="P126" s="152">
        <v>0.26926206382736656</v>
      </c>
      <c r="Q126" s="154">
        <v>47624</v>
      </c>
      <c r="R126" s="159"/>
    </row>
    <row r="127" spans="1:18" ht="14.25" x14ac:dyDescent="0.2">
      <c r="A127" s="121" t="s">
        <v>1223</v>
      </c>
      <c r="B127" s="122" t="s">
        <v>1223</v>
      </c>
      <c r="C127" s="122" t="s">
        <v>248</v>
      </c>
      <c r="D127" s="122" t="s">
        <v>2967</v>
      </c>
      <c r="E127" s="122"/>
      <c r="F127" s="122"/>
      <c r="G127" s="122" t="s">
        <v>2913</v>
      </c>
      <c r="H127" s="122" t="s">
        <v>2968</v>
      </c>
      <c r="I127" s="122" t="s">
        <v>102</v>
      </c>
      <c r="J127" s="122" t="s">
        <v>1216</v>
      </c>
      <c r="K127" s="145">
        <v>42572</v>
      </c>
      <c r="L127" s="123">
        <v>13706.379000000001</v>
      </c>
      <c r="M127" s="123">
        <v>13706.379000000001</v>
      </c>
      <c r="N127" s="123">
        <v>5935.5190000000002</v>
      </c>
      <c r="O127" s="123">
        <v>5935.5190000000002</v>
      </c>
      <c r="P127" s="152">
        <v>0.43304792607879877</v>
      </c>
      <c r="Q127" s="154">
        <v>46225</v>
      </c>
      <c r="R127" s="159"/>
    </row>
    <row r="128" spans="1:18" ht="14.25" x14ac:dyDescent="0.2">
      <c r="A128" s="121" t="s">
        <v>1223</v>
      </c>
      <c r="B128" s="122" t="s">
        <v>1223</v>
      </c>
      <c r="C128" s="122" t="s">
        <v>248</v>
      </c>
      <c r="D128" s="122" t="s">
        <v>102</v>
      </c>
      <c r="E128" s="122"/>
      <c r="F128" s="122"/>
      <c r="G128" s="122" t="s">
        <v>2894</v>
      </c>
      <c r="H128" s="122" t="s">
        <v>2895</v>
      </c>
      <c r="I128" s="122" t="s">
        <v>102</v>
      </c>
      <c r="J128" s="122" t="s">
        <v>1218</v>
      </c>
      <c r="K128" s="145">
        <v>43396</v>
      </c>
      <c r="L128" s="123">
        <v>8362.5614740354504</v>
      </c>
      <c r="M128" s="123">
        <v>32452.592312289373</v>
      </c>
      <c r="N128" s="123">
        <v>2139.65007403545</v>
      </c>
      <c r="O128" s="123">
        <v>8303.3400423093717</v>
      </c>
      <c r="P128" s="152">
        <v>0.2558606092976124</v>
      </c>
      <c r="Q128" s="154">
        <v>46203</v>
      </c>
      <c r="R128" s="159"/>
    </row>
    <row r="129" spans="1:18" ht="14.25" x14ac:dyDescent="0.2">
      <c r="A129" s="121" t="s">
        <v>1223</v>
      </c>
      <c r="B129" s="122" t="s">
        <v>1223</v>
      </c>
      <c r="C129" s="122" t="s">
        <v>248</v>
      </c>
      <c r="D129" s="122" t="s">
        <v>2875</v>
      </c>
      <c r="E129" s="122"/>
      <c r="F129" s="122"/>
      <c r="G129" s="122" t="s">
        <v>2876</v>
      </c>
      <c r="H129" s="122" t="s">
        <v>2877</v>
      </c>
      <c r="I129" s="122" t="s">
        <v>102</v>
      </c>
      <c r="J129" s="122" t="s">
        <v>1217</v>
      </c>
      <c r="K129" s="145">
        <v>44286</v>
      </c>
      <c r="L129" s="123">
        <v>10459.924000000001</v>
      </c>
      <c r="M129" s="123">
        <v>34580.508744000006</v>
      </c>
      <c r="N129" s="123">
        <v>4393.1659900000004</v>
      </c>
      <c r="O129" s="123">
        <v>14523.806762940001</v>
      </c>
      <c r="P129" s="152">
        <v>0.4199998001897528</v>
      </c>
      <c r="Q129" s="154">
        <v>47848</v>
      </c>
      <c r="R129" s="159"/>
    </row>
    <row r="130" spans="1:18" ht="14.25" x14ac:dyDescent="0.2">
      <c r="A130" s="121" t="s">
        <v>1223</v>
      </c>
      <c r="B130" s="122" t="s">
        <v>1223</v>
      </c>
      <c r="C130" s="122" t="s">
        <v>248</v>
      </c>
      <c r="D130" s="122" t="s">
        <v>3113</v>
      </c>
      <c r="E130" s="122"/>
      <c r="F130" s="122"/>
      <c r="G130" s="122" t="s">
        <v>3114</v>
      </c>
      <c r="H130" s="122" t="s">
        <v>3115</v>
      </c>
      <c r="I130" s="122" t="s">
        <v>102</v>
      </c>
      <c r="J130" s="122" t="s">
        <v>1218</v>
      </c>
      <c r="K130" s="145">
        <v>44651</v>
      </c>
      <c r="L130" s="123">
        <v>11298</v>
      </c>
      <c r="M130" s="123">
        <v>43844.1486</v>
      </c>
      <c r="N130" s="123">
        <v>4005.1409900000003</v>
      </c>
      <c r="O130" s="123">
        <v>15542.750639893002</v>
      </c>
      <c r="P130" s="152">
        <v>0.35449999911488761</v>
      </c>
      <c r="Q130" s="154">
        <v>48305</v>
      </c>
      <c r="R130" s="159"/>
    </row>
    <row r="131" spans="1:18" ht="14.25" x14ac:dyDescent="0.2">
      <c r="A131" s="121" t="s">
        <v>1223</v>
      </c>
      <c r="B131" s="122" t="s">
        <v>1223</v>
      </c>
      <c r="C131" s="122" t="s">
        <v>248</v>
      </c>
      <c r="D131" s="122" t="s">
        <v>3095</v>
      </c>
      <c r="E131" s="122"/>
      <c r="F131" s="122"/>
      <c r="G131" s="122" t="s">
        <v>3215</v>
      </c>
      <c r="H131" s="122" t="s">
        <v>3216</v>
      </c>
      <c r="I131" s="122" t="s">
        <v>102</v>
      </c>
      <c r="J131" s="122" t="s">
        <v>1217</v>
      </c>
      <c r="K131" s="145">
        <v>45475</v>
      </c>
      <c r="L131" s="123">
        <v>10058.91589</v>
      </c>
      <c r="M131" s="123">
        <v>33254.775932340002</v>
      </c>
      <c r="N131" s="123">
        <v>7666.4329400000015</v>
      </c>
      <c r="O131" s="123">
        <v>25345.227299640002</v>
      </c>
      <c r="P131" s="152">
        <v>0.76215300175852252</v>
      </c>
      <c r="Q131" s="154">
        <v>49127</v>
      </c>
      <c r="R131" s="159"/>
    </row>
    <row r="132" spans="1:18" ht="14.25" x14ac:dyDescent="0.2">
      <c r="A132" s="121" t="s">
        <v>1223</v>
      </c>
      <c r="B132" s="122" t="s">
        <v>1223</v>
      </c>
      <c r="C132" s="122" t="s">
        <v>248</v>
      </c>
      <c r="D132" s="122" t="s">
        <v>102</v>
      </c>
      <c r="E132" s="122"/>
      <c r="F132" s="122"/>
      <c r="G132" s="122" t="s">
        <v>2990</v>
      </c>
      <c r="H132" s="122" t="s">
        <v>2991</v>
      </c>
      <c r="I132" s="122" t="s">
        <v>102</v>
      </c>
      <c r="J132" s="122" t="s">
        <v>1217</v>
      </c>
      <c r="K132" s="145">
        <v>39387</v>
      </c>
      <c r="L132" s="123">
        <v>634</v>
      </c>
      <c r="M132" s="123">
        <v>2096.0039999999999</v>
      </c>
      <c r="N132" s="123">
        <v>12.184969999999971</v>
      </c>
      <c r="O132" s="123">
        <v>40.283510819999911</v>
      </c>
      <c r="P132" s="152">
        <v>1.9219195583596169E-2</v>
      </c>
      <c r="Q132" s="154">
        <v>46387</v>
      </c>
      <c r="R132" s="159"/>
    </row>
    <row r="133" spans="1:18" ht="14.25" x14ac:dyDescent="0.2">
      <c r="A133" s="121" t="s">
        <v>1223</v>
      </c>
      <c r="B133" s="122" t="s">
        <v>1223</v>
      </c>
      <c r="C133" s="122" t="s">
        <v>248</v>
      </c>
      <c r="D133" s="122" t="s">
        <v>3201</v>
      </c>
      <c r="E133" s="122"/>
      <c r="F133" s="122"/>
      <c r="G133" s="122" t="s">
        <v>3202</v>
      </c>
      <c r="H133" s="122" t="s">
        <v>3203</v>
      </c>
      <c r="I133" s="122" t="s">
        <v>102</v>
      </c>
      <c r="J133" s="122" t="s">
        <v>1217</v>
      </c>
      <c r="K133" s="145">
        <v>44651</v>
      </c>
      <c r="L133" s="123">
        <v>15064</v>
      </c>
      <c r="M133" s="123">
        <v>49801.584000000003</v>
      </c>
      <c r="N133" s="123">
        <v>10334.00599</v>
      </c>
      <c r="O133" s="123">
        <v>34164.223802940003</v>
      </c>
      <c r="P133" s="152">
        <v>0.6860067704460967</v>
      </c>
      <c r="Q133" s="154">
        <v>48307</v>
      </c>
      <c r="R133" s="159"/>
    </row>
    <row r="134" spans="1:18" ht="14.25" x14ac:dyDescent="0.2">
      <c r="A134" s="121" t="s">
        <v>1223</v>
      </c>
      <c r="B134" s="122" t="s">
        <v>1223</v>
      </c>
      <c r="C134" s="122" t="s">
        <v>248</v>
      </c>
      <c r="D134" s="122" t="s">
        <v>102</v>
      </c>
      <c r="E134" s="122"/>
      <c r="F134" s="122"/>
      <c r="G134" s="122" t="s">
        <v>3042</v>
      </c>
      <c r="H134" s="122" t="s">
        <v>3043</v>
      </c>
      <c r="I134" s="122" t="s">
        <v>102</v>
      </c>
      <c r="J134" s="122" t="s">
        <v>1217</v>
      </c>
      <c r="K134" s="145">
        <v>44742</v>
      </c>
      <c r="L134" s="123">
        <v>11680.6975306</v>
      </c>
      <c r="M134" s="123">
        <v>38616.386036163596</v>
      </c>
      <c r="N134" s="123">
        <v>782.3203606000003</v>
      </c>
      <c r="O134" s="123">
        <v>2586.3511121436009</v>
      </c>
      <c r="P134" s="152">
        <v>6.6975483146494499E-2</v>
      </c>
      <c r="Q134" s="154">
        <v>48415</v>
      </c>
      <c r="R134" s="159"/>
    </row>
    <row r="135" spans="1:18" ht="14.25" x14ac:dyDescent="0.2">
      <c r="A135" s="121" t="s">
        <v>1223</v>
      </c>
      <c r="B135" s="122" t="s">
        <v>1223</v>
      </c>
      <c r="C135" s="122" t="s">
        <v>248</v>
      </c>
      <c r="D135" s="122" t="s">
        <v>2906</v>
      </c>
      <c r="E135" s="122"/>
      <c r="F135" s="122"/>
      <c r="G135" s="122" t="s">
        <v>2907</v>
      </c>
      <c r="H135" s="122" t="s">
        <v>2908</v>
      </c>
      <c r="I135" s="122" t="s">
        <v>102</v>
      </c>
      <c r="J135" s="122" t="s">
        <v>1217</v>
      </c>
      <c r="K135" s="145">
        <v>45475</v>
      </c>
      <c r="L135" s="123">
        <v>12611.672</v>
      </c>
      <c r="M135" s="123">
        <v>41694.187632000001</v>
      </c>
      <c r="N135" s="123">
        <v>7285.6059999999998</v>
      </c>
      <c r="O135" s="123">
        <v>24086.213436000002</v>
      </c>
      <c r="P135" s="152">
        <v>0.57768755800182559</v>
      </c>
      <c r="Q135" s="154">
        <v>49127</v>
      </c>
      <c r="R135" s="159"/>
    </row>
    <row r="136" spans="1:18" ht="14.25" x14ac:dyDescent="0.2">
      <c r="A136" s="121" t="s">
        <v>1223</v>
      </c>
      <c r="B136" s="122" t="s">
        <v>1223</v>
      </c>
      <c r="C136" s="122" t="s">
        <v>248</v>
      </c>
      <c r="D136" s="122" t="s">
        <v>3071</v>
      </c>
      <c r="E136" s="122"/>
      <c r="F136" s="122"/>
      <c r="G136" s="122" t="s">
        <v>3131</v>
      </c>
      <c r="H136" s="122" t="s">
        <v>3132</v>
      </c>
      <c r="I136" s="122" t="s">
        <v>102</v>
      </c>
      <c r="J136" s="122" t="s">
        <v>1217</v>
      </c>
      <c r="K136" s="145">
        <v>45140</v>
      </c>
      <c r="L136" s="123">
        <v>11298</v>
      </c>
      <c r="M136" s="123">
        <v>37351.188000000002</v>
      </c>
      <c r="N136" s="123">
        <v>5337.1049999999996</v>
      </c>
      <c r="O136" s="123">
        <v>17644.469129999998</v>
      </c>
      <c r="P136" s="152">
        <v>0.47239378651088687</v>
      </c>
      <c r="Q136" s="154">
        <v>47848</v>
      </c>
      <c r="R136" s="159"/>
    </row>
    <row r="137" spans="1:18" ht="14.25" x14ac:dyDescent="0.2">
      <c r="A137" s="121" t="s">
        <v>1223</v>
      </c>
      <c r="B137" s="122" t="s">
        <v>1223</v>
      </c>
      <c r="C137" s="122" t="s">
        <v>248</v>
      </c>
      <c r="D137" s="122" t="s">
        <v>3201</v>
      </c>
      <c r="E137" s="122"/>
      <c r="F137" s="122"/>
      <c r="G137" s="122" t="s">
        <v>3261</v>
      </c>
      <c r="H137" s="122" t="s">
        <v>3262</v>
      </c>
      <c r="I137" s="122" t="s">
        <v>102</v>
      </c>
      <c r="J137" s="122" t="s">
        <v>1217</v>
      </c>
      <c r="K137" s="145">
        <v>44651</v>
      </c>
      <c r="L137" s="123">
        <v>1506.4</v>
      </c>
      <c r="M137" s="123">
        <v>4980.1584000000003</v>
      </c>
      <c r="N137" s="123">
        <v>787.16399000000001</v>
      </c>
      <c r="O137" s="123">
        <v>2602.3641509399999</v>
      </c>
      <c r="P137" s="152">
        <v>0.5225464617631439</v>
      </c>
      <c r="Q137" s="154">
        <v>46478</v>
      </c>
      <c r="R137" s="159"/>
    </row>
    <row r="138" spans="1:18" ht="14.25" x14ac:dyDescent="0.2">
      <c r="A138" s="121" t="s">
        <v>1223</v>
      </c>
      <c r="B138" s="122" t="s">
        <v>1223</v>
      </c>
      <c r="C138" s="122" t="s">
        <v>248</v>
      </c>
      <c r="D138" s="122" t="s">
        <v>2872</v>
      </c>
      <c r="E138" s="122"/>
      <c r="F138" s="122"/>
      <c r="G138" s="122" t="s">
        <v>2873</v>
      </c>
      <c r="H138" s="122" t="s">
        <v>2874</v>
      </c>
      <c r="I138" s="122" t="s">
        <v>102</v>
      </c>
      <c r="J138" s="122" t="s">
        <v>1216</v>
      </c>
      <c r="K138" s="145">
        <v>43802</v>
      </c>
      <c r="L138" s="123">
        <v>48650.273999999998</v>
      </c>
      <c r="M138" s="123">
        <v>48650.273999999998</v>
      </c>
      <c r="N138" s="123">
        <v>14427.960999999999</v>
      </c>
      <c r="O138" s="123">
        <v>14427.960999999999</v>
      </c>
      <c r="P138" s="152">
        <v>0.29656484565739549</v>
      </c>
      <c r="Q138" s="154">
        <v>46721</v>
      </c>
      <c r="R138" s="159"/>
    </row>
    <row r="139" spans="1:18" ht="14.25" x14ac:dyDescent="0.2">
      <c r="A139" s="121" t="s">
        <v>1223</v>
      </c>
      <c r="B139" s="122" t="s">
        <v>1223</v>
      </c>
      <c r="C139" s="122" t="s">
        <v>248</v>
      </c>
      <c r="D139" s="122" t="s">
        <v>3177</v>
      </c>
      <c r="E139" s="122"/>
      <c r="F139" s="122"/>
      <c r="G139" s="122" t="s">
        <v>3178</v>
      </c>
      <c r="H139" s="122" t="s">
        <v>3179</v>
      </c>
      <c r="I139" s="122" t="s">
        <v>102</v>
      </c>
      <c r="J139" s="122" t="s">
        <v>1217</v>
      </c>
      <c r="K139" s="145">
        <v>44139</v>
      </c>
      <c r="L139" s="123">
        <v>4358.3019999999997</v>
      </c>
      <c r="M139" s="123">
        <v>14408.546412</v>
      </c>
      <c r="N139" s="123">
        <v>392.24400000000003</v>
      </c>
      <c r="O139" s="123">
        <v>1296.7586640000002</v>
      </c>
      <c r="P139" s="152">
        <v>8.9999270358043115E-2</v>
      </c>
      <c r="Q139" s="154">
        <v>48883</v>
      </c>
      <c r="R139" s="159"/>
    </row>
    <row r="140" spans="1:18" ht="14.25" x14ac:dyDescent="0.2">
      <c r="A140" s="121" t="s">
        <v>1223</v>
      </c>
      <c r="B140" s="122" t="s">
        <v>1223</v>
      </c>
      <c r="C140" s="122" t="s">
        <v>248</v>
      </c>
      <c r="D140" s="122" t="s">
        <v>3247</v>
      </c>
      <c r="E140" s="122"/>
      <c r="F140" s="122"/>
      <c r="G140" s="122" t="s">
        <v>3248</v>
      </c>
      <c r="H140" s="122" t="s">
        <v>3249</v>
      </c>
      <c r="I140" s="122" t="s">
        <v>102</v>
      </c>
      <c r="J140" s="122" t="s">
        <v>1217</v>
      </c>
      <c r="K140" s="145">
        <v>45722</v>
      </c>
      <c r="L140" s="123">
        <v>7800</v>
      </c>
      <c r="M140" s="123">
        <v>25786.799999999999</v>
      </c>
      <c r="N140" s="123">
        <v>6048.2878200000014</v>
      </c>
      <c r="O140" s="123">
        <v>19995.639532920002</v>
      </c>
      <c r="P140" s="152">
        <v>0.77542151538461546</v>
      </c>
      <c r="Q140" s="154">
        <v>49374</v>
      </c>
      <c r="R140" s="159"/>
    </row>
    <row r="141" spans="1:18" ht="14.25" x14ac:dyDescent="0.2">
      <c r="A141" s="121" t="s">
        <v>1223</v>
      </c>
      <c r="B141" s="122" t="s">
        <v>1223</v>
      </c>
      <c r="C141" s="122" t="s">
        <v>248</v>
      </c>
      <c r="D141" s="122" t="s">
        <v>3049</v>
      </c>
      <c r="E141" s="122"/>
      <c r="F141" s="122"/>
      <c r="G141" s="122" t="s">
        <v>3023</v>
      </c>
      <c r="H141" s="122" t="s">
        <v>3050</v>
      </c>
      <c r="I141" s="122" t="s">
        <v>102</v>
      </c>
      <c r="J141" s="122" t="s">
        <v>1217</v>
      </c>
      <c r="K141" s="145">
        <v>45449</v>
      </c>
      <c r="L141" s="123">
        <v>11700</v>
      </c>
      <c r="M141" s="123">
        <v>38680.199999999997</v>
      </c>
      <c r="N141" s="123">
        <v>280.68599999999998</v>
      </c>
      <c r="O141" s="123">
        <v>927.94791599999996</v>
      </c>
      <c r="P141" s="152">
        <v>2.399025641025641E-2</v>
      </c>
      <c r="Q141" s="154">
        <v>49101</v>
      </c>
      <c r="R141" s="159"/>
    </row>
    <row r="142" spans="1:18" ht="14.25" x14ac:dyDescent="0.2">
      <c r="A142" s="121" t="s">
        <v>1223</v>
      </c>
      <c r="B142" s="122" t="s">
        <v>1223</v>
      </c>
      <c r="C142" s="122" t="s">
        <v>248</v>
      </c>
      <c r="D142" s="122" t="s">
        <v>3244</v>
      </c>
      <c r="E142" s="122"/>
      <c r="F142" s="122"/>
      <c r="G142" s="122" t="s">
        <v>3245</v>
      </c>
      <c r="H142" s="122" t="s">
        <v>3246</v>
      </c>
      <c r="I142" s="122" t="s">
        <v>102</v>
      </c>
      <c r="J142" s="122" t="s">
        <v>1217</v>
      </c>
      <c r="K142" s="145">
        <v>44538</v>
      </c>
      <c r="L142" s="123">
        <v>9463.9599999999991</v>
      </c>
      <c r="M142" s="123">
        <v>31287.851760000001</v>
      </c>
      <c r="N142" s="123">
        <v>1780.146</v>
      </c>
      <c r="O142" s="123">
        <v>5885.1626759999999</v>
      </c>
      <c r="P142" s="152">
        <v>0.18809737150199282</v>
      </c>
      <c r="Q142" s="154">
        <v>47093</v>
      </c>
      <c r="R142" s="159"/>
    </row>
    <row r="143" spans="1:18" ht="14.25" x14ac:dyDescent="0.2">
      <c r="A143" s="121" t="s">
        <v>1223</v>
      </c>
      <c r="B143" s="122" t="s">
        <v>1223</v>
      </c>
      <c r="C143" s="122" t="s">
        <v>248</v>
      </c>
      <c r="D143" s="122" t="s">
        <v>2944</v>
      </c>
      <c r="E143" s="122"/>
      <c r="F143" s="122"/>
      <c r="G143" s="122" t="s">
        <v>2945</v>
      </c>
      <c r="H143" s="122" t="s">
        <v>2946</v>
      </c>
      <c r="I143" s="122" t="s">
        <v>102</v>
      </c>
      <c r="J143" s="122" t="s">
        <v>1217</v>
      </c>
      <c r="K143" s="145">
        <v>43194</v>
      </c>
      <c r="L143" s="123">
        <v>6894.0730000000003</v>
      </c>
      <c r="M143" s="123">
        <v>22791.805337999998</v>
      </c>
      <c r="N143" s="123">
        <v>482.58486000000039</v>
      </c>
      <c r="O143" s="123">
        <v>1595.4255471600013</v>
      </c>
      <c r="P143" s="152">
        <v>6.9999963736966583E-2</v>
      </c>
      <c r="Q143" s="154">
        <v>46842</v>
      </c>
      <c r="R143" s="159"/>
    </row>
    <row r="144" spans="1:18" ht="14.25" x14ac:dyDescent="0.2">
      <c r="A144" s="121" t="s">
        <v>1223</v>
      </c>
      <c r="B144" s="122" t="s">
        <v>1223</v>
      </c>
      <c r="C144" s="122" t="s">
        <v>248</v>
      </c>
      <c r="D144" s="122" t="s">
        <v>3086</v>
      </c>
      <c r="E144" s="122"/>
      <c r="F144" s="122"/>
      <c r="G144" s="122" t="s">
        <v>3087</v>
      </c>
      <c r="H144" s="122" t="s">
        <v>3088</v>
      </c>
      <c r="I144" s="122" t="s">
        <v>102</v>
      </c>
      <c r="J144" s="122" t="s">
        <v>1217</v>
      </c>
      <c r="K144" s="145">
        <v>43230</v>
      </c>
      <c r="L144" s="123">
        <v>13842.651380000001</v>
      </c>
      <c r="M144" s="123">
        <v>45763.805462280005</v>
      </c>
      <c r="N144" s="123">
        <v>2069.476380000001</v>
      </c>
      <c r="O144" s="123">
        <v>6841.688912280003</v>
      </c>
      <c r="P144" s="152">
        <v>0.149499999905365</v>
      </c>
      <c r="Q144" s="154">
        <v>47938</v>
      </c>
      <c r="R144" s="159"/>
    </row>
    <row r="145" spans="1:18" ht="14.25" x14ac:dyDescent="0.2">
      <c r="A145" s="121" t="s">
        <v>1223</v>
      </c>
      <c r="B145" s="122" t="s">
        <v>1223</v>
      </c>
      <c r="C145" s="122" t="s">
        <v>248</v>
      </c>
      <c r="D145" s="122" t="s">
        <v>3095</v>
      </c>
      <c r="E145" s="122"/>
      <c r="F145" s="122"/>
      <c r="G145" s="122" t="s">
        <v>3263</v>
      </c>
      <c r="H145" s="122" t="s">
        <v>3264</v>
      </c>
      <c r="I145" s="122" t="s">
        <v>102</v>
      </c>
      <c r="J145" s="122" t="s">
        <v>1217</v>
      </c>
      <c r="K145" s="145">
        <v>45512</v>
      </c>
      <c r="L145" s="123">
        <v>1355.76</v>
      </c>
      <c r="M145" s="123">
        <v>4482.1425600000002</v>
      </c>
      <c r="N145" s="123">
        <v>1067.0293900000001</v>
      </c>
      <c r="O145" s="123">
        <v>3527.5991633400004</v>
      </c>
      <c r="P145" s="152">
        <v>0.78703412845931431</v>
      </c>
      <c r="Q145" s="154">
        <v>49164</v>
      </c>
      <c r="R145" s="159"/>
    </row>
    <row r="146" spans="1:18" ht="14.25" x14ac:dyDescent="0.2">
      <c r="A146" s="121" t="s">
        <v>1223</v>
      </c>
      <c r="B146" s="122" t="s">
        <v>1223</v>
      </c>
      <c r="C146" s="122" t="s">
        <v>248</v>
      </c>
      <c r="D146" s="122" t="s">
        <v>2941</v>
      </c>
      <c r="E146" s="122"/>
      <c r="F146" s="122"/>
      <c r="G146" s="122" t="s">
        <v>2942</v>
      </c>
      <c r="H146" s="122" t="s">
        <v>2943</v>
      </c>
      <c r="I146" s="122" t="s">
        <v>102</v>
      </c>
      <c r="J146" s="122" t="s">
        <v>1217</v>
      </c>
      <c r="K146" s="145">
        <v>44143</v>
      </c>
      <c r="L146" s="123">
        <v>6275.9560000000001</v>
      </c>
      <c r="M146" s="123">
        <v>20748.310535999997</v>
      </c>
      <c r="N146" s="123">
        <v>1568.9889900000003</v>
      </c>
      <c r="O146" s="123">
        <v>5187.0776009400015</v>
      </c>
      <c r="P146" s="152">
        <v>0.24999999840661732</v>
      </c>
      <c r="Q146" s="154">
        <v>45688</v>
      </c>
      <c r="R146" s="159"/>
    </row>
    <row r="147" spans="1:18" ht="14.25" x14ac:dyDescent="0.2">
      <c r="A147" s="121" t="s">
        <v>1223</v>
      </c>
      <c r="B147" s="122" t="s">
        <v>1223</v>
      </c>
      <c r="C147" s="122" t="s">
        <v>248</v>
      </c>
      <c r="D147" s="122" t="s">
        <v>102</v>
      </c>
      <c r="E147" s="122"/>
      <c r="F147" s="122"/>
      <c r="G147" s="122" t="s">
        <v>3220</v>
      </c>
      <c r="H147" s="122" t="s">
        <v>3221</v>
      </c>
      <c r="I147" s="122" t="s">
        <v>102</v>
      </c>
      <c r="J147" s="122" t="s">
        <v>1217</v>
      </c>
      <c r="K147" s="145">
        <v>45055</v>
      </c>
      <c r="L147" s="123">
        <v>5272.4</v>
      </c>
      <c r="M147" s="123">
        <v>17430.554399999997</v>
      </c>
      <c r="N147" s="123">
        <v>1980.52</v>
      </c>
      <c r="O147" s="123">
        <v>6547.5991199999999</v>
      </c>
      <c r="P147" s="152">
        <v>0.37563917760412718</v>
      </c>
      <c r="Q147" s="154">
        <v>49309</v>
      </c>
      <c r="R147" s="159"/>
    </row>
    <row r="148" spans="1:18" ht="14.25" x14ac:dyDescent="0.2">
      <c r="A148" s="121" t="s">
        <v>1223</v>
      </c>
      <c r="B148" s="122" t="s">
        <v>1223</v>
      </c>
      <c r="C148" s="122" t="s">
        <v>248</v>
      </c>
      <c r="D148" s="122" t="s">
        <v>3210</v>
      </c>
      <c r="E148" s="122"/>
      <c r="F148" s="122"/>
      <c r="G148" s="122" t="s">
        <v>3211</v>
      </c>
      <c r="H148" s="122" t="s">
        <v>3212</v>
      </c>
      <c r="I148" s="122" t="s">
        <v>102</v>
      </c>
      <c r="J148" s="122" t="s">
        <v>1217</v>
      </c>
      <c r="K148" s="145">
        <v>45574</v>
      </c>
      <c r="L148" s="123">
        <v>10174.424999999999</v>
      </c>
      <c r="M148" s="123">
        <v>33636.64905</v>
      </c>
      <c r="N148" s="123">
        <v>7159.9570000000003</v>
      </c>
      <c r="O148" s="123">
        <v>23670.817842</v>
      </c>
      <c r="P148" s="152">
        <v>0.70372104566105709</v>
      </c>
      <c r="Q148" s="154">
        <v>48983</v>
      </c>
      <c r="R148" s="159"/>
    </row>
    <row r="149" spans="1:18" ht="14.25" x14ac:dyDescent="0.2">
      <c r="A149" s="121" t="s">
        <v>1223</v>
      </c>
      <c r="B149" s="122" t="s">
        <v>1223</v>
      </c>
      <c r="C149" s="122" t="s">
        <v>248</v>
      </c>
      <c r="D149" s="122" t="s">
        <v>3028</v>
      </c>
      <c r="E149" s="122"/>
      <c r="F149" s="122"/>
      <c r="G149" s="122" t="s">
        <v>3029</v>
      </c>
      <c r="H149" s="122" t="s">
        <v>3030</v>
      </c>
      <c r="I149" s="122" t="s">
        <v>102</v>
      </c>
      <c r="J149" s="122" t="s">
        <v>1217</v>
      </c>
      <c r="K149" s="145">
        <v>43565</v>
      </c>
      <c r="L149" s="123">
        <v>19148.187740000001</v>
      </c>
      <c r="M149" s="123">
        <v>63303.90866844001</v>
      </c>
      <c r="N149" s="123">
        <v>3025.6164600000025</v>
      </c>
      <c r="O149" s="123">
        <v>10002.688016760008</v>
      </c>
      <c r="P149" s="152">
        <v>0.15801059092812103</v>
      </c>
      <c r="Q149" s="154">
        <v>46748</v>
      </c>
      <c r="R149" s="159"/>
    </row>
    <row r="150" spans="1:18" ht="14.25" x14ac:dyDescent="0.2">
      <c r="A150" s="121" t="s">
        <v>1223</v>
      </c>
      <c r="B150" s="122" t="s">
        <v>1223</v>
      </c>
      <c r="C150" s="122" t="s">
        <v>248</v>
      </c>
      <c r="D150" s="122" t="s">
        <v>2909</v>
      </c>
      <c r="E150" s="122"/>
      <c r="F150" s="122"/>
      <c r="G150" s="122" t="s">
        <v>2910</v>
      </c>
      <c r="H150" s="122" t="s">
        <v>2911</v>
      </c>
      <c r="I150" s="122" t="s">
        <v>102</v>
      </c>
      <c r="J150" s="122" t="s">
        <v>1216</v>
      </c>
      <c r="K150" s="145">
        <v>44722</v>
      </c>
      <c r="L150" s="123">
        <v>26362</v>
      </c>
      <c r="M150" s="123">
        <v>26362</v>
      </c>
      <c r="N150" s="123">
        <v>4295.7479999999996</v>
      </c>
      <c r="O150" s="123">
        <v>4295.7479999999996</v>
      </c>
      <c r="P150" s="152">
        <v>0.16295227979667704</v>
      </c>
      <c r="Q150" s="154">
        <v>48286</v>
      </c>
      <c r="R150" s="159"/>
    </row>
    <row r="151" spans="1:18" ht="14.25" x14ac:dyDescent="0.2">
      <c r="A151" s="121" t="s">
        <v>1223</v>
      </c>
      <c r="B151" s="122" t="s">
        <v>1223</v>
      </c>
      <c r="C151" s="122" t="s">
        <v>248</v>
      </c>
      <c r="D151" s="122" t="s">
        <v>2915</v>
      </c>
      <c r="E151" s="122"/>
      <c r="F151" s="122"/>
      <c r="G151" s="122" t="s">
        <v>2916</v>
      </c>
      <c r="H151" s="122" t="s">
        <v>2917</v>
      </c>
      <c r="I151" s="122" t="s">
        <v>102</v>
      </c>
      <c r="J151" s="122" t="s">
        <v>1216</v>
      </c>
      <c r="K151" s="145">
        <v>45056</v>
      </c>
      <c r="L151" s="123">
        <v>37660</v>
      </c>
      <c r="M151" s="123">
        <v>37660</v>
      </c>
      <c r="N151" s="123">
        <v>15197.535</v>
      </c>
      <c r="O151" s="123">
        <v>15197.535</v>
      </c>
      <c r="P151" s="152">
        <v>0.40354580456718003</v>
      </c>
      <c r="Q151" s="154">
        <v>48944</v>
      </c>
      <c r="R151" s="159"/>
    </row>
    <row r="152" spans="1:18" ht="14.25" x14ac:dyDescent="0.2">
      <c r="A152" s="121" t="s">
        <v>1223</v>
      </c>
      <c r="B152" s="122" t="s">
        <v>1223</v>
      </c>
      <c r="C152" s="122" t="s">
        <v>248</v>
      </c>
      <c r="D152" s="122" t="s">
        <v>2969</v>
      </c>
      <c r="E152" s="122"/>
      <c r="F152" s="122"/>
      <c r="G152" s="122" t="s">
        <v>2969</v>
      </c>
      <c r="H152" s="122" t="s">
        <v>2970</v>
      </c>
      <c r="I152" s="122" t="s">
        <v>102</v>
      </c>
      <c r="J152" s="122" t="s">
        <v>1216</v>
      </c>
      <c r="K152" s="145">
        <v>45576</v>
      </c>
      <c r="L152" s="123">
        <v>39000</v>
      </c>
      <c r="M152" s="123">
        <v>39000</v>
      </c>
      <c r="N152" s="123">
        <v>35718.892999999996</v>
      </c>
      <c r="O152" s="123">
        <v>35718.892999999996</v>
      </c>
      <c r="P152" s="152">
        <v>0.91586905128205132</v>
      </c>
      <c r="Q152" s="154">
        <v>50022</v>
      </c>
      <c r="R152" s="159"/>
    </row>
    <row r="153" spans="1:18" ht="14.25" x14ac:dyDescent="0.2">
      <c r="A153" s="121" t="s">
        <v>1223</v>
      </c>
      <c r="B153" s="122" t="s">
        <v>1223</v>
      </c>
      <c r="C153" s="122" t="s">
        <v>248</v>
      </c>
      <c r="D153" s="122" t="s">
        <v>3165</v>
      </c>
      <c r="E153" s="122"/>
      <c r="F153" s="122"/>
      <c r="G153" s="122" t="s">
        <v>3166</v>
      </c>
      <c r="H153" s="122" t="s">
        <v>3167</v>
      </c>
      <c r="I153" s="122" t="s">
        <v>102</v>
      </c>
      <c r="J153" s="122" t="s">
        <v>1218</v>
      </c>
      <c r="K153" s="145">
        <v>45271</v>
      </c>
      <c r="L153" s="123">
        <v>11298</v>
      </c>
      <c r="M153" s="123">
        <v>43844.1486</v>
      </c>
      <c r="N153" s="123">
        <v>5110.5825599999998</v>
      </c>
      <c r="O153" s="123">
        <v>19832.637740591999</v>
      </c>
      <c r="P153" s="152">
        <v>0.45234400424853954</v>
      </c>
      <c r="Q153" s="154">
        <v>48884</v>
      </c>
      <c r="R153" s="159"/>
    </row>
    <row r="154" spans="1:18" ht="14.25" x14ac:dyDescent="0.2">
      <c r="A154" s="121" t="s">
        <v>1223</v>
      </c>
      <c r="B154" s="122" t="s">
        <v>1223</v>
      </c>
      <c r="C154" s="122" t="s">
        <v>248</v>
      </c>
      <c r="D154" s="122" t="s">
        <v>2932</v>
      </c>
      <c r="E154" s="122"/>
      <c r="F154" s="122"/>
      <c r="G154" s="122" t="s">
        <v>2933</v>
      </c>
      <c r="H154" s="122" t="s">
        <v>2934</v>
      </c>
      <c r="I154" s="122" t="s">
        <v>102</v>
      </c>
      <c r="J154" s="122" t="s">
        <v>1217</v>
      </c>
      <c r="K154" s="145">
        <v>44938</v>
      </c>
      <c r="L154" s="123">
        <v>7532</v>
      </c>
      <c r="M154" s="123">
        <v>24900.792000000001</v>
      </c>
      <c r="N154" s="123">
        <v>3472.252</v>
      </c>
      <c r="O154" s="123">
        <v>11479.265111999999</v>
      </c>
      <c r="P154" s="152">
        <v>0.46099999999999997</v>
      </c>
      <c r="Q154" s="154">
        <v>47515</v>
      </c>
      <c r="R154" s="159"/>
    </row>
    <row r="155" spans="1:18" ht="14.25" x14ac:dyDescent="0.2">
      <c r="A155" s="121" t="s">
        <v>1223</v>
      </c>
      <c r="B155" s="122" t="s">
        <v>1223</v>
      </c>
      <c r="C155" s="122" t="s">
        <v>248</v>
      </c>
      <c r="D155" s="122" t="s">
        <v>3089</v>
      </c>
      <c r="E155" s="122"/>
      <c r="F155" s="122"/>
      <c r="G155" s="122" t="s">
        <v>3090</v>
      </c>
      <c r="H155" s="122" t="s">
        <v>3091</v>
      </c>
      <c r="I155" s="122" t="s">
        <v>102</v>
      </c>
      <c r="J155" s="122" t="s">
        <v>1218</v>
      </c>
      <c r="K155" s="145">
        <v>45302</v>
      </c>
      <c r="L155" s="123">
        <v>11298</v>
      </c>
      <c r="M155" s="123">
        <v>43844.1486</v>
      </c>
      <c r="N155" s="123">
        <v>3800.1927099999998</v>
      </c>
      <c r="O155" s="123">
        <v>14747.407849697</v>
      </c>
      <c r="P155" s="152">
        <v>0.33635977252611077</v>
      </c>
      <c r="Q155" s="154">
        <v>49021</v>
      </c>
      <c r="R155" s="159"/>
    </row>
    <row r="156" spans="1:18" ht="14.25" x14ac:dyDescent="0.2">
      <c r="A156" s="121" t="s">
        <v>1223</v>
      </c>
      <c r="B156" s="122" t="s">
        <v>1223</v>
      </c>
      <c r="C156" s="122" t="s">
        <v>248</v>
      </c>
      <c r="D156" s="122" t="s">
        <v>3128</v>
      </c>
      <c r="E156" s="122"/>
      <c r="F156" s="122"/>
      <c r="G156" s="122" t="s">
        <v>3213</v>
      </c>
      <c r="H156" s="122" t="s">
        <v>3214</v>
      </c>
      <c r="I156" s="122" t="s">
        <v>102</v>
      </c>
      <c r="J156" s="122" t="s">
        <v>1218</v>
      </c>
      <c r="K156" s="145">
        <v>45089</v>
      </c>
      <c r="L156" s="123">
        <v>6177.32096</v>
      </c>
      <c r="M156" s="123">
        <v>23972.329449471999</v>
      </c>
      <c r="N156" s="123">
        <v>3219.3374699999999</v>
      </c>
      <c r="O156" s="123">
        <v>12493.282919829</v>
      </c>
      <c r="P156" s="152">
        <v>0.52115431444248606</v>
      </c>
      <c r="Q156" s="154">
        <v>50040</v>
      </c>
      <c r="R156" s="159"/>
    </row>
    <row r="157" spans="1:18" ht="14.25" x14ac:dyDescent="0.2">
      <c r="A157" s="121" t="s">
        <v>1223</v>
      </c>
      <c r="B157" s="122" t="s">
        <v>1223</v>
      </c>
      <c r="C157" s="122" t="s">
        <v>248</v>
      </c>
      <c r="D157" s="122" t="s">
        <v>3241</v>
      </c>
      <c r="E157" s="122"/>
      <c r="F157" s="122"/>
      <c r="G157" s="122" t="s">
        <v>3242</v>
      </c>
      <c r="H157" s="122" t="s">
        <v>3243</v>
      </c>
      <c r="I157" s="122" t="s">
        <v>102</v>
      </c>
      <c r="J157" s="122" t="s">
        <v>1216</v>
      </c>
      <c r="K157" s="145">
        <v>45119</v>
      </c>
      <c r="L157" s="123">
        <v>37660</v>
      </c>
      <c r="M157" s="123">
        <v>37660</v>
      </c>
      <c r="N157" s="123">
        <v>28366.595000000001</v>
      </c>
      <c r="O157" s="123">
        <v>28366.595000000001</v>
      </c>
      <c r="P157" s="152">
        <v>0.75322875730217742</v>
      </c>
      <c r="Q157" s="154">
        <v>47848</v>
      </c>
      <c r="R157" s="159"/>
    </row>
    <row r="158" spans="1:18" ht="14.25" x14ac:dyDescent="0.2">
      <c r="A158" s="121" t="s">
        <v>1223</v>
      </c>
      <c r="B158" s="122" t="s">
        <v>1223</v>
      </c>
      <c r="C158" s="122" t="s">
        <v>248</v>
      </c>
      <c r="D158" s="122" t="s">
        <v>3148</v>
      </c>
      <c r="E158" s="122"/>
      <c r="F158" s="122"/>
      <c r="G158" s="122" t="s">
        <v>3149</v>
      </c>
      <c r="H158" s="122" t="s">
        <v>3150</v>
      </c>
      <c r="I158" s="122" t="s">
        <v>102</v>
      </c>
      <c r="J158" s="122" t="s">
        <v>1217</v>
      </c>
      <c r="K158" s="145">
        <v>44420</v>
      </c>
      <c r="L158" s="123">
        <v>10518</v>
      </c>
      <c r="M158" s="123">
        <v>34772.508000000002</v>
      </c>
      <c r="N158" s="123">
        <v>4749.04</v>
      </c>
      <c r="O158" s="123">
        <v>15700.32624</v>
      </c>
      <c r="P158" s="152">
        <v>0.45151549724282186</v>
      </c>
      <c r="Q158" s="154">
        <v>48822</v>
      </c>
      <c r="R158" s="159"/>
    </row>
    <row r="159" spans="1:18" ht="14.25" x14ac:dyDescent="0.2">
      <c r="A159" s="121" t="s">
        <v>1223</v>
      </c>
      <c r="B159" s="122" t="s">
        <v>1223</v>
      </c>
      <c r="C159" s="122" t="s">
        <v>248</v>
      </c>
      <c r="D159" s="122" t="s">
        <v>3019</v>
      </c>
      <c r="E159" s="122"/>
      <c r="F159" s="122"/>
      <c r="G159" s="122" t="s">
        <v>3020</v>
      </c>
      <c r="H159" s="122" t="s">
        <v>3021</v>
      </c>
      <c r="I159" s="122" t="s">
        <v>102</v>
      </c>
      <c r="J159" s="122" t="s">
        <v>1217</v>
      </c>
      <c r="K159" s="145">
        <v>44116</v>
      </c>
      <c r="L159" s="123">
        <v>17360.77</v>
      </c>
      <c r="M159" s="123">
        <v>57394.705620000001</v>
      </c>
      <c r="N159" s="123">
        <v>2430.5070000000001</v>
      </c>
      <c r="O159" s="123">
        <v>8035.2561420000002</v>
      </c>
      <c r="P159" s="152">
        <v>0.13999995391909462</v>
      </c>
      <c r="Q159" s="154">
        <v>47573</v>
      </c>
      <c r="R159" s="159"/>
    </row>
    <row r="160" spans="1:18" ht="14.25" x14ac:dyDescent="0.2">
      <c r="A160" s="121" t="s">
        <v>1223</v>
      </c>
      <c r="B160" s="122" t="s">
        <v>1223</v>
      </c>
      <c r="C160" s="122" t="s">
        <v>248</v>
      </c>
      <c r="D160" s="122" t="s">
        <v>3016</v>
      </c>
      <c r="E160" s="122"/>
      <c r="F160" s="122"/>
      <c r="G160" s="122" t="s">
        <v>3017</v>
      </c>
      <c r="H160" s="122" t="s">
        <v>3018</v>
      </c>
      <c r="I160" s="122" t="s">
        <v>102</v>
      </c>
      <c r="J160" s="122" t="s">
        <v>1217</v>
      </c>
      <c r="K160" s="145">
        <v>43843</v>
      </c>
      <c r="L160" s="123">
        <v>17346.528999999999</v>
      </c>
      <c r="M160" s="123">
        <v>57347.624874000001</v>
      </c>
      <c r="N160" s="123">
        <v>3295.8429999999998</v>
      </c>
      <c r="O160" s="123">
        <v>10896.056958000001</v>
      </c>
      <c r="P160" s="152">
        <v>0.19000014354456735</v>
      </c>
      <c r="Q160" s="154">
        <v>47483</v>
      </c>
      <c r="R160" s="159"/>
    </row>
    <row r="161" spans="1:18" ht="14.25" x14ac:dyDescent="0.2">
      <c r="A161" s="121" t="s">
        <v>1223</v>
      </c>
      <c r="B161" s="122" t="s">
        <v>1223</v>
      </c>
      <c r="C161" s="122" t="s">
        <v>248</v>
      </c>
      <c r="D161" s="122" t="s">
        <v>2903</v>
      </c>
      <c r="E161" s="122"/>
      <c r="F161" s="122"/>
      <c r="G161" s="122" t="s">
        <v>2904</v>
      </c>
      <c r="H161" s="122" t="s">
        <v>2905</v>
      </c>
      <c r="I161" s="122" t="s">
        <v>102</v>
      </c>
      <c r="J161" s="122" t="s">
        <v>1217</v>
      </c>
      <c r="K161" s="145">
        <v>44633</v>
      </c>
      <c r="L161" s="123">
        <v>7027.64</v>
      </c>
      <c r="M161" s="123">
        <v>23233.377840000001</v>
      </c>
      <c r="N161" s="123">
        <v>1925.2039999999997</v>
      </c>
      <c r="O161" s="123">
        <v>6364.724424</v>
      </c>
      <c r="P161" s="152">
        <v>0.2739474418154601</v>
      </c>
      <c r="Q161" s="154">
        <v>48286</v>
      </c>
      <c r="R161" s="159"/>
    </row>
    <row r="162" spans="1:18" ht="14.25" x14ac:dyDescent="0.2">
      <c r="A162" s="121" t="s">
        <v>1223</v>
      </c>
      <c r="B162" s="122" t="s">
        <v>1223</v>
      </c>
      <c r="C162" s="122" t="s">
        <v>248</v>
      </c>
      <c r="D162" s="122" t="s">
        <v>3258</v>
      </c>
      <c r="E162" s="122"/>
      <c r="F162" s="122"/>
      <c r="G162" s="122" t="s">
        <v>3259</v>
      </c>
      <c r="H162" s="122" t="s">
        <v>3260</v>
      </c>
      <c r="I162" s="122" t="s">
        <v>102</v>
      </c>
      <c r="J162" s="122" t="s">
        <v>1217</v>
      </c>
      <c r="K162" s="145">
        <v>45882</v>
      </c>
      <c r="L162" s="123">
        <v>9360</v>
      </c>
      <c r="M162" s="123">
        <v>30944.16</v>
      </c>
      <c r="N162" s="123">
        <v>8503.2649199999996</v>
      </c>
      <c r="O162" s="123">
        <v>28111.793825520002</v>
      </c>
      <c r="P162" s="152">
        <v>0.90846847435897438</v>
      </c>
      <c r="Q162" s="154">
        <v>48760</v>
      </c>
      <c r="R162" s="159"/>
    </row>
    <row r="163" spans="1:18" ht="14.25" x14ac:dyDescent="0.2">
      <c r="A163" s="121" t="s">
        <v>1223</v>
      </c>
      <c r="B163" s="122" t="s">
        <v>1223</v>
      </c>
      <c r="C163" s="122" t="s">
        <v>248</v>
      </c>
      <c r="D163" s="122" t="s">
        <v>3159</v>
      </c>
      <c r="E163" s="122"/>
      <c r="F163" s="122"/>
      <c r="G163" s="122" t="s">
        <v>3160</v>
      </c>
      <c r="H163" s="122" t="s">
        <v>3161</v>
      </c>
      <c r="I163" s="122" t="s">
        <v>102</v>
      </c>
      <c r="J163" s="122" t="s">
        <v>1218</v>
      </c>
      <c r="K163" s="145">
        <v>45671</v>
      </c>
      <c r="L163" s="123">
        <v>7800</v>
      </c>
      <c r="M163" s="123">
        <v>30269.46</v>
      </c>
      <c r="N163" s="123">
        <v>3495.6650599999998</v>
      </c>
      <c r="O163" s="123">
        <v>13565.627398341998</v>
      </c>
      <c r="P163" s="152">
        <v>0.44816218717948714</v>
      </c>
      <c r="Q163" s="154">
        <v>48227</v>
      </c>
      <c r="R163" s="159"/>
    </row>
    <row r="164" spans="1:18" ht="14.25" x14ac:dyDescent="0.2">
      <c r="A164" s="121" t="s">
        <v>1223</v>
      </c>
      <c r="B164" s="122" t="s">
        <v>1223</v>
      </c>
      <c r="C164" s="122" t="s">
        <v>248</v>
      </c>
      <c r="D164" s="122" t="s">
        <v>3063</v>
      </c>
      <c r="E164" s="122"/>
      <c r="F164" s="122"/>
      <c r="G164" s="122" t="s">
        <v>3064</v>
      </c>
      <c r="H164" s="122" t="s">
        <v>3065</v>
      </c>
      <c r="I164" s="122" t="s">
        <v>102</v>
      </c>
      <c r="J164" s="122" t="s">
        <v>1218</v>
      </c>
      <c r="K164" s="145">
        <v>43965</v>
      </c>
      <c r="L164" s="123">
        <v>10433.11</v>
      </c>
      <c r="M164" s="123">
        <v>40487.769976999996</v>
      </c>
      <c r="N164" s="123">
        <v>352.12408000000005</v>
      </c>
      <c r="O164" s="123">
        <v>1366.4879172560002</v>
      </c>
      <c r="P164" s="152">
        <v>3.3750634278752939E-2</v>
      </c>
      <c r="Q164" s="154">
        <v>46507</v>
      </c>
      <c r="R164" s="159"/>
    </row>
    <row r="165" spans="1:18" ht="14.25" x14ac:dyDescent="0.2">
      <c r="A165" s="121" t="s">
        <v>1223</v>
      </c>
      <c r="B165" s="122" t="s">
        <v>1223</v>
      </c>
      <c r="C165" s="122" t="s">
        <v>248</v>
      </c>
      <c r="D165" s="122" t="s">
        <v>102</v>
      </c>
      <c r="E165" s="122"/>
      <c r="F165" s="122"/>
      <c r="G165" s="122" t="s">
        <v>3084</v>
      </c>
      <c r="H165" s="122" t="s">
        <v>3085</v>
      </c>
      <c r="I165" s="122" t="s">
        <v>102</v>
      </c>
      <c r="J165" s="122" t="s">
        <v>1218</v>
      </c>
      <c r="K165" s="145">
        <v>44026</v>
      </c>
      <c r="L165" s="123">
        <v>10426.954</v>
      </c>
      <c r="M165" s="123">
        <v>40463.880387800004</v>
      </c>
      <c r="N165" s="123">
        <v>3403.9409999999998</v>
      </c>
      <c r="O165" s="123">
        <v>13209.6738387</v>
      </c>
      <c r="P165" s="152">
        <v>0.32645593334352485</v>
      </c>
      <c r="Q165" s="154">
        <v>47664</v>
      </c>
      <c r="R165" s="159"/>
    </row>
    <row r="166" spans="1:18" ht="14.25" x14ac:dyDescent="0.2">
      <c r="A166" s="121" t="s">
        <v>1223</v>
      </c>
      <c r="B166" s="122" t="s">
        <v>1223</v>
      </c>
      <c r="C166" s="122" t="s">
        <v>248</v>
      </c>
      <c r="D166" s="122" t="s">
        <v>3142</v>
      </c>
      <c r="E166" s="122"/>
      <c r="F166" s="122"/>
      <c r="G166" s="122" t="s">
        <v>3143</v>
      </c>
      <c r="H166" s="122" t="s">
        <v>3144</v>
      </c>
      <c r="I166" s="122" t="s">
        <v>102</v>
      </c>
      <c r="J166" s="122" t="s">
        <v>1217</v>
      </c>
      <c r="K166" s="145">
        <v>44742</v>
      </c>
      <c r="L166" s="123">
        <v>15064</v>
      </c>
      <c r="M166" s="123">
        <v>49801.584000000003</v>
      </c>
      <c r="N166" s="123">
        <v>8285.199990000001</v>
      </c>
      <c r="O166" s="123">
        <v>27390.87116694</v>
      </c>
      <c r="P166" s="152">
        <v>0.54999999933616572</v>
      </c>
      <c r="Q166" s="154">
        <v>49490</v>
      </c>
      <c r="R166" s="159"/>
    </row>
    <row r="167" spans="1:18" ht="14.25" x14ac:dyDescent="0.2">
      <c r="A167" s="121" t="s">
        <v>1223</v>
      </c>
      <c r="B167" s="122" t="s">
        <v>1223</v>
      </c>
      <c r="C167" s="122" t="s">
        <v>248</v>
      </c>
      <c r="D167" s="122" t="s">
        <v>3016</v>
      </c>
      <c r="E167" s="122"/>
      <c r="F167" s="122"/>
      <c r="G167" s="122" t="s">
        <v>3066</v>
      </c>
      <c r="H167" s="122" t="s">
        <v>3067</v>
      </c>
      <c r="I167" s="122" t="s">
        <v>102</v>
      </c>
      <c r="J167" s="122" t="s">
        <v>1217</v>
      </c>
      <c r="K167" s="145">
        <v>44453</v>
      </c>
      <c r="L167" s="123">
        <v>17530</v>
      </c>
      <c r="M167" s="123">
        <v>57954.18</v>
      </c>
      <c r="N167" s="123">
        <v>1753</v>
      </c>
      <c r="O167" s="123">
        <v>5795.4179999999997</v>
      </c>
      <c r="P167" s="152">
        <v>0.1</v>
      </c>
      <c r="Q167" s="154">
        <v>47745</v>
      </c>
      <c r="R167" s="159"/>
    </row>
    <row r="168" spans="1:18" ht="14.25" x14ac:dyDescent="0.2">
      <c r="A168" s="121" t="s">
        <v>1223</v>
      </c>
      <c r="B168" s="122" t="s">
        <v>1223</v>
      </c>
      <c r="C168" s="122" t="s">
        <v>248</v>
      </c>
      <c r="D168" s="122" t="s">
        <v>2889</v>
      </c>
      <c r="E168" s="122"/>
      <c r="F168" s="122"/>
      <c r="G168" s="122" t="s">
        <v>2890</v>
      </c>
      <c r="H168" s="122" t="s">
        <v>2891</v>
      </c>
      <c r="I168" s="122" t="s">
        <v>102</v>
      </c>
      <c r="J168" s="122" t="s">
        <v>1217</v>
      </c>
      <c r="K168" s="145">
        <v>43327</v>
      </c>
      <c r="L168" s="123">
        <v>10370.876</v>
      </c>
      <c r="M168" s="123">
        <v>34286.116055999999</v>
      </c>
      <c r="N168" s="123">
        <v>370.411</v>
      </c>
      <c r="O168" s="123">
        <v>1224.5787660000001</v>
      </c>
      <c r="P168" s="152">
        <v>3.571646213878172E-2</v>
      </c>
      <c r="Q168" s="154">
        <v>46965</v>
      </c>
      <c r="R168" s="159"/>
    </row>
    <row r="169" spans="1:18" ht="14.25" x14ac:dyDescent="0.2">
      <c r="A169" s="121" t="s">
        <v>1223</v>
      </c>
      <c r="B169" s="122" t="s">
        <v>1223</v>
      </c>
      <c r="C169" s="122" t="s">
        <v>248</v>
      </c>
      <c r="D169" s="122" t="s">
        <v>2947</v>
      </c>
      <c r="E169" s="122"/>
      <c r="F169" s="122"/>
      <c r="G169" s="122" t="s">
        <v>2948</v>
      </c>
      <c r="H169" s="122" t="s">
        <v>2949</v>
      </c>
      <c r="I169" s="122" t="s">
        <v>102</v>
      </c>
      <c r="J169" s="122" t="s">
        <v>1217</v>
      </c>
      <c r="K169" s="145">
        <v>43116</v>
      </c>
      <c r="L169" s="123">
        <v>5514.1379999999999</v>
      </c>
      <c r="M169" s="123">
        <v>18229.740227999999</v>
      </c>
      <c r="N169" s="123">
        <v>654.99699999999996</v>
      </c>
      <c r="O169" s="123">
        <v>2165.4200820000001</v>
      </c>
      <c r="P169" s="152">
        <v>0.11878502133969081</v>
      </c>
      <c r="Q169" s="154">
        <v>46752</v>
      </c>
      <c r="R169" s="159"/>
    </row>
    <row r="170" spans="1:18" ht="14.25" x14ac:dyDescent="0.2">
      <c r="A170" s="121" t="s">
        <v>1223</v>
      </c>
      <c r="B170" s="122" t="s">
        <v>1223</v>
      </c>
      <c r="C170" s="122" t="s">
        <v>248</v>
      </c>
      <c r="D170" s="122" t="s">
        <v>3195</v>
      </c>
      <c r="E170" s="122"/>
      <c r="F170" s="122"/>
      <c r="G170" s="122" t="s">
        <v>3196</v>
      </c>
      <c r="H170" s="122" t="s">
        <v>3197</v>
      </c>
      <c r="I170" s="122" t="s">
        <v>102</v>
      </c>
      <c r="J170" s="122" t="s">
        <v>1217</v>
      </c>
      <c r="K170" s="145">
        <v>44525</v>
      </c>
      <c r="L170" s="123">
        <v>3506</v>
      </c>
      <c r="M170" s="123">
        <v>11590.835999999999</v>
      </c>
      <c r="N170" s="123">
        <v>217.37200000000001</v>
      </c>
      <c r="O170" s="123">
        <v>718.63183200000003</v>
      </c>
      <c r="P170" s="152">
        <v>6.2000000000000006E-2</v>
      </c>
      <c r="Q170" s="154">
        <v>47073</v>
      </c>
      <c r="R170" s="159"/>
    </row>
    <row r="171" spans="1:18" ht="14.25" x14ac:dyDescent="0.2">
      <c r="A171" s="121" t="s">
        <v>1223</v>
      </c>
      <c r="B171" s="122" t="s">
        <v>1223</v>
      </c>
      <c r="C171" s="122" t="s">
        <v>248</v>
      </c>
      <c r="D171" s="122" t="s">
        <v>2884</v>
      </c>
      <c r="E171" s="122"/>
      <c r="F171" s="122"/>
      <c r="G171" s="122" t="s">
        <v>2885</v>
      </c>
      <c r="H171" s="122" t="s">
        <v>2886</v>
      </c>
      <c r="I171" s="122" t="s">
        <v>102</v>
      </c>
      <c r="J171" s="122" t="s">
        <v>1216</v>
      </c>
      <c r="K171" s="145">
        <v>44636</v>
      </c>
      <c r="L171" s="123">
        <v>45830.432000000001</v>
      </c>
      <c r="M171" s="123">
        <v>45830.432000000001</v>
      </c>
      <c r="N171" s="123">
        <v>29768.54</v>
      </c>
      <c r="O171" s="123">
        <v>29768.54</v>
      </c>
      <c r="P171" s="152">
        <v>0.64953653502546083</v>
      </c>
      <c r="Q171" s="154">
        <v>48290</v>
      </c>
      <c r="R171" s="159"/>
    </row>
    <row r="172" spans="1:18" ht="14.25" x14ac:dyDescent="0.2">
      <c r="A172" s="121" t="s">
        <v>1223</v>
      </c>
      <c r="B172" s="122" t="s">
        <v>1223</v>
      </c>
      <c r="C172" s="122" t="s">
        <v>248</v>
      </c>
      <c r="D172" s="122" t="s">
        <v>3033</v>
      </c>
      <c r="E172" s="122"/>
      <c r="F172" s="122"/>
      <c r="G172" s="122" t="s">
        <v>3034</v>
      </c>
      <c r="H172" s="122" t="s">
        <v>3035</v>
      </c>
      <c r="I172" s="122" t="s">
        <v>102</v>
      </c>
      <c r="J172" s="122" t="s">
        <v>1217</v>
      </c>
      <c r="K172" s="145">
        <v>43207</v>
      </c>
      <c r="L172" s="123">
        <v>8956.9571400000004</v>
      </c>
      <c r="M172" s="123">
        <v>29611.700304840004</v>
      </c>
      <c r="N172" s="123">
        <v>262.21895000000114</v>
      </c>
      <c r="O172" s="123">
        <v>866.89584870000374</v>
      </c>
      <c r="P172" s="152">
        <v>2.9275449899049209E-2</v>
      </c>
      <c r="Q172" s="154">
        <v>46842</v>
      </c>
      <c r="R172" s="159"/>
    </row>
    <row r="173" spans="1:18" ht="14.25" x14ac:dyDescent="0.2">
      <c r="A173" s="121" t="s">
        <v>1223</v>
      </c>
      <c r="B173" s="122" t="s">
        <v>1223</v>
      </c>
      <c r="C173" s="122" t="s">
        <v>248</v>
      </c>
      <c r="D173" s="122" t="s">
        <v>2878</v>
      </c>
      <c r="E173" s="122"/>
      <c r="F173" s="122"/>
      <c r="G173" s="122" t="s">
        <v>2879</v>
      </c>
      <c r="H173" s="122" t="s">
        <v>2880</v>
      </c>
      <c r="I173" s="122" t="s">
        <v>102</v>
      </c>
      <c r="J173" s="122" t="s">
        <v>1217</v>
      </c>
      <c r="K173" s="145">
        <v>43664</v>
      </c>
      <c r="L173" s="123">
        <v>10413.029</v>
      </c>
      <c r="M173" s="123">
        <v>34425.473873999996</v>
      </c>
      <c r="N173" s="123">
        <v>2134.348</v>
      </c>
      <c r="O173" s="123">
        <v>7056.1544880000001</v>
      </c>
      <c r="P173" s="152">
        <v>0.20496898644957198</v>
      </c>
      <c r="Q173" s="154">
        <v>46934</v>
      </c>
      <c r="R173" s="159"/>
    </row>
    <row r="174" spans="1:18" ht="14.25" x14ac:dyDescent="0.2">
      <c r="A174" s="121" t="s">
        <v>1223</v>
      </c>
      <c r="B174" s="122" t="s">
        <v>1223</v>
      </c>
      <c r="C174" s="122" t="s">
        <v>248</v>
      </c>
      <c r="D174" s="122" t="s">
        <v>3168</v>
      </c>
      <c r="E174" s="122"/>
      <c r="F174" s="122"/>
      <c r="G174" s="122" t="s">
        <v>3169</v>
      </c>
      <c r="H174" s="122" t="s">
        <v>3170</v>
      </c>
      <c r="I174" s="122" t="s">
        <v>102</v>
      </c>
      <c r="J174" s="122" t="s">
        <v>1218</v>
      </c>
      <c r="K174" s="145">
        <v>44029</v>
      </c>
      <c r="L174" s="123">
        <v>13893.066000000001</v>
      </c>
      <c r="M174" s="123">
        <v>53914.821226200002</v>
      </c>
      <c r="N174" s="123">
        <v>1004.9554299999998</v>
      </c>
      <c r="O174" s="123">
        <v>3899.930537200999</v>
      </c>
      <c r="P174" s="152">
        <v>7.2335036053236892E-2</v>
      </c>
      <c r="Q174" s="154">
        <v>46568</v>
      </c>
      <c r="R174" s="159"/>
    </row>
    <row r="175" spans="1:18" ht="14.25" x14ac:dyDescent="0.2">
      <c r="A175" s="121" t="s">
        <v>1223</v>
      </c>
      <c r="B175" s="122" t="s">
        <v>1223</v>
      </c>
      <c r="C175" s="122" t="s">
        <v>248</v>
      </c>
      <c r="D175" s="122" t="s">
        <v>3116</v>
      </c>
      <c r="E175" s="122"/>
      <c r="F175" s="122"/>
      <c r="G175" s="122" t="s">
        <v>3117</v>
      </c>
      <c r="H175" s="122" t="s">
        <v>3118</v>
      </c>
      <c r="I175" s="122" t="s">
        <v>102</v>
      </c>
      <c r="J175" s="122" t="s">
        <v>1217</v>
      </c>
      <c r="K175" s="145">
        <v>45124</v>
      </c>
      <c r="L175" s="123">
        <v>7839.951</v>
      </c>
      <c r="M175" s="123">
        <v>25918.878006000003</v>
      </c>
      <c r="N175" s="123">
        <v>807.30700000000013</v>
      </c>
      <c r="O175" s="123">
        <v>2668.9569420000003</v>
      </c>
      <c r="P175" s="152">
        <v>0.10297347521687317</v>
      </c>
      <c r="Q175" s="154">
        <v>47848</v>
      </c>
      <c r="R175" s="159"/>
    </row>
    <row r="176" spans="1:18" ht="14.25" x14ac:dyDescent="0.2">
      <c r="A176" s="121" t="s">
        <v>1223</v>
      </c>
      <c r="B176" s="122" t="s">
        <v>1223</v>
      </c>
      <c r="C176" s="122" t="s">
        <v>248</v>
      </c>
      <c r="D176" s="122" t="s">
        <v>2921</v>
      </c>
      <c r="E176" s="122"/>
      <c r="F176" s="122"/>
      <c r="G176" s="122" t="s">
        <v>2922</v>
      </c>
      <c r="H176" s="122" t="s">
        <v>2923</v>
      </c>
      <c r="I176" s="122" t="s">
        <v>102</v>
      </c>
      <c r="J176" s="122" t="s">
        <v>1217</v>
      </c>
      <c r="K176" s="145">
        <v>45215</v>
      </c>
      <c r="L176" s="123">
        <v>11298</v>
      </c>
      <c r="M176" s="123">
        <v>37351.188000000002</v>
      </c>
      <c r="N176" s="123">
        <v>6383.37</v>
      </c>
      <c r="O176" s="123">
        <v>21103.42122</v>
      </c>
      <c r="P176" s="152">
        <v>0.56499999999999995</v>
      </c>
      <c r="Q176" s="154">
        <v>48869</v>
      </c>
      <c r="R176" s="159"/>
    </row>
    <row r="177" spans="1:18" ht="14.25" x14ac:dyDescent="0.2">
      <c r="A177" s="121" t="s">
        <v>1223</v>
      </c>
      <c r="B177" s="122" t="s">
        <v>1223</v>
      </c>
      <c r="C177" s="122" t="s">
        <v>248</v>
      </c>
      <c r="D177" s="122" t="s">
        <v>2977</v>
      </c>
      <c r="E177" s="122"/>
      <c r="F177" s="122"/>
      <c r="G177" s="122" t="s">
        <v>2978</v>
      </c>
      <c r="H177" s="122" t="s">
        <v>2979</v>
      </c>
      <c r="I177" s="122" t="s">
        <v>102</v>
      </c>
      <c r="J177" s="122" t="s">
        <v>1216</v>
      </c>
      <c r="K177" s="145">
        <v>42753</v>
      </c>
      <c r="L177" s="123">
        <v>27416.522270000001</v>
      </c>
      <c r="M177" s="123">
        <v>27416.522270000001</v>
      </c>
      <c r="N177" s="123">
        <v>2056.7722699999995</v>
      </c>
      <c r="O177" s="123">
        <v>2056.7722699999995</v>
      </c>
      <c r="P177" s="152">
        <v>7.5019444470190252E-2</v>
      </c>
      <c r="Q177" s="154">
        <v>45838</v>
      </c>
      <c r="R177" s="159"/>
    </row>
    <row r="178" spans="1:18" ht="14.25" x14ac:dyDescent="0.2">
      <c r="A178" s="121" t="s">
        <v>1223</v>
      </c>
      <c r="B178" s="122" t="s">
        <v>1223</v>
      </c>
      <c r="C178" s="122" t="s">
        <v>248</v>
      </c>
      <c r="D178" s="122" t="s">
        <v>2918</v>
      </c>
      <c r="E178" s="122"/>
      <c r="F178" s="122"/>
      <c r="G178" s="122" t="s">
        <v>2919</v>
      </c>
      <c r="H178" s="122" t="s">
        <v>2920</v>
      </c>
      <c r="I178" s="122" t="s">
        <v>102</v>
      </c>
      <c r="J178" s="122" t="s">
        <v>1216</v>
      </c>
      <c r="K178" s="145">
        <v>45034</v>
      </c>
      <c r="L178" s="123">
        <v>37660</v>
      </c>
      <c r="M178" s="123">
        <v>37660</v>
      </c>
      <c r="N178" s="123">
        <v>19959.8</v>
      </c>
      <c r="O178" s="123">
        <v>19959.8</v>
      </c>
      <c r="P178" s="152">
        <v>0.53</v>
      </c>
      <c r="Q178" s="154">
        <v>48944</v>
      </c>
      <c r="R178" s="159"/>
    </row>
    <row r="179" spans="1:18" ht="14.25" x14ac:dyDescent="0.2">
      <c r="A179" s="121" t="s">
        <v>1223</v>
      </c>
      <c r="B179" s="122" t="s">
        <v>1223</v>
      </c>
      <c r="C179" s="122" t="s">
        <v>248</v>
      </c>
      <c r="D179" s="122" t="s">
        <v>3054</v>
      </c>
      <c r="E179" s="122"/>
      <c r="F179" s="122"/>
      <c r="G179" s="122" t="s">
        <v>3055</v>
      </c>
      <c r="H179" s="122" t="s">
        <v>3056</v>
      </c>
      <c r="I179" s="122" t="s">
        <v>102</v>
      </c>
      <c r="J179" s="122" t="s">
        <v>1217</v>
      </c>
      <c r="K179" s="145">
        <v>44731</v>
      </c>
      <c r="L179" s="123">
        <v>14024</v>
      </c>
      <c r="M179" s="123">
        <v>46363.343999999997</v>
      </c>
      <c r="N179" s="123">
        <v>3041.4751500000002</v>
      </c>
      <c r="O179" s="123">
        <v>10055.116845900002</v>
      </c>
      <c r="P179" s="152">
        <v>0.21687643682258986</v>
      </c>
      <c r="Q179" s="154">
        <v>47299</v>
      </c>
      <c r="R179" s="159"/>
    </row>
    <row r="180" spans="1:18" ht="14.25" x14ac:dyDescent="0.2">
      <c r="A180" s="121" t="s">
        <v>1223</v>
      </c>
      <c r="B180" s="122" t="s">
        <v>1223</v>
      </c>
      <c r="C180" s="122" t="s">
        <v>248</v>
      </c>
      <c r="D180" s="122" t="s">
        <v>3101</v>
      </c>
      <c r="E180" s="122"/>
      <c r="F180" s="122"/>
      <c r="G180" s="122" t="s">
        <v>3102</v>
      </c>
      <c r="H180" s="122" t="s">
        <v>3103</v>
      </c>
      <c r="I180" s="122" t="s">
        <v>102</v>
      </c>
      <c r="J180" s="122" t="s">
        <v>1218</v>
      </c>
      <c r="K180" s="145">
        <v>44427</v>
      </c>
      <c r="L180" s="123">
        <v>10509.975</v>
      </c>
      <c r="M180" s="123">
        <v>40786.059982500003</v>
      </c>
      <c r="N180" s="123">
        <v>1445.5117499999999</v>
      </c>
      <c r="O180" s="123">
        <v>5609.5974482250003</v>
      </c>
      <c r="P180" s="152">
        <v>0.13753712544511285</v>
      </c>
      <c r="Q180" s="154">
        <v>46265</v>
      </c>
      <c r="R180" s="159"/>
    </row>
    <row r="181" spans="1:18" ht="14.25" x14ac:dyDescent="0.2">
      <c r="A181" s="121" t="s">
        <v>1223</v>
      </c>
      <c r="B181" s="122" t="s">
        <v>1223</v>
      </c>
      <c r="C181" s="122" t="s">
        <v>248</v>
      </c>
      <c r="D181" s="122" t="s">
        <v>3010</v>
      </c>
      <c r="E181" s="122"/>
      <c r="F181" s="122"/>
      <c r="G181" s="122" t="s">
        <v>3011</v>
      </c>
      <c r="H181" s="122" t="s">
        <v>3012</v>
      </c>
      <c r="I181" s="122" t="s">
        <v>102</v>
      </c>
      <c r="J181" s="122" t="s">
        <v>1217</v>
      </c>
      <c r="K181" s="145">
        <v>43727</v>
      </c>
      <c r="L181" s="123">
        <v>17323.534</v>
      </c>
      <c r="M181" s="123">
        <v>57271.603404000001</v>
      </c>
      <c r="N181" s="123">
        <v>2052.3083000000006</v>
      </c>
      <c r="O181" s="123">
        <v>6784.931239800002</v>
      </c>
      <c r="P181" s="152">
        <v>0.11846937813035151</v>
      </c>
      <c r="Q181" s="154">
        <v>47360</v>
      </c>
      <c r="R181" s="159"/>
    </row>
    <row r="182" spans="1:18" ht="14.25" x14ac:dyDescent="0.2">
      <c r="A182" s="121" t="s">
        <v>1223</v>
      </c>
      <c r="B182" s="122" t="s">
        <v>1223</v>
      </c>
      <c r="C182" s="122" t="s">
        <v>248</v>
      </c>
      <c r="D182" s="122" t="s">
        <v>2983</v>
      </c>
      <c r="E182" s="122"/>
      <c r="F182" s="122"/>
      <c r="G182" s="122" t="s">
        <v>2984</v>
      </c>
      <c r="H182" s="122" t="s">
        <v>2985</v>
      </c>
      <c r="I182" s="122" t="s">
        <v>102</v>
      </c>
      <c r="J182" s="122" t="s">
        <v>1217</v>
      </c>
      <c r="K182" s="145">
        <v>45757</v>
      </c>
      <c r="L182" s="123">
        <v>5070</v>
      </c>
      <c r="M182" s="123">
        <v>16761.419999999998</v>
      </c>
      <c r="N182" s="123">
        <v>4882.625</v>
      </c>
      <c r="O182" s="123">
        <v>16141.95825</v>
      </c>
      <c r="P182" s="152">
        <v>0.96304240631163707</v>
      </c>
      <c r="Q182" s="154">
        <v>50505</v>
      </c>
      <c r="R182" s="159"/>
    </row>
    <row r="183" spans="1:18" ht="14.25" x14ac:dyDescent="0.2">
      <c r="A183" s="121" t="s">
        <v>1223</v>
      </c>
      <c r="B183" s="122" t="s">
        <v>1223</v>
      </c>
      <c r="C183" s="122" t="s">
        <v>248</v>
      </c>
      <c r="D183" s="122" t="s">
        <v>3016</v>
      </c>
      <c r="E183" s="122"/>
      <c r="F183" s="122"/>
      <c r="G183" s="122" t="s">
        <v>3154</v>
      </c>
      <c r="H183" s="122" t="s">
        <v>3155</v>
      </c>
      <c r="I183" s="122" t="s">
        <v>102</v>
      </c>
      <c r="J183" s="122" t="s">
        <v>1217</v>
      </c>
      <c r="K183" s="145">
        <v>45371</v>
      </c>
      <c r="L183" s="123">
        <v>11700</v>
      </c>
      <c r="M183" s="123">
        <v>38680.199999999997</v>
      </c>
      <c r="N183" s="123">
        <v>6903</v>
      </c>
      <c r="O183" s="123">
        <v>22821.317999999999</v>
      </c>
      <c r="P183" s="152">
        <v>0.59</v>
      </c>
      <c r="Q183" s="154">
        <v>49023</v>
      </c>
      <c r="R183" s="159"/>
    </row>
    <row r="184" spans="1:18" ht="14.25" x14ac:dyDescent="0.2">
      <c r="A184" s="121" t="s">
        <v>1223</v>
      </c>
      <c r="B184" s="122" t="s">
        <v>1223</v>
      </c>
      <c r="C184" s="122" t="s">
        <v>248</v>
      </c>
      <c r="D184" s="122" t="s">
        <v>3107</v>
      </c>
      <c r="E184" s="122"/>
      <c r="F184" s="122"/>
      <c r="G184" s="122" t="s">
        <v>3108</v>
      </c>
      <c r="H184" s="122" t="s">
        <v>3109</v>
      </c>
      <c r="I184" s="122" t="s">
        <v>102</v>
      </c>
      <c r="J184" s="122" t="s">
        <v>1217</v>
      </c>
      <c r="K184" s="145">
        <v>43971</v>
      </c>
      <c r="L184" s="123">
        <v>13917.475</v>
      </c>
      <c r="M184" s="123">
        <v>46011.172350000001</v>
      </c>
      <c r="N184" s="123">
        <v>3198.2080099999998</v>
      </c>
      <c r="O184" s="123">
        <v>10573.275681059999</v>
      </c>
      <c r="P184" s="152">
        <v>0.22979800646309764</v>
      </c>
      <c r="Q184" s="154">
        <v>46142</v>
      </c>
      <c r="R184" s="159"/>
    </row>
    <row r="185" spans="1:18" ht="14.25" x14ac:dyDescent="0.2">
      <c r="A185" s="121" t="s">
        <v>1223</v>
      </c>
      <c r="B185" s="122" t="s">
        <v>1223</v>
      </c>
      <c r="C185" s="122" t="s">
        <v>248</v>
      </c>
      <c r="D185" s="122" t="s">
        <v>3125</v>
      </c>
      <c r="E185" s="122"/>
      <c r="F185" s="122"/>
      <c r="G185" s="122" t="s">
        <v>3126</v>
      </c>
      <c r="H185" s="122" t="s">
        <v>3127</v>
      </c>
      <c r="I185" s="122" t="s">
        <v>102</v>
      </c>
      <c r="J185" s="122" t="s">
        <v>1217</v>
      </c>
      <c r="K185" s="145">
        <v>45218</v>
      </c>
      <c r="L185" s="123">
        <v>7800</v>
      </c>
      <c r="M185" s="123">
        <v>25786.799999999999</v>
      </c>
      <c r="N185" s="123">
        <v>436.8996699999999</v>
      </c>
      <c r="O185" s="123">
        <v>1444.3903090199999</v>
      </c>
      <c r="P185" s="152">
        <v>5.6012778205128198E-2</v>
      </c>
      <c r="Q185" s="154">
        <v>48884</v>
      </c>
      <c r="R185" s="159"/>
    </row>
    <row r="186" spans="1:18" ht="14.25" x14ac:dyDescent="0.2">
      <c r="A186" s="121" t="s">
        <v>1223</v>
      </c>
      <c r="B186" s="122" t="s">
        <v>1223</v>
      </c>
      <c r="C186" s="122" t="s">
        <v>248</v>
      </c>
      <c r="D186" s="122" t="s">
        <v>2857</v>
      </c>
      <c r="E186" s="122"/>
      <c r="F186" s="122"/>
      <c r="G186" s="122" t="s">
        <v>2959</v>
      </c>
      <c r="H186" s="122" t="s">
        <v>2960</v>
      </c>
      <c r="I186" s="122" t="s">
        <v>102</v>
      </c>
      <c r="J186" s="122" t="s">
        <v>1216</v>
      </c>
      <c r="K186" s="145">
        <v>45250</v>
      </c>
      <c r="L186" s="123">
        <v>52724</v>
      </c>
      <c r="M186" s="123">
        <v>52724</v>
      </c>
      <c r="N186" s="123">
        <v>44350.690999999999</v>
      </c>
      <c r="O186" s="123">
        <v>44350.690999999999</v>
      </c>
      <c r="P186" s="152">
        <v>0.84118600637280938</v>
      </c>
      <c r="Q186" s="154">
        <v>48913</v>
      </c>
      <c r="R186" s="159"/>
    </row>
    <row r="187" spans="1:18" ht="14.25" x14ac:dyDescent="0.2">
      <c r="A187" s="121" t="s">
        <v>1223</v>
      </c>
      <c r="B187" s="122" t="s">
        <v>1223</v>
      </c>
      <c r="C187" s="122" t="s">
        <v>248</v>
      </c>
      <c r="D187" s="122" t="s">
        <v>2906</v>
      </c>
      <c r="E187" s="122"/>
      <c r="F187" s="122"/>
      <c r="G187" s="122" t="s">
        <v>3077</v>
      </c>
      <c r="H187" s="122" t="s">
        <v>3078</v>
      </c>
      <c r="I187" s="122" t="s">
        <v>102</v>
      </c>
      <c r="J187" s="122" t="s">
        <v>1217</v>
      </c>
      <c r="K187" s="145">
        <v>44259</v>
      </c>
      <c r="L187" s="123">
        <v>16905.008999999998</v>
      </c>
      <c r="M187" s="123">
        <v>55887.959754000003</v>
      </c>
      <c r="N187" s="123">
        <v>7066.9849999999997</v>
      </c>
      <c r="O187" s="123">
        <v>23363.452410000002</v>
      </c>
      <c r="P187" s="152">
        <v>0.41804088953753293</v>
      </c>
      <c r="Q187" s="154">
        <v>47907</v>
      </c>
      <c r="R187" s="159"/>
    </row>
    <row r="188" spans="1:18" ht="14.25" x14ac:dyDescent="0.2">
      <c r="A188" s="121" t="s">
        <v>1223</v>
      </c>
      <c r="B188" s="122" t="s">
        <v>1223</v>
      </c>
      <c r="C188" s="122" t="s">
        <v>248</v>
      </c>
      <c r="D188" s="122" t="s">
        <v>3068</v>
      </c>
      <c r="E188" s="122"/>
      <c r="F188" s="122"/>
      <c r="G188" s="122" t="s">
        <v>3069</v>
      </c>
      <c r="H188" s="122" t="s">
        <v>3070</v>
      </c>
      <c r="I188" s="122" t="s">
        <v>102</v>
      </c>
      <c r="J188" s="122" t="s">
        <v>1218</v>
      </c>
      <c r="K188" s="145">
        <v>44613</v>
      </c>
      <c r="L188" s="123">
        <v>8424</v>
      </c>
      <c r="M188" s="123">
        <v>32691.016800000001</v>
      </c>
      <c r="N188" s="123">
        <v>1558.4534800000004</v>
      </c>
      <c r="O188" s="123">
        <v>6047.8904198360015</v>
      </c>
      <c r="P188" s="152">
        <v>0.18500160018993356</v>
      </c>
      <c r="Q188" s="154">
        <v>48265</v>
      </c>
      <c r="R188" s="159"/>
    </row>
    <row r="189" spans="1:18" ht="14.25" x14ac:dyDescent="0.2">
      <c r="A189" s="121" t="s">
        <v>1223</v>
      </c>
      <c r="B189" s="122" t="s">
        <v>1223</v>
      </c>
      <c r="C189" s="122" t="s">
        <v>248</v>
      </c>
      <c r="D189" s="122" t="s">
        <v>3232</v>
      </c>
      <c r="E189" s="122"/>
      <c r="F189" s="122"/>
      <c r="G189" s="122" t="s">
        <v>3233</v>
      </c>
      <c r="H189" s="122" t="s">
        <v>3234</v>
      </c>
      <c r="I189" s="122" t="s">
        <v>102</v>
      </c>
      <c r="J189" s="122" t="s">
        <v>1217</v>
      </c>
      <c r="K189" s="145">
        <v>45749</v>
      </c>
      <c r="L189" s="123">
        <v>9501.3359999999993</v>
      </c>
      <c r="M189" s="123">
        <v>31411.416816000001</v>
      </c>
      <c r="N189" s="123">
        <v>7174.7637500000001</v>
      </c>
      <c r="O189" s="123">
        <v>23719.7689575</v>
      </c>
      <c r="P189" s="152">
        <v>0.75513209405498338</v>
      </c>
      <c r="Q189" s="154">
        <v>46844</v>
      </c>
      <c r="R189" s="159"/>
    </row>
    <row r="190" spans="1:18" ht="14.25" x14ac:dyDescent="0.2">
      <c r="A190" s="121" t="s">
        <v>1223</v>
      </c>
      <c r="B190" s="122" t="s">
        <v>1223</v>
      </c>
      <c r="C190" s="122" t="s">
        <v>248</v>
      </c>
      <c r="D190" s="122" t="s">
        <v>3207</v>
      </c>
      <c r="E190" s="122"/>
      <c r="F190" s="122"/>
      <c r="G190" s="122" t="s">
        <v>3208</v>
      </c>
      <c r="H190" s="122" t="s">
        <v>3209</v>
      </c>
      <c r="I190" s="122" t="s">
        <v>102</v>
      </c>
      <c r="J190" s="122" t="s">
        <v>1217</v>
      </c>
      <c r="K190" s="145">
        <v>45799</v>
      </c>
      <c r="L190" s="123">
        <v>7800</v>
      </c>
      <c r="M190" s="123">
        <v>25786.799999999999</v>
      </c>
      <c r="N190" s="123">
        <v>4770.3289999999997</v>
      </c>
      <c r="O190" s="123">
        <v>15770.707674000001</v>
      </c>
      <c r="P190" s="152">
        <v>0.61158064102564103</v>
      </c>
      <c r="Q190" s="154">
        <v>49451</v>
      </c>
      <c r="R190" s="159"/>
    </row>
    <row r="191" spans="1:18" ht="14.25" x14ac:dyDescent="0.2">
      <c r="A191" s="121" t="s">
        <v>1223</v>
      </c>
      <c r="B191" s="122" t="s">
        <v>1223</v>
      </c>
      <c r="C191" s="122" t="s">
        <v>248</v>
      </c>
      <c r="D191" s="122" t="s">
        <v>2980</v>
      </c>
      <c r="E191" s="122"/>
      <c r="F191" s="122"/>
      <c r="G191" s="122" t="s">
        <v>2981</v>
      </c>
      <c r="H191" s="122" t="s">
        <v>2982</v>
      </c>
      <c r="I191" s="122" t="s">
        <v>102</v>
      </c>
      <c r="J191" s="122" t="s">
        <v>1217</v>
      </c>
      <c r="K191" s="145">
        <v>45830</v>
      </c>
      <c r="L191" s="123">
        <v>7800</v>
      </c>
      <c r="M191" s="123">
        <v>25786.799999999999</v>
      </c>
      <c r="N191" s="123">
        <v>7197.44</v>
      </c>
      <c r="O191" s="123">
        <v>23794.736639999999</v>
      </c>
      <c r="P191" s="152">
        <v>0.92274871794871793</v>
      </c>
      <c r="Q191" s="154">
        <v>48753</v>
      </c>
      <c r="R191" s="159"/>
    </row>
    <row r="192" spans="1:18" ht="14.25" x14ac:dyDescent="0.2">
      <c r="A192" s="121" t="s">
        <v>1223</v>
      </c>
      <c r="B192" s="122" t="s">
        <v>1223</v>
      </c>
      <c r="C192" s="122" t="s">
        <v>248</v>
      </c>
      <c r="D192" s="122" t="s">
        <v>102</v>
      </c>
      <c r="E192" s="122"/>
      <c r="F192" s="122"/>
      <c r="G192" s="122" t="s">
        <v>3005</v>
      </c>
      <c r="H192" s="122" t="s">
        <v>3006</v>
      </c>
      <c r="I192" s="122" t="s">
        <v>102</v>
      </c>
      <c r="J192" s="122" t="s">
        <v>1217</v>
      </c>
      <c r="K192" s="145">
        <v>43761</v>
      </c>
      <c r="L192" s="123">
        <v>21538.378530000002</v>
      </c>
      <c r="M192" s="123">
        <v>71205.879420180005</v>
      </c>
      <c r="N192" s="123">
        <v>4085.2314400000018</v>
      </c>
      <c r="O192" s="123">
        <v>13505.775140640006</v>
      </c>
      <c r="P192" s="152">
        <v>0.18967219070413474</v>
      </c>
      <c r="Q192" s="154">
        <v>47422</v>
      </c>
      <c r="R192" s="159"/>
    </row>
    <row r="193" spans="1:18" ht="14.25" x14ac:dyDescent="0.2">
      <c r="A193" s="121" t="s">
        <v>1223</v>
      </c>
      <c r="B193" s="122" t="s">
        <v>1223</v>
      </c>
      <c r="C193" s="122" t="s">
        <v>248</v>
      </c>
      <c r="D193" s="122" t="s">
        <v>3222</v>
      </c>
      <c r="E193" s="122"/>
      <c r="F193" s="122"/>
      <c r="G193" s="122" t="s">
        <v>3223</v>
      </c>
      <c r="H193" s="122" t="s">
        <v>3224</v>
      </c>
      <c r="I193" s="122" t="s">
        <v>102</v>
      </c>
      <c r="J193" s="122" t="s">
        <v>1218</v>
      </c>
      <c r="K193" s="145">
        <v>43335</v>
      </c>
      <c r="L193" s="123">
        <v>7657.8375634397889</v>
      </c>
      <c r="M193" s="123">
        <v>29717.770232440791</v>
      </c>
      <c r="N193" s="123">
        <v>510.34315343978909</v>
      </c>
      <c r="O193" s="123">
        <v>1980.4886755537896</v>
      </c>
      <c r="P193" s="152">
        <v>6.6643246113795906E-2</v>
      </c>
      <c r="Q193" s="154">
        <v>46965</v>
      </c>
      <c r="R193" s="159"/>
    </row>
    <row r="194" spans="1:18" ht="14.25" x14ac:dyDescent="0.2">
      <c r="A194" s="121" t="s">
        <v>1223</v>
      </c>
      <c r="B194" s="122" t="s">
        <v>1223</v>
      </c>
      <c r="C194" s="122" t="s">
        <v>248</v>
      </c>
      <c r="D194" s="122" t="s">
        <v>3039</v>
      </c>
      <c r="E194" s="122"/>
      <c r="F194" s="122"/>
      <c r="G194" s="122" t="s">
        <v>3040</v>
      </c>
      <c r="H194" s="122" t="s">
        <v>3041</v>
      </c>
      <c r="I194" s="122" t="s">
        <v>102</v>
      </c>
      <c r="J194" s="122" t="s">
        <v>1217</v>
      </c>
      <c r="K194" s="145">
        <v>43914</v>
      </c>
      <c r="L194" s="123">
        <v>8690.3504773094373</v>
      </c>
      <c r="M194" s="123">
        <v>28730.298677985</v>
      </c>
      <c r="N194" s="123">
        <v>237.33124730943703</v>
      </c>
      <c r="O194" s="123">
        <v>784.61710360499876</v>
      </c>
      <c r="P194" s="152">
        <v>2.7309744057976773E-2</v>
      </c>
      <c r="Q194" s="154">
        <v>47542</v>
      </c>
      <c r="R194" s="159"/>
    </row>
    <row r="195" spans="1:18" ht="14.25" x14ac:dyDescent="0.2">
      <c r="A195" s="121" t="s">
        <v>1223</v>
      </c>
      <c r="B195" s="122" t="s">
        <v>1223</v>
      </c>
      <c r="C195" s="122" t="s">
        <v>248</v>
      </c>
      <c r="D195" s="122" t="s">
        <v>3238</v>
      </c>
      <c r="E195" s="122"/>
      <c r="F195" s="122"/>
      <c r="G195" s="122" t="s">
        <v>3239</v>
      </c>
      <c r="H195" s="122" t="s">
        <v>3240</v>
      </c>
      <c r="I195" s="122" t="s">
        <v>102</v>
      </c>
      <c r="J195" s="122" t="s">
        <v>1217</v>
      </c>
      <c r="K195" s="145">
        <v>45771</v>
      </c>
      <c r="L195" s="123">
        <v>7800</v>
      </c>
      <c r="M195" s="123">
        <v>25786.799999999999</v>
      </c>
      <c r="N195" s="123">
        <v>5202.0690000000004</v>
      </c>
      <c r="O195" s="123">
        <v>17198.040113999999</v>
      </c>
      <c r="P195" s="152">
        <v>0.66693192307692306</v>
      </c>
      <c r="Q195" s="154">
        <v>49423</v>
      </c>
      <c r="R195" s="159"/>
    </row>
    <row r="196" spans="1:18" ht="14.25" x14ac:dyDescent="0.2">
      <c r="A196" s="121" t="s">
        <v>1223</v>
      </c>
      <c r="B196" s="122" t="s">
        <v>1223</v>
      </c>
      <c r="C196" s="122" t="s">
        <v>248</v>
      </c>
      <c r="D196" s="122" t="s">
        <v>3253</v>
      </c>
      <c r="E196" s="122"/>
      <c r="F196" s="122"/>
      <c r="G196" s="122" t="s">
        <v>3254</v>
      </c>
      <c r="H196" s="122" t="s">
        <v>3255</v>
      </c>
      <c r="I196" s="122" t="s">
        <v>102</v>
      </c>
      <c r="J196" s="122" t="s">
        <v>1217</v>
      </c>
      <c r="K196" s="145">
        <v>45832</v>
      </c>
      <c r="L196" s="123">
        <v>7800</v>
      </c>
      <c r="M196" s="123">
        <v>25786.799999999999</v>
      </c>
      <c r="N196" s="123">
        <v>6591</v>
      </c>
      <c r="O196" s="123">
        <v>21789.846000000001</v>
      </c>
      <c r="P196" s="152">
        <v>0.84499999999999997</v>
      </c>
      <c r="Q196" s="154">
        <v>48945</v>
      </c>
      <c r="R196" s="159"/>
    </row>
    <row r="197" spans="1:18" ht="14.25" x14ac:dyDescent="0.2">
      <c r="A197" s="121" t="s">
        <v>1223</v>
      </c>
      <c r="B197" s="122" t="s">
        <v>1223</v>
      </c>
      <c r="C197" s="122" t="s">
        <v>248</v>
      </c>
      <c r="D197" s="122" t="s">
        <v>2906</v>
      </c>
      <c r="E197" s="122"/>
      <c r="F197" s="122"/>
      <c r="G197" s="122" t="s">
        <v>3031</v>
      </c>
      <c r="H197" s="122" t="s">
        <v>3032</v>
      </c>
      <c r="I197" s="122" t="s">
        <v>102</v>
      </c>
      <c r="J197" s="122" t="s">
        <v>1217</v>
      </c>
      <c r="K197" s="145">
        <v>44858</v>
      </c>
      <c r="L197" s="123">
        <v>14144.212</v>
      </c>
      <c r="M197" s="123">
        <v>46760.764872</v>
      </c>
      <c r="N197" s="123">
        <v>1133.8620000000001</v>
      </c>
      <c r="O197" s="123">
        <v>3748.5477719999999</v>
      </c>
      <c r="P197" s="152">
        <v>8.0164381020307096E-2</v>
      </c>
      <c r="Q197" s="154">
        <v>49096</v>
      </c>
      <c r="R197" s="159"/>
    </row>
    <row r="198" spans="1:18" ht="14.25" x14ac:dyDescent="0.2">
      <c r="A198" s="121" t="s">
        <v>1223</v>
      </c>
      <c r="B198" s="122" t="s">
        <v>1223</v>
      </c>
      <c r="C198" s="122" t="s">
        <v>248</v>
      </c>
      <c r="D198" s="122" t="s">
        <v>2935</v>
      </c>
      <c r="E198" s="122"/>
      <c r="F198" s="122"/>
      <c r="G198" s="122" t="s">
        <v>2936</v>
      </c>
      <c r="H198" s="122" t="s">
        <v>2937</v>
      </c>
      <c r="I198" s="122" t="s">
        <v>102</v>
      </c>
      <c r="J198" s="122" t="s">
        <v>1217</v>
      </c>
      <c r="K198" s="145">
        <v>44524</v>
      </c>
      <c r="L198" s="123">
        <v>7012</v>
      </c>
      <c r="M198" s="123">
        <v>23181.671999999999</v>
      </c>
      <c r="N198" s="123">
        <v>701.2</v>
      </c>
      <c r="O198" s="123">
        <v>2318.1672000000003</v>
      </c>
      <c r="P198" s="152">
        <v>0.1</v>
      </c>
      <c r="Q198" s="154">
        <v>47081</v>
      </c>
      <c r="R198" s="159"/>
    </row>
    <row r="199" spans="1:18" ht="14.25" x14ac:dyDescent="0.2">
      <c r="A199" s="121" t="s">
        <v>1223</v>
      </c>
      <c r="B199" s="122" t="s">
        <v>1223</v>
      </c>
      <c r="C199" s="122" t="s">
        <v>248</v>
      </c>
      <c r="D199" s="122" t="s">
        <v>102</v>
      </c>
      <c r="E199" s="122"/>
      <c r="F199" s="122"/>
      <c r="G199" s="122" t="s">
        <v>3230</v>
      </c>
      <c r="H199" s="122" t="s">
        <v>3231</v>
      </c>
      <c r="I199" s="122" t="s">
        <v>102</v>
      </c>
      <c r="J199" s="122" t="s">
        <v>1217</v>
      </c>
      <c r="K199" s="145">
        <v>43521</v>
      </c>
      <c r="L199" s="123">
        <v>8188.2379002205971</v>
      </c>
      <c r="M199" s="123">
        <v>27070.314498129293</v>
      </c>
      <c r="N199" s="123">
        <v>1212.463450220597</v>
      </c>
      <c r="O199" s="123">
        <v>4008.4041664292936</v>
      </c>
      <c r="P199" s="152">
        <v>0.14807379377532892</v>
      </c>
      <c r="Q199" s="154">
        <v>47149</v>
      </c>
      <c r="R199" s="159"/>
    </row>
    <row r="200" spans="1:18" ht="14.25" x14ac:dyDescent="0.2">
      <c r="A200" s="121" t="s">
        <v>1223</v>
      </c>
      <c r="B200" s="122" t="s">
        <v>1223</v>
      </c>
      <c r="C200" s="122" t="s">
        <v>248</v>
      </c>
      <c r="D200" s="122" t="s">
        <v>3081</v>
      </c>
      <c r="E200" s="122"/>
      <c r="F200" s="122"/>
      <c r="G200" s="122" t="s">
        <v>3082</v>
      </c>
      <c r="H200" s="122" t="s">
        <v>3083</v>
      </c>
      <c r="I200" s="122" t="s">
        <v>102</v>
      </c>
      <c r="J200" s="122" t="s">
        <v>1217</v>
      </c>
      <c r="K200" s="145">
        <v>44342</v>
      </c>
      <c r="L200" s="123">
        <v>14039.250470000001</v>
      </c>
      <c r="M200" s="123">
        <v>46413.762053820006</v>
      </c>
      <c r="N200" s="123">
        <v>1531.4852400000004</v>
      </c>
      <c r="O200" s="123">
        <v>5063.0902034400015</v>
      </c>
      <c r="P200" s="152">
        <v>0.10908596888933489</v>
      </c>
      <c r="Q200" s="154">
        <v>47995</v>
      </c>
      <c r="R200" s="159"/>
    </row>
    <row r="201" spans="1:18" ht="14.25" x14ac:dyDescent="0.2">
      <c r="A201" s="121" t="s">
        <v>1223</v>
      </c>
      <c r="B201" s="122" t="s">
        <v>1223</v>
      </c>
      <c r="C201" s="122" t="s">
        <v>248</v>
      </c>
      <c r="D201" s="122" t="s">
        <v>3139</v>
      </c>
      <c r="E201" s="122"/>
      <c r="F201" s="122"/>
      <c r="G201" s="122" t="s">
        <v>3140</v>
      </c>
      <c r="H201" s="122" t="s">
        <v>3141</v>
      </c>
      <c r="I201" s="122" t="s">
        <v>102</v>
      </c>
      <c r="J201" s="122" t="s">
        <v>1217</v>
      </c>
      <c r="K201" s="145">
        <v>44769</v>
      </c>
      <c r="L201" s="123">
        <v>9038.4</v>
      </c>
      <c r="M201" s="123">
        <v>29880.950400000002</v>
      </c>
      <c r="N201" s="123">
        <v>135.57599999999999</v>
      </c>
      <c r="O201" s="123">
        <v>448.21425599999998</v>
      </c>
      <c r="P201" s="152">
        <v>1.4999999999999999E-2</v>
      </c>
      <c r="Q201" s="154">
        <v>48352</v>
      </c>
      <c r="R201" s="159"/>
    </row>
    <row r="202" spans="1:18" ht="14.25" x14ac:dyDescent="0.2">
      <c r="A202" s="121" t="s">
        <v>1223</v>
      </c>
      <c r="B202" s="122" t="s">
        <v>1223</v>
      </c>
      <c r="C202" s="122" t="s">
        <v>248</v>
      </c>
      <c r="D202" s="122" t="s">
        <v>3217</v>
      </c>
      <c r="E202" s="122"/>
      <c r="F202" s="122"/>
      <c r="G202" s="122" t="s">
        <v>3218</v>
      </c>
      <c r="H202" s="122" t="s">
        <v>3219</v>
      </c>
      <c r="I202" s="122" t="s">
        <v>102</v>
      </c>
      <c r="J202" s="122" t="s">
        <v>1217</v>
      </c>
      <c r="K202" s="145">
        <v>45498</v>
      </c>
      <c r="L202" s="123">
        <v>9415</v>
      </c>
      <c r="M202" s="123">
        <v>31125.99</v>
      </c>
      <c r="N202" s="123">
        <v>6355.125</v>
      </c>
      <c r="O202" s="123">
        <v>21010.043249999999</v>
      </c>
      <c r="P202" s="152">
        <v>0.67500000000000004</v>
      </c>
      <c r="Q202" s="154">
        <v>49150</v>
      </c>
      <c r="R202" s="159"/>
    </row>
    <row r="203" spans="1:18" ht="14.25" x14ac:dyDescent="0.2">
      <c r="A203" s="121" t="s">
        <v>1223</v>
      </c>
      <c r="B203" s="122" t="s">
        <v>1223</v>
      </c>
      <c r="C203" s="122" t="s">
        <v>248</v>
      </c>
      <c r="D203" s="122" t="s">
        <v>2956</v>
      </c>
      <c r="E203" s="122"/>
      <c r="F203" s="122"/>
      <c r="G203" s="122" t="s">
        <v>2957</v>
      </c>
      <c r="H203" s="122" t="s">
        <v>2958</v>
      </c>
      <c r="I203" s="122" t="s">
        <v>102</v>
      </c>
      <c r="J203" s="122" t="s">
        <v>1216</v>
      </c>
      <c r="K203" s="145">
        <v>43398</v>
      </c>
      <c r="L203" s="123">
        <v>27694.498780000002</v>
      </c>
      <c r="M203" s="123">
        <v>27694.498780000002</v>
      </c>
      <c r="N203" s="123">
        <v>6771.9587800000008</v>
      </c>
      <c r="O203" s="123">
        <v>6771.9587800000008</v>
      </c>
      <c r="P203" s="152">
        <v>0.24452360859805389</v>
      </c>
      <c r="Q203" s="154">
        <v>47026</v>
      </c>
      <c r="R203" s="159"/>
    </row>
    <row r="204" spans="1:18" ht="14.25" x14ac:dyDescent="0.2">
      <c r="A204" s="121" t="s">
        <v>1223</v>
      </c>
      <c r="B204" s="122" t="s">
        <v>1223</v>
      </c>
      <c r="C204" s="122" t="s">
        <v>248</v>
      </c>
      <c r="D204" s="122" t="s">
        <v>3171</v>
      </c>
      <c r="E204" s="122"/>
      <c r="F204" s="122"/>
      <c r="G204" s="122" t="s">
        <v>3172</v>
      </c>
      <c r="H204" s="122" t="s">
        <v>3173</v>
      </c>
      <c r="I204" s="122" t="s">
        <v>102</v>
      </c>
      <c r="J204" s="122" t="s">
        <v>1217</v>
      </c>
      <c r="K204" s="145">
        <v>44525</v>
      </c>
      <c r="L204" s="123">
        <v>4908.3999999999996</v>
      </c>
      <c r="M204" s="123">
        <v>16227.170400000001</v>
      </c>
      <c r="N204" s="123">
        <v>314.13759999999962</v>
      </c>
      <c r="O204" s="123">
        <v>1038.5389055999988</v>
      </c>
      <c r="P204" s="152">
        <v>6.3999999999999918E-2</v>
      </c>
      <c r="Q204" s="154">
        <v>47082</v>
      </c>
      <c r="R204" s="159"/>
    </row>
    <row r="205" spans="1:18" ht="14.25" x14ac:dyDescent="0.2">
      <c r="A205" s="121" t="s">
        <v>1223</v>
      </c>
      <c r="B205" s="122" t="s">
        <v>1223</v>
      </c>
      <c r="C205" s="122" t="s">
        <v>248</v>
      </c>
      <c r="D205" s="122" t="s">
        <v>3051</v>
      </c>
      <c r="E205" s="122"/>
      <c r="F205" s="122"/>
      <c r="G205" s="122" t="s">
        <v>3052</v>
      </c>
      <c r="H205" s="122" t="s">
        <v>3053</v>
      </c>
      <c r="I205" s="122" t="s">
        <v>102</v>
      </c>
      <c r="J205" s="122" t="s">
        <v>1217</v>
      </c>
      <c r="K205" s="145">
        <v>44315</v>
      </c>
      <c r="L205" s="123">
        <v>10488.75</v>
      </c>
      <c r="M205" s="123">
        <v>34675.807500000003</v>
      </c>
      <c r="N205" s="123">
        <v>1623.8899900000001</v>
      </c>
      <c r="O205" s="123">
        <v>5368.5803069400008</v>
      </c>
      <c r="P205" s="152">
        <v>0.15482207031343106</v>
      </c>
      <c r="Q205" s="154">
        <v>47968</v>
      </c>
      <c r="R205" s="159"/>
    </row>
    <row r="206" spans="1:18" ht="14.25" x14ac:dyDescent="0.2">
      <c r="A206" s="121" t="s">
        <v>1223</v>
      </c>
      <c r="B206" s="122" t="s">
        <v>1223</v>
      </c>
      <c r="C206" s="122" t="s">
        <v>248</v>
      </c>
      <c r="D206" s="122" t="s">
        <v>2866</v>
      </c>
      <c r="E206" s="122"/>
      <c r="F206" s="122"/>
      <c r="G206" s="122" t="s">
        <v>2892</v>
      </c>
      <c r="H206" s="122" t="s">
        <v>2893</v>
      </c>
      <c r="I206" s="122" t="s">
        <v>102</v>
      </c>
      <c r="J206" s="122" t="s">
        <v>1216</v>
      </c>
      <c r="K206" s="145">
        <v>43611</v>
      </c>
      <c r="L206" s="123">
        <v>30831.723999999998</v>
      </c>
      <c r="M206" s="123">
        <v>30831.723999999998</v>
      </c>
      <c r="N206" s="123">
        <v>1308.6569999999999</v>
      </c>
      <c r="O206" s="123">
        <v>1308.6569999999999</v>
      </c>
      <c r="P206" s="152">
        <v>4.2445145136872656E-2</v>
      </c>
      <c r="Q206" s="154">
        <v>47238</v>
      </c>
      <c r="R206" s="159"/>
    </row>
    <row r="207" spans="1:18" ht="14.25" x14ac:dyDescent="0.2">
      <c r="A207" s="121" t="s">
        <v>1223</v>
      </c>
      <c r="B207" s="122" t="s">
        <v>1223</v>
      </c>
      <c r="C207" s="122" t="s">
        <v>248</v>
      </c>
      <c r="D207" s="122" t="s">
        <v>3162</v>
      </c>
      <c r="E207" s="122"/>
      <c r="F207" s="122"/>
      <c r="G207" s="122" t="s">
        <v>3163</v>
      </c>
      <c r="H207" s="122" t="s">
        <v>3164</v>
      </c>
      <c r="I207" s="122" t="s">
        <v>102</v>
      </c>
      <c r="J207" s="122" t="s">
        <v>1217</v>
      </c>
      <c r="K207" s="145">
        <v>44769</v>
      </c>
      <c r="L207" s="123">
        <v>6402.2</v>
      </c>
      <c r="M207" s="123">
        <v>21165.673199999997</v>
      </c>
      <c r="N207" s="123">
        <v>1571.1773700000001</v>
      </c>
      <c r="O207" s="123">
        <v>5194.3123852200006</v>
      </c>
      <c r="P207" s="152">
        <v>0.24541210365186969</v>
      </c>
      <c r="Q207" s="154">
        <v>48055</v>
      </c>
      <c r="R207" s="159"/>
    </row>
    <row r="208" spans="1:18" ht="14.25" x14ac:dyDescent="0.2">
      <c r="A208" s="121" t="s">
        <v>1223</v>
      </c>
      <c r="B208" s="122" t="s">
        <v>1223</v>
      </c>
      <c r="C208" s="122" t="s">
        <v>248</v>
      </c>
      <c r="D208" s="122" t="s">
        <v>3183</v>
      </c>
      <c r="E208" s="122"/>
      <c r="F208" s="122"/>
      <c r="G208" s="122" t="s">
        <v>3184</v>
      </c>
      <c r="H208" s="122" t="s">
        <v>3185</v>
      </c>
      <c r="I208" s="122" t="s">
        <v>102</v>
      </c>
      <c r="J208" s="122" t="s">
        <v>1217</v>
      </c>
      <c r="K208" s="145">
        <v>44525</v>
      </c>
      <c r="L208" s="123">
        <v>7008.0990000000002</v>
      </c>
      <c r="M208" s="123">
        <v>23168.775293999999</v>
      </c>
      <c r="N208" s="123">
        <v>3251.7759999999998</v>
      </c>
      <c r="O208" s="123">
        <v>10750.371456000001</v>
      </c>
      <c r="P208" s="152">
        <v>0.46400257758915792</v>
      </c>
      <c r="Q208" s="154">
        <v>47083</v>
      </c>
      <c r="R208" s="159"/>
    </row>
    <row r="209" spans="1:18" ht="14.25" x14ac:dyDescent="0.2">
      <c r="A209" s="121" t="s">
        <v>1223</v>
      </c>
      <c r="B209" s="122" t="s">
        <v>1223</v>
      </c>
      <c r="C209" s="122" t="s">
        <v>248</v>
      </c>
      <c r="D209" s="122" t="s">
        <v>3227</v>
      </c>
      <c r="E209" s="122"/>
      <c r="F209" s="122"/>
      <c r="G209" s="122" t="s">
        <v>3228</v>
      </c>
      <c r="H209" s="122" t="s">
        <v>3229</v>
      </c>
      <c r="I209" s="122" t="s">
        <v>102</v>
      </c>
      <c r="J209" s="122" t="s">
        <v>1217</v>
      </c>
      <c r="K209" s="145">
        <v>45350</v>
      </c>
      <c r="L209" s="123">
        <v>7800</v>
      </c>
      <c r="M209" s="123">
        <v>25786.799999999999</v>
      </c>
      <c r="N209" s="123">
        <v>5259.0263100000002</v>
      </c>
      <c r="O209" s="123">
        <v>17386.340980860001</v>
      </c>
      <c r="P209" s="152">
        <v>0.67423414230769241</v>
      </c>
      <c r="Q209" s="154">
        <v>49003</v>
      </c>
      <c r="R209" s="159"/>
    </row>
    <row r="210" spans="1:18" ht="14.25" x14ac:dyDescent="0.2">
      <c r="A210" s="121" t="s">
        <v>1223</v>
      </c>
      <c r="B210" s="122" t="s">
        <v>1223</v>
      </c>
      <c r="C210" s="122" t="s">
        <v>248</v>
      </c>
      <c r="D210" s="122" t="s">
        <v>3156</v>
      </c>
      <c r="E210" s="122"/>
      <c r="F210" s="122"/>
      <c r="G210" s="122" t="s">
        <v>3157</v>
      </c>
      <c r="H210" s="122" t="s">
        <v>3158</v>
      </c>
      <c r="I210" s="122" t="s">
        <v>102</v>
      </c>
      <c r="J210" s="122" t="s">
        <v>1217</v>
      </c>
      <c r="K210" s="145">
        <v>45012</v>
      </c>
      <c r="L210" s="123">
        <v>6025.6</v>
      </c>
      <c r="M210" s="123">
        <v>19920.633600000001</v>
      </c>
      <c r="N210" s="123">
        <v>1060.297</v>
      </c>
      <c r="O210" s="123">
        <v>3505.3418820000002</v>
      </c>
      <c r="P210" s="152">
        <v>0.17596538104089218</v>
      </c>
      <c r="Q210" s="154">
        <v>47543</v>
      </c>
      <c r="R210" s="159"/>
    </row>
    <row r="211" spans="1:18" ht="14.25" x14ac:dyDescent="0.2">
      <c r="A211" s="121" t="s">
        <v>1223</v>
      </c>
      <c r="B211" s="122" t="s">
        <v>1223</v>
      </c>
      <c r="C211" s="122" t="s">
        <v>248</v>
      </c>
      <c r="D211" s="122" t="s">
        <v>102</v>
      </c>
      <c r="E211" s="122"/>
      <c r="F211" s="122"/>
      <c r="G211" s="122" t="s">
        <v>3079</v>
      </c>
      <c r="H211" s="122" t="s">
        <v>3080</v>
      </c>
      <c r="I211" s="122" t="s">
        <v>102</v>
      </c>
      <c r="J211" s="122" t="s">
        <v>1217</v>
      </c>
      <c r="K211" s="145">
        <v>43643</v>
      </c>
      <c r="L211" s="123">
        <v>10544.423000000001</v>
      </c>
      <c r="M211" s="123">
        <v>34859.862438000004</v>
      </c>
      <c r="N211" s="123">
        <v>417.44400000000002</v>
      </c>
      <c r="O211" s="123">
        <v>1380.0698640000001</v>
      </c>
      <c r="P211" s="152">
        <v>3.9589079459350217E-2</v>
      </c>
      <c r="Q211" s="154">
        <v>47269</v>
      </c>
      <c r="R211" s="159"/>
    </row>
    <row r="212" spans="1:18" ht="14.25" x14ac:dyDescent="0.2">
      <c r="A212" s="121" t="s">
        <v>1223</v>
      </c>
      <c r="B212" s="122" t="s">
        <v>1223</v>
      </c>
      <c r="C212" s="122" t="s">
        <v>248</v>
      </c>
      <c r="D212" s="122" t="s">
        <v>3060</v>
      </c>
      <c r="E212" s="122"/>
      <c r="F212" s="122"/>
      <c r="G212" s="122" t="s">
        <v>3061</v>
      </c>
      <c r="H212" s="122" t="s">
        <v>3062</v>
      </c>
      <c r="I212" s="122" t="s">
        <v>102</v>
      </c>
      <c r="J212" s="122" t="s">
        <v>1217</v>
      </c>
      <c r="K212" s="145">
        <v>44769</v>
      </c>
      <c r="L212" s="123">
        <v>17163.100999999999</v>
      </c>
      <c r="M212" s="123">
        <v>56741.211906000004</v>
      </c>
      <c r="N212" s="123">
        <v>12.486999999999998</v>
      </c>
      <c r="O212" s="123">
        <v>41.282021999999998</v>
      </c>
      <c r="P212" s="152">
        <v>7.2754917657362722E-4</v>
      </c>
      <c r="Q212" s="154">
        <v>47543</v>
      </c>
      <c r="R212" s="159"/>
    </row>
    <row r="213" spans="1:18" ht="14.25" x14ac:dyDescent="0.2">
      <c r="A213" s="121" t="s">
        <v>1223</v>
      </c>
      <c r="B213" s="122" t="s">
        <v>1223</v>
      </c>
      <c r="C213" s="122" t="s">
        <v>248</v>
      </c>
      <c r="D213" s="122" t="s">
        <v>2930</v>
      </c>
      <c r="E213" s="122"/>
      <c r="F213" s="122"/>
      <c r="G213" s="122" t="s">
        <v>2930</v>
      </c>
      <c r="H213" s="122" t="s">
        <v>2931</v>
      </c>
      <c r="I213" s="122" t="s">
        <v>102</v>
      </c>
      <c r="J213" s="122" t="s">
        <v>1216</v>
      </c>
      <c r="K213" s="145">
        <v>44192</v>
      </c>
      <c r="L213" s="123">
        <v>17432.021000000001</v>
      </c>
      <c r="M213" s="123">
        <v>17432.021000000001</v>
      </c>
      <c r="N213" s="123">
        <v>3314.4599900000003</v>
      </c>
      <c r="O213" s="123">
        <v>3314.4599900000003</v>
      </c>
      <c r="P213" s="152">
        <v>0.19013630089133096</v>
      </c>
      <c r="Q213" s="154">
        <v>46905</v>
      </c>
      <c r="R213" s="159"/>
    </row>
    <row r="214" spans="1:18" ht="14.25" x14ac:dyDescent="0.2">
      <c r="A214" s="121" t="s">
        <v>1223</v>
      </c>
      <c r="B214" s="122" t="s">
        <v>1223</v>
      </c>
      <c r="C214" s="122" t="s">
        <v>248</v>
      </c>
      <c r="D214" s="122" t="s">
        <v>3002</v>
      </c>
      <c r="E214" s="122"/>
      <c r="F214" s="122"/>
      <c r="G214" s="122" t="s">
        <v>3003</v>
      </c>
      <c r="H214" s="122" t="s">
        <v>3004</v>
      </c>
      <c r="I214" s="122" t="s">
        <v>102</v>
      </c>
      <c r="J214" s="122" t="s">
        <v>1217</v>
      </c>
      <c r="K214" s="145">
        <v>44679</v>
      </c>
      <c r="L214" s="123">
        <v>23421.053</v>
      </c>
      <c r="M214" s="123">
        <v>77430.00121799999</v>
      </c>
      <c r="N214" s="123">
        <v>3137.3339999999998</v>
      </c>
      <c r="O214" s="123">
        <v>10372.026204</v>
      </c>
      <c r="P214" s="152">
        <v>0.13395358440971891</v>
      </c>
      <c r="Q214" s="154">
        <v>47664</v>
      </c>
      <c r="R214" s="159"/>
    </row>
    <row r="215" spans="1:18" ht="14.25" x14ac:dyDescent="0.2">
      <c r="A215" s="121" t="s">
        <v>1223</v>
      </c>
      <c r="B215" s="122" t="s">
        <v>1223</v>
      </c>
      <c r="C215" s="122" t="s">
        <v>248</v>
      </c>
      <c r="D215" s="122" t="s">
        <v>3013</v>
      </c>
      <c r="E215" s="122"/>
      <c r="F215" s="122"/>
      <c r="G215" s="122" t="s">
        <v>3014</v>
      </c>
      <c r="H215" s="122" t="s">
        <v>3015</v>
      </c>
      <c r="I215" s="122" t="s">
        <v>102</v>
      </c>
      <c r="J215" s="122" t="s">
        <v>1217</v>
      </c>
      <c r="K215" s="145">
        <v>43340</v>
      </c>
      <c r="L215" s="123">
        <v>10388.108</v>
      </c>
      <c r="M215" s="123">
        <v>34343.085048000001</v>
      </c>
      <c r="N215" s="123">
        <v>311.64299999999997</v>
      </c>
      <c r="O215" s="123">
        <v>1030.2917580000001</v>
      </c>
      <c r="P215" s="152">
        <v>2.999997689665914E-2</v>
      </c>
      <c r="Q215" s="154">
        <v>48060</v>
      </c>
      <c r="R215" s="159"/>
    </row>
    <row r="216" spans="1:18" ht="14.25" x14ac:dyDescent="0.2">
      <c r="A216" s="121" t="s">
        <v>1223</v>
      </c>
      <c r="B216" s="122" t="s">
        <v>1223</v>
      </c>
      <c r="C216" s="122" t="s">
        <v>248</v>
      </c>
      <c r="D216" s="122" t="s">
        <v>3095</v>
      </c>
      <c r="E216" s="122"/>
      <c r="F216" s="122"/>
      <c r="G216" s="122" t="s">
        <v>3096</v>
      </c>
      <c r="H216" s="122" t="s">
        <v>3097</v>
      </c>
      <c r="I216" s="122" t="s">
        <v>102</v>
      </c>
      <c r="J216" s="122" t="s">
        <v>1217</v>
      </c>
      <c r="K216" s="145">
        <v>44195</v>
      </c>
      <c r="L216" s="123">
        <v>11302.895640000001</v>
      </c>
      <c r="M216" s="123">
        <v>37367.372985840004</v>
      </c>
      <c r="N216" s="123">
        <v>4368.527790000001</v>
      </c>
      <c r="O216" s="123">
        <v>14442.352873740003</v>
      </c>
      <c r="P216" s="152">
        <v>0.38649633944598649</v>
      </c>
      <c r="Q216" s="154">
        <v>47817</v>
      </c>
      <c r="R216" s="159"/>
    </row>
    <row r="217" spans="1:18" ht="14.25" x14ac:dyDescent="0.2">
      <c r="A217" s="121" t="s">
        <v>1223</v>
      </c>
      <c r="B217" s="122" t="s">
        <v>1223</v>
      </c>
      <c r="C217" s="122" t="s">
        <v>248</v>
      </c>
      <c r="D217" s="122" t="s">
        <v>2906</v>
      </c>
      <c r="E217" s="122"/>
      <c r="F217" s="122"/>
      <c r="G217" s="122" t="s">
        <v>3047</v>
      </c>
      <c r="H217" s="122" t="s">
        <v>3048</v>
      </c>
      <c r="I217" s="122" t="s">
        <v>102</v>
      </c>
      <c r="J217" s="122" t="s">
        <v>1217</v>
      </c>
      <c r="K217" s="145">
        <v>43614</v>
      </c>
      <c r="L217" s="123">
        <v>16492.264999999999</v>
      </c>
      <c r="M217" s="123">
        <v>54523.428090000001</v>
      </c>
      <c r="N217" s="123">
        <v>2968.192</v>
      </c>
      <c r="O217" s="123">
        <v>9812.8427520000005</v>
      </c>
      <c r="P217" s="152">
        <v>0.17997479424445337</v>
      </c>
      <c r="Q217" s="154">
        <v>47046</v>
      </c>
      <c r="R217" s="159"/>
    </row>
    <row r="218" spans="1:18" ht="14.25" x14ac:dyDescent="0.2">
      <c r="A218" s="121" t="s">
        <v>1223</v>
      </c>
      <c r="B218" s="122" t="s">
        <v>1223</v>
      </c>
      <c r="C218" s="122" t="s">
        <v>248</v>
      </c>
      <c r="D218" s="122" t="s">
        <v>3235</v>
      </c>
      <c r="E218" s="122"/>
      <c r="F218" s="122"/>
      <c r="G218" s="122" t="s">
        <v>3236</v>
      </c>
      <c r="H218" s="122" t="s">
        <v>3237</v>
      </c>
      <c r="I218" s="122" t="s">
        <v>102</v>
      </c>
      <c r="J218" s="122" t="s">
        <v>1217</v>
      </c>
      <c r="K218" s="145">
        <v>44393</v>
      </c>
      <c r="L218" s="123">
        <v>7008.0990000000002</v>
      </c>
      <c r="M218" s="123">
        <v>23168.775293999999</v>
      </c>
      <c r="N218" s="123">
        <v>4523.8355600000004</v>
      </c>
      <c r="O218" s="123">
        <v>14955.800361360003</v>
      </c>
      <c r="P218" s="152">
        <v>0.64551536158379053</v>
      </c>
      <c r="Q218" s="154">
        <v>46203</v>
      </c>
      <c r="R218" s="159"/>
    </row>
    <row r="219" spans="1:18" ht="14.25" x14ac:dyDescent="0.2">
      <c r="A219" s="121" t="s">
        <v>1223</v>
      </c>
      <c r="B219" s="122" t="s">
        <v>1223</v>
      </c>
      <c r="C219" s="122" t="s">
        <v>248</v>
      </c>
      <c r="D219" s="122" t="s">
        <v>3225</v>
      </c>
      <c r="E219" s="122"/>
      <c r="F219" s="122"/>
      <c r="G219" s="122" t="s">
        <v>3178</v>
      </c>
      <c r="H219" s="122" t="s">
        <v>3226</v>
      </c>
      <c r="I219" s="122" t="s">
        <v>102</v>
      </c>
      <c r="J219" s="122" t="s">
        <v>1217</v>
      </c>
      <c r="K219" s="145">
        <v>44133</v>
      </c>
      <c r="L219" s="123">
        <v>2614.9810000000002</v>
      </c>
      <c r="M219" s="123">
        <v>8645.1271860000015</v>
      </c>
      <c r="N219" s="123">
        <v>418.39600000000002</v>
      </c>
      <c r="O219" s="123">
        <v>1383.2171759999999</v>
      </c>
      <c r="P219" s="152">
        <v>0.1599996328845219</v>
      </c>
      <c r="Q219" s="154">
        <v>48883</v>
      </c>
      <c r="R219" s="159"/>
    </row>
    <row r="220" spans="1:18" ht="14.25" x14ac:dyDescent="0.2">
      <c r="A220" s="121" t="s">
        <v>1223</v>
      </c>
      <c r="B220" s="122" t="s">
        <v>1223</v>
      </c>
      <c r="C220" s="122" t="s">
        <v>248</v>
      </c>
      <c r="D220" s="122" t="s">
        <v>2872</v>
      </c>
      <c r="E220" s="122"/>
      <c r="F220" s="122"/>
      <c r="G220" s="122" t="s">
        <v>2901</v>
      </c>
      <c r="H220" s="122" t="s">
        <v>2902</v>
      </c>
      <c r="I220" s="122" t="s">
        <v>102</v>
      </c>
      <c r="J220" s="122" t="s">
        <v>1216</v>
      </c>
      <c r="K220" s="145">
        <v>43130</v>
      </c>
      <c r="L220" s="123">
        <v>34505</v>
      </c>
      <c r="M220" s="123">
        <v>34505</v>
      </c>
      <c r="N220" s="123">
        <v>2782.116</v>
      </c>
      <c r="O220" s="123">
        <v>2782.116</v>
      </c>
      <c r="P220" s="152">
        <v>8.0629358064048695E-2</v>
      </c>
      <c r="Q220" s="154">
        <v>46783</v>
      </c>
      <c r="R220" s="159"/>
    </row>
    <row r="221" spans="1:18" ht="14.25" x14ac:dyDescent="0.2">
      <c r="A221" s="121" t="s">
        <v>1223</v>
      </c>
      <c r="B221" s="122" t="s">
        <v>1223</v>
      </c>
      <c r="C221" s="122" t="s">
        <v>248</v>
      </c>
      <c r="D221" s="122" t="s">
        <v>3057</v>
      </c>
      <c r="E221" s="122"/>
      <c r="F221" s="122"/>
      <c r="G221" s="122" t="s">
        <v>3058</v>
      </c>
      <c r="H221" s="122" t="s">
        <v>3059</v>
      </c>
      <c r="I221" s="122" t="s">
        <v>102</v>
      </c>
      <c r="J221" s="122" t="s">
        <v>1218</v>
      </c>
      <c r="K221" s="145">
        <v>43495</v>
      </c>
      <c r="L221" s="123">
        <v>20424.226368133601</v>
      </c>
      <c r="M221" s="123">
        <v>79260.295266816058</v>
      </c>
      <c r="N221" s="123">
        <v>2516.2422881336024</v>
      </c>
      <c r="O221" s="123">
        <v>9764.7814475600717</v>
      </c>
      <c r="P221" s="152">
        <v>0.1231989032426466</v>
      </c>
      <c r="Q221" s="154">
        <v>45961</v>
      </c>
      <c r="R221" s="159"/>
    </row>
    <row r="222" spans="1:18" ht="14.25" x14ac:dyDescent="0.2">
      <c r="A222" s="121" t="s">
        <v>1223</v>
      </c>
      <c r="B222" s="122" t="s">
        <v>1223</v>
      </c>
      <c r="C222" s="122" t="s">
        <v>248</v>
      </c>
      <c r="D222" s="122" t="s">
        <v>3071</v>
      </c>
      <c r="E222" s="122"/>
      <c r="F222" s="122"/>
      <c r="G222" s="122" t="s">
        <v>3072</v>
      </c>
      <c r="H222" s="122" t="s">
        <v>3073</v>
      </c>
      <c r="I222" s="122" t="s">
        <v>102</v>
      </c>
      <c r="J222" s="122" t="s">
        <v>1217</v>
      </c>
      <c r="K222" s="145">
        <v>44651</v>
      </c>
      <c r="L222" s="123">
        <v>12636</v>
      </c>
      <c r="M222" s="123">
        <v>41774.616000000002</v>
      </c>
      <c r="N222" s="123">
        <v>3847.8149900000003</v>
      </c>
      <c r="O222" s="123">
        <v>12720.876356940002</v>
      </c>
      <c r="P222" s="152">
        <v>0.30451210747071861</v>
      </c>
      <c r="Q222" s="154">
        <v>48303</v>
      </c>
      <c r="R222" s="159"/>
    </row>
    <row r="223" spans="1:18" ht="14.25" x14ac:dyDescent="0.2">
      <c r="A223" s="121" t="s">
        <v>1223</v>
      </c>
      <c r="B223" s="122" t="s">
        <v>1223</v>
      </c>
      <c r="C223" s="122" t="s">
        <v>248</v>
      </c>
      <c r="D223" s="122" t="s">
        <v>2857</v>
      </c>
      <c r="E223" s="122"/>
      <c r="F223" s="122"/>
      <c r="G223" s="122" t="s">
        <v>2858</v>
      </c>
      <c r="H223" s="122" t="s">
        <v>2859</v>
      </c>
      <c r="I223" s="122" t="s">
        <v>102</v>
      </c>
      <c r="J223" s="122" t="s">
        <v>1216</v>
      </c>
      <c r="K223" s="145">
        <v>43615</v>
      </c>
      <c r="L223" s="123">
        <v>69351.240999999995</v>
      </c>
      <c r="M223" s="123">
        <v>69351.240999999995</v>
      </c>
      <c r="N223" s="123">
        <v>8313.4806000000008</v>
      </c>
      <c r="O223" s="123">
        <v>8313.4806000000008</v>
      </c>
      <c r="P223" s="152">
        <v>0.11987500843712373</v>
      </c>
      <c r="Q223" s="154">
        <v>46507</v>
      </c>
      <c r="R223" s="159"/>
    </row>
    <row r="224" spans="1:18" ht="14.25" x14ac:dyDescent="0.2">
      <c r="A224" s="121" t="s">
        <v>1223</v>
      </c>
      <c r="B224" s="122" t="s">
        <v>1223</v>
      </c>
      <c r="C224" s="122" t="s">
        <v>248</v>
      </c>
      <c r="D224" s="122" t="s">
        <v>3250</v>
      </c>
      <c r="E224" s="122"/>
      <c r="F224" s="122"/>
      <c r="G224" s="122" t="s">
        <v>3251</v>
      </c>
      <c r="H224" s="122" t="s">
        <v>3252</v>
      </c>
      <c r="I224" s="122" t="s">
        <v>102</v>
      </c>
      <c r="J224" s="122" t="s">
        <v>1217</v>
      </c>
      <c r="K224" s="145">
        <v>44742</v>
      </c>
      <c r="L224" s="123">
        <v>12051.2</v>
      </c>
      <c r="M224" s="123">
        <v>39841.267200000002</v>
      </c>
      <c r="N224" s="123">
        <v>10112.56583</v>
      </c>
      <c r="O224" s="123">
        <v>33432.142633980002</v>
      </c>
      <c r="P224" s="152">
        <v>0.83913351616436538</v>
      </c>
      <c r="Q224" s="154">
        <v>48395</v>
      </c>
      <c r="R224" s="159"/>
    </row>
    <row r="225" spans="1:18" ht="14.25" x14ac:dyDescent="0.2">
      <c r="A225" s="121" t="s">
        <v>1223</v>
      </c>
      <c r="B225" s="122" t="s">
        <v>1223</v>
      </c>
      <c r="C225" s="122" t="s">
        <v>248</v>
      </c>
      <c r="D225" s="122" t="s">
        <v>3189</v>
      </c>
      <c r="E225" s="122"/>
      <c r="F225" s="122"/>
      <c r="G225" s="122" t="s">
        <v>3190</v>
      </c>
      <c r="H225" s="122" t="s">
        <v>3191</v>
      </c>
      <c r="I225" s="122" t="s">
        <v>102</v>
      </c>
      <c r="J225" s="122" t="s">
        <v>1217</v>
      </c>
      <c r="K225" s="145">
        <v>45503</v>
      </c>
      <c r="L225" s="123">
        <v>7800</v>
      </c>
      <c r="M225" s="123">
        <v>25786.799999999999</v>
      </c>
      <c r="N225" s="123">
        <v>3510</v>
      </c>
      <c r="O225" s="123">
        <v>11604.06</v>
      </c>
      <c r="P225" s="152">
        <v>0.45</v>
      </c>
      <c r="Q225" s="154">
        <v>49155</v>
      </c>
      <c r="R225" s="159"/>
    </row>
    <row r="226" spans="1:18" ht="14.25" x14ac:dyDescent="0.2">
      <c r="A226" s="121" t="s">
        <v>1223</v>
      </c>
      <c r="B226" s="122" t="s">
        <v>1223</v>
      </c>
      <c r="C226" s="122" t="s">
        <v>248</v>
      </c>
      <c r="D226" s="122" t="s">
        <v>2866</v>
      </c>
      <c r="E226" s="122"/>
      <c r="F226" s="122"/>
      <c r="G226" s="122" t="s">
        <v>2867</v>
      </c>
      <c r="H226" s="122" t="s">
        <v>2868</v>
      </c>
      <c r="I226" s="122" t="s">
        <v>102</v>
      </c>
      <c r="J226" s="122" t="s">
        <v>1216</v>
      </c>
      <c r="K226" s="145">
        <v>44286</v>
      </c>
      <c r="L226" s="123">
        <v>43019.071000000004</v>
      </c>
      <c r="M226" s="123">
        <v>43019.071000000004</v>
      </c>
      <c r="N226" s="123">
        <v>8954.7149900000022</v>
      </c>
      <c r="O226" s="123">
        <v>8954.7149900000022</v>
      </c>
      <c r="P226" s="152">
        <v>0.20815686582353213</v>
      </c>
      <c r="Q226" s="154">
        <v>48669</v>
      </c>
      <c r="R226" s="159"/>
    </row>
    <row r="227" spans="1:18" ht="14.25" x14ac:dyDescent="0.2">
      <c r="A227" s="121" t="s">
        <v>1223</v>
      </c>
      <c r="B227" s="122" t="s">
        <v>1223</v>
      </c>
      <c r="C227" s="122" t="s">
        <v>248</v>
      </c>
      <c r="D227" s="122" t="s">
        <v>2896</v>
      </c>
      <c r="E227" s="122"/>
      <c r="F227" s="122"/>
      <c r="G227" s="122" t="s">
        <v>2897</v>
      </c>
      <c r="H227" s="122" t="s">
        <v>2898</v>
      </c>
      <c r="I227" s="122" t="s">
        <v>102</v>
      </c>
      <c r="J227" s="122" t="s">
        <v>1216</v>
      </c>
      <c r="K227" s="145">
        <v>44651</v>
      </c>
      <c r="L227" s="123">
        <v>28048</v>
      </c>
      <c r="M227" s="123">
        <v>28048</v>
      </c>
      <c r="N227" s="123">
        <v>7346.894989999998</v>
      </c>
      <c r="O227" s="123">
        <v>7346.894989999998</v>
      </c>
      <c r="P227" s="152">
        <v>0.26194006667142039</v>
      </c>
      <c r="Q227" s="154">
        <v>48304</v>
      </c>
      <c r="R227" s="159"/>
    </row>
    <row r="228" spans="1:18" ht="14.25" x14ac:dyDescent="0.2">
      <c r="A228" s="121" t="s">
        <v>1223</v>
      </c>
      <c r="B228" s="122" t="s">
        <v>1223</v>
      </c>
      <c r="C228" s="122" t="s">
        <v>248</v>
      </c>
      <c r="D228" s="122" t="s">
        <v>2953</v>
      </c>
      <c r="E228" s="122"/>
      <c r="F228" s="122"/>
      <c r="G228" s="122" t="s">
        <v>2954</v>
      </c>
      <c r="H228" s="122" t="s">
        <v>2955</v>
      </c>
      <c r="I228" s="122" t="s">
        <v>102</v>
      </c>
      <c r="J228" s="122" t="s">
        <v>1217</v>
      </c>
      <c r="K228" s="145">
        <v>45504</v>
      </c>
      <c r="L228" s="123">
        <v>9360</v>
      </c>
      <c r="M228" s="123">
        <v>30944.16</v>
      </c>
      <c r="N228" s="123">
        <v>6838.0730000000003</v>
      </c>
      <c r="O228" s="123">
        <v>22606.669338</v>
      </c>
      <c r="P228" s="152">
        <v>0.73056335470085465</v>
      </c>
      <c r="Q228" s="154">
        <v>49156</v>
      </c>
      <c r="R228" s="159"/>
    </row>
    <row r="229" spans="1:18" ht="14.25" x14ac:dyDescent="0.2">
      <c r="A229" s="121" t="s">
        <v>1223</v>
      </c>
      <c r="B229" s="122" t="s">
        <v>1223</v>
      </c>
      <c r="C229" s="122" t="s">
        <v>248</v>
      </c>
      <c r="D229" s="122" t="s">
        <v>3145</v>
      </c>
      <c r="E229" s="122"/>
      <c r="F229" s="122"/>
      <c r="G229" s="122" t="s">
        <v>3146</v>
      </c>
      <c r="H229" s="122" t="s">
        <v>3147</v>
      </c>
      <c r="I229" s="122" t="s">
        <v>102</v>
      </c>
      <c r="J229" s="122" t="s">
        <v>1217</v>
      </c>
      <c r="K229" s="145">
        <v>45862</v>
      </c>
      <c r="L229" s="123">
        <v>9360</v>
      </c>
      <c r="M229" s="123">
        <v>30944.16</v>
      </c>
      <c r="N229" s="123">
        <v>2953.5661500000006</v>
      </c>
      <c r="O229" s="123">
        <v>9764.4896919000021</v>
      </c>
      <c r="P229" s="152">
        <v>0.31555193910256418</v>
      </c>
      <c r="Q229" s="154">
        <v>48427</v>
      </c>
      <c r="R229" s="159"/>
    </row>
    <row r="230" spans="1:18" ht="14.25" x14ac:dyDescent="0.2">
      <c r="A230" s="121" t="s">
        <v>1223</v>
      </c>
      <c r="B230" s="122" t="s">
        <v>1223</v>
      </c>
      <c r="C230" s="122" t="s">
        <v>248</v>
      </c>
      <c r="D230" s="122" t="s">
        <v>3036</v>
      </c>
      <c r="E230" s="122"/>
      <c r="F230" s="122"/>
      <c r="G230" s="122" t="s">
        <v>3037</v>
      </c>
      <c r="H230" s="122" t="s">
        <v>3038</v>
      </c>
      <c r="I230" s="122" t="s">
        <v>102</v>
      </c>
      <c r="J230" s="122" t="s">
        <v>1218</v>
      </c>
      <c r="K230" s="145">
        <v>44143</v>
      </c>
      <c r="L230" s="123">
        <v>12324.894890000001</v>
      </c>
      <c r="M230" s="123">
        <v>47829.219599623</v>
      </c>
      <c r="N230" s="123">
        <v>1890.5586000000014</v>
      </c>
      <c r="O230" s="123">
        <v>7336.6907590200062</v>
      </c>
      <c r="P230" s="152">
        <v>0.15339348666850997</v>
      </c>
      <c r="Q230" s="154">
        <v>48518</v>
      </c>
      <c r="R230" s="159"/>
    </row>
    <row r="231" spans="1:18" ht="14.25" x14ac:dyDescent="0.2">
      <c r="A231" s="121" t="s">
        <v>1223</v>
      </c>
      <c r="B231" s="122" t="s">
        <v>1223</v>
      </c>
      <c r="C231" s="122" t="s">
        <v>248</v>
      </c>
      <c r="D231" s="122" t="s">
        <v>3128</v>
      </c>
      <c r="E231" s="122"/>
      <c r="F231" s="122"/>
      <c r="G231" s="122" t="s">
        <v>3129</v>
      </c>
      <c r="H231" s="122" t="s">
        <v>3130</v>
      </c>
      <c r="I231" s="122" t="s">
        <v>102</v>
      </c>
      <c r="J231" s="122" t="s">
        <v>1218</v>
      </c>
      <c r="K231" s="145">
        <v>44143</v>
      </c>
      <c r="L231" s="123">
        <v>6824.8331899999994</v>
      </c>
      <c r="M231" s="123">
        <v>26485.130160432996</v>
      </c>
      <c r="N231" s="123">
        <v>556.88443999999947</v>
      </c>
      <c r="O231" s="123">
        <v>2161.1014463079982</v>
      </c>
      <c r="P231" s="152">
        <v>8.1596784052680935E-2</v>
      </c>
      <c r="Q231" s="154">
        <v>48052</v>
      </c>
      <c r="R231" s="159"/>
    </row>
    <row r="232" spans="1:18" ht="14.25" x14ac:dyDescent="0.2">
      <c r="A232" s="121" t="s">
        <v>1223</v>
      </c>
      <c r="B232" s="122" t="s">
        <v>1223</v>
      </c>
      <c r="C232" s="122" t="s">
        <v>248</v>
      </c>
      <c r="D232" s="122" t="s">
        <v>3044</v>
      </c>
      <c r="E232" s="122"/>
      <c r="F232" s="122"/>
      <c r="G232" s="122" t="s">
        <v>3045</v>
      </c>
      <c r="H232" s="122" t="s">
        <v>3046</v>
      </c>
      <c r="I232" s="122" t="s">
        <v>102</v>
      </c>
      <c r="J232" s="122" t="s">
        <v>1218</v>
      </c>
      <c r="K232" s="145">
        <v>44143</v>
      </c>
      <c r="L232" s="123">
        <v>9798.5348900000008</v>
      </c>
      <c r="M232" s="123">
        <v>38025.174347623004</v>
      </c>
      <c r="N232" s="123">
        <v>406.28445000000113</v>
      </c>
      <c r="O232" s="123">
        <v>1576.6680651150043</v>
      </c>
      <c r="P232" s="152">
        <v>4.1463795818560488E-2</v>
      </c>
      <c r="Q232" s="154">
        <v>47664</v>
      </c>
      <c r="R232" s="159"/>
    </row>
    <row r="233" spans="1:18" ht="14.25" x14ac:dyDescent="0.2">
      <c r="A233" s="121" t="s">
        <v>1223</v>
      </c>
      <c r="B233" s="122" t="s">
        <v>1223</v>
      </c>
      <c r="C233" s="122" t="s">
        <v>248</v>
      </c>
      <c r="D233" s="122" t="s">
        <v>3133</v>
      </c>
      <c r="E233" s="122"/>
      <c r="F233" s="122"/>
      <c r="G233" s="122" t="s">
        <v>3134</v>
      </c>
      <c r="H233" s="122" t="s">
        <v>3135</v>
      </c>
      <c r="I233" s="122" t="s">
        <v>102</v>
      </c>
      <c r="J233" s="122" t="s">
        <v>1217</v>
      </c>
      <c r="K233" s="145">
        <v>43934</v>
      </c>
      <c r="L233" s="123">
        <v>6947.8919999999998</v>
      </c>
      <c r="M233" s="123">
        <v>22969.730951999998</v>
      </c>
      <c r="N233" s="123">
        <v>83.375</v>
      </c>
      <c r="O233" s="123">
        <v>275.63774999999998</v>
      </c>
      <c r="P233" s="152">
        <v>1.2000042602849901E-2</v>
      </c>
      <c r="Q233" s="154">
        <v>47573</v>
      </c>
      <c r="R233" s="159"/>
    </row>
    <row r="234" spans="1:18" ht="14.25" x14ac:dyDescent="0.2">
      <c r="A234" s="121" t="s">
        <v>1223</v>
      </c>
      <c r="B234" s="122" t="s">
        <v>1223</v>
      </c>
      <c r="C234" s="122" t="s">
        <v>248</v>
      </c>
      <c r="D234" s="122" t="s">
        <v>3192</v>
      </c>
      <c r="E234" s="122"/>
      <c r="F234" s="122"/>
      <c r="G234" s="122" t="s">
        <v>3193</v>
      </c>
      <c r="H234" s="122" t="s">
        <v>3194</v>
      </c>
      <c r="I234" s="122" t="s">
        <v>102</v>
      </c>
      <c r="J234" s="122" t="s">
        <v>1217</v>
      </c>
      <c r="K234" s="145">
        <v>42710</v>
      </c>
      <c r="L234" s="123">
        <v>8626.4919700000009</v>
      </c>
      <c r="M234" s="123">
        <v>28519.182452820001</v>
      </c>
      <c r="N234" s="123">
        <v>1414.6706700000009</v>
      </c>
      <c r="O234" s="123">
        <v>4676.9012350200037</v>
      </c>
      <c r="P234" s="152">
        <v>0.16399142025747471</v>
      </c>
      <c r="Q234" s="154">
        <v>46363</v>
      </c>
      <c r="R234" s="159"/>
    </row>
    <row r="235" spans="1:18" ht="14.25" x14ac:dyDescent="0.2">
      <c r="A235" s="121" t="s">
        <v>1223</v>
      </c>
      <c r="B235" s="122" t="s">
        <v>1223</v>
      </c>
      <c r="C235" s="122" t="s">
        <v>248</v>
      </c>
      <c r="D235" s="122" t="s">
        <v>2869</v>
      </c>
      <c r="E235" s="122"/>
      <c r="F235" s="122"/>
      <c r="G235" s="122" t="s">
        <v>2870</v>
      </c>
      <c r="H235" s="122" t="s">
        <v>2871</v>
      </c>
      <c r="I235" s="122" t="s">
        <v>102</v>
      </c>
      <c r="J235" s="122" t="s">
        <v>1217</v>
      </c>
      <c r="K235" s="145">
        <v>42576</v>
      </c>
      <c r="L235" s="123">
        <v>6920</v>
      </c>
      <c r="M235" s="123">
        <v>22877.52</v>
      </c>
      <c r="N235" s="123">
        <v>742.33</v>
      </c>
      <c r="O235" s="123">
        <v>2454.1429800000001</v>
      </c>
      <c r="P235" s="152">
        <v>0.10727312138728323</v>
      </c>
      <c r="Q235" s="154">
        <v>46229</v>
      </c>
      <c r="R235" s="159"/>
    </row>
    <row r="236" spans="1:18" ht="14.25" x14ac:dyDescent="0.2">
      <c r="A236" s="121" t="s">
        <v>1223</v>
      </c>
      <c r="B236" s="122" t="s">
        <v>1223</v>
      </c>
      <c r="C236" s="122" t="s">
        <v>248</v>
      </c>
      <c r="D236" s="122" t="s">
        <v>2961</v>
      </c>
      <c r="E236" s="122"/>
      <c r="F236" s="122"/>
      <c r="G236" s="122" t="s">
        <v>2962</v>
      </c>
      <c r="H236" s="122" t="s">
        <v>2963</v>
      </c>
      <c r="I236" s="122" t="s">
        <v>102</v>
      </c>
      <c r="J236" s="122" t="s">
        <v>1217</v>
      </c>
      <c r="K236" s="145">
        <v>41148</v>
      </c>
      <c r="L236" s="123">
        <v>5066.6581638637244</v>
      </c>
      <c r="M236" s="123">
        <v>16750.371889733473</v>
      </c>
      <c r="N236" s="123">
        <v>457.43427386372451</v>
      </c>
      <c r="O236" s="123">
        <v>1512.2777093934731</v>
      </c>
      <c r="P236" s="152">
        <v>9.0283231879786999E-2</v>
      </c>
      <c r="Q236" s="154">
        <v>45657</v>
      </c>
      <c r="R236" s="159"/>
    </row>
    <row r="237" spans="1:18" ht="14.25" x14ac:dyDescent="0.2">
      <c r="A237" s="121" t="s">
        <v>1223</v>
      </c>
      <c r="B237" s="122" t="s">
        <v>1223</v>
      </c>
      <c r="C237" s="122" t="s">
        <v>248</v>
      </c>
      <c r="D237" s="122" t="s">
        <v>2912</v>
      </c>
      <c r="E237" s="122"/>
      <c r="F237" s="122"/>
      <c r="G237" s="122" t="s">
        <v>2913</v>
      </c>
      <c r="H237" s="122" t="s">
        <v>2914</v>
      </c>
      <c r="I237" s="122" t="s">
        <v>102</v>
      </c>
      <c r="J237" s="122" t="s">
        <v>1216</v>
      </c>
      <c r="K237" s="145">
        <v>44560</v>
      </c>
      <c r="L237" s="123">
        <v>51002.661</v>
      </c>
      <c r="M237" s="123">
        <v>51002.661</v>
      </c>
      <c r="N237" s="123">
        <v>22258.824000000001</v>
      </c>
      <c r="O237" s="123">
        <v>22258.824000000001</v>
      </c>
      <c r="P237" s="152">
        <v>0.43642475830819888</v>
      </c>
      <c r="Q237" s="154">
        <v>47118</v>
      </c>
      <c r="R237" s="159"/>
    </row>
    <row r="238" spans="1:18" ht="14.25" x14ac:dyDescent="0.2">
      <c r="A238" s="121" t="s">
        <v>1223</v>
      </c>
      <c r="B238" s="122" t="s">
        <v>1223</v>
      </c>
      <c r="C238" s="122" t="s">
        <v>248</v>
      </c>
      <c r="D238" s="122" t="s">
        <v>2964</v>
      </c>
      <c r="E238" s="122"/>
      <c r="F238" s="122"/>
      <c r="G238" s="122" t="s">
        <v>2965</v>
      </c>
      <c r="H238" s="122" t="s">
        <v>2966</v>
      </c>
      <c r="I238" s="122" t="s">
        <v>102</v>
      </c>
      <c r="J238" s="122" t="s">
        <v>1217</v>
      </c>
      <c r="K238" s="145">
        <v>44560</v>
      </c>
      <c r="L238" s="123">
        <v>4207.2</v>
      </c>
      <c r="M238" s="123">
        <v>13909.003200000001</v>
      </c>
      <c r="N238" s="123">
        <v>2311.7249900000002</v>
      </c>
      <c r="O238" s="123">
        <v>7642.5628169400015</v>
      </c>
      <c r="P238" s="152">
        <v>0.54946876544970535</v>
      </c>
      <c r="Q238" s="154">
        <v>47118</v>
      </c>
      <c r="R238" s="159"/>
    </row>
    <row r="239" spans="1:18" ht="14.25" x14ac:dyDescent="0.2">
      <c r="A239" s="121" t="s">
        <v>1223</v>
      </c>
      <c r="B239" s="122" t="s">
        <v>1223</v>
      </c>
      <c r="C239" s="122" t="s">
        <v>248</v>
      </c>
      <c r="D239" s="122" t="s">
        <v>2964</v>
      </c>
      <c r="E239" s="122"/>
      <c r="F239" s="122"/>
      <c r="G239" s="122" t="s">
        <v>2986</v>
      </c>
      <c r="H239" s="122" t="s">
        <v>2987</v>
      </c>
      <c r="I239" s="122" t="s">
        <v>102</v>
      </c>
      <c r="J239" s="122" t="s">
        <v>1217</v>
      </c>
      <c r="K239" s="145">
        <v>44560</v>
      </c>
      <c r="L239" s="123">
        <v>2804.8</v>
      </c>
      <c r="M239" s="123">
        <v>9272.6688000000013</v>
      </c>
      <c r="N239" s="123">
        <v>2660.7229900000002</v>
      </c>
      <c r="O239" s="123">
        <v>8796.3502049400013</v>
      </c>
      <c r="P239" s="152">
        <v>0.94863198445521957</v>
      </c>
      <c r="Q239" s="154">
        <v>47118</v>
      </c>
      <c r="R239" s="159"/>
    </row>
    <row r="240" spans="1:18" ht="14.25" x14ac:dyDescent="0.2">
      <c r="A240" s="121" t="s">
        <v>1223</v>
      </c>
      <c r="B240" s="122" t="s">
        <v>1223</v>
      </c>
      <c r="C240" s="122" t="s">
        <v>248</v>
      </c>
      <c r="D240" s="122" t="s">
        <v>2881</v>
      </c>
      <c r="E240" s="122"/>
      <c r="F240" s="122"/>
      <c r="G240" s="122" t="s">
        <v>2882</v>
      </c>
      <c r="H240" s="122" t="s">
        <v>2883</v>
      </c>
      <c r="I240" s="122" t="s">
        <v>102</v>
      </c>
      <c r="J240" s="122" t="s">
        <v>1217</v>
      </c>
      <c r="K240" s="145">
        <v>44560</v>
      </c>
      <c r="L240" s="123">
        <v>10518</v>
      </c>
      <c r="M240" s="123">
        <v>34772.508000000002</v>
      </c>
      <c r="N240" s="123">
        <v>4156.1769899999999</v>
      </c>
      <c r="O240" s="123">
        <v>13740.321128940001</v>
      </c>
      <c r="P240" s="152">
        <v>0.39514898174557905</v>
      </c>
      <c r="Q240" s="154">
        <v>47118</v>
      </c>
      <c r="R240" s="159"/>
    </row>
    <row r="241" spans="1:18" ht="14.25" x14ac:dyDescent="0.2">
      <c r="A241" s="121" t="s">
        <v>1211</v>
      </c>
      <c r="B241" s="122" t="s">
        <v>1212</v>
      </c>
      <c r="C241" s="122"/>
      <c r="D241" s="122"/>
      <c r="E241" s="122"/>
      <c r="F241" s="122"/>
      <c r="G241" s="122"/>
      <c r="H241" s="122"/>
      <c r="I241" s="122"/>
      <c r="J241" s="122"/>
      <c r="K241" s="122"/>
      <c r="L241" s="123"/>
      <c r="M241" s="123"/>
      <c r="N241" s="123"/>
      <c r="O241" s="123"/>
      <c r="P241" s="122"/>
      <c r="Q241" s="143"/>
      <c r="R241" s="159"/>
    </row>
    <row r="242" spans="1:18" ht="14.25" x14ac:dyDescent="0.2">
      <c r="A242" s="121" t="s">
        <v>1211</v>
      </c>
      <c r="B242" s="122" t="s">
        <v>1220</v>
      </c>
      <c r="C242" s="122"/>
      <c r="D242" s="122"/>
      <c r="E242" s="122"/>
      <c r="F242" s="122"/>
      <c r="G242" s="122"/>
      <c r="H242" s="122"/>
      <c r="I242" s="122"/>
      <c r="J242" s="122"/>
      <c r="K242" s="122"/>
      <c r="L242" s="123"/>
      <c r="M242" s="123"/>
      <c r="N242" s="123"/>
      <c r="O242" s="123"/>
      <c r="P242" s="122"/>
      <c r="Q242" s="143"/>
      <c r="R242" s="159"/>
    </row>
    <row r="243" spans="1:18" ht="14.25" x14ac:dyDescent="0.2">
      <c r="A243" s="121" t="s">
        <v>1223</v>
      </c>
      <c r="B243" s="122" t="s">
        <v>1224</v>
      </c>
      <c r="C243" s="122"/>
      <c r="D243" s="122"/>
      <c r="E243" s="122"/>
      <c r="F243" s="122"/>
      <c r="G243" s="122"/>
      <c r="H243" s="122"/>
      <c r="I243" s="122"/>
      <c r="J243" s="122"/>
      <c r="K243" s="122"/>
      <c r="L243" s="123"/>
      <c r="M243" s="123"/>
      <c r="N243" s="123"/>
      <c r="O243" s="123"/>
      <c r="P243" s="122"/>
      <c r="Q243" s="143"/>
      <c r="R243" s="159"/>
    </row>
    <row r="244" spans="1:18" ht="14.25" x14ac:dyDescent="0.2">
      <c r="A244" s="127" t="s">
        <v>1223</v>
      </c>
      <c r="B244" s="128" t="s">
        <v>1225</v>
      </c>
      <c r="C244" s="128"/>
      <c r="D244" s="128"/>
      <c r="E244" s="128"/>
      <c r="F244" s="128"/>
      <c r="G244" s="128"/>
      <c r="H244" s="128"/>
      <c r="I244" s="128"/>
      <c r="J244" s="128"/>
      <c r="K244" s="128"/>
      <c r="L244" s="129"/>
      <c r="M244" s="129"/>
      <c r="N244" s="129"/>
      <c r="O244" s="129"/>
      <c r="P244" s="128"/>
      <c r="Q244" s="144"/>
      <c r="R244" s="159"/>
    </row>
    <row r="245" spans="1:18" ht="14.1" customHeight="1" x14ac:dyDescent="0.2">
      <c r="A245" s="159" t="s">
        <v>3483</v>
      </c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</row>
    <row r="246" spans="1:18" ht="14.1" customHeight="1" x14ac:dyDescent="0.2">
      <c r="A246" t="s">
        <v>3482</v>
      </c>
    </row>
    <row r="247" spans="1:18" ht="14.1" customHeight="1" x14ac:dyDescent="0.2">
      <c r="A247" s="1"/>
    </row>
  </sheetData>
  <sheetProtection formatColumns="0"/>
  <mergeCells count="2">
    <mergeCell ref="A245:Q245"/>
    <mergeCell ref="R2:R244"/>
  </mergeCells>
  <dataValidations count="2">
    <dataValidation type="list" allowBlank="1" showInputMessage="1" showErrorMessage="1" sqref="F3:F13" xr:uid="{00000000-0002-0000-1F00-000000000000}">
      <formula1>Issuer_Number_Fund</formula1>
    </dataValidation>
    <dataValidation type="list" allowBlank="1" showInputMessage="1" showErrorMessage="1" sqref="I3:I13" xr:uid="{00000000-0002-0000-1F00-000001000000}">
      <formula1>Type_of_Security_ID_Fund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2000000}">
          <x14:formula1>
            <xm:f>'אפשרויות בחירה'!$C$1037:$C$1040</xm:f>
          </x14:formula1>
          <xm:sqref>C3:C12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6">
    <tabColor theme="7" tint="-0.49995422223578601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customWidth="1"/>
    <col min="2" max="2" width="30.375" customWidth="1"/>
    <col min="3" max="3" width="90.875" style="8" customWidth="1"/>
    <col min="4" max="4" width="68.875" customWidth="1"/>
    <col min="5" max="5" width="29.75" bestFit="1" customWidth="1"/>
    <col min="6" max="16384" width="9" hidden="1"/>
  </cols>
  <sheetData>
    <row r="1" spans="1:5" s="28" customFormat="1" ht="45" x14ac:dyDescent="0.2">
      <c r="A1" s="27" t="s">
        <v>590</v>
      </c>
      <c r="B1" s="27" t="s">
        <v>334</v>
      </c>
      <c r="C1" s="27" t="s">
        <v>335</v>
      </c>
      <c r="D1" s="27" t="s">
        <v>373</v>
      </c>
      <c r="E1"/>
    </row>
    <row r="2" spans="1:5" x14ac:dyDescent="0.2">
      <c r="A2" s="56"/>
      <c r="B2" s="56" t="s">
        <v>670</v>
      </c>
      <c r="C2" s="12" t="s">
        <v>53</v>
      </c>
      <c r="D2" s="12"/>
    </row>
    <row r="3" spans="1:5" x14ac:dyDescent="0.2">
      <c r="A3" s="57"/>
      <c r="B3" s="57"/>
      <c r="C3" s="12" t="s">
        <v>61</v>
      </c>
      <c r="D3" s="12"/>
    </row>
    <row r="4" spans="1:5" ht="42.75" x14ac:dyDescent="0.2">
      <c r="A4" s="52"/>
      <c r="B4" s="68" t="s">
        <v>783</v>
      </c>
      <c r="C4" s="13" t="s">
        <v>53</v>
      </c>
      <c r="D4" s="13"/>
    </row>
    <row r="5" spans="1:5" x14ac:dyDescent="0.2">
      <c r="A5" s="51"/>
      <c r="B5" s="69"/>
      <c r="C5" s="13" t="s">
        <v>59</v>
      </c>
      <c r="D5" s="13"/>
    </row>
    <row r="6" spans="1:5" x14ac:dyDescent="0.2">
      <c r="A6" s="51"/>
      <c r="B6" s="69"/>
      <c r="C6" s="13" t="s">
        <v>67</v>
      </c>
      <c r="D6" s="13"/>
    </row>
    <row r="7" spans="1:5" x14ac:dyDescent="0.2">
      <c r="A7" s="51"/>
      <c r="B7" s="69"/>
      <c r="C7" s="13" t="s">
        <v>74</v>
      </c>
      <c r="D7" s="13"/>
    </row>
    <row r="8" spans="1:5" x14ac:dyDescent="0.2">
      <c r="A8" s="51"/>
      <c r="B8" s="69"/>
      <c r="C8" s="13" t="s">
        <v>81</v>
      </c>
      <c r="D8" s="13"/>
    </row>
    <row r="9" spans="1:5" x14ac:dyDescent="0.2">
      <c r="A9" s="51"/>
      <c r="B9" s="69"/>
      <c r="C9" s="13" t="s">
        <v>929</v>
      </c>
      <c r="D9" s="13"/>
    </row>
    <row r="10" spans="1:5" x14ac:dyDescent="0.2">
      <c r="A10" s="51"/>
      <c r="B10" s="69"/>
      <c r="C10" s="13" t="s">
        <v>92</v>
      </c>
      <c r="D10" s="13"/>
    </row>
    <row r="11" spans="1:5" x14ac:dyDescent="0.2">
      <c r="A11" s="51"/>
      <c r="B11" s="69"/>
      <c r="C11" s="13" t="s">
        <v>960</v>
      </c>
      <c r="D11" s="13"/>
      <c r="E11" t="s">
        <v>1182</v>
      </c>
    </row>
    <row r="12" spans="1:5" x14ac:dyDescent="0.2">
      <c r="A12" s="51"/>
      <c r="B12" s="69"/>
      <c r="C12" s="13" t="s">
        <v>961</v>
      </c>
      <c r="D12" s="13"/>
      <c r="E12" t="s">
        <v>1182</v>
      </c>
    </row>
    <row r="13" spans="1:5" x14ac:dyDescent="0.2">
      <c r="A13" s="51"/>
      <c r="B13" s="69"/>
      <c r="C13" s="13" t="s">
        <v>104</v>
      </c>
      <c r="D13" s="13"/>
    </row>
    <row r="14" spans="1:5" x14ac:dyDescent="0.2">
      <c r="A14" s="51"/>
      <c r="B14" s="69"/>
      <c r="C14" s="13" t="s">
        <v>109</v>
      </c>
      <c r="D14" s="13"/>
    </row>
    <row r="15" spans="1:5" x14ac:dyDescent="0.2">
      <c r="A15" s="51"/>
      <c r="B15" s="69"/>
      <c r="C15" s="13" t="s">
        <v>111</v>
      </c>
      <c r="D15" s="13"/>
    </row>
    <row r="16" spans="1:5" x14ac:dyDescent="0.2">
      <c r="A16" s="51"/>
      <c r="B16" s="69"/>
      <c r="C16" s="13" t="s">
        <v>114</v>
      </c>
      <c r="D16" s="13"/>
    </row>
    <row r="17" spans="1:4" x14ac:dyDescent="0.2">
      <c r="A17" s="51"/>
      <c r="B17" s="69"/>
      <c r="C17" s="13" t="s">
        <v>117</v>
      </c>
      <c r="D17" s="13"/>
    </row>
    <row r="18" spans="1:4" x14ac:dyDescent="0.2">
      <c r="A18" s="51"/>
      <c r="B18" s="69"/>
      <c r="C18" s="13" t="s">
        <v>120</v>
      </c>
      <c r="D18" s="13"/>
    </row>
    <row r="19" spans="1:4" x14ac:dyDescent="0.2">
      <c r="A19" s="51"/>
      <c r="B19" s="69"/>
      <c r="C19" s="13" t="s">
        <v>123</v>
      </c>
      <c r="D19" s="13"/>
    </row>
    <row r="20" spans="1:4" x14ac:dyDescent="0.2">
      <c r="A20" s="51"/>
      <c r="B20" s="69"/>
      <c r="C20" s="13" t="s">
        <v>125</v>
      </c>
      <c r="D20" s="13"/>
    </row>
    <row r="21" spans="1:4" x14ac:dyDescent="0.2">
      <c r="A21" s="51"/>
      <c r="B21" s="69"/>
      <c r="C21" s="13" t="s">
        <v>314</v>
      </c>
      <c r="D21" s="13"/>
    </row>
    <row r="22" spans="1:4" x14ac:dyDescent="0.2">
      <c r="A22" s="51"/>
      <c r="B22" s="69"/>
      <c r="C22" s="13" t="s">
        <v>128</v>
      </c>
      <c r="D22" s="13"/>
    </row>
    <row r="23" spans="1:4" x14ac:dyDescent="0.2">
      <c r="A23" s="51"/>
      <c r="B23" s="69"/>
      <c r="C23" s="13" t="s">
        <v>131</v>
      </c>
      <c r="D23" s="13"/>
    </row>
    <row r="24" spans="1:4" x14ac:dyDescent="0.2">
      <c r="A24" s="51"/>
      <c r="B24" s="69"/>
      <c r="C24" s="13" t="s">
        <v>132</v>
      </c>
      <c r="D24" s="13"/>
    </row>
    <row r="25" spans="1:4" x14ac:dyDescent="0.2">
      <c r="A25" s="51"/>
      <c r="B25" s="69"/>
      <c r="C25" s="13" t="s">
        <v>134</v>
      </c>
      <c r="D25" s="13"/>
    </row>
    <row r="26" spans="1:4" x14ac:dyDescent="0.2">
      <c r="A26" s="51"/>
      <c r="B26" s="69"/>
      <c r="C26" s="13" t="s">
        <v>136</v>
      </c>
      <c r="D26" s="13"/>
    </row>
    <row r="27" spans="1:4" x14ac:dyDescent="0.2">
      <c r="A27" s="51"/>
      <c r="B27" s="69"/>
      <c r="C27" s="13" t="s">
        <v>138</v>
      </c>
      <c r="D27" s="13"/>
    </row>
    <row r="28" spans="1:4" x14ac:dyDescent="0.2">
      <c r="A28" s="51"/>
      <c r="B28" s="69"/>
      <c r="C28" s="13" t="s">
        <v>141</v>
      </c>
      <c r="D28" s="13"/>
    </row>
    <row r="29" spans="1:4" x14ac:dyDescent="0.2">
      <c r="A29" s="51"/>
      <c r="B29" s="69"/>
      <c r="C29" s="13" t="s">
        <v>143</v>
      </c>
      <c r="D29" s="13"/>
    </row>
    <row r="30" spans="1:4" x14ac:dyDescent="0.2">
      <c r="A30" s="51"/>
      <c r="B30" s="69"/>
      <c r="C30" s="13" t="s">
        <v>315</v>
      </c>
      <c r="D30" s="13"/>
    </row>
    <row r="31" spans="1:4" x14ac:dyDescent="0.2">
      <c r="A31" s="51"/>
      <c r="B31" s="69"/>
      <c r="C31" s="13" t="s">
        <v>145</v>
      </c>
      <c r="D31" s="13"/>
    </row>
    <row r="32" spans="1:4" x14ac:dyDescent="0.2">
      <c r="A32" s="51"/>
      <c r="B32" s="69"/>
      <c r="C32" s="13" t="s">
        <v>147</v>
      </c>
      <c r="D32" s="13"/>
    </row>
    <row r="33" spans="1:5" x14ac:dyDescent="0.2">
      <c r="A33" s="51"/>
      <c r="B33" s="69"/>
      <c r="C33" s="13" t="s">
        <v>149</v>
      </c>
      <c r="D33" s="13"/>
    </row>
    <row r="34" spans="1:5" x14ac:dyDescent="0.2">
      <c r="A34" s="51"/>
      <c r="B34" s="69"/>
      <c r="C34" s="13" t="s">
        <v>151</v>
      </c>
      <c r="D34" s="13"/>
    </row>
    <row r="35" spans="1:5" x14ac:dyDescent="0.2">
      <c r="A35" s="51"/>
      <c r="B35" s="69"/>
      <c r="C35" s="13" t="s">
        <v>153</v>
      </c>
      <c r="D35" s="13"/>
    </row>
    <row r="36" spans="1:5" x14ac:dyDescent="0.2">
      <c r="A36" s="51"/>
      <c r="B36" s="69"/>
      <c r="C36" s="13" t="s">
        <v>1124</v>
      </c>
      <c r="D36" s="13"/>
      <c r="E36" t="s">
        <v>1182</v>
      </c>
    </row>
    <row r="37" spans="1:5" x14ac:dyDescent="0.2">
      <c r="A37" s="51"/>
      <c r="B37" s="69"/>
      <c r="C37" t="s">
        <v>1123</v>
      </c>
      <c r="D37" s="13"/>
      <c r="E37" t="s">
        <v>1182</v>
      </c>
    </row>
    <row r="38" spans="1:5" x14ac:dyDescent="0.2">
      <c r="A38" s="51"/>
      <c r="B38" s="69"/>
      <c r="C38" s="13" t="s">
        <v>154</v>
      </c>
      <c r="D38" s="13"/>
    </row>
    <row r="39" spans="1:5" x14ac:dyDescent="0.2">
      <c r="A39" s="51"/>
      <c r="B39" s="69"/>
      <c r="C39" s="13" t="s">
        <v>155</v>
      </c>
      <c r="D39" s="13"/>
    </row>
    <row r="40" spans="1:5" x14ac:dyDescent="0.2">
      <c r="A40" s="51"/>
      <c r="B40" s="69"/>
      <c r="C40" s="13" t="s">
        <v>954</v>
      </c>
      <c r="D40" s="13"/>
      <c r="E40" t="s">
        <v>1182</v>
      </c>
    </row>
    <row r="41" spans="1:5" x14ac:dyDescent="0.2">
      <c r="A41" s="51"/>
      <c r="B41" s="69"/>
      <c r="C41" s="13" t="s">
        <v>157</v>
      </c>
      <c r="D41" s="13"/>
    </row>
    <row r="42" spans="1:5" x14ac:dyDescent="0.2">
      <c r="A42" s="51"/>
      <c r="B42" s="69"/>
      <c r="C42" s="13" t="s">
        <v>158</v>
      </c>
      <c r="D42" s="13"/>
    </row>
    <row r="43" spans="1:5" x14ac:dyDescent="0.2">
      <c r="A43" s="51"/>
      <c r="B43" s="69"/>
      <c r="C43" s="13" t="s">
        <v>159</v>
      </c>
      <c r="D43" s="13"/>
    </row>
    <row r="44" spans="1:5" x14ac:dyDescent="0.2">
      <c r="A44" s="51"/>
      <c r="B44" s="69"/>
      <c r="C44" s="13" t="s">
        <v>160</v>
      </c>
      <c r="D44" s="13"/>
    </row>
    <row r="45" spans="1:5" x14ac:dyDescent="0.2">
      <c r="A45" s="51"/>
      <c r="B45" s="69"/>
      <c r="C45" s="13" t="s">
        <v>161</v>
      </c>
      <c r="D45" s="13"/>
    </row>
    <row r="46" spans="1:5" x14ac:dyDescent="0.2">
      <c r="A46" s="51"/>
      <c r="B46" s="69"/>
      <c r="C46" s="13" t="s">
        <v>956</v>
      </c>
      <c r="D46" s="13"/>
      <c r="E46" t="s">
        <v>1182</v>
      </c>
    </row>
    <row r="47" spans="1:5" x14ac:dyDescent="0.2">
      <c r="A47" s="51"/>
      <c r="B47" s="69"/>
      <c r="C47" s="13" t="s">
        <v>164</v>
      </c>
      <c r="D47" s="13"/>
    </row>
    <row r="48" spans="1:5" x14ac:dyDescent="0.2">
      <c r="A48" s="51"/>
      <c r="B48" s="69"/>
      <c r="C48" s="13" t="s">
        <v>166</v>
      </c>
      <c r="D48" s="13"/>
    </row>
    <row r="49" spans="1:5" x14ac:dyDescent="0.2">
      <c r="A49" s="51"/>
      <c r="B49" s="69"/>
      <c r="C49" s="13" t="s">
        <v>168</v>
      </c>
      <c r="D49" s="13"/>
    </row>
    <row r="50" spans="1:5" x14ac:dyDescent="0.2">
      <c r="A50" s="51"/>
      <c r="B50" s="69"/>
      <c r="C50" s="13" t="s">
        <v>173</v>
      </c>
      <c r="D50" s="13"/>
    </row>
    <row r="51" spans="1:5" x14ac:dyDescent="0.2">
      <c r="A51" s="51"/>
      <c r="B51" s="69"/>
      <c r="C51" s="13" t="s">
        <v>175</v>
      </c>
      <c r="D51" s="13"/>
    </row>
    <row r="52" spans="1:5" x14ac:dyDescent="0.2">
      <c r="A52" s="51"/>
      <c r="B52" s="69"/>
      <c r="C52" s="13" t="s">
        <v>177</v>
      </c>
      <c r="D52" s="13"/>
    </row>
    <row r="53" spans="1:5" x14ac:dyDescent="0.2">
      <c r="A53" s="51"/>
      <c r="B53" s="69"/>
      <c r="C53" s="13" t="s">
        <v>178</v>
      </c>
      <c r="D53" s="13"/>
    </row>
    <row r="54" spans="1:5" x14ac:dyDescent="0.2">
      <c r="A54" s="51"/>
      <c r="B54" s="69"/>
      <c r="C54" s="13" t="s">
        <v>179</v>
      </c>
      <c r="D54" s="13"/>
    </row>
    <row r="55" spans="1:5" x14ac:dyDescent="0.2">
      <c r="A55" s="51"/>
      <c r="B55" s="69"/>
      <c r="C55" s="13" t="s">
        <v>180</v>
      </c>
      <c r="D55" s="13"/>
    </row>
    <row r="56" spans="1:5" x14ac:dyDescent="0.2">
      <c r="A56" s="51"/>
      <c r="B56" s="69"/>
      <c r="C56" s="13" t="s">
        <v>181</v>
      </c>
      <c r="D56" s="13"/>
    </row>
    <row r="57" spans="1:5" x14ac:dyDescent="0.2">
      <c r="A57" s="51"/>
      <c r="B57" s="69"/>
      <c r="C57" s="13" t="s">
        <v>182</v>
      </c>
      <c r="D57" s="13"/>
    </row>
    <row r="58" spans="1:5" x14ac:dyDescent="0.2">
      <c r="A58" s="51"/>
      <c r="B58" s="69"/>
      <c r="C58" s="13" t="s">
        <v>183</v>
      </c>
      <c r="D58" s="13"/>
    </row>
    <row r="59" spans="1:5" x14ac:dyDescent="0.2">
      <c r="A59" s="51"/>
      <c r="B59" s="69"/>
      <c r="C59" s="13" t="s">
        <v>510</v>
      </c>
      <c r="D59" s="13"/>
    </row>
    <row r="60" spans="1:5" x14ac:dyDescent="0.2">
      <c r="A60" s="51"/>
      <c r="B60" s="69"/>
      <c r="C60" s="13" t="s">
        <v>184</v>
      </c>
      <c r="D60" s="13"/>
    </row>
    <row r="61" spans="1:5" x14ac:dyDescent="0.2">
      <c r="A61" s="51"/>
      <c r="B61" s="69"/>
      <c r="C61" s="13" t="s">
        <v>185</v>
      </c>
      <c r="D61" s="13"/>
    </row>
    <row r="62" spans="1:5" x14ac:dyDescent="0.2">
      <c r="A62" s="51"/>
      <c r="B62" s="69"/>
      <c r="C62" s="13" t="s">
        <v>186</v>
      </c>
      <c r="D62" s="13"/>
    </row>
    <row r="63" spans="1:5" x14ac:dyDescent="0.2">
      <c r="A63" s="51"/>
      <c r="B63" s="69"/>
      <c r="C63" s="13" t="s">
        <v>955</v>
      </c>
      <c r="D63" s="13"/>
      <c r="E63" t="s">
        <v>1182</v>
      </c>
    </row>
    <row r="64" spans="1:5" x14ac:dyDescent="0.2">
      <c r="A64" s="51"/>
      <c r="B64" s="69"/>
      <c r="C64" s="13" t="s">
        <v>187</v>
      </c>
      <c r="D64" s="13"/>
    </row>
    <row r="65" spans="1:4" x14ac:dyDescent="0.2">
      <c r="A65" s="51"/>
      <c r="B65" s="69"/>
      <c r="C65" s="13" t="s">
        <v>188</v>
      </c>
      <c r="D65" s="13"/>
    </row>
    <row r="66" spans="1:4" x14ac:dyDescent="0.2">
      <c r="A66" s="51"/>
      <c r="B66" s="69"/>
      <c r="C66" s="13" t="s">
        <v>189</v>
      </c>
      <c r="D66" s="13"/>
    </row>
    <row r="67" spans="1:4" x14ac:dyDescent="0.2">
      <c r="A67" s="51"/>
      <c r="B67" s="69"/>
      <c r="C67" s="13" t="s">
        <v>190</v>
      </c>
      <c r="D67" s="13"/>
    </row>
    <row r="68" spans="1:4" x14ac:dyDescent="0.2">
      <c r="A68" s="51"/>
      <c r="B68" s="69"/>
      <c r="C68" s="13" t="s">
        <v>191</v>
      </c>
      <c r="D68" s="13"/>
    </row>
    <row r="69" spans="1:4" x14ac:dyDescent="0.2">
      <c r="A69" s="51"/>
      <c r="B69" s="69"/>
      <c r="C69" s="13" t="s">
        <v>192</v>
      </c>
      <c r="D69" s="13"/>
    </row>
    <row r="70" spans="1:4" x14ac:dyDescent="0.2">
      <c r="A70" s="51"/>
      <c r="B70" s="69"/>
      <c r="C70" s="13" t="s">
        <v>193</v>
      </c>
      <c r="D70" s="13"/>
    </row>
    <row r="71" spans="1:4" x14ac:dyDescent="0.2">
      <c r="A71" s="51"/>
      <c r="B71" s="69"/>
      <c r="C71" s="13" t="s">
        <v>194</v>
      </c>
      <c r="D71" s="13"/>
    </row>
    <row r="72" spans="1:4" x14ac:dyDescent="0.2">
      <c r="A72" s="51"/>
      <c r="B72" s="69"/>
      <c r="C72" s="13" t="s">
        <v>196</v>
      </c>
      <c r="D72" s="13"/>
    </row>
    <row r="73" spans="1:4" x14ac:dyDescent="0.2">
      <c r="A73" s="51"/>
      <c r="B73" s="69"/>
      <c r="C73" s="13" t="s">
        <v>197</v>
      </c>
      <c r="D73" s="13"/>
    </row>
    <row r="74" spans="1:4" x14ac:dyDescent="0.2">
      <c r="A74" s="51"/>
      <c r="B74" s="69"/>
      <c r="C74" s="13" t="s">
        <v>198</v>
      </c>
      <c r="D74" s="13"/>
    </row>
    <row r="75" spans="1:4" x14ac:dyDescent="0.2">
      <c r="A75" s="51"/>
      <c r="B75" s="69"/>
      <c r="C75" s="13" t="s">
        <v>199</v>
      </c>
      <c r="D75" s="13"/>
    </row>
    <row r="76" spans="1:4" x14ac:dyDescent="0.2">
      <c r="A76" s="51"/>
      <c r="B76" s="69"/>
      <c r="C76" s="13" t="s">
        <v>200</v>
      </c>
      <c r="D76" s="13"/>
    </row>
    <row r="77" spans="1:4" x14ac:dyDescent="0.2">
      <c r="A77" s="51"/>
      <c r="B77" s="69"/>
      <c r="C77" s="13" t="s">
        <v>201</v>
      </c>
      <c r="D77" s="13"/>
    </row>
    <row r="78" spans="1:4" x14ac:dyDescent="0.2">
      <c r="A78" s="51"/>
      <c r="B78" s="69"/>
      <c r="C78" s="13" t="s">
        <v>203</v>
      </c>
      <c r="D78" s="13"/>
    </row>
    <row r="79" spans="1:4" x14ac:dyDescent="0.2">
      <c r="A79" s="51"/>
      <c r="B79" s="69"/>
      <c r="C79" s="13" t="s">
        <v>204</v>
      </c>
      <c r="D79" s="13"/>
    </row>
    <row r="80" spans="1:4" x14ac:dyDescent="0.2">
      <c r="A80" s="51"/>
      <c r="B80" s="69"/>
      <c r="C80" s="13" t="s">
        <v>205</v>
      </c>
      <c r="D80" s="13"/>
    </row>
    <row r="81" spans="1:5" x14ac:dyDescent="0.2">
      <c r="A81" s="51"/>
      <c r="B81" s="69"/>
      <c r="C81" s="13" t="s">
        <v>206</v>
      </c>
      <c r="D81" s="13"/>
    </row>
    <row r="82" spans="1:5" x14ac:dyDescent="0.2">
      <c r="A82" s="51"/>
      <c r="B82" s="69"/>
      <c r="C82" s="13" t="s">
        <v>207</v>
      </c>
      <c r="D82" s="13"/>
    </row>
    <row r="83" spans="1:5" x14ac:dyDescent="0.2">
      <c r="A83" s="51"/>
      <c r="B83" s="69"/>
      <c r="C83" s="13" t="s">
        <v>208</v>
      </c>
      <c r="D83" s="13"/>
    </row>
    <row r="84" spans="1:5" x14ac:dyDescent="0.2">
      <c r="A84" s="51"/>
      <c r="B84" s="69"/>
      <c r="C84" s="13" t="s">
        <v>209</v>
      </c>
      <c r="D84" s="13"/>
    </row>
    <row r="85" spans="1:5" x14ac:dyDescent="0.2">
      <c r="A85" s="51"/>
      <c r="B85" s="69"/>
      <c r="C85" s="13" t="s">
        <v>210</v>
      </c>
      <c r="D85" s="13"/>
    </row>
    <row r="86" spans="1:5" x14ac:dyDescent="0.2">
      <c r="A86" s="51"/>
      <c r="B86" s="69"/>
      <c r="C86" s="13" t="s">
        <v>316</v>
      </c>
      <c r="D86" s="13"/>
    </row>
    <row r="87" spans="1:5" x14ac:dyDescent="0.2">
      <c r="A87" s="51"/>
      <c r="B87" s="69"/>
      <c r="C87" s="13" t="s">
        <v>318</v>
      </c>
      <c r="D87" s="13"/>
    </row>
    <row r="88" spans="1:5" x14ac:dyDescent="0.2">
      <c r="A88" s="51"/>
      <c r="B88" s="69"/>
      <c r="C88" s="13" t="s">
        <v>930</v>
      </c>
      <c r="D88" s="13"/>
    </row>
    <row r="89" spans="1:5" x14ac:dyDescent="0.2">
      <c r="A89" s="51"/>
      <c r="B89" s="69"/>
      <c r="C89" s="13" t="s">
        <v>931</v>
      </c>
      <c r="D89" s="13"/>
    </row>
    <row r="90" spans="1:5" x14ac:dyDescent="0.2">
      <c r="A90" s="51"/>
      <c r="B90" s="69"/>
      <c r="C90" s="13" t="s">
        <v>313</v>
      </c>
      <c r="D90" s="13"/>
    </row>
    <row r="91" spans="1:5" x14ac:dyDescent="0.2">
      <c r="A91" s="51"/>
      <c r="B91" s="69"/>
      <c r="C91" s="13" t="s">
        <v>932</v>
      </c>
      <c r="D91" s="13"/>
    </row>
    <row r="92" spans="1:5" x14ac:dyDescent="0.2">
      <c r="A92" s="51"/>
      <c r="B92" s="69"/>
      <c r="C92" s="13" t="s">
        <v>940</v>
      </c>
      <c r="D92" s="13"/>
    </row>
    <row r="93" spans="1:5" x14ac:dyDescent="0.2">
      <c r="A93" s="51"/>
      <c r="B93" s="69"/>
      <c r="C93" s="13" t="s">
        <v>317</v>
      </c>
      <c r="D93" s="13"/>
    </row>
    <row r="94" spans="1:5" x14ac:dyDescent="0.2">
      <c r="A94" s="51"/>
      <c r="B94" s="69"/>
      <c r="C94" s="13" t="s">
        <v>1168</v>
      </c>
      <c r="D94" s="13" t="s">
        <v>1167</v>
      </c>
      <c r="E94" t="s">
        <v>1182</v>
      </c>
    </row>
    <row r="95" spans="1:5" x14ac:dyDescent="0.2">
      <c r="A95" s="51"/>
      <c r="B95" s="69"/>
      <c r="C95" s="13" t="s">
        <v>1169</v>
      </c>
      <c r="D95" s="13" t="s">
        <v>946</v>
      </c>
      <c r="E95" t="s">
        <v>1182</v>
      </c>
    </row>
    <row r="96" spans="1:5" x14ac:dyDescent="0.2">
      <c r="A96" s="51"/>
      <c r="B96" s="69"/>
      <c r="C96" s="13" t="s">
        <v>1170</v>
      </c>
      <c r="D96" s="13" t="s">
        <v>946</v>
      </c>
      <c r="E96" t="s">
        <v>1182</v>
      </c>
    </row>
    <row r="97" spans="1:5" x14ac:dyDescent="0.2">
      <c r="A97" s="51"/>
      <c r="B97" s="69"/>
      <c r="C97" s="13" t="s">
        <v>1164</v>
      </c>
      <c r="D97" s="13" t="s">
        <v>946</v>
      </c>
      <c r="E97" t="s">
        <v>1182</v>
      </c>
    </row>
    <row r="98" spans="1:5" x14ac:dyDescent="0.2">
      <c r="A98" s="51"/>
      <c r="B98" s="69"/>
      <c r="C98" s="13" t="s">
        <v>1165</v>
      </c>
      <c r="D98" s="13" t="s">
        <v>946</v>
      </c>
      <c r="E98" t="s">
        <v>1182</v>
      </c>
    </row>
    <row r="99" spans="1:5" x14ac:dyDescent="0.2">
      <c r="A99" s="51"/>
      <c r="B99" s="69"/>
      <c r="C99" s="13" t="s">
        <v>1166</v>
      </c>
      <c r="D99" s="13" t="s">
        <v>946</v>
      </c>
      <c r="E99" t="s">
        <v>1182</v>
      </c>
    </row>
    <row r="100" spans="1:5" x14ac:dyDescent="0.2">
      <c r="A100" s="51"/>
      <c r="B100" s="69"/>
      <c r="C100" s="13" t="s">
        <v>1171</v>
      </c>
      <c r="D100" s="13" t="s">
        <v>946</v>
      </c>
      <c r="E100" t="s">
        <v>1182</v>
      </c>
    </row>
    <row r="101" spans="1:5" x14ac:dyDescent="0.2">
      <c r="A101" s="51"/>
      <c r="B101" s="69"/>
      <c r="C101" s="13" t="s">
        <v>1172</v>
      </c>
      <c r="D101" s="13" t="s">
        <v>946</v>
      </c>
      <c r="E101" t="s">
        <v>1182</v>
      </c>
    </row>
    <row r="102" spans="1:5" x14ac:dyDescent="0.2">
      <c r="A102" s="51"/>
      <c r="B102" s="69"/>
      <c r="C102" s="13" t="s">
        <v>1173</v>
      </c>
      <c r="D102" s="13" t="s">
        <v>946</v>
      </c>
      <c r="E102" t="s">
        <v>1182</v>
      </c>
    </row>
    <row r="103" spans="1:5" x14ac:dyDescent="0.2">
      <c r="A103" s="51"/>
      <c r="B103" s="69"/>
      <c r="C103" s="13" t="s">
        <v>1174</v>
      </c>
      <c r="D103" s="13" t="s">
        <v>946</v>
      </c>
      <c r="E103" t="s">
        <v>1182</v>
      </c>
    </row>
    <row r="104" spans="1:5" x14ac:dyDescent="0.2">
      <c r="A104" s="48"/>
      <c r="B104" s="48" t="s">
        <v>740</v>
      </c>
      <c r="C104" s="12" t="s">
        <v>429</v>
      </c>
      <c r="D104" s="12"/>
    </row>
    <row r="105" spans="1:5" x14ac:dyDescent="0.2">
      <c r="A105" s="49"/>
      <c r="B105" s="49"/>
      <c r="C105" s="12" t="s">
        <v>2</v>
      </c>
      <c r="D105" s="12"/>
    </row>
    <row r="106" spans="1:5" x14ac:dyDescent="0.2">
      <c r="A106" s="49"/>
      <c r="B106" s="49"/>
      <c r="C106" s="12" t="s">
        <v>432</v>
      </c>
      <c r="D106" s="12"/>
    </row>
    <row r="107" spans="1:5" x14ac:dyDescent="0.2">
      <c r="A107" s="49"/>
      <c r="B107" s="49"/>
      <c r="C107" s="12" t="s">
        <v>767</v>
      </c>
      <c r="D107" s="12"/>
    </row>
    <row r="108" spans="1:5" x14ac:dyDescent="0.2">
      <c r="A108" s="49"/>
      <c r="B108" s="49"/>
      <c r="C108" s="12" t="s">
        <v>78</v>
      </c>
      <c r="D108" s="12"/>
    </row>
    <row r="109" spans="1:5" x14ac:dyDescent="0.2">
      <c r="A109" s="49"/>
      <c r="B109" s="49"/>
      <c r="C109" s="12" t="s">
        <v>430</v>
      </c>
      <c r="D109" s="12"/>
    </row>
    <row r="110" spans="1:5" x14ac:dyDescent="0.2">
      <c r="A110" s="50"/>
      <c r="B110" s="50"/>
      <c r="C110" s="12" t="s">
        <v>102</v>
      </c>
      <c r="D110" s="12"/>
    </row>
    <row r="111" spans="1:5" x14ac:dyDescent="0.2">
      <c r="A111" s="51"/>
      <c r="B111" s="42" t="s">
        <v>742</v>
      </c>
      <c r="C111" s="13" t="s">
        <v>429</v>
      </c>
      <c r="D111" s="13"/>
    </row>
    <row r="112" spans="1:5" x14ac:dyDescent="0.2">
      <c r="A112" s="51"/>
      <c r="B112" s="43"/>
      <c r="C112" s="13" t="s">
        <v>776</v>
      </c>
      <c r="D112" s="13"/>
    </row>
    <row r="113" spans="1:4" x14ac:dyDescent="0.2">
      <c r="A113" s="51"/>
      <c r="B113" s="44"/>
      <c r="C113" s="13" t="s">
        <v>431</v>
      </c>
      <c r="D113" s="13"/>
    </row>
    <row r="114" spans="1:4" x14ac:dyDescent="0.2">
      <c r="A114" s="55"/>
      <c r="B114" s="55" t="s">
        <v>752</v>
      </c>
      <c r="C114" s="12" t="s">
        <v>429</v>
      </c>
      <c r="D114" s="12"/>
    </row>
    <row r="115" spans="1:4" x14ac:dyDescent="0.2">
      <c r="A115" s="55"/>
      <c r="B115" s="55"/>
      <c r="C115" s="12" t="s">
        <v>432</v>
      </c>
      <c r="D115" s="12"/>
    </row>
    <row r="116" spans="1:4" x14ac:dyDescent="0.2">
      <c r="A116" s="55"/>
      <c r="B116" s="55"/>
      <c r="C116" s="12" t="s">
        <v>767</v>
      </c>
      <c r="D116" s="12"/>
    </row>
    <row r="117" spans="1:4" x14ac:dyDescent="0.2">
      <c r="A117" s="55"/>
      <c r="B117" s="55"/>
      <c r="C117" s="12" t="s">
        <v>430</v>
      </c>
      <c r="D117" s="12"/>
    </row>
    <row r="118" spans="1:4" x14ac:dyDescent="0.2">
      <c r="A118" s="52"/>
      <c r="B118" s="62" t="s">
        <v>726</v>
      </c>
      <c r="C118" s="13" t="s">
        <v>429</v>
      </c>
      <c r="D118" s="13"/>
    </row>
    <row r="119" spans="1:4" x14ac:dyDescent="0.2">
      <c r="A119" s="1"/>
      <c r="B119" s="79"/>
      <c r="C119" s="13" t="s">
        <v>433</v>
      </c>
      <c r="D119" s="13"/>
    </row>
    <row r="120" spans="1:4" x14ac:dyDescent="0.2">
      <c r="A120" s="1"/>
      <c r="B120" s="79"/>
      <c r="C120" s="13" t="s">
        <v>767</v>
      </c>
      <c r="D120" s="13"/>
    </row>
    <row r="121" spans="1:4" x14ac:dyDescent="0.2">
      <c r="A121" s="1"/>
      <c r="B121" s="79"/>
      <c r="C121" s="13" t="s">
        <v>78</v>
      </c>
      <c r="D121" s="13"/>
    </row>
    <row r="122" spans="1:4" x14ac:dyDescent="0.2">
      <c r="A122" s="1"/>
      <c r="B122" s="79"/>
      <c r="C122" s="13" t="s">
        <v>432</v>
      </c>
      <c r="D122" s="13"/>
    </row>
    <row r="123" spans="1:4" x14ac:dyDescent="0.2">
      <c r="A123" s="1"/>
      <c r="B123" s="79"/>
      <c r="C123" s="13" t="s">
        <v>435</v>
      </c>
      <c r="D123" s="13"/>
    </row>
    <row r="124" spans="1:4" x14ac:dyDescent="0.2">
      <c r="A124" s="1"/>
      <c r="B124" s="79"/>
      <c r="C124" s="13" t="s">
        <v>434</v>
      </c>
      <c r="D124" s="13"/>
    </row>
    <row r="125" spans="1:4" x14ac:dyDescent="0.2">
      <c r="A125" s="1"/>
      <c r="B125" s="79"/>
      <c r="C125" s="13" t="s">
        <v>430</v>
      </c>
      <c r="D125" s="13"/>
    </row>
    <row r="126" spans="1:4" x14ac:dyDescent="0.2">
      <c r="A126" s="51"/>
      <c r="B126" s="63"/>
      <c r="C126" s="13" t="s">
        <v>102</v>
      </c>
      <c r="D126" s="13"/>
    </row>
    <row r="127" spans="1:4" x14ac:dyDescent="0.2">
      <c r="A127" s="48"/>
      <c r="B127" s="48" t="s">
        <v>28</v>
      </c>
      <c r="C127" s="12" t="s">
        <v>76</v>
      </c>
      <c r="D127" s="12"/>
    </row>
    <row r="128" spans="1:4" x14ac:dyDescent="0.2">
      <c r="A128" s="49"/>
      <c r="B128" s="49"/>
      <c r="C128" s="12" t="s">
        <v>88</v>
      </c>
      <c r="D128" s="12"/>
    </row>
    <row r="129" spans="1:5" x14ac:dyDescent="0.2">
      <c r="A129" s="49"/>
      <c r="B129" s="49"/>
      <c r="C129" s="12" t="s">
        <v>94</v>
      </c>
      <c r="D129" s="12"/>
    </row>
    <row r="130" spans="1:5" x14ac:dyDescent="0.2">
      <c r="A130" s="49"/>
      <c r="B130" s="49"/>
      <c r="C130" s="12" t="s">
        <v>99</v>
      </c>
      <c r="D130" s="12"/>
    </row>
    <row r="131" spans="1:5" x14ac:dyDescent="0.2">
      <c r="A131" s="49"/>
      <c r="B131" s="49"/>
      <c r="C131" s="12" t="s">
        <v>78</v>
      </c>
      <c r="D131" s="12"/>
    </row>
    <row r="132" spans="1:5" x14ac:dyDescent="0.2">
      <c r="A132" s="51"/>
      <c r="B132" s="43" t="s">
        <v>753</v>
      </c>
      <c r="C132" s="13" t="s">
        <v>76</v>
      </c>
      <c r="D132" s="13"/>
    </row>
    <row r="133" spans="1:5" x14ac:dyDescent="0.2">
      <c r="A133" s="51"/>
      <c r="B133" s="43"/>
      <c r="C133" s="13" t="s">
        <v>78</v>
      </c>
      <c r="D133" s="13"/>
    </row>
    <row r="134" spans="1:5" x14ac:dyDescent="0.2">
      <c r="A134" s="53"/>
      <c r="B134" s="44"/>
      <c r="C134" s="13" t="s">
        <v>102</v>
      </c>
      <c r="D134" s="13"/>
    </row>
    <row r="135" spans="1:5" x14ac:dyDescent="0.2">
      <c r="A135" s="54"/>
      <c r="B135" s="54" t="s">
        <v>609</v>
      </c>
      <c r="C135" s="12" t="s">
        <v>805</v>
      </c>
      <c r="D135" s="12"/>
    </row>
    <row r="136" spans="1:5" x14ac:dyDescent="0.2">
      <c r="A136" s="55"/>
      <c r="B136" s="55"/>
      <c r="C136" s="12" t="s">
        <v>958</v>
      </c>
      <c r="D136" s="12"/>
      <c r="E136" t="s">
        <v>1182</v>
      </c>
    </row>
    <row r="137" spans="1:5" x14ac:dyDescent="0.2">
      <c r="A137" s="55"/>
      <c r="B137" s="55"/>
      <c r="C137" s="12" t="s">
        <v>54</v>
      </c>
      <c r="D137" s="12" t="s">
        <v>682</v>
      </c>
    </row>
    <row r="138" spans="1:5" x14ac:dyDescent="0.2">
      <c r="A138" s="55"/>
      <c r="B138" s="55"/>
      <c r="C138" s="12" t="s">
        <v>69</v>
      </c>
      <c r="D138" s="12" t="s">
        <v>683</v>
      </c>
    </row>
    <row r="139" spans="1:5" x14ac:dyDescent="0.2">
      <c r="A139" s="55"/>
      <c r="B139" s="55"/>
      <c r="C139" s="12" t="s">
        <v>608</v>
      </c>
      <c r="D139" s="12"/>
    </row>
    <row r="140" spans="1:5" x14ac:dyDescent="0.2">
      <c r="A140" s="55"/>
      <c r="B140" s="55"/>
      <c r="C140" s="12" t="s">
        <v>678</v>
      </c>
      <c r="D140" s="12"/>
    </row>
    <row r="141" spans="1:5" x14ac:dyDescent="0.2">
      <c r="A141" s="55"/>
      <c r="B141" s="55"/>
      <c r="C141" s="12" t="s">
        <v>679</v>
      </c>
      <c r="D141" s="12"/>
    </row>
    <row r="142" spans="1:5" x14ac:dyDescent="0.2">
      <c r="A142" s="55"/>
      <c r="B142" s="55"/>
      <c r="C142" s="12" t="s">
        <v>680</v>
      </c>
      <c r="D142" s="12"/>
    </row>
    <row r="143" spans="1:5" x14ac:dyDescent="0.2">
      <c r="A143" s="55"/>
      <c r="B143" s="55"/>
      <c r="C143" s="12" t="s">
        <v>681</v>
      </c>
      <c r="D143" s="12"/>
    </row>
    <row r="144" spans="1:5" x14ac:dyDescent="0.2">
      <c r="A144" s="55"/>
      <c r="B144" s="55"/>
      <c r="C144" s="12" t="s">
        <v>939</v>
      </c>
      <c r="D144" s="12"/>
    </row>
    <row r="145" spans="1:4" x14ac:dyDescent="0.2">
      <c r="A145" s="55"/>
      <c r="B145" s="55"/>
      <c r="C145" s="12" t="s">
        <v>102</v>
      </c>
      <c r="D145" s="12"/>
    </row>
    <row r="146" spans="1:4" x14ac:dyDescent="0.2">
      <c r="A146" s="52"/>
      <c r="B146" s="45" t="s">
        <v>4</v>
      </c>
      <c r="C146" s="13" t="s">
        <v>55</v>
      </c>
      <c r="D146" s="13"/>
    </row>
    <row r="147" spans="1:4" x14ac:dyDescent="0.2">
      <c r="A147" s="53"/>
      <c r="B147" s="47"/>
      <c r="C147" s="13" t="s">
        <v>62</v>
      </c>
      <c r="D147" s="13"/>
    </row>
    <row r="148" spans="1:4" x14ac:dyDescent="0.2">
      <c r="A148" s="37"/>
      <c r="B148" s="33" t="s">
        <v>5</v>
      </c>
      <c r="C148" s="12" t="s">
        <v>311</v>
      </c>
      <c r="D148" s="12" t="s">
        <v>56</v>
      </c>
    </row>
    <row r="149" spans="1:4" x14ac:dyDescent="0.2">
      <c r="A149" s="38"/>
      <c r="B149" s="38"/>
      <c r="C149" s="12" t="s">
        <v>927</v>
      </c>
      <c r="D149" s="12" t="s">
        <v>933</v>
      </c>
    </row>
    <row r="150" spans="1:4" x14ac:dyDescent="0.2">
      <c r="A150" s="38"/>
      <c r="B150" s="38"/>
      <c r="C150" s="12" t="s">
        <v>476</v>
      </c>
      <c r="D150" s="12" t="s">
        <v>63</v>
      </c>
    </row>
    <row r="151" spans="1:4" x14ac:dyDescent="0.2">
      <c r="A151" s="38"/>
      <c r="B151" s="38"/>
      <c r="C151" s="12" t="s">
        <v>479</v>
      </c>
      <c r="D151" s="12" t="s">
        <v>250</v>
      </c>
    </row>
    <row r="152" spans="1:4" x14ac:dyDescent="0.2">
      <c r="A152" s="38"/>
      <c r="B152" s="38"/>
      <c r="C152" s="12" t="s">
        <v>480</v>
      </c>
      <c r="D152" s="12" t="s">
        <v>77</v>
      </c>
    </row>
    <row r="153" spans="1:4" x14ac:dyDescent="0.2">
      <c r="A153" s="38"/>
      <c r="B153" s="38"/>
      <c r="C153" s="12" t="s">
        <v>477</v>
      </c>
      <c r="D153" s="12" t="s">
        <v>83</v>
      </c>
    </row>
    <row r="154" spans="1:4" x14ac:dyDescent="0.2">
      <c r="A154" s="38"/>
      <c r="B154" s="38"/>
      <c r="C154" s="12" t="s">
        <v>481</v>
      </c>
      <c r="D154" s="12" t="s">
        <v>89</v>
      </c>
    </row>
    <row r="155" spans="1:4" x14ac:dyDescent="0.2">
      <c r="A155" s="38"/>
      <c r="B155" s="38"/>
      <c r="C155" s="12" t="s">
        <v>478</v>
      </c>
      <c r="D155" s="12" t="s">
        <v>95</v>
      </c>
    </row>
    <row r="156" spans="1:4" x14ac:dyDescent="0.2">
      <c r="A156" s="38"/>
      <c r="B156" s="38"/>
      <c r="C156" s="12" t="s">
        <v>482</v>
      </c>
      <c r="D156" s="12" t="s">
        <v>100</v>
      </c>
    </row>
    <row r="157" spans="1:4" x14ac:dyDescent="0.2">
      <c r="A157" s="38"/>
      <c r="B157" s="38"/>
      <c r="C157" s="12" t="s">
        <v>483</v>
      </c>
      <c r="D157" s="12" t="s">
        <v>106</v>
      </c>
    </row>
    <row r="158" spans="1:4" x14ac:dyDescent="0.2">
      <c r="A158" s="38"/>
      <c r="B158" s="38"/>
      <c r="C158" s="12" t="s">
        <v>485</v>
      </c>
      <c r="D158" s="12" t="s">
        <v>374</v>
      </c>
    </row>
    <row r="159" spans="1:4" x14ac:dyDescent="0.2">
      <c r="A159" s="38"/>
      <c r="B159" s="38"/>
      <c r="C159" s="12" t="s">
        <v>484</v>
      </c>
      <c r="D159" s="12" t="s">
        <v>110</v>
      </c>
    </row>
    <row r="160" spans="1:4" x14ac:dyDescent="0.2">
      <c r="A160" s="38"/>
      <c r="B160" s="38"/>
      <c r="C160" s="12" t="s">
        <v>486</v>
      </c>
      <c r="D160" s="12" t="s">
        <v>113</v>
      </c>
    </row>
    <row r="161" spans="1:4" x14ac:dyDescent="0.2">
      <c r="A161" s="38"/>
      <c r="B161" s="38"/>
      <c r="C161" s="12" t="s">
        <v>487</v>
      </c>
      <c r="D161" s="12" t="s">
        <v>115</v>
      </c>
    </row>
    <row r="162" spans="1:4" x14ac:dyDescent="0.2">
      <c r="A162" s="38"/>
      <c r="B162" s="38"/>
      <c r="C162" s="12" t="s">
        <v>488</v>
      </c>
      <c r="D162" s="12" t="s">
        <v>118</v>
      </c>
    </row>
    <row r="163" spans="1:4" x14ac:dyDescent="0.2">
      <c r="A163" s="38"/>
      <c r="B163" s="38"/>
      <c r="C163" s="12" t="s">
        <v>489</v>
      </c>
      <c r="D163" s="12" t="s">
        <v>121</v>
      </c>
    </row>
    <row r="164" spans="1:4" x14ac:dyDescent="0.2">
      <c r="A164" s="38"/>
      <c r="B164" s="38"/>
      <c r="C164" s="12" t="s">
        <v>490</v>
      </c>
      <c r="D164" s="12" t="s">
        <v>375</v>
      </c>
    </row>
    <row r="165" spans="1:4" x14ac:dyDescent="0.2">
      <c r="A165" s="38"/>
      <c r="B165" s="38"/>
      <c r="C165" s="12" t="s">
        <v>491</v>
      </c>
      <c r="D165" s="12" t="s">
        <v>124</v>
      </c>
    </row>
    <row r="166" spans="1:4" x14ac:dyDescent="0.2">
      <c r="A166" s="38"/>
      <c r="B166" s="38"/>
      <c r="C166" s="12" t="s">
        <v>492</v>
      </c>
      <c r="D166" s="12" t="s">
        <v>126</v>
      </c>
    </row>
    <row r="167" spans="1:4" x14ac:dyDescent="0.2">
      <c r="A167" s="38"/>
      <c r="B167" s="38"/>
      <c r="C167" s="12" t="s">
        <v>493</v>
      </c>
      <c r="D167" s="12" t="s">
        <v>127</v>
      </c>
    </row>
    <row r="168" spans="1:4" x14ac:dyDescent="0.2">
      <c r="A168" s="38"/>
      <c r="B168" s="38"/>
      <c r="C168" s="12" t="s">
        <v>494</v>
      </c>
      <c r="D168" s="12" t="s">
        <v>129</v>
      </c>
    </row>
    <row r="169" spans="1:4" x14ac:dyDescent="0.2">
      <c r="A169" s="38"/>
      <c r="B169" s="38"/>
      <c r="C169" s="12" t="s">
        <v>495</v>
      </c>
      <c r="D169" s="12" t="s">
        <v>251</v>
      </c>
    </row>
    <row r="170" spans="1:4" x14ac:dyDescent="0.2">
      <c r="A170" s="38"/>
      <c r="B170" s="38"/>
      <c r="C170" s="12" t="s">
        <v>593</v>
      </c>
      <c r="D170" s="12" t="s">
        <v>133</v>
      </c>
    </row>
    <row r="171" spans="1:4" x14ac:dyDescent="0.2">
      <c r="A171" s="38"/>
      <c r="B171" s="38"/>
      <c r="C171" s="12" t="s">
        <v>496</v>
      </c>
      <c r="D171" s="12" t="s">
        <v>135</v>
      </c>
    </row>
    <row r="172" spans="1:4" x14ac:dyDescent="0.2">
      <c r="A172" s="38"/>
      <c r="B172" s="38"/>
      <c r="C172" s="12" t="s">
        <v>497</v>
      </c>
      <c r="D172" s="12" t="s">
        <v>137</v>
      </c>
    </row>
    <row r="173" spans="1:4" x14ac:dyDescent="0.2">
      <c r="A173" s="38"/>
      <c r="B173" s="38"/>
      <c r="C173" s="12" t="s">
        <v>498</v>
      </c>
      <c r="D173" s="12" t="s">
        <v>139</v>
      </c>
    </row>
    <row r="174" spans="1:4" x14ac:dyDescent="0.2">
      <c r="A174" s="38"/>
      <c r="B174" s="38"/>
      <c r="C174" s="12" t="s">
        <v>499</v>
      </c>
      <c r="D174" s="12" t="s">
        <v>142</v>
      </c>
    </row>
    <row r="175" spans="1:4" x14ac:dyDescent="0.2">
      <c r="A175" s="38"/>
      <c r="B175" s="38"/>
      <c r="C175" s="12" t="s">
        <v>500</v>
      </c>
      <c r="D175" s="12" t="s">
        <v>144</v>
      </c>
    </row>
    <row r="176" spans="1:4" x14ac:dyDescent="0.2">
      <c r="A176" s="38"/>
      <c r="B176" s="38"/>
      <c r="C176" s="12" t="s">
        <v>501</v>
      </c>
      <c r="D176" s="12" t="s">
        <v>146</v>
      </c>
    </row>
    <row r="177" spans="1:5" x14ac:dyDescent="0.2">
      <c r="A177" s="38"/>
      <c r="B177" s="38"/>
      <c r="C177" s="12" t="s">
        <v>502</v>
      </c>
      <c r="D177" s="12" t="s">
        <v>148</v>
      </c>
    </row>
    <row r="178" spans="1:5" x14ac:dyDescent="0.2">
      <c r="A178" s="38"/>
      <c r="B178" s="38"/>
      <c r="C178" s="12" t="s">
        <v>503</v>
      </c>
      <c r="D178" s="12" t="s">
        <v>150</v>
      </c>
    </row>
    <row r="179" spans="1:5" x14ac:dyDescent="0.2">
      <c r="A179" s="38"/>
      <c r="B179" s="38"/>
      <c r="C179" s="12" t="s">
        <v>504</v>
      </c>
      <c r="D179" s="12" t="s">
        <v>152</v>
      </c>
    </row>
    <row r="180" spans="1:5" x14ac:dyDescent="0.2">
      <c r="A180" s="38"/>
      <c r="B180" s="38"/>
      <c r="C180" s="12" t="s">
        <v>1150</v>
      </c>
      <c r="D180" s="12" t="s">
        <v>1125</v>
      </c>
      <c r="E180" t="s">
        <v>1182</v>
      </c>
    </row>
    <row r="181" spans="1:5" x14ac:dyDescent="0.2">
      <c r="A181" s="38"/>
      <c r="B181" s="38"/>
      <c r="C181" s="12" t="s">
        <v>102</v>
      </c>
      <c r="D181" s="12" t="s">
        <v>102</v>
      </c>
    </row>
    <row r="182" spans="1:5" x14ac:dyDescent="0.2">
      <c r="A182" s="52"/>
      <c r="B182" s="45" t="s">
        <v>778</v>
      </c>
      <c r="C182" s="30" t="s">
        <v>57</v>
      </c>
      <c r="D182" s="30"/>
    </row>
    <row r="183" spans="1:5" x14ac:dyDescent="0.2">
      <c r="A183" s="51"/>
      <c r="B183" s="46"/>
      <c r="C183" s="30" t="s">
        <v>779</v>
      </c>
      <c r="D183" s="30"/>
    </row>
    <row r="184" spans="1:5" x14ac:dyDescent="0.2">
      <c r="A184" s="51"/>
      <c r="B184" s="46"/>
      <c r="C184" s="30" t="s">
        <v>64</v>
      </c>
      <c r="D184" s="30"/>
    </row>
    <row r="185" spans="1:5" x14ac:dyDescent="0.2">
      <c r="A185" s="53"/>
      <c r="B185" s="47"/>
      <c r="C185" s="31" t="s">
        <v>298</v>
      </c>
      <c r="D185" s="31"/>
    </row>
    <row r="186" spans="1:5" x14ac:dyDescent="0.2">
      <c r="A186" s="48"/>
      <c r="B186" s="48" t="s">
        <v>925</v>
      </c>
      <c r="C186" s="29" t="s">
        <v>619</v>
      </c>
      <c r="D186" s="29"/>
    </row>
    <row r="187" spans="1:5" x14ac:dyDescent="0.2">
      <c r="A187" s="49"/>
      <c r="B187" s="49"/>
      <c r="C187" s="29" t="s">
        <v>620</v>
      </c>
      <c r="D187" s="29"/>
    </row>
    <row r="188" spans="1:5" x14ac:dyDescent="0.2">
      <c r="A188" s="52"/>
      <c r="B188" s="45" t="s">
        <v>8</v>
      </c>
      <c r="C188" s="31" t="s">
        <v>65</v>
      </c>
      <c r="D188" s="31" t="s">
        <v>401</v>
      </c>
    </row>
    <row r="189" spans="1:5" x14ac:dyDescent="0.2">
      <c r="A189" s="51"/>
      <c r="B189" s="46"/>
      <c r="C189" s="31" t="s">
        <v>70</v>
      </c>
      <c r="D189" s="31" t="s">
        <v>402</v>
      </c>
    </row>
    <row r="190" spans="1:5" x14ac:dyDescent="0.2">
      <c r="A190" s="51"/>
      <c r="B190" s="46"/>
      <c r="C190" s="31" t="s">
        <v>78</v>
      </c>
      <c r="D190" s="31" t="s">
        <v>78</v>
      </c>
    </row>
    <row r="191" spans="1:5" x14ac:dyDescent="0.2">
      <c r="A191" s="51"/>
      <c r="B191" s="46"/>
      <c r="C191" s="31" t="s">
        <v>90</v>
      </c>
      <c r="D191" s="31" t="s">
        <v>404</v>
      </c>
    </row>
    <row r="192" spans="1:5" x14ac:dyDescent="0.2">
      <c r="A192" s="51"/>
      <c r="B192" s="46"/>
      <c r="C192" s="31" t="s">
        <v>107</v>
      </c>
      <c r="D192" s="31" t="s">
        <v>407</v>
      </c>
    </row>
    <row r="193" spans="1:4" x14ac:dyDescent="0.2">
      <c r="A193" s="51"/>
      <c r="B193" s="46"/>
      <c r="C193" s="31" t="s">
        <v>413</v>
      </c>
      <c r="D193" s="31" t="s">
        <v>408</v>
      </c>
    </row>
    <row r="194" spans="1:4" x14ac:dyDescent="0.2">
      <c r="A194" s="51"/>
      <c r="B194" s="46"/>
      <c r="C194" s="31" t="s">
        <v>101</v>
      </c>
      <c r="D194" s="31" t="s">
        <v>406</v>
      </c>
    </row>
    <row r="195" spans="1:4" x14ac:dyDescent="0.2">
      <c r="A195" s="51"/>
      <c r="B195" s="46"/>
      <c r="C195" s="31" t="s">
        <v>438</v>
      </c>
      <c r="D195" s="31" t="s">
        <v>409</v>
      </c>
    </row>
    <row r="196" spans="1:4" x14ac:dyDescent="0.2">
      <c r="A196" s="51"/>
      <c r="B196" s="46"/>
      <c r="C196" s="31" t="s">
        <v>119</v>
      </c>
      <c r="D196" s="31" t="s">
        <v>411</v>
      </c>
    </row>
    <row r="197" spans="1:4" x14ac:dyDescent="0.2">
      <c r="A197" s="51"/>
      <c r="B197" s="46"/>
      <c r="C197" s="31" t="s">
        <v>116</v>
      </c>
      <c r="D197" s="31" t="s">
        <v>410</v>
      </c>
    </row>
    <row r="198" spans="1:4" x14ac:dyDescent="0.2">
      <c r="A198" s="51"/>
      <c r="B198" s="46"/>
      <c r="C198" s="31" t="s">
        <v>84</v>
      </c>
      <c r="D198" s="31" t="s">
        <v>403</v>
      </c>
    </row>
    <row r="199" spans="1:4" x14ac:dyDescent="0.2">
      <c r="A199" s="51"/>
      <c r="B199" s="46"/>
      <c r="C199" s="31" t="s">
        <v>96</v>
      </c>
      <c r="D199" s="31" t="s">
        <v>405</v>
      </c>
    </row>
    <row r="200" spans="1:4" x14ac:dyDescent="0.2">
      <c r="A200" s="51"/>
      <c r="B200" s="46"/>
      <c r="C200" s="31" t="s">
        <v>102</v>
      </c>
      <c r="D200" s="31" t="s">
        <v>102</v>
      </c>
    </row>
    <row r="201" spans="1:4" x14ac:dyDescent="0.2">
      <c r="A201" s="53"/>
      <c r="B201" s="47"/>
      <c r="C201" s="31" t="s">
        <v>298</v>
      </c>
      <c r="D201" s="31" t="s">
        <v>412</v>
      </c>
    </row>
    <row r="202" spans="1:4" x14ac:dyDescent="0.2">
      <c r="A202" s="33"/>
      <c r="B202" s="33" t="s">
        <v>9</v>
      </c>
      <c r="C202" s="12" t="s">
        <v>414</v>
      </c>
      <c r="D202" s="12"/>
    </row>
    <row r="203" spans="1:4" x14ac:dyDescent="0.2">
      <c r="A203" s="38"/>
      <c r="B203" s="38"/>
      <c r="C203" s="12" t="s">
        <v>262</v>
      </c>
      <c r="D203" s="12"/>
    </row>
    <row r="204" spans="1:4" x14ac:dyDescent="0.2">
      <c r="A204" s="38"/>
      <c r="B204" s="38"/>
      <c r="C204" s="12" t="s">
        <v>172</v>
      </c>
      <c r="D204" s="12"/>
    </row>
    <row r="205" spans="1:4" x14ac:dyDescent="0.2">
      <c r="A205" s="38"/>
      <c r="B205" s="38"/>
      <c r="C205" s="12" t="s">
        <v>637</v>
      </c>
      <c r="D205" s="12"/>
    </row>
    <row r="206" spans="1:4" x14ac:dyDescent="0.2">
      <c r="A206" s="38"/>
      <c r="B206" s="38"/>
      <c r="C206" s="12" t="s">
        <v>156</v>
      </c>
      <c r="D206" s="12"/>
    </row>
    <row r="207" spans="1:4" x14ac:dyDescent="0.2">
      <c r="A207" s="38"/>
      <c r="B207" s="38"/>
      <c r="C207" s="12" t="s">
        <v>631</v>
      </c>
      <c r="D207" s="12"/>
    </row>
    <row r="208" spans="1:4" x14ac:dyDescent="0.2">
      <c r="A208" s="38"/>
      <c r="B208" s="38"/>
      <c r="C208" s="12" t="s">
        <v>176</v>
      </c>
      <c r="D208" s="12"/>
    </row>
    <row r="209" spans="1:5" x14ac:dyDescent="0.2">
      <c r="A209" s="38"/>
      <c r="B209" s="38"/>
      <c r="C209" s="12" t="s">
        <v>633</v>
      </c>
      <c r="D209" s="12"/>
    </row>
    <row r="210" spans="1:5" x14ac:dyDescent="0.2">
      <c r="A210" s="38"/>
      <c r="B210" s="38"/>
      <c r="C210" s="12" t="s">
        <v>66</v>
      </c>
      <c r="D210" s="12"/>
    </row>
    <row r="211" spans="1:5" x14ac:dyDescent="0.2">
      <c r="A211" s="38"/>
      <c r="B211" s="38"/>
      <c r="C211" s="12" t="s">
        <v>269</v>
      </c>
      <c r="D211" s="12"/>
    </row>
    <row r="212" spans="1:5" x14ac:dyDescent="0.2">
      <c r="A212" s="38"/>
      <c r="B212" s="38"/>
      <c r="C212" s="12" t="s">
        <v>638</v>
      </c>
      <c r="D212" s="12"/>
    </row>
    <row r="213" spans="1:5" x14ac:dyDescent="0.2">
      <c r="A213" s="38"/>
      <c r="B213" s="38"/>
      <c r="C213" s="12" t="s">
        <v>140</v>
      </c>
      <c r="D213" s="12"/>
    </row>
    <row r="214" spans="1:5" x14ac:dyDescent="0.2">
      <c r="A214" s="38"/>
      <c r="B214" s="38"/>
      <c r="C214" s="12" t="s">
        <v>256</v>
      </c>
      <c r="D214" s="12"/>
    </row>
    <row r="215" spans="1:5" x14ac:dyDescent="0.2">
      <c r="A215" s="38"/>
      <c r="B215" s="38"/>
      <c r="C215" s="12" t="s">
        <v>122</v>
      </c>
      <c r="D215" s="12"/>
    </row>
    <row r="216" spans="1:5" x14ac:dyDescent="0.2">
      <c r="A216" s="38"/>
      <c r="B216" s="38"/>
      <c r="C216" s="12" t="s">
        <v>270</v>
      </c>
      <c r="D216" s="12"/>
    </row>
    <row r="217" spans="1:5" x14ac:dyDescent="0.2">
      <c r="A217" s="38"/>
      <c r="B217" s="38"/>
      <c r="C217" s="12" t="s">
        <v>692</v>
      </c>
      <c r="D217" s="12"/>
    </row>
    <row r="218" spans="1:5" x14ac:dyDescent="0.2">
      <c r="A218" s="38"/>
      <c r="B218" s="38"/>
      <c r="C218" s="12" t="s">
        <v>1152</v>
      </c>
      <c r="D218" s="12" t="s">
        <v>639</v>
      </c>
      <c r="E218" t="s">
        <v>1182</v>
      </c>
    </row>
    <row r="219" spans="1:5" x14ac:dyDescent="0.2">
      <c r="A219" s="38"/>
      <c r="B219" s="38"/>
      <c r="C219" s="12" t="s">
        <v>267</v>
      </c>
      <c r="D219" s="12"/>
    </row>
    <row r="220" spans="1:5" x14ac:dyDescent="0.2">
      <c r="A220" s="38"/>
      <c r="B220" s="38"/>
      <c r="C220" s="12" t="s">
        <v>264</v>
      </c>
      <c r="D220" s="12"/>
    </row>
    <row r="221" spans="1:5" x14ac:dyDescent="0.2">
      <c r="A221" s="38"/>
      <c r="B221" s="38"/>
      <c r="C221" s="12" t="s">
        <v>265</v>
      </c>
      <c r="D221" s="12"/>
    </row>
    <row r="222" spans="1:5" x14ac:dyDescent="0.2">
      <c r="A222" s="38"/>
      <c r="B222" s="38"/>
      <c r="C222" s="12" t="s">
        <v>167</v>
      </c>
      <c r="D222" s="12"/>
    </row>
    <row r="223" spans="1:5" x14ac:dyDescent="0.2">
      <c r="A223" s="38"/>
      <c r="B223" s="38"/>
      <c r="C223" s="12" t="s">
        <v>254</v>
      </c>
      <c r="D223" s="12"/>
    </row>
    <row r="224" spans="1:5" x14ac:dyDescent="0.2">
      <c r="A224" s="38"/>
      <c r="B224" s="38"/>
      <c r="C224" s="12" t="s">
        <v>261</v>
      </c>
      <c r="D224" s="12"/>
    </row>
    <row r="225" spans="1:4" x14ac:dyDescent="0.2">
      <c r="A225" s="38"/>
      <c r="B225" s="38"/>
      <c r="C225" s="12" t="s">
        <v>71</v>
      </c>
      <c r="D225" s="12"/>
    </row>
    <row r="226" spans="1:4" x14ac:dyDescent="0.2">
      <c r="A226" s="38"/>
      <c r="B226" s="38"/>
      <c r="C226" s="12" t="s">
        <v>259</v>
      </c>
      <c r="D226" s="12"/>
    </row>
    <row r="227" spans="1:4" x14ac:dyDescent="0.2">
      <c r="A227" s="38"/>
      <c r="B227" s="38"/>
      <c r="C227" s="12" t="s">
        <v>75</v>
      </c>
      <c r="D227" s="12"/>
    </row>
    <row r="228" spans="1:4" x14ac:dyDescent="0.2">
      <c r="A228" s="38"/>
      <c r="B228" s="38"/>
      <c r="C228" s="12" t="s">
        <v>263</v>
      </c>
      <c r="D228" s="12"/>
    </row>
    <row r="229" spans="1:4" x14ac:dyDescent="0.2">
      <c r="A229" s="38"/>
      <c r="B229" s="38"/>
      <c r="C229" s="12" t="s">
        <v>635</v>
      </c>
      <c r="D229" s="12"/>
    </row>
    <row r="230" spans="1:4" x14ac:dyDescent="0.2">
      <c r="A230" s="38"/>
      <c r="B230" s="38"/>
      <c r="C230" s="12" t="s">
        <v>636</v>
      </c>
      <c r="D230" s="12"/>
    </row>
    <row r="231" spans="1:4" x14ac:dyDescent="0.2">
      <c r="A231" s="38"/>
      <c r="B231" s="38"/>
      <c r="C231" s="12" t="s">
        <v>266</v>
      </c>
      <c r="D231" s="12"/>
    </row>
    <row r="232" spans="1:4" x14ac:dyDescent="0.2">
      <c r="A232" s="38"/>
      <c r="B232" s="38"/>
      <c r="C232" s="12" t="s">
        <v>85</v>
      </c>
      <c r="D232" s="12"/>
    </row>
    <row r="233" spans="1:4" x14ac:dyDescent="0.2">
      <c r="A233" s="38"/>
      <c r="B233" s="38"/>
      <c r="C233" s="12" t="s">
        <v>632</v>
      </c>
      <c r="D233" s="12"/>
    </row>
    <row r="234" spans="1:4" x14ac:dyDescent="0.2">
      <c r="A234" s="38"/>
      <c r="B234" s="38"/>
      <c r="C234" s="12" t="s">
        <v>630</v>
      </c>
      <c r="D234" s="12"/>
    </row>
    <row r="235" spans="1:4" x14ac:dyDescent="0.2">
      <c r="A235" s="38"/>
      <c r="B235" s="38"/>
      <c r="C235" s="12" t="s">
        <v>640</v>
      </c>
      <c r="D235" s="12"/>
    </row>
    <row r="236" spans="1:4" x14ac:dyDescent="0.2">
      <c r="A236" s="38"/>
      <c r="B236" s="38"/>
      <c r="C236" s="12" t="s">
        <v>255</v>
      </c>
      <c r="D236" s="12"/>
    </row>
    <row r="237" spans="1:4" x14ac:dyDescent="0.2">
      <c r="A237" s="38"/>
      <c r="B237" s="38"/>
      <c r="C237" s="12" t="s">
        <v>722</v>
      </c>
      <c r="D237" s="12"/>
    </row>
    <row r="238" spans="1:4" x14ac:dyDescent="0.2">
      <c r="A238" s="38"/>
      <c r="B238" s="38"/>
      <c r="C238" s="12" t="s">
        <v>34</v>
      </c>
      <c r="D238" s="12"/>
    </row>
    <row r="239" spans="1:4" x14ac:dyDescent="0.2">
      <c r="A239" s="38"/>
      <c r="B239" s="38"/>
      <c r="C239" s="12" t="s">
        <v>629</v>
      </c>
      <c r="D239" s="12"/>
    </row>
    <row r="240" spans="1:4" x14ac:dyDescent="0.2">
      <c r="A240" s="38"/>
      <c r="B240" s="38"/>
      <c r="C240" s="12" t="s">
        <v>268</v>
      </c>
      <c r="D240" s="12"/>
    </row>
    <row r="241" spans="1:4" x14ac:dyDescent="0.2">
      <c r="A241" s="38"/>
      <c r="B241" s="38"/>
      <c r="C241" s="12" t="s">
        <v>634</v>
      </c>
      <c r="D241" s="12"/>
    </row>
    <row r="242" spans="1:4" x14ac:dyDescent="0.2">
      <c r="A242" s="38"/>
      <c r="B242" s="38"/>
      <c r="C242" s="12" t="s">
        <v>252</v>
      </c>
      <c r="D242" s="12"/>
    </row>
    <row r="243" spans="1:4" x14ac:dyDescent="0.2">
      <c r="A243" s="38"/>
      <c r="B243" s="38"/>
      <c r="C243" s="12" t="s">
        <v>258</v>
      </c>
      <c r="D243" s="12"/>
    </row>
    <row r="244" spans="1:4" x14ac:dyDescent="0.2">
      <c r="A244" s="38"/>
      <c r="B244" s="38"/>
      <c r="C244" s="12" t="s">
        <v>257</v>
      </c>
      <c r="D244" s="12"/>
    </row>
    <row r="245" spans="1:4" x14ac:dyDescent="0.2">
      <c r="A245" s="38"/>
      <c r="B245" s="38"/>
      <c r="C245" s="12" t="s">
        <v>174</v>
      </c>
      <c r="D245" s="12"/>
    </row>
    <row r="246" spans="1:4" x14ac:dyDescent="0.2">
      <c r="A246" s="38"/>
      <c r="B246" s="38"/>
      <c r="C246" s="12" t="s">
        <v>253</v>
      </c>
      <c r="D246" s="12"/>
    </row>
    <row r="247" spans="1:4" x14ac:dyDescent="0.2">
      <c r="A247" s="38"/>
      <c r="B247" s="38"/>
      <c r="C247" s="12" t="s">
        <v>169</v>
      </c>
      <c r="D247" s="12"/>
    </row>
    <row r="248" spans="1:4" x14ac:dyDescent="0.2">
      <c r="A248" s="38"/>
      <c r="B248" s="38"/>
      <c r="C248" s="12" t="s">
        <v>170</v>
      </c>
      <c r="D248" s="12"/>
    </row>
    <row r="249" spans="1:4" x14ac:dyDescent="0.2">
      <c r="A249" s="38"/>
      <c r="B249" s="38"/>
      <c r="C249" s="12" t="s">
        <v>165</v>
      </c>
      <c r="D249" s="12"/>
    </row>
    <row r="250" spans="1:4" x14ac:dyDescent="0.2">
      <c r="A250" s="38"/>
      <c r="B250" s="38"/>
      <c r="C250" s="12" t="s">
        <v>260</v>
      </c>
      <c r="D250" s="12"/>
    </row>
    <row r="251" spans="1:4" x14ac:dyDescent="0.2">
      <c r="A251" s="38"/>
      <c r="B251" s="38"/>
      <c r="C251" s="12" t="s">
        <v>163</v>
      </c>
      <c r="D251" s="12"/>
    </row>
    <row r="252" spans="1:4" x14ac:dyDescent="0.2">
      <c r="A252" s="38"/>
      <c r="B252" s="38"/>
      <c r="C252" s="12" t="s">
        <v>102</v>
      </c>
      <c r="D252" s="12"/>
    </row>
    <row r="253" spans="1:4" x14ac:dyDescent="0.2">
      <c r="A253" s="38"/>
      <c r="B253" s="38"/>
      <c r="C253" s="12" t="s">
        <v>862</v>
      </c>
      <c r="D253" s="12"/>
    </row>
    <row r="254" spans="1:4" x14ac:dyDescent="0.2">
      <c r="A254" s="38"/>
      <c r="B254" s="38"/>
      <c r="C254" s="12" t="s">
        <v>863</v>
      </c>
      <c r="D254" s="12"/>
    </row>
    <row r="255" spans="1:4" x14ac:dyDescent="0.2">
      <c r="A255" s="38"/>
      <c r="B255" s="38"/>
      <c r="C255" s="12" t="s">
        <v>864</v>
      </c>
      <c r="D255" s="12"/>
    </row>
    <row r="256" spans="1:4" x14ac:dyDescent="0.2">
      <c r="A256" s="38"/>
      <c r="B256" s="38"/>
      <c r="C256" s="12" t="s">
        <v>865</v>
      </c>
      <c r="D256" s="12"/>
    </row>
    <row r="257" spans="1:5" x14ac:dyDescent="0.2">
      <c r="A257" s="38"/>
      <c r="B257" s="38"/>
      <c r="C257" s="12" t="s">
        <v>866</v>
      </c>
      <c r="D257" s="12"/>
    </row>
    <row r="258" spans="1:5" x14ac:dyDescent="0.2">
      <c r="A258" s="38"/>
      <c r="B258" s="38"/>
      <c r="C258" s="12" t="s">
        <v>867</v>
      </c>
      <c r="D258" s="12"/>
    </row>
    <row r="259" spans="1:5" x14ac:dyDescent="0.2">
      <c r="A259" s="38"/>
      <c r="B259" s="38"/>
      <c r="C259" s="12" t="s">
        <v>868</v>
      </c>
      <c r="D259" s="12"/>
    </row>
    <row r="260" spans="1:5" x14ac:dyDescent="0.2">
      <c r="A260" s="38"/>
      <c r="B260" s="38"/>
      <c r="C260" s="12" t="s">
        <v>869</v>
      </c>
      <c r="D260" s="12"/>
    </row>
    <row r="261" spans="1:5" x14ac:dyDescent="0.2">
      <c r="A261" s="38"/>
      <c r="B261" s="38"/>
      <c r="C261" s="12" t="s">
        <v>870</v>
      </c>
      <c r="D261" s="12"/>
    </row>
    <row r="262" spans="1:5" x14ac:dyDescent="0.2">
      <c r="A262" s="38"/>
      <c r="B262" s="38"/>
      <c r="C262" s="12" t="s">
        <v>871</v>
      </c>
      <c r="D262" s="12"/>
    </row>
    <row r="263" spans="1:5" x14ac:dyDescent="0.2">
      <c r="A263" s="38"/>
      <c r="B263" s="38"/>
      <c r="C263" s="12" t="s">
        <v>872</v>
      </c>
      <c r="D263" s="12"/>
    </row>
    <row r="264" spans="1:5" x14ac:dyDescent="0.2">
      <c r="A264" s="38"/>
      <c r="B264" s="38"/>
      <c r="C264" s="12" t="s">
        <v>873</v>
      </c>
      <c r="D264" s="12"/>
    </row>
    <row r="265" spans="1:5" x14ac:dyDescent="0.2">
      <c r="A265" s="38"/>
      <c r="B265" s="38"/>
      <c r="C265" s="12" t="s">
        <v>874</v>
      </c>
      <c r="D265" s="12"/>
    </row>
    <row r="266" spans="1:5" x14ac:dyDescent="0.2">
      <c r="A266" s="38"/>
      <c r="B266" s="38"/>
      <c r="C266" s="12" t="s">
        <v>875</v>
      </c>
      <c r="D266" s="12"/>
    </row>
    <row r="267" spans="1:5" x14ac:dyDescent="0.2">
      <c r="A267" s="38"/>
      <c r="B267" s="38"/>
      <c r="C267" s="12" t="s">
        <v>876</v>
      </c>
      <c r="D267" s="12"/>
    </row>
    <row r="268" spans="1:5" x14ac:dyDescent="0.2">
      <c r="A268" s="38"/>
      <c r="B268" s="38"/>
      <c r="C268" s="12" t="s">
        <v>877</v>
      </c>
      <c r="D268" s="12"/>
    </row>
    <row r="269" spans="1:5" x14ac:dyDescent="0.2">
      <c r="A269" s="38"/>
      <c r="B269" s="38"/>
      <c r="C269" s="12" t="s">
        <v>861</v>
      </c>
      <c r="D269" s="12"/>
    </row>
    <row r="270" spans="1:5" x14ac:dyDescent="0.2">
      <c r="A270" s="38"/>
      <c r="B270" s="38"/>
      <c r="C270" s="12" t="s">
        <v>1128</v>
      </c>
      <c r="D270" s="12" t="s">
        <v>1127</v>
      </c>
      <c r="E270" t="s">
        <v>1182</v>
      </c>
    </row>
    <row r="271" spans="1:5" x14ac:dyDescent="0.2">
      <c r="A271" s="38"/>
      <c r="B271" s="38"/>
      <c r="C271" s="12" t="s">
        <v>1130</v>
      </c>
      <c r="D271" s="12" t="s">
        <v>1129</v>
      </c>
      <c r="E271" t="s">
        <v>1182</v>
      </c>
    </row>
    <row r="272" spans="1:5" x14ac:dyDescent="0.2">
      <c r="A272" s="38"/>
      <c r="B272" s="38"/>
      <c r="C272" s="12" t="s">
        <v>1132</v>
      </c>
      <c r="D272" s="12" t="s">
        <v>1131</v>
      </c>
      <c r="E272" t="s">
        <v>1182</v>
      </c>
    </row>
    <row r="273" spans="1:5" x14ac:dyDescent="0.2">
      <c r="A273" s="38"/>
      <c r="B273" s="38"/>
      <c r="C273" s="12" t="s">
        <v>878</v>
      </c>
      <c r="D273" s="12"/>
    </row>
    <row r="274" spans="1:5" x14ac:dyDescent="0.2">
      <c r="A274" s="38"/>
      <c r="B274" s="38"/>
      <c r="C274" s="12" t="s">
        <v>1134</v>
      </c>
      <c r="D274" s="12" t="s">
        <v>1133</v>
      </c>
      <c r="E274" t="s">
        <v>1182</v>
      </c>
    </row>
    <row r="275" spans="1:5" x14ac:dyDescent="0.2">
      <c r="A275" s="38"/>
      <c r="B275" s="38"/>
      <c r="C275" s="12" t="s">
        <v>879</v>
      </c>
      <c r="D275" s="12"/>
    </row>
    <row r="276" spans="1:5" x14ac:dyDescent="0.2">
      <c r="A276" s="38"/>
      <c r="B276" s="38"/>
      <c r="C276" s="12" t="s">
        <v>880</v>
      </c>
      <c r="D276" s="12"/>
    </row>
    <row r="277" spans="1:5" x14ac:dyDescent="0.2">
      <c r="A277" s="38"/>
      <c r="B277" s="38"/>
      <c r="C277" s="12" t="s">
        <v>881</v>
      </c>
      <c r="D277" s="12"/>
    </row>
    <row r="278" spans="1:5" x14ac:dyDescent="0.2">
      <c r="A278" s="38"/>
      <c r="B278" s="38"/>
      <c r="C278" s="12" t="s">
        <v>882</v>
      </c>
      <c r="D278" s="12"/>
    </row>
    <row r="279" spans="1:5" x14ac:dyDescent="0.2">
      <c r="A279" s="38"/>
      <c r="B279" s="38"/>
      <c r="C279" s="12" t="s">
        <v>883</v>
      </c>
      <c r="D279" s="12"/>
    </row>
    <row r="280" spans="1:5" x14ac:dyDescent="0.2">
      <c r="A280" s="38"/>
      <c r="B280" s="38"/>
      <c r="C280" s="12" t="s">
        <v>884</v>
      </c>
      <c r="D280" s="12"/>
    </row>
    <row r="281" spans="1:5" x14ac:dyDescent="0.2">
      <c r="A281" s="38"/>
      <c r="B281" s="38"/>
      <c r="C281" s="12" t="s">
        <v>857</v>
      </c>
      <c r="D281" s="12"/>
    </row>
    <row r="282" spans="1:5" x14ac:dyDescent="0.2">
      <c r="A282" s="38"/>
      <c r="B282" s="38"/>
      <c r="C282" s="12" t="s">
        <v>1136</v>
      </c>
      <c r="D282" s="12" t="s">
        <v>1135</v>
      </c>
      <c r="E282" t="s">
        <v>1182</v>
      </c>
    </row>
    <row r="283" spans="1:5" x14ac:dyDescent="0.2">
      <c r="A283" s="38"/>
      <c r="B283" s="38"/>
      <c r="C283" s="12" t="s">
        <v>885</v>
      </c>
      <c r="D283" s="12"/>
    </row>
    <row r="284" spans="1:5" x14ac:dyDescent="0.2">
      <c r="A284" s="38"/>
      <c r="B284" s="38"/>
      <c r="C284" s="12" t="s">
        <v>1138</v>
      </c>
      <c r="D284" s="12" t="s">
        <v>1137</v>
      </c>
      <c r="E284" t="s">
        <v>1182</v>
      </c>
    </row>
    <row r="285" spans="1:5" x14ac:dyDescent="0.2">
      <c r="A285" s="38"/>
      <c r="B285" s="38"/>
      <c r="C285" s="12" t="s">
        <v>886</v>
      </c>
      <c r="D285" s="12"/>
    </row>
    <row r="286" spans="1:5" x14ac:dyDescent="0.2">
      <c r="A286" s="38"/>
      <c r="B286" s="38"/>
      <c r="C286" s="12" t="s">
        <v>887</v>
      </c>
      <c r="D286" s="12"/>
    </row>
    <row r="287" spans="1:5" x14ac:dyDescent="0.2">
      <c r="A287" s="38"/>
      <c r="B287" s="38"/>
      <c r="C287" s="12" t="s">
        <v>888</v>
      </c>
      <c r="D287" s="12"/>
    </row>
    <row r="288" spans="1:5" x14ac:dyDescent="0.2">
      <c r="A288" s="38"/>
      <c r="B288" s="38"/>
      <c r="C288" s="12" t="s">
        <v>889</v>
      </c>
      <c r="D288" s="12"/>
    </row>
    <row r="289" spans="1:5" x14ac:dyDescent="0.2">
      <c r="A289" s="38"/>
      <c r="B289" s="38"/>
      <c r="C289" s="12" t="s">
        <v>1140</v>
      </c>
      <c r="D289" s="12" t="s">
        <v>1139</v>
      </c>
      <c r="E289" t="s">
        <v>1182</v>
      </c>
    </row>
    <row r="290" spans="1:5" x14ac:dyDescent="0.2">
      <c r="A290" s="38"/>
      <c r="B290" s="38"/>
      <c r="C290" s="12" t="s">
        <v>890</v>
      </c>
      <c r="D290" s="12"/>
    </row>
    <row r="291" spans="1:5" x14ac:dyDescent="0.2">
      <c r="A291" s="38"/>
      <c r="B291" s="38"/>
      <c r="C291" s="12" t="s">
        <v>891</v>
      </c>
      <c r="D291" s="12"/>
    </row>
    <row r="292" spans="1:5" x14ac:dyDescent="0.2">
      <c r="A292" s="38"/>
      <c r="B292" s="38"/>
      <c r="C292" s="12" t="s">
        <v>892</v>
      </c>
      <c r="D292" s="12"/>
    </row>
    <row r="293" spans="1:5" x14ac:dyDescent="0.2">
      <c r="A293" s="38"/>
      <c r="B293" s="38"/>
      <c r="C293" s="12" t="s">
        <v>893</v>
      </c>
      <c r="D293" s="12"/>
    </row>
    <row r="294" spans="1:5" x14ac:dyDescent="0.2">
      <c r="A294" s="38"/>
      <c r="B294" s="38"/>
      <c r="C294" s="12" t="s">
        <v>894</v>
      </c>
      <c r="D294" s="12"/>
    </row>
    <row r="295" spans="1:5" x14ac:dyDescent="0.2">
      <c r="A295" s="38"/>
      <c r="B295" s="38"/>
      <c r="C295" s="12" t="s">
        <v>895</v>
      </c>
      <c r="D295" s="12"/>
    </row>
    <row r="296" spans="1:5" x14ac:dyDescent="0.2">
      <c r="A296" s="38"/>
      <c r="B296" s="38"/>
      <c r="C296" s="12" t="s">
        <v>195</v>
      </c>
      <c r="D296" s="12"/>
    </row>
    <row r="297" spans="1:5" x14ac:dyDescent="0.2">
      <c r="A297" s="38"/>
      <c r="B297" s="38"/>
      <c r="C297" s="12" t="s">
        <v>1141</v>
      </c>
      <c r="D297" s="12" t="s">
        <v>1142</v>
      </c>
      <c r="E297" t="s">
        <v>1182</v>
      </c>
    </row>
    <row r="298" spans="1:5" x14ac:dyDescent="0.2">
      <c r="A298" s="38"/>
      <c r="B298" s="38"/>
      <c r="C298" s="12" t="s">
        <v>896</v>
      </c>
      <c r="D298" s="12"/>
    </row>
    <row r="299" spans="1:5" x14ac:dyDescent="0.2">
      <c r="A299" s="38"/>
      <c r="B299" s="38"/>
      <c r="C299" s="12" t="s">
        <v>897</v>
      </c>
      <c r="D299" s="12"/>
    </row>
    <row r="300" spans="1:5" x14ac:dyDescent="0.2">
      <c r="A300" s="38"/>
      <c r="B300" s="38"/>
      <c r="C300" s="12" t="s">
        <v>1143</v>
      </c>
      <c r="D300" s="12"/>
      <c r="E300" t="s">
        <v>1182</v>
      </c>
    </row>
    <row r="301" spans="1:5" x14ac:dyDescent="0.2">
      <c r="A301" s="38"/>
      <c r="B301" s="38"/>
      <c r="C301" s="12" t="s">
        <v>249</v>
      </c>
      <c r="D301" s="12"/>
    </row>
    <row r="302" spans="1:5" x14ac:dyDescent="0.2">
      <c r="A302" s="38"/>
      <c r="B302" s="38"/>
      <c r="C302" s="12" t="s">
        <v>898</v>
      </c>
      <c r="D302" s="12"/>
    </row>
    <row r="303" spans="1:5" x14ac:dyDescent="0.2">
      <c r="A303" s="38"/>
      <c r="B303" s="38"/>
      <c r="C303" s="12" t="s">
        <v>899</v>
      </c>
      <c r="D303" s="12"/>
    </row>
    <row r="304" spans="1:5" x14ac:dyDescent="0.2">
      <c r="A304" s="38"/>
      <c r="B304" s="38"/>
      <c r="C304" s="12" t="s">
        <v>900</v>
      </c>
      <c r="D304" s="12"/>
    </row>
    <row r="305" spans="1:5" x14ac:dyDescent="0.2">
      <c r="A305" s="38"/>
      <c r="B305" s="38"/>
      <c r="C305" s="12" t="s">
        <v>901</v>
      </c>
      <c r="D305" s="12"/>
    </row>
    <row r="306" spans="1:5" x14ac:dyDescent="0.2">
      <c r="A306" s="38"/>
      <c r="B306" s="38"/>
      <c r="C306" s="12" t="s">
        <v>902</v>
      </c>
      <c r="D306" s="12"/>
    </row>
    <row r="307" spans="1:5" x14ac:dyDescent="0.2">
      <c r="A307" s="38"/>
      <c r="B307" s="38"/>
      <c r="C307" s="12" t="s">
        <v>202</v>
      </c>
      <c r="D307" s="12"/>
    </row>
    <row r="308" spans="1:5" x14ac:dyDescent="0.2">
      <c r="A308" s="38"/>
      <c r="B308" s="38"/>
      <c r="C308" s="12" t="s">
        <v>903</v>
      </c>
      <c r="D308" s="12"/>
    </row>
    <row r="309" spans="1:5" x14ac:dyDescent="0.2">
      <c r="A309" s="38"/>
      <c r="B309" s="38"/>
      <c r="C309" s="12" t="s">
        <v>904</v>
      </c>
      <c r="D309" s="12"/>
    </row>
    <row r="310" spans="1:5" x14ac:dyDescent="0.2">
      <c r="A310" s="38"/>
      <c r="B310" s="38"/>
      <c r="C310" s="12" t="s">
        <v>951</v>
      </c>
      <c r="D310" s="12"/>
      <c r="E310" t="s">
        <v>1182</v>
      </c>
    </row>
    <row r="311" spans="1:5" x14ac:dyDescent="0.2">
      <c r="A311" s="38"/>
      <c r="B311" s="38"/>
      <c r="C311" s="12" t="s">
        <v>952</v>
      </c>
      <c r="D311" s="12"/>
      <c r="E311" t="s">
        <v>1182</v>
      </c>
    </row>
    <row r="312" spans="1:5" x14ac:dyDescent="0.2">
      <c r="A312" s="38"/>
      <c r="B312" s="38"/>
      <c r="C312" s="12" t="s">
        <v>953</v>
      </c>
      <c r="D312" s="12"/>
      <c r="E312" t="s">
        <v>1182</v>
      </c>
    </row>
    <row r="313" spans="1:5" x14ac:dyDescent="0.2">
      <c r="A313" s="38"/>
      <c r="B313" s="38"/>
      <c r="C313" s="12" t="s">
        <v>905</v>
      </c>
      <c r="D313" s="12"/>
    </row>
    <row r="314" spans="1:5" x14ac:dyDescent="0.2">
      <c r="A314" s="38"/>
      <c r="B314" s="38"/>
      <c r="C314" s="12" t="s">
        <v>906</v>
      </c>
      <c r="D314" s="12"/>
    </row>
    <row r="315" spans="1:5" x14ac:dyDescent="0.2">
      <c r="A315" s="38"/>
      <c r="B315" s="38"/>
      <c r="C315" s="12" t="s">
        <v>907</v>
      </c>
      <c r="D315" s="12"/>
    </row>
    <row r="316" spans="1:5" x14ac:dyDescent="0.2">
      <c r="A316" s="38"/>
      <c r="B316" s="38"/>
      <c r="C316" s="12" t="s">
        <v>908</v>
      </c>
      <c r="D316" s="12"/>
    </row>
    <row r="317" spans="1:5" x14ac:dyDescent="0.2">
      <c r="A317" s="38"/>
      <c r="B317" s="38"/>
      <c r="C317" s="12" t="s">
        <v>909</v>
      </c>
      <c r="D317" s="12"/>
    </row>
    <row r="318" spans="1:5" x14ac:dyDescent="0.2">
      <c r="A318" s="38"/>
      <c r="B318" s="38"/>
      <c r="C318" s="12" t="s">
        <v>950</v>
      </c>
      <c r="D318" s="87" t="s">
        <v>910</v>
      </c>
      <c r="E318" t="s">
        <v>1182</v>
      </c>
    </row>
    <row r="319" spans="1:5" x14ac:dyDescent="0.2">
      <c r="A319" s="38"/>
      <c r="B319" s="38"/>
      <c r="C319" s="12" t="s">
        <v>911</v>
      </c>
      <c r="D319" s="12"/>
    </row>
    <row r="320" spans="1:5" x14ac:dyDescent="0.2">
      <c r="A320" s="38"/>
      <c r="B320" s="38"/>
      <c r="C320" s="12" t="s">
        <v>912</v>
      </c>
      <c r="D320" s="12"/>
    </row>
    <row r="321" spans="1:5" x14ac:dyDescent="0.2">
      <c r="A321" s="38"/>
      <c r="B321" s="38"/>
      <c r="C321" s="12" t="s">
        <v>858</v>
      </c>
      <c r="D321" s="12"/>
    </row>
    <row r="322" spans="1:5" x14ac:dyDescent="0.2">
      <c r="A322" s="38"/>
      <c r="B322" s="38"/>
      <c r="C322" s="12" t="s">
        <v>859</v>
      </c>
      <c r="D322" s="12"/>
    </row>
    <row r="323" spans="1:5" x14ac:dyDescent="0.2">
      <c r="A323" s="38"/>
      <c r="B323" s="38"/>
      <c r="C323" s="12" t="s">
        <v>913</v>
      </c>
      <c r="D323" s="12"/>
    </row>
    <row r="324" spans="1:5" x14ac:dyDescent="0.2">
      <c r="A324" s="38"/>
      <c r="B324" s="38"/>
      <c r="C324" s="12" t="s">
        <v>860</v>
      </c>
      <c r="D324" s="12"/>
    </row>
    <row r="325" spans="1:5" x14ac:dyDescent="0.2">
      <c r="A325" s="38"/>
      <c r="B325" s="38"/>
      <c r="C325" s="12" t="s">
        <v>914</v>
      </c>
      <c r="D325" s="12"/>
    </row>
    <row r="326" spans="1:5" x14ac:dyDescent="0.2">
      <c r="A326" s="38"/>
      <c r="B326" s="38"/>
      <c r="C326" s="12" t="s">
        <v>915</v>
      </c>
      <c r="D326" s="12"/>
    </row>
    <row r="327" spans="1:5" x14ac:dyDescent="0.2">
      <c r="A327" s="38"/>
      <c r="B327" s="38"/>
      <c r="C327" s="12" t="s">
        <v>130</v>
      </c>
      <c r="D327" s="12"/>
    </row>
    <row r="328" spans="1:5" x14ac:dyDescent="0.2">
      <c r="A328" s="52"/>
      <c r="B328" s="42" t="s">
        <v>300</v>
      </c>
      <c r="C328" s="31" t="s">
        <v>962</v>
      </c>
      <c r="D328" s="31"/>
      <c r="E328" t="s">
        <v>1182</v>
      </c>
    </row>
    <row r="329" spans="1:5" x14ac:dyDescent="0.2">
      <c r="A329" s="51"/>
      <c r="B329" s="43"/>
      <c r="C329" s="31" t="s">
        <v>1052</v>
      </c>
      <c r="D329" s="31"/>
      <c r="E329" t="s">
        <v>1182</v>
      </c>
    </row>
    <row r="330" spans="1:5" x14ac:dyDescent="0.2">
      <c r="A330" s="51"/>
      <c r="B330" s="43"/>
      <c r="C330" s="89" t="s">
        <v>1053</v>
      </c>
      <c r="D330" s="31"/>
      <c r="E330" t="s">
        <v>1182</v>
      </c>
    </row>
    <row r="331" spans="1:5" x14ac:dyDescent="0.2">
      <c r="A331" s="51"/>
      <c r="B331" s="43"/>
      <c r="C331" s="88" t="s">
        <v>963</v>
      </c>
      <c r="D331" s="31"/>
      <c r="E331" t="s">
        <v>1182</v>
      </c>
    </row>
    <row r="332" spans="1:5" x14ac:dyDescent="0.2">
      <c r="A332" s="51"/>
      <c r="B332" s="43"/>
      <c r="C332" s="88" t="s">
        <v>1044</v>
      </c>
      <c r="D332" s="31"/>
      <c r="E332" t="s">
        <v>1182</v>
      </c>
    </row>
    <row r="333" spans="1:5" x14ac:dyDescent="0.2">
      <c r="A333" s="51"/>
      <c r="B333" s="43"/>
      <c r="C333" s="88" t="s">
        <v>964</v>
      </c>
      <c r="D333" s="31"/>
      <c r="E333" t="s">
        <v>1182</v>
      </c>
    </row>
    <row r="334" spans="1:5" x14ac:dyDescent="0.2">
      <c r="A334" s="51"/>
      <c r="B334" s="43"/>
      <c r="C334" s="88" t="s">
        <v>965</v>
      </c>
      <c r="D334" s="31"/>
      <c r="E334" t="s">
        <v>1182</v>
      </c>
    </row>
    <row r="335" spans="1:5" x14ac:dyDescent="0.2">
      <c r="A335" s="51"/>
      <c r="B335" s="43"/>
      <c r="C335" s="31" t="s">
        <v>1045</v>
      </c>
      <c r="D335" s="31"/>
      <c r="E335" t="s">
        <v>1182</v>
      </c>
    </row>
    <row r="336" spans="1:5" x14ac:dyDescent="0.2">
      <c r="A336" s="51"/>
      <c r="B336" s="43"/>
      <c r="C336" s="31" t="s">
        <v>1046</v>
      </c>
      <c r="D336" s="31"/>
      <c r="E336" t="s">
        <v>1182</v>
      </c>
    </row>
    <row r="337" spans="1:5" x14ac:dyDescent="0.2">
      <c r="A337" s="51"/>
      <c r="B337" s="43"/>
      <c r="C337" s="31" t="s">
        <v>1047</v>
      </c>
      <c r="D337" s="31"/>
      <c r="E337" t="s">
        <v>1182</v>
      </c>
    </row>
    <row r="338" spans="1:5" x14ac:dyDescent="0.2">
      <c r="A338" s="51"/>
      <c r="B338" s="43"/>
      <c r="C338" s="31" t="s">
        <v>1048</v>
      </c>
      <c r="D338" s="31"/>
      <c r="E338" t="s">
        <v>1182</v>
      </c>
    </row>
    <row r="339" spans="1:5" x14ac:dyDescent="0.2">
      <c r="A339" s="51"/>
      <c r="B339" s="43"/>
      <c r="C339" s="31" t="s">
        <v>1049</v>
      </c>
      <c r="D339" s="31"/>
      <c r="E339" t="s">
        <v>1182</v>
      </c>
    </row>
    <row r="340" spans="1:5" x14ac:dyDescent="0.2">
      <c r="A340" s="51"/>
      <c r="B340" s="43"/>
      <c r="C340" s="31" t="s">
        <v>1050</v>
      </c>
      <c r="D340" s="31"/>
      <c r="E340" t="s">
        <v>1182</v>
      </c>
    </row>
    <row r="341" spans="1:5" x14ac:dyDescent="0.2">
      <c r="A341" s="51"/>
      <c r="B341" s="43"/>
      <c r="C341" s="31" t="s">
        <v>1051</v>
      </c>
      <c r="D341" s="31"/>
      <c r="E341" t="s">
        <v>1182</v>
      </c>
    </row>
    <row r="342" spans="1:5" x14ac:dyDescent="0.2">
      <c r="A342" s="51"/>
      <c r="B342" s="43"/>
      <c r="C342" s="31" t="s">
        <v>1054</v>
      </c>
      <c r="D342" s="31"/>
      <c r="E342" t="s">
        <v>1182</v>
      </c>
    </row>
    <row r="343" spans="1:5" x14ac:dyDescent="0.2">
      <c r="A343" s="51"/>
      <c r="B343" s="43"/>
      <c r="C343" s="31" t="s">
        <v>1055</v>
      </c>
      <c r="D343" s="31"/>
      <c r="E343" t="s">
        <v>1182</v>
      </c>
    </row>
    <row r="344" spans="1:5" x14ac:dyDescent="0.2">
      <c r="A344" s="51"/>
      <c r="B344" s="43"/>
      <c r="C344" s="31" t="s">
        <v>1056</v>
      </c>
      <c r="D344" s="31"/>
      <c r="E344" t="s">
        <v>1182</v>
      </c>
    </row>
    <row r="345" spans="1:5" x14ac:dyDescent="0.2">
      <c r="A345" s="51"/>
      <c r="B345" s="43"/>
      <c r="C345" s="31" t="s">
        <v>1057</v>
      </c>
      <c r="D345" s="31"/>
      <c r="E345" t="s">
        <v>1182</v>
      </c>
    </row>
    <row r="346" spans="1:5" x14ac:dyDescent="0.2">
      <c r="A346" s="51"/>
      <c r="B346" s="43"/>
      <c r="C346" s="31" t="s">
        <v>1058</v>
      </c>
      <c r="D346" s="31"/>
      <c r="E346" t="s">
        <v>1182</v>
      </c>
    </row>
    <row r="347" spans="1:5" x14ac:dyDescent="0.2">
      <c r="A347" s="51"/>
      <c r="B347" s="43"/>
      <c r="C347" s="31" t="s">
        <v>1059</v>
      </c>
      <c r="D347" s="31"/>
      <c r="E347" t="s">
        <v>1182</v>
      </c>
    </row>
    <row r="348" spans="1:5" x14ac:dyDescent="0.2">
      <c r="A348" s="51"/>
      <c r="B348" s="43"/>
      <c r="C348" s="31" t="s">
        <v>1060</v>
      </c>
      <c r="D348" s="31"/>
      <c r="E348" t="s">
        <v>1182</v>
      </c>
    </row>
    <row r="349" spans="1:5" x14ac:dyDescent="0.2">
      <c r="A349" s="51"/>
      <c r="B349" s="43"/>
      <c r="C349" s="31" t="s">
        <v>1061</v>
      </c>
      <c r="D349" s="31"/>
      <c r="E349" t="s">
        <v>1182</v>
      </c>
    </row>
    <row r="350" spans="1:5" x14ac:dyDescent="0.2">
      <c r="A350" s="51"/>
      <c r="B350" s="43"/>
      <c r="C350" s="31" t="s">
        <v>1062</v>
      </c>
      <c r="D350" s="31"/>
      <c r="E350" t="s">
        <v>1182</v>
      </c>
    </row>
    <row r="351" spans="1:5" x14ac:dyDescent="0.2">
      <c r="A351" s="51"/>
      <c r="B351" s="43"/>
      <c r="C351" s="31" t="s">
        <v>1063</v>
      </c>
      <c r="D351" s="31"/>
      <c r="E351" t="s">
        <v>1182</v>
      </c>
    </row>
    <row r="352" spans="1:5" x14ac:dyDescent="0.2">
      <c r="A352" s="51"/>
      <c r="B352" s="43"/>
      <c r="C352" s="31" t="s">
        <v>1064</v>
      </c>
      <c r="D352" s="31"/>
      <c r="E352" t="s">
        <v>1182</v>
      </c>
    </row>
    <row r="353" spans="1:5" x14ac:dyDescent="0.2">
      <c r="A353" s="51"/>
      <c r="B353" s="43"/>
      <c r="C353" s="31" t="s">
        <v>1065</v>
      </c>
      <c r="D353" s="31"/>
      <c r="E353" t="s">
        <v>1182</v>
      </c>
    </row>
    <row r="354" spans="1:5" x14ac:dyDescent="0.2">
      <c r="A354" s="51"/>
      <c r="B354" s="43"/>
      <c r="C354" s="31" t="s">
        <v>1066</v>
      </c>
      <c r="D354" s="31"/>
      <c r="E354" t="s">
        <v>1182</v>
      </c>
    </row>
    <row r="355" spans="1:5" x14ac:dyDescent="0.2">
      <c r="A355" s="51"/>
      <c r="B355" s="43"/>
      <c r="C355" s="31" t="s">
        <v>1067</v>
      </c>
      <c r="D355" s="31"/>
      <c r="E355" t="s">
        <v>1182</v>
      </c>
    </row>
    <row r="356" spans="1:5" x14ac:dyDescent="0.2">
      <c r="A356" s="51"/>
      <c r="B356" s="43"/>
      <c r="C356" s="31" t="s">
        <v>1068</v>
      </c>
      <c r="D356" s="31"/>
      <c r="E356" t="s">
        <v>1182</v>
      </c>
    </row>
    <row r="357" spans="1:5" x14ac:dyDescent="0.2">
      <c r="A357" s="51"/>
      <c r="B357" s="43"/>
      <c r="C357" s="31" t="s">
        <v>1069</v>
      </c>
      <c r="D357" s="31"/>
      <c r="E357" t="s">
        <v>1182</v>
      </c>
    </row>
    <row r="358" spans="1:5" x14ac:dyDescent="0.2">
      <c r="A358" s="51"/>
      <c r="B358" s="43"/>
      <c r="C358" s="31" t="s">
        <v>1070</v>
      </c>
      <c r="D358" s="31"/>
      <c r="E358" t="s">
        <v>1182</v>
      </c>
    </row>
    <row r="359" spans="1:5" x14ac:dyDescent="0.2">
      <c r="A359" s="51"/>
      <c r="B359" s="43"/>
      <c r="C359" s="31" t="s">
        <v>1071</v>
      </c>
      <c r="D359" s="31"/>
      <c r="E359" t="s">
        <v>1182</v>
      </c>
    </row>
    <row r="360" spans="1:5" x14ac:dyDescent="0.2">
      <c r="A360" s="51"/>
      <c r="B360" s="43"/>
      <c r="C360" s="31" t="s">
        <v>1072</v>
      </c>
      <c r="D360" s="31"/>
      <c r="E360" t="s">
        <v>1182</v>
      </c>
    </row>
    <row r="361" spans="1:5" x14ac:dyDescent="0.2">
      <c r="A361" s="51"/>
      <c r="B361" s="43"/>
      <c r="C361" s="31" t="s">
        <v>1073</v>
      </c>
      <c r="D361" s="31"/>
      <c r="E361" t="s">
        <v>1182</v>
      </c>
    </row>
    <row r="362" spans="1:5" x14ac:dyDescent="0.2">
      <c r="A362" s="51"/>
      <c r="B362" s="43"/>
      <c r="C362" s="31" t="s">
        <v>1074</v>
      </c>
      <c r="D362" s="31"/>
      <c r="E362" t="s">
        <v>1182</v>
      </c>
    </row>
    <row r="363" spans="1:5" x14ac:dyDescent="0.2">
      <c r="A363" s="51"/>
      <c r="B363" s="43"/>
      <c r="C363" s="31" t="s">
        <v>1075</v>
      </c>
      <c r="D363" s="31"/>
      <c r="E363" t="s">
        <v>1182</v>
      </c>
    </row>
    <row r="364" spans="1:5" x14ac:dyDescent="0.2">
      <c r="A364" s="51"/>
      <c r="B364" s="43"/>
      <c r="C364" s="31" t="s">
        <v>1076</v>
      </c>
      <c r="D364" s="31"/>
      <c r="E364" t="s">
        <v>1182</v>
      </c>
    </row>
    <row r="365" spans="1:5" x14ac:dyDescent="0.2">
      <c r="A365" s="51"/>
      <c r="B365" s="43"/>
      <c r="C365" s="31" t="s">
        <v>1077</v>
      </c>
      <c r="D365" s="31"/>
      <c r="E365" t="s">
        <v>1182</v>
      </c>
    </row>
    <row r="366" spans="1:5" x14ac:dyDescent="0.2">
      <c r="A366" s="51"/>
      <c r="B366" s="43"/>
      <c r="C366" s="31" t="s">
        <v>1078</v>
      </c>
      <c r="D366" s="31"/>
      <c r="E366" t="s">
        <v>1182</v>
      </c>
    </row>
    <row r="367" spans="1:5" x14ac:dyDescent="0.2">
      <c r="A367" s="51"/>
      <c r="B367" s="43"/>
      <c r="C367" s="31" t="s">
        <v>1079</v>
      </c>
      <c r="D367" s="31"/>
      <c r="E367" t="s">
        <v>1182</v>
      </c>
    </row>
    <row r="368" spans="1:5" x14ac:dyDescent="0.2">
      <c r="A368" s="51"/>
      <c r="B368" s="43"/>
      <c r="C368" s="31" t="s">
        <v>1080</v>
      </c>
      <c r="D368" s="31"/>
      <c r="E368" t="s">
        <v>1182</v>
      </c>
    </row>
    <row r="369" spans="1:5" x14ac:dyDescent="0.2">
      <c r="A369" s="51"/>
      <c r="B369" s="43"/>
      <c r="C369" s="31" t="s">
        <v>1081</v>
      </c>
      <c r="D369" s="31"/>
      <c r="E369" t="s">
        <v>1182</v>
      </c>
    </row>
    <row r="370" spans="1:5" x14ac:dyDescent="0.2">
      <c r="A370" s="51"/>
      <c r="B370" s="43"/>
      <c r="C370" s="31" t="s">
        <v>1082</v>
      </c>
      <c r="D370" s="31"/>
      <c r="E370" t="s">
        <v>1182</v>
      </c>
    </row>
    <row r="371" spans="1:5" x14ac:dyDescent="0.2">
      <c r="A371" s="51"/>
      <c r="B371" s="43"/>
      <c r="C371" s="31" t="s">
        <v>966</v>
      </c>
      <c r="D371" s="31"/>
      <c r="E371" t="s">
        <v>1182</v>
      </c>
    </row>
    <row r="372" spans="1:5" x14ac:dyDescent="0.2">
      <c r="A372" s="51"/>
      <c r="B372" s="43"/>
      <c r="C372" s="31" t="s">
        <v>967</v>
      </c>
      <c r="D372" s="31"/>
      <c r="E372" t="s">
        <v>1182</v>
      </c>
    </row>
    <row r="373" spans="1:5" x14ac:dyDescent="0.2">
      <c r="A373" s="51"/>
      <c r="B373" s="43"/>
      <c r="C373" s="31" t="s">
        <v>968</v>
      </c>
      <c r="D373" s="31"/>
      <c r="E373" t="s">
        <v>1182</v>
      </c>
    </row>
    <row r="374" spans="1:5" x14ac:dyDescent="0.2">
      <c r="A374" s="51"/>
      <c r="B374" s="43"/>
      <c r="C374" s="31" t="s">
        <v>969</v>
      </c>
      <c r="D374" s="31"/>
      <c r="E374" t="s">
        <v>1182</v>
      </c>
    </row>
    <row r="375" spans="1:5" x14ac:dyDescent="0.2">
      <c r="A375" s="51"/>
      <c r="B375" s="43"/>
      <c r="C375" s="31" t="s">
        <v>970</v>
      </c>
      <c r="D375" s="31"/>
      <c r="E375" t="s">
        <v>1182</v>
      </c>
    </row>
    <row r="376" spans="1:5" x14ac:dyDescent="0.2">
      <c r="A376" s="51"/>
      <c r="B376" s="43"/>
      <c r="C376" s="31" t="s">
        <v>971</v>
      </c>
      <c r="D376" s="31"/>
      <c r="E376" t="s">
        <v>1182</v>
      </c>
    </row>
    <row r="377" spans="1:5" x14ac:dyDescent="0.2">
      <c r="A377" s="51"/>
      <c r="B377" s="43"/>
      <c r="C377" s="31" t="s">
        <v>972</v>
      </c>
      <c r="D377" s="31"/>
      <c r="E377" t="s">
        <v>1182</v>
      </c>
    </row>
    <row r="378" spans="1:5" x14ac:dyDescent="0.2">
      <c r="A378" s="51"/>
      <c r="B378" s="43"/>
      <c r="C378" s="31" t="s">
        <v>973</v>
      </c>
      <c r="D378" s="31"/>
      <c r="E378" t="s">
        <v>1182</v>
      </c>
    </row>
    <row r="379" spans="1:5" x14ac:dyDescent="0.2">
      <c r="A379" s="51"/>
      <c r="B379" s="43"/>
      <c r="C379" s="31" t="s">
        <v>974</v>
      </c>
      <c r="D379" s="31"/>
      <c r="E379" t="s">
        <v>1182</v>
      </c>
    </row>
    <row r="380" spans="1:5" x14ac:dyDescent="0.2">
      <c r="A380" s="51"/>
      <c r="B380" s="43"/>
      <c r="C380" s="31" t="s">
        <v>975</v>
      </c>
      <c r="D380" s="31"/>
      <c r="E380" t="s">
        <v>1182</v>
      </c>
    </row>
    <row r="381" spans="1:5" x14ac:dyDescent="0.2">
      <c r="A381" s="51"/>
      <c r="B381" s="43"/>
      <c r="C381" s="31" t="s">
        <v>976</v>
      </c>
      <c r="D381" s="31"/>
      <c r="E381" t="s">
        <v>1182</v>
      </c>
    </row>
    <row r="382" spans="1:5" x14ac:dyDescent="0.2">
      <c r="A382" s="51"/>
      <c r="B382" s="43"/>
      <c r="C382" s="31" t="s">
        <v>977</v>
      </c>
      <c r="D382" s="31"/>
      <c r="E382" t="s">
        <v>1182</v>
      </c>
    </row>
    <row r="383" spans="1:5" x14ac:dyDescent="0.2">
      <c r="A383" s="51"/>
      <c r="B383" s="43"/>
      <c r="C383" s="31" t="s">
        <v>978</v>
      </c>
      <c r="D383" s="31"/>
      <c r="E383" t="s">
        <v>1182</v>
      </c>
    </row>
    <row r="384" spans="1:5" x14ac:dyDescent="0.2">
      <c r="A384" s="51"/>
      <c r="B384" s="43"/>
      <c r="C384" s="31" t="s">
        <v>979</v>
      </c>
      <c r="D384" s="31"/>
      <c r="E384" t="s">
        <v>1182</v>
      </c>
    </row>
    <row r="385" spans="1:5" x14ac:dyDescent="0.2">
      <c r="A385" s="51"/>
      <c r="B385" s="43"/>
      <c r="C385" s="31" t="s">
        <v>980</v>
      </c>
      <c r="D385" s="31"/>
      <c r="E385" t="s">
        <v>1182</v>
      </c>
    </row>
    <row r="386" spans="1:5" x14ac:dyDescent="0.2">
      <c r="A386" s="51"/>
      <c r="B386" s="43"/>
      <c r="C386" s="31" t="s">
        <v>981</v>
      </c>
      <c r="D386" s="31"/>
      <c r="E386" t="s">
        <v>1182</v>
      </c>
    </row>
    <row r="387" spans="1:5" x14ac:dyDescent="0.2">
      <c r="A387" s="51"/>
      <c r="B387" s="43"/>
      <c r="C387" s="31" t="s">
        <v>982</v>
      </c>
      <c r="D387" s="31"/>
      <c r="E387" t="s">
        <v>1182</v>
      </c>
    </row>
    <row r="388" spans="1:5" x14ac:dyDescent="0.2">
      <c r="A388" s="51"/>
      <c r="B388" s="43"/>
      <c r="C388" s="31" t="s">
        <v>983</v>
      </c>
      <c r="D388" s="31"/>
      <c r="E388" t="s">
        <v>1182</v>
      </c>
    </row>
    <row r="389" spans="1:5" x14ac:dyDescent="0.2">
      <c r="A389" s="51"/>
      <c r="B389" s="43"/>
      <c r="C389" s="31" t="s">
        <v>984</v>
      </c>
      <c r="D389" s="31"/>
      <c r="E389" t="s">
        <v>1182</v>
      </c>
    </row>
    <row r="390" spans="1:5" x14ac:dyDescent="0.2">
      <c r="A390" s="51"/>
      <c r="B390" s="43"/>
      <c r="C390" s="31" t="s">
        <v>985</v>
      </c>
      <c r="D390" s="31"/>
      <c r="E390" t="s">
        <v>1182</v>
      </c>
    </row>
    <row r="391" spans="1:5" x14ac:dyDescent="0.2">
      <c r="A391" s="51"/>
      <c r="B391" s="43"/>
      <c r="C391" s="31" t="s">
        <v>986</v>
      </c>
      <c r="D391" s="31"/>
      <c r="E391" t="s">
        <v>1182</v>
      </c>
    </row>
    <row r="392" spans="1:5" x14ac:dyDescent="0.2">
      <c r="A392" s="51"/>
      <c r="B392" s="43"/>
      <c r="C392" s="31" t="s">
        <v>987</v>
      </c>
      <c r="D392" s="31"/>
      <c r="E392" t="s">
        <v>1182</v>
      </c>
    </row>
    <row r="393" spans="1:5" x14ac:dyDescent="0.2">
      <c r="A393" s="51"/>
      <c r="B393" s="43"/>
      <c r="C393" s="31" t="s">
        <v>988</v>
      </c>
      <c r="D393" s="31"/>
      <c r="E393" t="s">
        <v>1182</v>
      </c>
    </row>
    <row r="394" spans="1:5" x14ac:dyDescent="0.2">
      <c r="A394" s="51"/>
      <c r="B394" s="43"/>
      <c r="C394" s="31" t="s">
        <v>989</v>
      </c>
      <c r="D394" s="31"/>
      <c r="E394" t="s">
        <v>1182</v>
      </c>
    </row>
    <row r="395" spans="1:5" x14ac:dyDescent="0.2">
      <c r="A395" s="51"/>
      <c r="B395" s="43"/>
      <c r="C395" s="31" t="s">
        <v>990</v>
      </c>
      <c r="D395" s="31"/>
      <c r="E395" t="s">
        <v>1182</v>
      </c>
    </row>
    <row r="396" spans="1:5" x14ac:dyDescent="0.2">
      <c r="A396" s="51"/>
      <c r="B396" s="43"/>
      <c r="C396" s="31" t="s">
        <v>991</v>
      </c>
      <c r="D396" s="31"/>
      <c r="E396" t="s">
        <v>1182</v>
      </c>
    </row>
    <row r="397" spans="1:5" x14ac:dyDescent="0.2">
      <c r="A397" s="51"/>
      <c r="B397" s="43"/>
      <c r="C397" s="31" t="s">
        <v>992</v>
      </c>
      <c r="D397" s="31"/>
      <c r="E397" t="s">
        <v>1182</v>
      </c>
    </row>
    <row r="398" spans="1:5" x14ac:dyDescent="0.2">
      <c r="A398" s="51"/>
      <c r="B398" s="43"/>
      <c r="C398" s="31" t="s">
        <v>993</v>
      </c>
      <c r="D398" s="31"/>
      <c r="E398" t="s">
        <v>1182</v>
      </c>
    </row>
    <row r="399" spans="1:5" x14ac:dyDescent="0.2">
      <c r="A399" s="51"/>
      <c r="B399" s="43"/>
      <c r="C399" s="31" t="s">
        <v>994</v>
      </c>
      <c r="D399" s="31"/>
      <c r="E399" t="s">
        <v>1182</v>
      </c>
    </row>
    <row r="400" spans="1:5" x14ac:dyDescent="0.2">
      <c r="A400" s="51"/>
      <c r="B400" s="43"/>
      <c r="C400" s="31" t="s">
        <v>995</v>
      </c>
      <c r="D400" s="31"/>
      <c r="E400" t="s">
        <v>1182</v>
      </c>
    </row>
    <row r="401" spans="1:5" x14ac:dyDescent="0.2">
      <c r="A401" s="51"/>
      <c r="B401" s="43"/>
      <c r="C401" s="31" t="s">
        <v>996</v>
      </c>
      <c r="D401" s="31"/>
      <c r="E401" t="s">
        <v>1182</v>
      </c>
    </row>
    <row r="402" spans="1:5" x14ac:dyDescent="0.2">
      <c r="A402" s="51"/>
      <c r="B402" s="43"/>
      <c r="C402" s="31" t="s">
        <v>997</v>
      </c>
      <c r="D402" s="31"/>
      <c r="E402" t="s">
        <v>1182</v>
      </c>
    </row>
    <row r="403" spans="1:5" x14ac:dyDescent="0.2">
      <c r="A403" s="51"/>
      <c r="B403" s="43"/>
      <c r="C403" s="31" t="s">
        <v>998</v>
      </c>
      <c r="D403" s="31"/>
      <c r="E403" t="s">
        <v>1182</v>
      </c>
    </row>
    <row r="404" spans="1:5" x14ac:dyDescent="0.2">
      <c r="A404" s="51"/>
      <c r="B404" s="43"/>
      <c r="C404" s="31" t="s">
        <v>999</v>
      </c>
      <c r="D404" s="31"/>
      <c r="E404" t="s">
        <v>1182</v>
      </c>
    </row>
    <row r="405" spans="1:5" x14ac:dyDescent="0.2">
      <c r="A405" s="51"/>
      <c r="B405" s="43"/>
      <c r="C405" s="31" t="s">
        <v>1000</v>
      </c>
      <c r="D405" s="31"/>
      <c r="E405" t="s">
        <v>1182</v>
      </c>
    </row>
    <row r="406" spans="1:5" x14ac:dyDescent="0.2">
      <c r="A406" s="51"/>
      <c r="B406" s="43"/>
      <c r="C406" s="31" t="s">
        <v>1001</v>
      </c>
      <c r="D406" s="31"/>
      <c r="E406" t="s">
        <v>1182</v>
      </c>
    </row>
    <row r="407" spans="1:5" x14ac:dyDescent="0.2">
      <c r="A407" s="51"/>
      <c r="B407" s="43"/>
      <c r="C407" s="31" t="s">
        <v>1002</v>
      </c>
      <c r="D407" s="31"/>
      <c r="E407" t="s">
        <v>1182</v>
      </c>
    </row>
    <row r="408" spans="1:5" x14ac:dyDescent="0.2">
      <c r="A408" s="51"/>
      <c r="B408" s="43"/>
      <c r="C408" s="31" t="s">
        <v>1003</v>
      </c>
      <c r="D408" s="31"/>
      <c r="E408" t="s">
        <v>1182</v>
      </c>
    </row>
    <row r="409" spans="1:5" x14ac:dyDescent="0.2">
      <c r="A409" s="51"/>
      <c r="B409" s="43"/>
      <c r="C409" s="31" t="s">
        <v>1004</v>
      </c>
      <c r="D409" s="31"/>
      <c r="E409" t="s">
        <v>1182</v>
      </c>
    </row>
    <row r="410" spans="1:5" x14ac:dyDescent="0.2">
      <c r="A410" s="51"/>
      <c r="B410" s="43"/>
      <c r="C410" s="31" t="s">
        <v>1005</v>
      </c>
      <c r="D410" s="31"/>
      <c r="E410" t="s">
        <v>1182</v>
      </c>
    </row>
    <row r="411" spans="1:5" x14ac:dyDescent="0.2">
      <c r="A411" s="51"/>
      <c r="B411" s="43"/>
      <c r="C411" s="31" t="s">
        <v>1006</v>
      </c>
      <c r="D411" s="31"/>
      <c r="E411" t="s">
        <v>1182</v>
      </c>
    </row>
    <row r="412" spans="1:5" x14ac:dyDescent="0.2">
      <c r="A412" s="51"/>
      <c r="B412" s="43"/>
      <c r="C412" s="31" t="s">
        <v>1007</v>
      </c>
      <c r="D412" s="31"/>
      <c r="E412" t="s">
        <v>1182</v>
      </c>
    </row>
    <row r="413" spans="1:5" x14ac:dyDescent="0.2">
      <c r="A413" s="51"/>
      <c r="B413" s="43"/>
      <c r="C413" s="31" t="s">
        <v>1008</v>
      </c>
      <c r="D413" s="31"/>
      <c r="E413" t="s">
        <v>1182</v>
      </c>
    </row>
    <row r="414" spans="1:5" x14ac:dyDescent="0.2">
      <c r="A414" s="51"/>
      <c r="B414" s="43"/>
      <c r="C414" s="31" t="s">
        <v>1009</v>
      </c>
      <c r="D414" s="31"/>
      <c r="E414" t="s">
        <v>1182</v>
      </c>
    </row>
    <row r="415" spans="1:5" x14ac:dyDescent="0.2">
      <c r="A415" s="51"/>
      <c r="B415" s="43"/>
      <c r="C415" s="31" t="s">
        <v>1010</v>
      </c>
      <c r="D415" s="31"/>
      <c r="E415" t="s">
        <v>1182</v>
      </c>
    </row>
    <row r="416" spans="1:5" x14ac:dyDescent="0.2">
      <c r="A416" s="51"/>
      <c r="B416" s="43"/>
      <c r="C416" s="31" t="s">
        <v>1011</v>
      </c>
      <c r="D416" s="31"/>
      <c r="E416" t="s">
        <v>1182</v>
      </c>
    </row>
    <row r="417" spans="1:5" x14ac:dyDescent="0.2">
      <c r="A417" s="51"/>
      <c r="B417" s="43"/>
      <c r="C417" s="31" t="s">
        <v>1012</v>
      </c>
      <c r="D417" s="31"/>
      <c r="E417" t="s">
        <v>1182</v>
      </c>
    </row>
    <row r="418" spans="1:5" x14ac:dyDescent="0.2">
      <c r="A418" s="51"/>
      <c r="B418" s="43"/>
      <c r="C418" s="31" t="s">
        <v>1013</v>
      </c>
      <c r="D418" s="31"/>
      <c r="E418" t="s">
        <v>1182</v>
      </c>
    </row>
    <row r="419" spans="1:5" x14ac:dyDescent="0.2">
      <c r="A419" s="51"/>
      <c r="B419" s="43"/>
      <c r="C419" s="31" t="s">
        <v>1014</v>
      </c>
      <c r="D419" s="31"/>
      <c r="E419" t="s">
        <v>1182</v>
      </c>
    </row>
    <row r="420" spans="1:5" x14ac:dyDescent="0.2">
      <c r="A420" s="51"/>
      <c r="B420" s="43"/>
      <c r="C420" s="31" t="s">
        <v>1015</v>
      </c>
      <c r="D420" s="31"/>
      <c r="E420" t="s">
        <v>1182</v>
      </c>
    </row>
    <row r="421" spans="1:5" x14ac:dyDescent="0.2">
      <c r="A421" s="51"/>
      <c r="B421" s="43"/>
      <c r="C421" s="31" t="s">
        <v>1016</v>
      </c>
      <c r="D421" s="31"/>
      <c r="E421" t="s">
        <v>1182</v>
      </c>
    </row>
    <row r="422" spans="1:5" x14ac:dyDescent="0.2">
      <c r="A422" s="51"/>
      <c r="B422" s="43"/>
      <c r="C422" s="31" t="s">
        <v>1017</v>
      </c>
      <c r="D422" s="31"/>
      <c r="E422" t="s">
        <v>1182</v>
      </c>
    </row>
    <row r="423" spans="1:5" x14ac:dyDescent="0.2">
      <c r="A423" s="51"/>
      <c r="B423" s="43"/>
      <c r="C423" s="31" t="s">
        <v>1018</v>
      </c>
      <c r="D423" s="31"/>
      <c r="E423" t="s">
        <v>1182</v>
      </c>
    </row>
    <row r="424" spans="1:5" x14ac:dyDescent="0.2">
      <c r="A424" s="51"/>
      <c r="B424" s="43"/>
      <c r="C424" s="31" t="s">
        <v>1019</v>
      </c>
      <c r="D424" s="31"/>
      <c r="E424" t="s">
        <v>1182</v>
      </c>
    </row>
    <row r="425" spans="1:5" x14ac:dyDescent="0.2">
      <c r="A425" s="51"/>
      <c r="B425" s="43"/>
      <c r="C425" s="31" t="s">
        <v>1020</v>
      </c>
      <c r="D425" s="31"/>
      <c r="E425" t="s">
        <v>1182</v>
      </c>
    </row>
    <row r="426" spans="1:5" x14ac:dyDescent="0.2">
      <c r="A426" s="51"/>
      <c r="B426" s="43"/>
      <c r="C426" s="31" t="s">
        <v>1021</v>
      </c>
      <c r="D426" s="31"/>
      <c r="E426" t="s">
        <v>1182</v>
      </c>
    </row>
    <row r="427" spans="1:5" x14ac:dyDescent="0.2">
      <c r="A427" s="51"/>
      <c r="B427" s="43"/>
      <c r="C427" s="31" t="s">
        <v>1022</v>
      </c>
      <c r="D427" s="31"/>
      <c r="E427" t="s">
        <v>1182</v>
      </c>
    </row>
    <row r="428" spans="1:5" x14ac:dyDescent="0.2">
      <c r="A428" s="51"/>
      <c r="B428" s="43"/>
      <c r="C428" s="31" t="s">
        <v>1023</v>
      </c>
      <c r="D428" s="31"/>
      <c r="E428" t="s">
        <v>1182</v>
      </c>
    </row>
    <row r="429" spans="1:5" x14ac:dyDescent="0.2">
      <c r="A429" s="51"/>
      <c r="B429" s="43"/>
      <c r="C429" s="31" t="s">
        <v>1024</v>
      </c>
      <c r="D429" s="31"/>
      <c r="E429" t="s">
        <v>1182</v>
      </c>
    </row>
    <row r="430" spans="1:5" x14ac:dyDescent="0.2">
      <c r="A430" s="51"/>
      <c r="B430" s="43"/>
      <c r="C430" s="31" t="s">
        <v>1025</v>
      </c>
      <c r="D430" s="31"/>
      <c r="E430" t="s">
        <v>1182</v>
      </c>
    </row>
    <row r="431" spans="1:5" x14ac:dyDescent="0.2">
      <c r="A431" s="51"/>
      <c r="B431" s="43"/>
      <c r="C431" s="31" t="s">
        <v>1026</v>
      </c>
      <c r="D431" s="31"/>
      <c r="E431" t="s">
        <v>1182</v>
      </c>
    </row>
    <row r="432" spans="1:5" x14ac:dyDescent="0.2">
      <c r="A432" s="51"/>
      <c r="B432" s="43"/>
      <c r="C432" s="31" t="s">
        <v>1027</v>
      </c>
      <c r="D432" s="31"/>
      <c r="E432" t="s">
        <v>1182</v>
      </c>
    </row>
    <row r="433" spans="1:5" x14ac:dyDescent="0.2">
      <c r="A433" s="51"/>
      <c r="B433" s="43"/>
      <c r="C433" s="31" t="s">
        <v>1083</v>
      </c>
      <c r="D433" s="31"/>
      <c r="E433" t="s">
        <v>1182</v>
      </c>
    </row>
    <row r="434" spans="1:5" x14ac:dyDescent="0.2">
      <c r="A434" s="51"/>
      <c r="B434" s="43"/>
      <c r="C434" s="31" t="s">
        <v>1084</v>
      </c>
      <c r="D434" s="31"/>
      <c r="E434" t="s">
        <v>1182</v>
      </c>
    </row>
    <row r="435" spans="1:5" x14ac:dyDescent="0.2">
      <c r="A435" s="51"/>
      <c r="B435" s="43"/>
      <c r="C435" s="31" t="s">
        <v>1085</v>
      </c>
      <c r="D435" s="31"/>
      <c r="E435" t="s">
        <v>1182</v>
      </c>
    </row>
    <row r="436" spans="1:5" x14ac:dyDescent="0.2">
      <c r="A436" s="51"/>
      <c r="B436" s="43"/>
      <c r="C436" s="31" t="s">
        <v>1086</v>
      </c>
      <c r="D436" s="31"/>
      <c r="E436" t="s">
        <v>1182</v>
      </c>
    </row>
    <row r="437" spans="1:5" x14ac:dyDescent="0.2">
      <c r="A437" s="51"/>
      <c r="B437" s="43"/>
      <c r="C437" s="31" t="s">
        <v>1087</v>
      </c>
      <c r="D437" s="31"/>
      <c r="E437" t="s">
        <v>1182</v>
      </c>
    </row>
    <row r="438" spans="1:5" x14ac:dyDescent="0.2">
      <c r="A438" s="51"/>
      <c r="B438" s="43"/>
      <c r="C438" s="31" t="s">
        <v>1088</v>
      </c>
      <c r="D438" s="31"/>
      <c r="E438" t="s">
        <v>1182</v>
      </c>
    </row>
    <row r="439" spans="1:5" x14ac:dyDescent="0.2">
      <c r="A439" s="51"/>
      <c r="B439" s="43"/>
      <c r="C439" s="31" t="s">
        <v>1089</v>
      </c>
      <c r="D439" s="31"/>
      <c r="E439" t="s">
        <v>1182</v>
      </c>
    </row>
    <row r="440" spans="1:5" x14ac:dyDescent="0.2">
      <c r="A440" s="51"/>
      <c r="B440" s="43"/>
      <c r="C440" s="31" t="s">
        <v>1090</v>
      </c>
      <c r="D440" s="31"/>
      <c r="E440" t="s">
        <v>1182</v>
      </c>
    </row>
    <row r="441" spans="1:5" x14ac:dyDescent="0.2">
      <c r="A441" s="51"/>
      <c r="B441" s="43"/>
      <c r="C441" s="31" t="s">
        <v>1028</v>
      </c>
      <c r="D441" s="31"/>
      <c r="E441" t="s">
        <v>1182</v>
      </c>
    </row>
    <row r="442" spans="1:5" x14ac:dyDescent="0.2">
      <c r="A442" s="51"/>
      <c r="B442" s="43"/>
      <c r="C442" s="31" t="s">
        <v>1029</v>
      </c>
      <c r="D442" s="31"/>
      <c r="E442" t="s">
        <v>1182</v>
      </c>
    </row>
    <row r="443" spans="1:5" x14ac:dyDescent="0.2">
      <c r="A443" s="51"/>
      <c r="B443" s="43"/>
      <c r="C443" s="31" t="s">
        <v>1030</v>
      </c>
      <c r="D443" s="31"/>
      <c r="E443" t="s">
        <v>1182</v>
      </c>
    </row>
    <row r="444" spans="1:5" x14ac:dyDescent="0.2">
      <c r="A444" s="51"/>
      <c r="B444" s="43"/>
      <c r="C444" s="31" t="s">
        <v>1031</v>
      </c>
      <c r="D444" s="31"/>
      <c r="E444" t="s">
        <v>1182</v>
      </c>
    </row>
    <row r="445" spans="1:5" x14ac:dyDescent="0.2">
      <c r="A445" s="51"/>
      <c r="B445" s="43"/>
      <c r="C445" s="31" t="s">
        <v>1032</v>
      </c>
      <c r="D445" s="31"/>
      <c r="E445" t="s">
        <v>1182</v>
      </c>
    </row>
    <row r="446" spans="1:5" x14ac:dyDescent="0.2">
      <c r="A446" s="51"/>
      <c r="B446" s="43"/>
      <c r="C446" s="31" t="s">
        <v>1033</v>
      </c>
      <c r="D446" s="31"/>
      <c r="E446" t="s">
        <v>1182</v>
      </c>
    </row>
    <row r="447" spans="1:5" x14ac:dyDescent="0.2">
      <c r="A447" s="51"/>
      <c r="B447" s="43"/>
      <c r="C447" s="31" t="s">
        <v>1034</v>
      </c>
      <c r="D447" s="31"/>
      <c r="E447" t="s">
        <v>1182</v>
      </c>
    </row>
    <row r="448" spans="1:5" x14ac:dyDescent="0.2">
      <c r="A448" s="51"/>
      <c r="B448" s="43"/>
      <c r="C448" s="31" t="s">
        <v>1035</v>
      </c>
      <c r="D448" s="31"/>
      <c r="E448" t="s">
        <v>1182</v>
      </c>
    </row>
    <row r="449" spans="1:5" x14ac:dyDescent="0.2">
      <c r="A449" s="51"/>
      <c r="B449" s="43"/>
      <c r="C449" s="31" t="s">
        <v>1091</v>
      </c>
      <c r="D449" s="31"/>
      <c r="E449" t="s">
        <v>1182</v>
      </c>
    </row>
    <row r="450" spans="1:5" x14ac:dyDescent="0.2">
      <c r="A450" s="51"/>
      <c r="B450" s="43"/>
      <c r="C450" s="31" t="s">
        <v>1092</v>
      </c>
      <c r="D450" s="31"/>
      <c r="E450" t="s">
        <v>1182</v>
      </c>
    </row>
    <row r="451" spans="1:5" x14ac:dyDescent="0.2">
      <c r="A451" s="51"/>
      <c r="B451" s="43"/>
      <c r="C451" s="31" t="s">
        <v>1093</v>
      </c>
      <c r="D451" s="31"/>
      <c r="E451" t="s">
        <v>1182</v>
      </c>
    </row>
    <row r="452" spans="1:5" x14ac:dyDescent="0.2">
      <c r="A452" s="51"/>
      <c r="B452" s="43"/>
      <c r="C452" s="31" t="s">
        <v>1094</v>
      </c>
      <c r="D452" s="31"/>
      <c r="E452" t="s">
        <v>1182</v>
      </c>
    </row>
    <row r="453" spans="1:5" x14ac:dyDescent="0.2">
      <c r="A453" s="51"/>
      <c r="B453" s="43"/>
      <c r="C453" s="31" t="s">
        <v>1095</v>
      </c>
      <c r="D453" s="31"/>
      <c r="E453" t="s">
        <v>1182</v>
      </c>
    </row>
    <row r="454" spans="1:5" x14ac:dyDescent="0.2">
      <c r="A454" s="51"/>
      <c r="B454" s="43"/>
      <c r="C454" s="31" t="s">
        <v>1096</v>
      </c>
      <c r="D454" s="31"/>
      <c r="E454" t="s">
        <v>1182</v>
      </c>
    </row>
    <row r="455" spans="1:5" x14ac:dyDescent="0.2">
      <c r="A455" s="51"/>
      <c r="B455" s="43"/>
      <c r="C455" s="31" t="s">
        <v>1097</v>
      </c>
      <c r="D455" s="31"/>
      <c r="E455" t="s">
        <v>1182</v>
      </c>
    </row>
    <row r="456" spans="1:5" x14ac:dyDescent="0.2">
      <c r="A456" s="51"/>
      <c r="B456" s="43"/>
      <c r="C456" s="31" t="s">
        <v>1098</v>
      </c>
      <c r="D456" s="31"/>
      <c r="E456" t="s">
        <v>1182</v>
      </c>
    </row>
    <row r="457" spans="1:5" x14ac:dyDescent="0.2">
      <c r="A457" s="51"/>
      <c r="B457" s="43"/>
      <c r="C457" s="31" t="s">
        <v>1099</v>
      </c>
      <c r="D457" s="31"/>
      <c r="E457" t="s">
        <v>1182</v>
      </c>
    </row>
    <row r="458" spans="1:5" x14ac:dyDescent="0.2">
      <c r="A458" s="51"/>
      <c r="B458" s="43"/>
      <c r="C458" s="31" t="s">
        <v>1100</v>
      </c>
      <c r="D458" s="31"/>
      <c r="E458" t="s">
        <v>1182</v>
      </c>
    </row>
    <row r="459" spans="1:5" x14ac:dyDescent="0.2">
      <c r="A459" s="51"/>
      <c r="B459" s="43"/>
      <c r="C459" s="31" t="s">
        <v>1101</v>
      </c>
      <c r="D459" s="31"/>
      <c r="E459" t="s">
        <v>1182</v>
      </c>
    </row>
    <row r="460" spans="1:5" x14ac:dyDescent="0.2">
      <c r="A460" s="51"/>
      <c r="B460" s="43"/>
      <c r="C460" s="31" t="s">
        <v>1102</v>
      </c>
      <c r="D460" s="31"/>
      <c r="E460" t="s">
        <v>1182</v>
      </c>
    </row>
    <row r="461" spans="1:5" x14ac:dyDescent="0.2">
      <c r="A461" s="51"/>
      <c r="B461" s="43"/>
      <c r="C461" s="31" t="s">
        <v>1103</v>
      </c>
      <c r="D461" s="31"/>
      <c r="E461" t="s">
        <v>1182</v>
      </c>
    </row>
    <row r="462" spans="1:5" x14ac:dyDescent="0.2">
      <c r="A462" s="51"/>
      <c r="B462" s="43"/>
      <c r="C462" s="31" t="s">
        <v>1104</v>
      </c>
      <c r="D462" s="31"/>
      <c r="E462" t="s">
        <v>1182</v>
      </c>
    </row>
    <row r="463" spans="1:5" x14ac:dyDescent="0.2">
      <c r="A463" s="51"/>
      <c r="B463" s="43"/>
      <c r="C463" s="31" t="s">
        <v>1105</v>
      </c>
      <c r="D463" s="31"/>
      <c r="E463" t="s">
        <v>1182</v>
      </c>
    </row>
    <row r="464" spans="1:5" x14ac:dyDescent="0.2">
      <c r="A464" s="51"/>
      <c r="B464" s="43"/>
      <c r="C464" s="31" t="s">
        <v>1106</v>
      </c>
      <c r="D464" s="31"/>
      <c r="E464" t="s">
        <v>1182</v>
      </c>
    </row>
    <row r="465" spans="1:5" x14ac:dyDescent="0.2">
      <c r="A465" s="51"/>
      <c r="B465" s="43"/>
      <c r="C465" s="31" t="s">
        <v>1107</v>
      </c>
      <c r="D465" s="31"/>
      <c r="E465" t="s">
        <v>1182</v>
      </c>
    </row>
    <row r="466" spans="1:5" x14ac:dyDescent="0.2">
      <c r="A466" s="51"/>
      <c r="B466" s="43"/>
      <c r="C466" s="31" t="s">
        <v>1108</v>
      </c>
      <c r="D466" s="31"/>
      <c r="E466" t="s">
        <v>1182</v>
      </c>
    </row>
    <row r="467" spans="1:5" x14ac:dyDescent="0.2">
      <c r="A467" s="51"/>
      <c r="B467" s="43"/>
      <c r="C467" s="31" t="s">
        <v>1109</v>
      </c>
      <c r="D467" s="31"/>
      <c r="E467" t="s">
        <v>1182</v>
      </c>
    </row>
    <row r="468" spans="1:5" x14ac:dyDescent="0.2">
      <c r="A468" s="51"/>
      <c r="B468" s="43"/>
      <c r="C468" s="31" t="s">
        <v>1110</v>
      </c>
      <c r="D468" s="31"/>
      <c r="E468" t="s">
        <v>1182</v>
      </c>
    </row>
    <row r="469" spans="1:5" x14ac:dyDescent="0.2">
      <c r="A469" s="51"/>
      <c r="B469" s="43"/>
      <c r="C469" s="31" t="s">
        <v>1111</v>
      </c>
      <c r="D469" s="31"/>
      <c r="E469" t="s">
        <v>1182</v>
      </c>
    </row>
    <row r="470" spans="1:5" x14ac:dyDescent="0.2">
      <c r="A470" s="51"/>
      <c r="B470" s="43"/>
      <c r="C470" s="31" t="s">
        <v>1112</v>
      </c>
      <c r="D470" s="31"/>
      <c r="E470" t="s">
        <v>1182</v>
      </c>
    </row>
    <row r="471" spans="1:5" x14ac:dyDescent="0.2">
      <c r="A471" s="51"/>
      <c r="B471" s="43"/>
      <c r="C471" s="31" t="s">
        <v>1113</v>
      </c>
      <c r="D471" s="31"/>
      <c r="E471" t="s">
        <v>1182</v>
      </c>
    </row>
    <row r="472" spans="1:5" x14ac:dyDescent="0.2">
      <c r="A472" s="51"/>
      <c r="B472" s="43"/>
      <c r="C472" s="31" t="s">
        <v>1114</v>
      </c>
      <c r="D472" s="31"/>
      <c r="E472" t="s">
        <v>1182</v>
      </c>
    </row>
    <row r="473" spans="1:5" x14ac:dyDescent="0.2">
      <c r="A473" s="51"/>
      <c r="B473" s="43"/>
      <c r="C473" s="31" t="s">
        <v>1115</v>
      </c>
      <c r="D473" s="31"/>
      <c r="E473" t="s">
        <v>1182</v>
      </c>
    </row>
    <row r="474" spans="1:5" x14ac:dyDescent="0.2">
      <c r="A474" s="51"/>
      <c r="B474" s="43"/>
      <c r="C474" s="31" t="s">
        <v>1116</v>
      </c>
      <c r="D474" s="31"/>
      <c r="E474" t="s">
        <v>1182</v>
      </c>
    </row>
    <row r="475" spans="1:5" x14ac:dyDescent="0.2">
      <c r="A475" s="51"/>
      <c r="B475" s="43"/>
      <c r="C475" s="31" t="s">
        <v>1117</v>
      </c>
      <c r="D475" s="31"/>
      <c r="E475" t="s">
        <v>1182</v>
      </c>
    </row>
    <row r="476" spans="1:5" x14ac:dyDescent="0.2">
      <c r="A476" s="51"/>
      <c r="B476" s="43"/>
      <c r="C476" s="31" t="s">
        <v>1118</v>
      </c>
      <c r="D476" s="31"/>
      <c r="E476" t="s">
        <v>1182</v>
      </c>
    </row>
    <row r="477" spans="1:5" x14ac:dyDescent="0.2">
      <c r="A477" s="51"/>
      <c r="B477" s="43"/>
      <c r="C477" s="31" t="s">
        <v>1119</v>
      </c>
      <c r="D477" s="31"/>
      <c r="E477" t="s">
        <v>1182</v>
      </c>
    </row>
    <row r="478" spans="1:5" x14ac:dyDescent="0.2">
      <c r="A478" s="51"/>
      <c r="B478" s="43"/>
      <c r="C478" s="31" t="s">
        <v>1120</v>
      </c>
      <c r="D478" s="31"/>
      <c r="E478" t="s">
        <v>1182</v>
      </c>
    </row>
    <row r="479" spans="1:5" x14ac:dyDescent="0.2">
      <c r="A479" s="51"/>
      <c r="B479" s="43"/>
      <c r="C479" s="31" t="s">
        <v>1121</v>
      </c>
      <c r="D479" s="31"/>
      <c r="E479" t="s">
        <v>1182</v>
      </c>
    </row>
    <row r="480" spans="1:5" x14ac:dyDescent="0.2">
      <c r="A480" s="51"/>
      <c r="B480" s="43"/>
      <c r="C480" s="31" t="s">
        <v>1122</v>
      </c>
      <c r="D480" s="31"/>
      <c r="E480" t="s">
        <v>1182</v>
      </c>
    </row>
    <row r="481" spans="1:5" x14ac:dyDescent="0.2">
      <c r="A481" s="51"/>
      <c r="B481" s="43"/>
      <c r="C481" s="31" t="s">
        <v>1036</v>
      </c>
      <c r="D481" s="31"/>
      <c r="E481" t="s">
        <v>1182</v>
      </c>
    </row>
    <row r="482" spans="1:5" x14ac:dyDescent="0.2">
      <c r="A482" s="51"/>
      <c r="B482" s="43"/>
      <c r="C482" s="31" t="s">
        <v>1037</v>
      </c>
      <c r="D482" s="31"/>
      <c r="E482" t="s">
        <v>1182</v>
      </c>
    </row>
    <row r="483" spans="1:5" x14ac:dyDescent="0.2">
      <c r="A483" s="51"/>
      <c r="B483" s="43"/>
      <c r="C483" s="31" t="s">
        <v>1038</v>
      </c>
      <c r="D483" s="31"/>
      <c r="E483" t="s">
        <v>1182</v>
      </c>
    </row>
    <row r="484" spans="1:5" x14ac:dyDescent="0.2">
      <c r="A484" s="51"/>
      <c r="B484" s="43"/>
      <c r="C484" s="31" t="s">
        <v>1039</v>
      </c>
      <c r="D484" s="31"/>
      <c r="E484" t="s">
        <v>1182</v>
      </c>
    </row>
    <row r="485" spans="1:5" x14ac:dyDescent="0.2">
      <c r="A485" s="51"/>
      <c r="B485" s="43"/>
      <c r="C485" s="31" t="s">
        <v>1040</v>
      </c>
      <c r="D485" s="31"/>
      <c r="E485" t="s">
        <v>1182</v>
      </c>
    </row>
    <row r="486" spans="1:5" x14ac:dyDescent="0.2">
      <c r="A486" s="51"/>
      <c r="B486" s="43"/>
      <c r="C486" s="31" t="s">
        <v>1041</v>
      </c>
      <c r="D486" s="31"/>
      <c r="E486" t="s">
        <v>1182</v>
      </c>
    </row>
    <row r="487" spans="1:5" x14ac:dyDescent="0.2">
      <c r="A487" s="51"/>
      <c r="B487" s="43"/>
      <c r="C487" s="31" t="s">
        <v>1042</v>
      </c>
      <c r="D487" s="31"/>
      <c r="E487" t="s">
        <v>1182</v>
      </c>
    </row>
    <row r="488" spans="1:5" x14ac:dyDescent="0.2">
      <c r="A488" s="51"/>
      <c r="B488" s="43"/>
      <c r="C488" s="31" t="s">
        <v>1043</v>
      </c>
      <c r="D488" s="31"/>
      <c r="E488" t="s">
        <v>1182</v>
      </c>
    </row>
    <row r="489" spans="1:5" x14ac:dyDescent="0.2">
      <c r="A489" s="51"/>
      <c r="B489" s="43"/>
      <c r="C489" s="31" t="s">
        <v>102</v>
      </c>
      <c r="D489" s="31"/>
    </row>
    <row r="490" spans="1:5" x14ac:dyDescent="0.2">
      <c r="A490" s="51"/>
      <c r="B490" s="43"/>
      <c r="C490" s="31" t="s">
        <v>764</v>
      </c>
      <c r="D490" s="31"/>
    </row>
    <row r="491" spans="1:5" x14ac:dyDescent="0.2">
      <c r="A491" s="51"/>
      <c r="B491" s="43"/>
      <c r="C491" s="31" t="s">
        <v>760</v>
      </c>
      <c r="D491" s="31"/>
    </row>
    <row r="492" spans="1:5" x14ac:dyDescent="0.2">
      <c r="A492" s="51"/>
      <c r="B492" s="43"/>
      <c r="C492" s="31" t="s">
        <v>761</v>
      </c>
      <c r="D492" s="31"/>
    </row>
    <row r="493" spans="1:5" x14ac:dyDescent="0.2">
      <c r="A493" s="51"/>
      <c r="B493" s="43"/>
      <c r="C493" s="31" t="s">
        <v>762</v>
      </c>
      <c r="D493" s="31"/>
    </row>
    <row r="494" spans="1:5" x14ac:dyDescent="0.2">
      <c r="A494" s="51"/>
      <c r="B494" s="43"/>
      <c r="C494" s="31" t="s">
        <v>759</v>
      </c>
      <c r="D494" s="31"/>
    </row>
    <row r="495" spans="1:5" x14ac:dyDescent="0.2">
      <c r="A495" s="51"/>
      <c r="B495" s="43"/>
      <c r="C495" s="31" t="s">
        <v>765</v>
      </c>
      <c r="D495" s="31"/>
    </row>
    <row r="496" spans="1:5" x14ac:dyDescent="0.2">
      <c r="A496" s="51"/>
      <c r="B496" s="43"/>
      <c r="C496" s="31" t="s">
        <v>766</v>
      </c>
      <c r="D496" s="31"/>
    </row>
    <row r="497" spans="1:4" x14ac:dyDescent="0.2">
      <c r="A497" s="51"/>
      <c r="B497" s="43"/>
      <c r="C497" s="31" t="s">
        <v>763</v>
      </c>
      <c r="D497" s="31"/>
    </row>
    <row r="498" spans="1:4" x14ac:dyDescent="0.2">
      <c r="A498" s="53"/>
      <c r="B498" s="44"/>
      <c r="C498" s="31" t="s">
        <v>130</v>
      </c>
      <c r="D498" s="31"/>
    </row>
    <row r="499" spans="1:4" x14ac:dyDescent="0.2">
      <c r="A499" s="33"/>
      <c r="B499" s="80" t="s">
        <v>626</v>
      </c>
      <c r="C499" s="29" t="s">
        <v>156</v>
      </c>
      <c r="D499" s="29"/>
    </row>
    <row r="500" spans="1:4" x14ac:dyDescent="0.2">
      <c r="A500" s="38"/>
      <c r="B500" s="80"/>
      <c r="C500" s="29" t="s">
        <v>665</v>
      </c>
      <c r="D500" s="29"/>
    </row>
    <row r="501" spans="1:4" x14ac:dyDescent="0.2">
      <c r="A501" s="38"/>
      <c r="B501" s="80"/>
      <c r="C501" s="29" t="s">
        <v>664</v>
      </c>
      <c r="D501" s="29"/>
    </row>
    <row r="502" spans="1:4" x14ac:dyDescent="0.2">
      <c r="A502" s="38"/>
      <c r="B502" s="80"/>
      <c r="C502" s="29" t="s">
        <v>379</v>
      </c>
      <c r="D502" s="29"/>
    </row>
    <row r="503" spans="1:4" x14ac:dyDescent="0.2">
      <c r="A503" s="38"/>
      <c r="B503" s="80"/>
      <c r="C503" s="29" t="s">
        <v>380</v>
      </c>
      <c r="D503" s="29"/>
    </row>
    <row r="504" spans="1:4" x14ac:dyDescent="0.2">
      <c r="A504" s="38"/>
      <c r="B504" s="80"/>
      <c r="C504" s="29" t="s">
        <v>79</v>
      </c>
      <c r="D504" s="29"/>
    </row>
    <row r="505" spans="1:4" x14ac:dyDescent="0.2">
      <c r="A505" s="38"/>
      <c r="B505" s="80"/>
      <c r="C505" s="29" t="s">
        <v>381</v>
      </c>
      <c r="D505" s="29"/>
    </row>
    <row r="506" spans="1:4" x14ac:dyDescent="0.2">
      <c r="A506" s="38"/>
      <c r="B506" s="80"/>
      <c r="C506" s="29" t="s">
        <v>72</v>
      </c>
      <c r="D506" s="29"/>
    </row>
    <row r="507" spans="1:4" x14ac:dyDescent="0.2">
      <c r="A507" s="38"/>
      <c r="B507" s="80"/>
      <c r="C507" s="29" t="s">
        <v>97</v>
      </c>
      <c r="D507" s="29"/>
    </row>
    <row r="508" spans="1:4" x14ac:dyDescent="0.2">
      <c r="A508" s="38"/>
      <c r="B508" s="80"/>
      <c r="C508" s="29" t="s">
        <v>98</v>
      </c>
      <c r="D508" s="29"/>
    </row>
    <row r="509" spans="1:4" x14ac:dyDescent="0.2">
      <c r="A509" s="38"/>
      <c r="B509" s="80"/>
      <c r="C509" s="29" t="s">
        <v>377</v>
      </c>
      <c r="D509" s="29"/>
    </row>
    <row r="510" spans="1:4" x14ac:dyDescent="0.2">
      <c r="A510" s="38"/>
      <c r="B510" s="80"/>
      <c r="C510" s="29" t="s">
        <v>378</v>
      </c>
      <c r="D510" s="29"/>
    </row>
    <row r="511" spans="1:4" x14ac:dyDescent="0.2">
      <c r="A511" s="38"/>
      <c r="B511" s="80"/>
      <c r="C511" s="29" t="s">
        <v>382</v>
      </c>
      <c r="D511" s="29"/>
    </row>
    <row r="512" spans="1:4" x14ac:dyDescent="0.2">
      <c r="A512" s="38"/>
      <c r="B512" s="80"/>
      <c r="C512" s="29" t="s">
        <v>163</v>
      </c>
      <c r="D512" s="29"/>
    </row>
    <row r="513" spans="1:4" x14ac:dyDescent="0.2">
      <c r="A513" s="38"/>
      <c r="B513" s="80"/>
      <c r="C513" s="29" t="s">
        <v>102</v>
      </c>
      <c r="D513" s="29"/>
    </row>
    <row r="514" spans="1:4" x14ac:dyDescent="0.2">
      <c r="A514" s="51"/>
      <c r="B514" s="42" t="s">
        <v>623</v>
      </c>
      <c r="C514" s="31" t="s">
        <v>55</v>
      </c>
      <c r="D514" s="31"/>
    </row>
    <row r="515" spans="1:4" x14ac:dyDescent="0.2">
      <c r="A515" s="53"/>
      <c r="B515" s="44"/>
      <c r="C515" s="31" t="s">
        <v>62</v>
      </c>
      <c r="D515" s="31"/>
    </row>
    <row r="516" spans="1:4" x14ac:dyDescent="0.2">
      <c r="A516" s="38"/>
      <c r="B516" s="80" t="s">
        <v>282</v>
      </c>
      <c r="C516" s="29" t="s">
        <v>283</v>
      </c>
      <c r="D516" s="29"/>
    </row>
    <row r="517" spans="1:4" x14ac:dyDescent="0.2">
      <c r="A517" s="38"/>
      <c r="B517" s="80"/>
      <c r="C517" s="29" t="s">
        <v>229</v>
      </c>
      <c r="D517" s="29"/>
    </row>
    <row r="518" spans="1:4" x14ac:dyDescent="0.2">
      <c r="A518" s="38"/>
      <c r="B518" s="80"/>
      <c r="C518" s="29" t="s">
        <v>230</v>
      </c>
      <c r="D518" s="29"/>
    </row>
    <row r="519" spans="1:4" x14ac:dyDescent="0.2">
      <c r="A519" s="38"/>
      <c r="B519" s="80"/>
      <c r="C519" s="29" t="s">
        <v>231</v>
      </c>
      <c r="D519" s="29"/>
    </row>
    <row r="520" spans="1:4" x14ac:dyDescent="0.2">
      <c r="A520" s="52"/>
      <c r="B520" s="42" t="s">
        <v>20</v>
      </c>
      <c r="C520" s="31" t="s">
        <v>594</v>
      </c>
      <c r="D520" s="31"/>
    </row>
    <row r="521" spans="1:4" x14ac:dyDescent="0.2">
      <c r="A521" s="51"/>
      <c r="B521" s="43"/>
      <c r="C521" s="31" t="s">
        <v>595</v>
      </c>
      <c r="D521" s="31"/>
    </row>
    <row r="522" spans="1:4" x14ac:dyDescent="0.2">
      <c r="A522" s="51"/>
      <c r="B522" s="43"/>
      <c r="C522" s="31" t="s">
        <v>427</v>
      </c>
      <c r="D522" s="31"/>
    </row>
    <row r="523" spans="1:4" x14ac:dyDescent="0.2">
      <c r="A523" s="51"/>
      <c r="B523" s="43"/>
      <c r="C523" s="31" t="s">
        <v>428</v>
      </c>
      <c r="D523" s="31"/>
    </row>
    <row r="524" spans="1:4" x14ac:dyDescent="0.2">
      <c r="A524" s="51"/>
      <c r="B524" s="43"/>
      <c r="C524" s="31" t="s">
        <v>91</v>
      </c>
      <c r="D524" s="31"/>
    </row>
    <row r="525" spans="1:4" x14ac:dyDescent="0.2">
      <c r="A525" s="51"/>
      <c r="B525" s="43"/>
      <c r="C525" s="31" t="s">
        <v>80</v>
      </c>
      <c r="D525" s="31"/>
    </row>
    <row r="526" spans="1:4" x14ac:dyDescent="0.2">
      <c r="A526" s="51"/>
      <c r="B526" s="43"/>
      <c r="C526" s="31" t="s">
        <v>108</v>
      </c>
      <c r="D526" s="31"/>
    </row>
    <row r="527" spans="1:4" x14ac:dyDescent="0.2">
      <c r="A527" s="51"/>
      <c r="B527" s="43"/>
      <c r="C527" s="31" t="s">
        <v>596</v>
      </c>
      <c r="D527" s="31"/>
    </row>
    <row r="528" spans="1:4" x14ac:dyDescent="0.2">
      <c r="A528" s="51"/>
      <c r="B528" s="43"/>
      <c r="C528" s="31" t="s">
        <v>465</v>
      </c>
      <c r="D528" s="31"/>
    </row>
    <row r="529" spans="1:4" x14ac:dyDescent="0.2">
      <c r="A529" s="51"/>
      <c r="B529" s="43"/>
      <c r="C529" s="31" t="s">
        <v>98</v>
      </c>
      <c r="D529" s="31"/>
    </row>
    <row r="530" spans="1:4" x14ac:dyDescent="0.2">
      <c r="B530" s="43"/>
      <c r="C530" s="31" t="s">
        <v>425</v>
      </c>
      <c r="D530" s="31"/>
    </row>
    <row r="531" spans="1:4" ht="15" x14ac:dyDescent="0.25">
      <c r="A531" s="51"/>
      <c r="B531" s="43"/>
      <c r="C531" s="31" t="s">
        <v>614</v>
      </c>
      <c r="D531" s="31" t="s">
        <v>920</v>
      </c>
    </row>
    <row r="532" spans="1:4" ht="15" x14ac:dyDescent="0.25">
      <c r="A532" s="51"/>
      <c r="B532" s="43"/>
      <c r="C532" s="31" t="s">
        <v>615</v>
      </c>
      <c r="D532" s="31" t="s">
        <v>920</v>
      </c>
    </row>
    <row r="533" spans="1:4" ht="15" x14ac:dyDescent="0.25">
      <c r="A533" s="51"/>
      <c r="B533" s="43"/>
      <c r="C533" s="31" t="s">
        <v>616</v>
      </c>
      <c r="D533" s="31" t="s">
        <v>920</v>
      </c>
    </row>
    <row r="534" spans="1:4" x14ac:dyDescent="0.2">
      <c r="A534" s="51"/>
      <c r="B534" s="43"/>
      <c r="C534" s="31" t="s">
        <v>58</v>
      </c>
      <c r="D534" s="31"/>
    </row>
    <row r="535" spans="1:4" x14ac:dyDescent="0.2">
      <c r="A535" s="51"/>
      <c r="B535" s="43"/>
      <c r="C535" s="31" t="s">
        <v>103</v>
      </c>
      <c r="D535" s="31"/>
    </row>
    <row r="536" spans="1:4" x14ac:dyDescent="0.2">
      <c r="A536" s="51"/>
      <c r="B536" s="43"/>
      <c r="C536" s="31" t="s">
        <v>45</v>
      </c>
      <c r="D536" s="31"/>
    </row>
    <row r="537" spans="1:4" x14ac:dyDescent="0.2">
      <c r="A537" s="51"/>
      <c r="B537" s="43"/>
      <c r="C537" s="31" t="s">
        <v>426</v>
      </c>
      <c r="D537" s="31"/>
    </row>
    <row r="538" spans="1:4" x14ac:dyDescent="0.2">
      <c r="A538" s="51"/>
      <c r="B538" s="43"/>
      <c r="C538" s="31" t="s">
        <v>744</v>
      </c>
      <c r="D538" s="31"/>
    </row>
    <row r="539" spans="1:4" x14ac:dyDescent="0.2">
      <c r="A539" s="51"/>
      <c r="B539" s="43"/>
      <c r="C539" s="31" t="s">
        <v>86</v>
      </c>
      <c r="D539" s="31"/>
    </row>
    <row r="540" spans="1:4" x14ac:dyDescent="0.2">
      <c r="A540" s="51"/>
      <c r="B540" s="43"/>
      <c r="C540" s="31" t="s">
        <v>677</v>
      </c>
      <c r="D540" s="31"/>
    </row>
    <row r="541" spans="1:4" x14ac:dyDescent="0.2">
      <c r="A541" s="51"/>
      <c r="B541" s="43"/>
      <c r="C541" s="31" t="s">
        <v>743</v>
      </c>
      <c r="D541" s="31"/>
    </row>
    <row r="542" spans="1:4" x14ac:dyDescent="0.2">
      <c r="A542" s="51"/>
      <c r="B542" s="43"/>
      <c r="C542" s="31" t="s">
        <v>163</v>
      </c>
      <c r="D542" s="31"/>
    </row>
    <row r="543" spans="1:4" x14ac:dyDescent="0.2">
      <c r="A543" s="51"/>
      <c r="B543" s="43"/>
      <c r="C543" s="31" t="s">
        <v>102</v>
      </c>
      <c r="D543" s="32"/>
    </row>
    <row r="544" spans="1:4" x14ac:dyDescent="0.2">
      <c r="A544" s="37"/>
      <c r="B544" s="33" t="s">
        <v>850</v>
      </c>
      <c r="C544" s="29" t="s">
        <v>55</v>
      </c>
      <c r="D544" s="29"/>
    </row>
    <row r="545" spans="1:4" x14ac:dyDescent="0.2">
      <c r="A545" s="38"/>
      <c r="B545" s="80"/>
      <c r="C545" s="29" t="s">
        <v>62</v>
      </c>
      <c r="D545" s="29"/>
    </row>
    <row r="546" spans="1:4" x14ac:dyDescent="0.2">
      <c r="A546" s="51"/>
      <c r="B546" s="42" t="s">
        <v>420</v>
      </c>
      <c r="C546" s="31" t="s">
        <v>444</v>
      </c>
      <c r="D546" s="31"/>
    </row>
    <row r="547" spans="1:4" x14ac:dyDescent="0.2">
      <c r="A547" s="51"/>
      <c r="B547" s="43"/>
      <c r="C547" s="31" t="s">
        <v>439</v>
      </c>
      <c r="D547" s="31"/>
    </row>
    <row r="548" spans="1:4" x14ac:dyDescent="0.2">
      <c r="A548" s="51"/>
      <c r="B548" s="43"/>
      <c r="C548" s="31" t="s">
        <v>423</v>
      </c>
      <c r="D548" s="31"/>
    </row>
    <row r="549" spans="1:4" x14ac:dyDescent="0.2">
      <c r="A549" s="51"/>
      <c r="B549" s="43"/>
      <c r="C549" s="31" t="s">
        <v>422</v>
      </c>
      <c r="D549" s="31"/>
    </row>
    <row r="550" spans="1:4" x14ac:dyDescent="0.2">
      <c r="A550" s="51"/>
      <c r="B550" s="43"/>
      <c r="C550" s="31" t="s">
        <v>424</v>
      </c>
      <c r="D550" s="31"/>
    </row>
    <row r="551" spans="1:4" x14ac:dyDescent="0.2">
      <c r="A551" s="37"/>
      <c r="B551" s="33" t="s">
        <v>674</v>
      </c>
      <c r="C551" s="29" t="s">
        <v>55</v>
      </c>
      <c r="D551" s="29"/>
    </row>
    <row r="552" spans="1:4" x14ac:dyDescent="0.2">
      <c r="A552" s="38"/>
      <c r="B552" s="80"/>
      <c r="C552" s="29" t="s">
        <v>62</v>
      </c>
      <c r="D552" s="29"/>
    </row>
    <row r="553" spans="1:4" x14ac:dyDescent="0.2">
      <c r="A553" s="39"/>
      <c r="B553" s="42" t="s">
        <v>817</v>
      </c>
      <c r="C553" s="31" t="s">
        <v>818</v>
      </c>
      <c r="D553" s="31"/>
    </row>
    <row r="554" spans="1:4" x14ac:dyDescent="0.2">
      <c r="A554" s="40"/>
      <c r="B554" s="40"/>
      <c r="C554" s="31" t="s">
        <v>819</v>
      </c>
      <c r="D554" s="31"/>
    </row>
    <row r="555" spans="1:4" x14ac:dyDescent="0.2">
      <c r="A555" s="40"/>
      <c r="B555" s="40"/>
      <c r="C555" s="31" t="s">
        <v>820</v>
      </c>
      <c r="D555" s="31"/>
    </row>
    <row r="556" spans="1:4" x14ac:dyDescent="0.2">
      <c r="A556" s="40"/>
      <c r="B556" s="40"/>
      <c r="C556" s="31" t="s">
        <v>821</v>
      </c>
      <c r="D556" s="31"/>
    </row>
    <row r="557" spans="1:4" x14ac:dyDescent="0.2">
      <c r="A557" s="40"/>
      <c r="B557" s="40"/>
      <c r="C557" s="31" t="s">
        <v>822</v>
      </c>
      <c r="D557" s="31"/>
    </row>
    <row r="558" spans="1:4" x14ac:dyDescent="0.2">
      <c r="A558" s="40"/>
      <c r="B558" s="40"/>
      <c r="C558" s="31" t="s">
        <v>823</v>
      </c>
      <c r="D558" s="31"/>
    </row>
    <row r="559" spans="1:4" x14ac:dyDescent="0.2">
      <c r="A559" s="40"/>
      <c r="B559" s="40"/>
      <c r="C559" s="31" t="s">
        <v>824</v>
      </c>
      <c r="D559" s="31"/>
    </row>
    <row r="560" spans="1:4" x14ac:dyDescent="0.2">
      <c r="A560" s="40"/>
      <c r="B560" s="40"/>
      <c r="C560" s="31" t="s">
        <v>825</v>
      </c>
      <c r="D560" s="31"/>
    </row>
    <row r="561" spans="1:4" x14ac:dyDescent="0.2">
      <c r="A561" s="40"/>
      <c r="B561" s="40"/>
      <c r="C561" s="31" t="s">
        <v>826</v>
      </c>
      <c r="D561" s="31"/>
    </row>
    <row r="562" spans="1:4" x14ac:dyDescent="0.2">
      <c r="A562" s="40"/>
      <c r="B562" s="40"/>
      <c r="C562" s="31" t="s">
        <v>827</v>
      </c>
      <c r="D562" s="31"/>
    </row>
    <row r="563" spans="1:4" x14ac:dyDescent="0.2">
      <c r="A563" s="40"/>
      <c r="B563" s="40"/>
      <c r="C563" s="31" t="s">
        <v>828</v>
      </c>
      <c r="D563" s="31"/>
    </row>
    <row r="564" spans="1:4" x14ac:dyDescent="0.2">
      <c r="A564" s="40"/>
      <c r="B564" s="40"/>
      <c r="C564" s="31" t="s">
        <v>829</v>
      </c>
      <c r="D564" s="31"/>
    </row>
    <row r="565" spans="1:4" x14ac:dyDescent="0.2">
      <c r="A565" s="40"/>
      <c r="B565" s="40"/>
      <c r="C565" s="31" t="s">
        <v>830</v>
      </c>
      <c r="D565" s="31"/>
    </row>
    <row r="566" spans="1:4" x14ac:dyDescent="0.2">
      <c r="A566" s="40"/>
      <c r="B566" s="40"/>
      <c r="C566" s="31" t="s">
        <v>831</v>
      </c>
      <c r="D566" s="31"/>
    </row>
    <row r="567" spans="1:4" x14ac:dyDescent="0.2">
      <c r="A567" s="40"/>
      <c r="B567" s="40"/>
      <c r="C567" s="31" t="s">
        <v>832</v>
      </c>
      <c r="D567" s="31"/>
    </row>
    <row r="568" spans="1:4" x14ac:dyDescent="0.2">
      <c r="A568" s="40"/>
      <c r="B568" s="40"/>
      <c r="C568" s="31" t="s">
        <v>833</v>
      </c>
      <c r="D568" s="31"/>
    </row>
    <row r="569" spans="1:4" x14ac:dyDescent="0.2">
      <c r="A569" s="40"/>
      <c r="B569" s="40"/>
      <c r="C569" s="31" t="s">
        <v>834</v>
      </c>
      <c r="D569" s="31"/>
    </row>
    <row r="570" spans="1:4" x14ac:dyDescent="0.2">
      <c r="A570" s="40"/>
      <c r="B570" s="40"/>
      <c r="C570" s="31" t="s">
        <v>835</v>
      </c>
      <c r="D570" s="31"/>
    </row>
    <row r="571" spans="1:4" x14ac:dyDescent="0.2">
      <c r="A571" s="40"/>
      <c r="B571" s="40"/>
      <c r="C571" s="31" t="s">
        <v>836</v>
      </c>
      <c r="D571" s="31"/>
    </row>
    <row r="572" spans="1:4" x14ac:dyDescent="0.2">
      <c r="A572" s="40"/>
      <c r="B572" s="40"/>
      <c r="C572" s="31" t="s">
        <v>837</v>
      </c>
      <c r="D572" s="31"/>
    </row>
    <row r="573" spans="1:4" x14ac:dyDescent="0.2">
      <c r="A573" s="40"/>
      <c r="B573" s="40"/>
      <c r="C573" s="31" t="s">
        <v>838</v>
      </c>
      <c r="D573" s="31"/>
    </row>
    <row r="574" spans="1:4" x14ac:dyDescent="0.2">
      <c r="A574" s="40"/>
      <c r="B574" s="40"/>
      <c r="C574" s="31" t="s">
        <v>839</v>
      </c>
      <c r="D574" s="31"/>
    </row>
    <row r="575" spans="1:4" x14ac:dyDescent="0.2">
      <c r="A575" s="40"/>
      <c r="B575" s="40"/>
      <c r="C575" s="31" t="s">
        <v>840</v>
      </c>
      <c r="D575" s="31"/>
    </row>
    <row r="576" spans="1:4" x14ac:dyDescent="0.2">
      <c r="A576" s="40"/>
      <c r="B576" s="40"/>
      <c r="C576" s="31" t="s">
        <v>841</v>
      </c>
      <c r="D576" s="31"/>
    </row>
    <row r="577" spans="1:5" x14ac:dyDescent="0.2">
      <c r="A577" s="40"/>
      <c r="B577" s="40"/>
      <c r="C577" s="31" t="s">
        <v>842</v>
      </c>
      <c r="D577" s="31"/>
    </row>
    <row r="578" spans="1:5" x14ac:dyDescent="0.2">
      <c r="A578" s="40"/>
      <c r="B578" s="40"/>
      <c r="C578" s="31" t="s">
        <v>843</v>
      </c>
      <c r="D578" s="31"/>
    </row>
    <row r="579" spans="1:5" x14ac:dyDescent="0.2">
      <c r="A579" s="40"/>
      <c r="B579" s="40"/>
      <c r="C579" s="31" t="s">
        <v>844</v>
      </c>
      <c r="D579" s="31"/>
    </row>
    <row r="580" spans="1:5" x14ac:dyDescent="0.2">
      <c r="A580" s="40"/>
      <c r="B580" s="40"/>
      <c r="C580" s="31" t="s">
        <v>1184</v>
      </c>
      <c r="D580" s="31"/>
      <c r="E580" t="s">
        <v>1182</v>
      </c>
    </row>
    <row r="581" spans="1:5" x14ac:dyDescent="0.2">
      <c r="A581" s="40"/>
      <c r="B581" s="40"/>
      <c r="C581" s="31" t="s">
        <v>1185</v>
      </c>
      <c r="D581" s="31"/>
      <c r="E581" t="s">
        <v>1182</v>
      </c>
    </row>
    <row r="582" spans="1:5" x14ac:dyDescent="0.2">
      <c r="A582" s="40"/>
      <c r="B582" s="40"/>
      <c r="C582" s="31" t="s">
        <v>851</v>
      </c>
      <c r="D582" s="31"/>
    </row>
    <row r="583" spans="1:5" x14ac:dyDescent="0.2">
      <c r="A583" s="40"/>
      <c r="B583" s="40"/>
      <c r="C583" s="31" t="s">
        <v>852</v>
      </c>
      <c r="D583" s="31"/>
    </row>
    <row r="584" spans="1:5" x14ac:dyDescent="0.2">
      <c r="A584" s="40"/>
      <c r="B584" s="40"/>
      <c r="C584" s="31" t="s">
        <v>853</v>
      </c>
      <c r="D584" s="31"/>
    </row>
    <row r="585" spans="1:5" x14ac:dyDescent="0.2">
      <c r="A585" s="40"/>
      <c r="B585" s="40"/>
      <c r="C585" s="31" t="s">
        <v>854</v>
      </c>
      <c r="D585" s="31"/>
    </row>
    <row r="586" spans="1:5" x14ac:dyDescent="0.2">
      <c r="A586" s="40"/>
      <c r="B586" s="40"/>
      <c r="C586" s="31" t="s">
        <v>855</v>
      </c>
      <c r="D586" s="31"/>
    </row>
    <row r="587" spans="1:5" x14ac:dyDescent="0.2">
      <c r="A587" s="40"/>
      <c r="B587" s="40"/>
      <c r="C587" s="31" t="s">
        <v>845</v>
      </c>
      <c r="D587" s="31"/>
    </row>
    <row r="588" spans="1:5" x14ac:dyDescent="0.2">
      <c r="A588" s="40"/>
      <c r="B588" s="40"/>
      <c r="C588" s="31" t="s">
        <v>846</v>
      </c>
      <c r="D588" s="31"/>
    </row>
    <row r="589" spans="1:5" x14ac:dyDescent="0.2">
      <c r="A589" s="40"/>
      <c r="B589" s="40"/>
      <c r="C589" s="31" t="s">
        <v>847</v>
      </c>
      <c r="D589" s="31"/>
    </row>
    <row r="590" spans="1:5" x14ac:dyDescent="0.2">
      <c r="A590" s="40"/>
      <c r="B590" s="40"/>
      <c r="C590" s="31" t="s">
        <v>848</v>
      </c>
      <c r="D590" s="31"/>
    </row>
    <row r="591" spans="1:5" x14ac:dyDescent="0.2">
      <c r="A591" s="41"/>
      <c r="B591" s="41"/>
      <c r="C591" s="31" t="s">
        <v>849</v>
      </c>
      <c r="D591" s="31"/>
    </row>
    <row r="592" spans="1:5" x14ac:dyDescent="0.2">
      <c r="A592" s="38"/>
      <c r="B592" s="80" t="s">
        <v>440</v>
      </c>
      <c r="C592" s="29" t="s">
        <v>441</v>
      </c>
      <c r="D592" s="29"/>
    </row>
    <row r="593" spans="1:4" x14ac:dyDescent="0.2">
      <c r="A593" s="38"/>
      <c r="B593" s="80"/>
      <c r="C593" s="29" t="s">
        <v>442</v>
      </c>
      <c r="D593" s="29"/>
    </row>
    <row r="594" spans="1:4" x14ac:dyDescent="0.2">
      <c r="A594" s="38"/>
      <c r="B594" s="80"/>
      <c r="C594" s="29" t="s">
        <v>102</v>
      </c>
      <c r="D594" s="29"/>
    </row>
    <row r="595" spans="1:4" x14ac:dyDescent="0.2">
      <c r="A595" s="42"/>
      <c r="B595" s="45" t="s">
        <v>669</v>
      </c>
      <c r="C595" s="31" t="s">
        <v>55</v>
      </c>
      <c r="D595" s="31"/>
    </row>
    <row r="596" spans="1:4" x14ac:dyDescent="0.2">
      <c r="A596" s="81"/>
      <c r="B596" s="83"/>
      <c r="C596" s="82" t="s">
        <v>62</v>
      </c>
      <c r="D596" s="31"/>
    </row>
    <row r="597" spans="1:4" x14ac:dyDescent="0.2">
      <c r="A597" s="33"/>
      <c r="B597" s="33" t="s">
        <v>289</v>
      </c>
      <c r="C597" s="29" t="s">
        <v>273</v>
      </c>
      <c r="D597" s="29"/>
    </row>
    <row r="598" spans="1:4" x14ac:dyDescent="0.2">
      <c r="A598" s="38"/>
      <c r="B598" s="38"/>
      <c r="C598" s="29" t="s">
        <v>445</v>
      </c>
      <c r="D598" s="29"/>
    </row>
    <row r="599" spans="1:4" x14ac:dyDescent="0.2">
      <c r="A599" s="38"/>
      <c r="B599" s="38"/>
      <c r="C599" s="29" t="s">
        <v>271</v>
      </c>
      <c r="D599" s="29"/>
    </row>
    <row r="600" spans="1:4" x14ac:dyDescent="0.2">
      <c r="A600" s="38"/>
      <c r="B600" s="38"/>
      <c r="C600" s="29" t="s">
        <v>272</v>
      </c>
      <c r="D600" s="29"/>
    </row>
    <row r="601" spans="1:4" x14ac:dyDescent="0.2">
      <c r="A601" s="38"/>
      <c r="B601" s="38"/>
      <c r="C601" s="29" t="s">
        <v>383</v>
      </c>
      <c r="D601" s="29"/>
    </row>
    <row r="602" spans="1:4" x14ac:dyDescent="0.2">
      <c r="A602" s="38"/>
      <c r="B602" s="38"/>
      <c r="C602" s="29" t="s">
        <v>384</v>
      </c>
      <c r="D602" s="29"/>
    </row>
    <row r="603" spans="1:4" x14ac:dyDescent="0.2">
      <c r="A603" s="38"/>
      <c r="B603" s="38"/>
      <c r="C603" s="29" t="s">
        <v>385</v>
      </c>
      <c r="D603" s="29"/>
    </row>
    <row r="604" spans="1:4" x14ac:dyDescent="0.2">
      <c r="A604" s="38"/>
      <c r="B604" s="38"/>
      <c r="C604" s="29" t="s">
        <v>386</v>
      </c>
      <c r="D604" s="29"/>
    </row>
    <row r="605" spans="1:4" x14ac:dyDescent="0.2">
      <c r="A605" s="38"/>
      <c r="B605" s="38"/>
      <c r="C605" s="29" t="s">
        <v>274</v>
      </c>
      <c r="D605" s="29"/>
    </row>
    <row r="606" spans="1:4" x14ac:dyDescent="0.2">
      <c r="A606" s="38"/>
      <c r="B606" s="38"/>
      <c r="C606" s="29" t="s">
        <v>387</v>
      </c>
      <c r="D606" s="29"/>
    </row>
    <row r="607" spans="1:4" x14ac:dyDescent="0.2">
      <c r="A607" s="38"/>
      <c r="B607" s="38"/>
      <c r="C607" s="29" t="s">
        <v>388</v>
      </c>
      <c r="D607" s="29"/>
    </row>
    <row r="608" spans="1:4" x14ac:dyDescent="0.2">
      <c r="A608" s="38"/>
      <c r="B608" s="38"/>
      <c r="C608" s="29" t="s">
        <v>389</v>
      </c>
      <c r="D608" s="29"/>
    </row>
    <row r="609" spans="1:5" x14ac:dyDescent="0.2">
      <c r="A609" s="38"/>
      <c r="B609" s="38"/>
      <c r="C609" s="29" t="s">
        <v>390</v>
      </c>
      <c r="D609" s="29"/>
    </row>
    <row r="610" spans="1:5" x14ac:dyDescent="0.2">
      <c r="A610" s="38"/>
      <c r="B610" s="38"/>
      <c r="C610" s="29" t="s">
        <v>391</v>
      </c>
      <c r="D610" s="29"/>
    </row>
    <row r="611" spans="1:5" x14ac:dyDescent="0.2">
      <c r="A611" s="38"/>
      <c r="B611" s="38"/>
      <c r="C611" s="29" t="s">
        <v>275</v>
      </c>
      <c r="D611" s="29"/>
    </row>
    <row r="612" spans="1:5" x14ac:dyDescent="0.2">
      <c r="A612" s="38"/>
      <c r="B612" s="38"/>
      <c r="C612" s="29" t="s">
        <v>392</v>
      </c>
      <c r="D612" s="29"/>
    </row>
    <row r="613" spans="1:5" x14ac:dyDescent="0.2">
      <c r="A613" s="38"/>
      <c r="B613" s="38"/>
      <c r="C613" s="29" t="s">
        <v>276</v>
      </c>
      <c r="D613" s="29"/>
    </row>
    <row r="614" spans="1:5" x14ac:dyDescent="0.2">
      <c r="A614" s="38"/>
      <c r="B614" s="38"/>
      <c r="C614" s="29" t="s">
        <v>277</v>
      </c>
      <c r="D614" s="29"/>
    </row>
    <row r="615" spans="1:5" x14ac:dyDescent="0.2">
      <c r="A615" s="38"/>
      <c r="B615" s="38"/>
      <c r="C615" s="29" t="s">
        <v>393</v>
      </c>
      <c r="D615" s="29"/>
    </row>
    <row r="616" spans="1:5" x14ac:dyDescent="0.2">
      <c r="A616" s="38"/>
      <c r="B616" s="38"/>
      <c r="C616" s="29" t="s">
        <v>394</v>
      </c>
      <c r="D616" s="29"/>
    </row>
    <row r="617" spans="1:5" x14ac:dyDescent="0.2">
      <c r="A617" s="38"/>
      <c r="B617" s="38"/>
      <c r="C617" s="29" t="s">
        <v>395</v>
      </c>
      <c r="D617" s="29"/>
    </row>
    <row r="618" spans="1:5" x14ac:dyDescent="0.2">
      <c r="A618" s="38"/>
      <c r="B618" s="38"/>
      <c r="C618" s="29" t="s">
        <v>278</v>
      </c>
      <c r="D618" s="29"/>
    </row>
    <row r="619" spans="1:5" x14ac:dyDescent="0.2">
      <c r="A619" s="38"/>
      <c r="B619" s="38"/>
      <c r="C619" s="29" t="s">
        <v>279</v>
      </c>
      <c r="D619" s="29"/>
    </row>
    <row r="620" spans="1:5" x14ac:dyDescent="0.2">
      <c r="A620" s="38"/>
      <c r="B620" s="38"/>
      <c r="C620" s="29" t="s">
        <v>130</v>
      </c>
      <c r="D620" s="29"/>
    </row>
    <row r="621" spans="1:5" x14ac:dyDescent="0.2">
      <c r="A621" s="38"/>
      <c r="B621" s="38"/>
      <c r="C621" s="29" t="s">
        <v>1144</v>
      </c>
      <c r="D621" s="29"/>
      <c r="E621" t="s">
        <v>1182</v>
      </c>
    </row>
    <row r="622" spans="1:5" x14ac:dyDescent="0.2">
      <c r="A622" s="42"/>
      <c r="B622" s="42" t="s">
        <v>24</v>
      </c>
      <c r="C622" s="31" t="s">
        <v>446</v>
      </c>
      <c r="D622" s="31"/>
    </row>
    <row r="623" spans="1:5" x14ac:dyDescent="0.2">
      <c r="A623" s="43"/>
      <c r="B623" s="43"/>
      <c r="C623" s="31" t="s">
        <v>112</v>
      </c>
      <c r="D623" s="31"/>
    </row>
    <row r="624" spans="1:5" x14ac:dyDescent="0.2">
      <c r="A624" s="43"/>
      <c r="B624" s="43"/>
      <c r="C624" s="31" t="s">
        <v>105</v>
      </c>
      <c r="D624" s="31"/>
    </row>
    <row r="625" spans="1:5" x14ac:dyDescent="0.2">
      <c r="A625" s="43"/>
      <c r="B625" s="43"/>
      <c r="C625" s="31" t="s">
        <v>87</v>
      </c>
      <c r="D625" s="31"/>
    </row>
    <row r="626" spans="1:5" x14ac:dyDescent="0.2">
      <c r="A626" s="43"/>
      <c r="B626" s="43"/>
      <c r="C626" s="31" t="s">
        <v>1163</v>
      </c>
      <c r="D626" s="31"/>
      <c r="E626" t="s">
        <v>1182</v>
      </c>
    </row>
    <row r="627" spans="1:5" x14ac:dyDescent="0.2">
      <c r="A627" s="43"/>
      <c r="B627" s="43"/>
      <c r="C627" s="31" t="s">
        <v>60</v>
      </c>
      <c r="D627" s="31"/>
    </row>
    <row r="628" spans="1:5" x14ac:dyDescent="0.2">
      <c r="A628" s="43"/>
      <c r="B628" s="43"/>
      <c r="C628" s="31" t="s">
        <v>93</v>
      </c>
      <c r="D628" s="31"/>
    </row>
    <row r="629" spans="1:5" x14ac:dyDescent="0.2">
      <c r="A629" s="43"/>
      <c r="B629" s="43"/>
      <c r="C629" s="31" t="s">
        <v>75</v>
      </c>
      <c r="D629" s="31"/>
    </row>
    <row r="630" spans="1:5" x14ac:dyDescent="0.2">
      <c r="A630" s="43"/>
      <c r="B630" s="43"/>
      <c r="C630" s="31" t="s">
        <v>68</v>
      </c>
      <c r="D630" s="31"/>
    </row>
    <row r="631" spans="1:5" x14ac:dyDescent="0.2">
      <c r="A631" s="43"/>
      <c r="B631" s="43"/>
      <c r="C631" s="31" t="s">
        <v>82</v>
      </c>
      <c r="D631" s="31"/>
    </row>
    <row r="632" spans="1:5" x14ac:dyDescent="0.2">
      <c r="A632" s="43"/>
      <c r="B632" s="43"/>
      <c r="C632" s="31" t="s">
        <v>397</v>
      </c>
      <c r="D632" s="31"/>
    </row>
    <row r="633" spans="1:5" x14ac:dyDescent="0.2">
      <c r="A633" s="44"/>
      <c r="B633" s="44"/>
      <c r="C633" s="31" t="s">
        <v>102</v>
      </c>
      <c r="D633" s="31"/>
    </row>
    <row r="634" spans="1:5" x14ac:dyDescent="0.2">
      <c r="A634" s="38"/>
      <c r="B634" s="80" t="s">
        <v>286</v>
      </c>
      <c r="C634" s="29" t="s">
        <v>600</v>
      </c>
      <c r="D634" s="29" t="s">
        <v>1162</v>
      </c>
    </row>
    <row r="635" spans="1:5" x14ac:dyDescent="0.2">
      <c r="A635" s="38"/>
      <c r="B635" s="80"/>
      <c r="C635" s="29" t="s">
        <v>294</v>
      </c>
      <c r="D635" s="29" t="s">
        <v>336</v>
      </c>
    </row>
    <row r="636" spans="1:5" x14ac:dyDescent="0.2">
      <c r="A636" s="38"/>
      <c r="B636" s="80"/>
      <c r="C636" s="29" t="s">
        <v>295</v>
      </c>
      <c r="D636" s="29" t="s">
        <v>337</v>
      </c>
    </row>
    <row r="637" spans="1:5" x14ac:dyDescent="0.2">
      <c r="A637" s="38"/>
      <c r="B637" s="80"/>
      <c r="C637" s="29" t="s">
        <v>296</v>
      </c>
      <c r="D637" s="29" t="s">
        <v>338</v>
      </c>
    </row>
    <row r="638" spans="1:5" x14ac:dyDescent="0.2">
      <c r="A638" s="38"/>
      <c r="B638" s="80"/>
      <c r="C638" s="29" t="s">
        <v>284</v>
      </c>
      <c r="D638" s="29" t="s">
        <v>292</v>
      </c>
    </row>
    <row r="639" spans="1:5" x14ac:dyDescent="0.2">
      <c r="A639" s="38"/>
      <c r="B639" s="80"/>
      <c r="C639" s="29" t="s">
        <v>285</v>
      </c>
      <c r="D639" s="29" t="s">
        <v>293</v>
      </c>
    </row>
    <row r="640" spans="1:5" x14ac:dyDescent="0.2">
      <c r="A640" s="38"/>
      <c r="B640" s="80"/>
      <c r="C640" s="29" t="s">
        <v>601</v>
      </c>
      <c r="D640" s="29" t="s">
        <v>602</v>
      </c>
    </row>
    <row r="641" spans="1:4" x14ac:dyDescent="0.2">
      <c r="A641" s="38"/>
      <c r="B641" s="80"/>
      <c r="C641" s="29" t="s">
        <v>287</v>
      </c>
      <c r="D641" s="29" t="s">
        <v>287</v>
      </c>
    </row>
    <row r="642" spans="1:4" x14ac:dyDescent="0.2">
      <c r="A642" s="38"/>
      <c r="B642" s="80"/>
      <c r="C642" s="29" t="s">
        <v>102</v>
      </c>
      <c r="D642" s="29"/>
    </row>
    <row r="643" spans="1:4" x14ac:dyDescent="0.2">
      <c r="A643" s="42"/>
      <c r="B643" s="42" t="s">
        <v>288</v>
      </c>
      <c r="C643" s="31" t="s">
        <v>447</v>
      </c>
      <c r="D643" s="31" t="s">
        <v>448</v>
      </c>
    </row>
    <row r="644" spans="1:4" x14ac:dyDescent="0.2">
      <c r="A644" s="43"/>
      <c r="B644" s="43"/>
      <c r="C644" s="31" t="s">
        <v>450</v>
      </c>
      <c r="D644" s="31" t="s">
        <v>449</v>
      </c>
    </row>
    <row r="645" spans="1:4" x14ac:dyDescent="0.2">
      <c r="A645" s="43"/>
      <c r="B645" s="43"/>
      <c r="C645" s="31" t="s">
        <v>452</v>
      </c>
      <c r="D645" s="31" t="s">
        <v>451</v>
      </c>
    </row>
    <row r="646" spans="1:4" x14ac:dyDescent="0.2">
      <c r="A646" s="43"/>
      <c r="B646" s="43"/>
      <c r="C646" s="31" t="s">
        <v>454</v>
      </c>
      <c r="D646" s="31" t="s">
        <v>453</v>
      </c>
    </row>
    <row r="647" spans="1:4" x14ac:dyDescent="0.2">
      <c r="A647" s="43"/>
      <c r="B647" s="43"/>
      <c r="C647" s="31" t="s">
        <v>941</v>
      </c>
      <c r="D647" s="31"/>
    </row>
    <row r="648" spans="1:4" x14ac:dyDescent="0.2">
      <c r="A648" s="44"/>
      <c r="B648" s="44"/>
      <c r="C648" s="31" t="s">
        <v>102</v>
      </c>
      <c r="D648" s="31"/>
    </row>
    <row r="649" spans="1:4" x14ac:dyDescent="0.2">
      <c r="A649" s="38"/>
      <c r="B649" s="80" t="s">
        <v>917</v>
      </c>
      <c r="C649" s="29" t="s">
        <v>302</v>
      </c>
      <c r="D649" s="29"/>
    </row>
    <row r="650" spans="1:4" x14ac:dyDescent="0.2">
      <c r="A650" s="38"/>
      <c r="B650" s="80"/>
      <c r="C650" s="29" t="s">
        <v>303</v>
      </c>
      <c r="D650" s="29"/>
    </row>
    <row r="651" spans="1:4" x14ac:dyDescent="0.2">
      <c r="A651" s="38"/>
      <c r="B651" s="80"/>
      <c r="C651" s="29" t="s">
        <v>775</v>
      </c>
      <c r="D651" s="29"/>
    </row>
    <row r="652" spans="1:4" x14ac:dyDescent="0.2">
      <c r="A652" s="38"/>
      <c r="B652" s="80"/>
      <c r="C652" s="29" t="s">
        <v>301</v>
      </c>
      <c r="D652" s="29"/>
    </row>
    <row r="653" spans="1:4" x14ac:dyDescent="0.2">
      <c r="A653" s="38"/>
      <c r="B653" s="80"/>
      <c r="C653" s="29" t="s">
        <v>102</v>
      </c>
      <c r="D653" s="29"/>
    </row>
    <row r="654" spans="1:4" x14ac:dyDescent="0.2">
      <c r="A654" s="42"/>
      <c r="B654" s="42" t="s">
        <v>372</v>
      </c>
      <c r="C654" s="31" t="s">
        <v>304</v>
      </c>
      <c r="D654" s="31"/>
    </row>
    <row r="655" spans="1:4" x14ac:dyDescent="0.2">
      <c r="A655" s="43"/>
      <c r="B655" s="43"/>
      <c r="C655" s="31" t="s">
        <v>305</v>
      </c>
      <c r="D655" s="31"/>
    </row>
    <row r="656" spans="1:4" x14ac:dyDescent="0.2">
      <c r="A656" s="38"/>
      <c r="B656" s="80" t="s">
        <v>26</v>
      </c>
      <c r="C656" s="29" t="s">
        <v>17</v>
      </c>
      <c r="D656" s="29"/>
    </row>
    <row r="657" spans="1:4" x14ac:dyDescent="0.2">
      <c r="A657" s="38"/>
      <c r="B657" s="80"/>
      <c r="C657" s="29" t="s">
        <v>27</v>
      </c>
      <c r="D657" s="29"/>
    </row>
    <row r="658" spans="1:4" x14ac:dyDescent="0.2">
      <c r="A658" s="42"/>
      <c r="B658" s="42" t="s">
        <v>612</v>
      </c>
      <c r="C658" s="31" t="s">
        <v>356</v>
      </c>
      <c r="D658" s="31"/>
    </row>
    <row r="659" spans="1:4" x14ac:dyDescent="0.2">
      <c r="A659" s="43"/>
      <c r="B659" s="43"/>
      <c r="C659" s="31" t="s">
        <v>357</v>
      </c>
      <c r="D659" s="31"/>
    </row>
    <row r="660" spans="1:4" x14ac:dyDescent="0.2">
      <c r="A660" s="43"/>
      <c r="B660" s="43"/>
      <c r="C660" s="31" t="s">
        <v>358</v>
      </c>
      <c r="D660" s="31"/>
    </row>
    <row r="661" spans="1:4" x14ac:dyDescent="0.2">
      <c r="A661" s="43"/>
      <c r="B661" s="43"/>
      <c r="C661" s="31" t="s">
        <v>359</v>
      </c>
      <c r="D661" s="31"/>
    </row>
    <row r="662" spans="1:4" x14ac:dyDescent="0.2">
      <c r="A662" s="43"/>
      <c r="B662" s="43"/>
      <c r="C662" s="31" t="s">
        <v>360</v>
      </c>
      <c r="D662" s="31"/>
    </row>
    <row r="663" spans="1:4" x14ac:dyDescent="0.2">
      <c r="A663" s="43"/>
      <c r="B663" s="43"/>
      <c r="C663" s="31" t="s">
        <v>361</v>
      </c>
      <c r="D663" s="31"/>
    </row>
    <row r="664" spans="1:4" x14ac:dyDescent="0.2">
      <c r="A664" s="43"/>
      <c r="B664" s="43"/>
      <c r="C664" s="31" t="s">
        <v>102</v>
      </c>
      <c r="D664" s="31"/>
    </row>
    <row r="665" spans="1:4" x14ac:dyDescent="0.2">
      <c r="A665" s="44"/>
      <c r="B665" s="44"/>
      <c r="C665" s="31" t="s">
        <v>362</v>
      </c>
      <c r="D665" s="31"/>
    </row>
    <row r="666" spans="1:4" x14ac:dyDescent="0.2">
      <c r="A666" s="38"/>
      <c r="B666" s="80" t="s">
        <v>308</v>
      </c>
      <c r="C666" s="29" t="s">
        <v>363</v>
      </c>
      <c r="D666" s="29"/>
    </row>
    <row r="667" spans="1:4" x14ac:dyDescent="0.2">
      <c r="A667" s="38"/>
      <c r="B667" s="80"/>
      <c r="C667" s="29" t="s">
        <v>370</v>
      </c>
      <c r="D667" s="29"/>
    </row>
    <row r="668" spans="1:4" x14ac:dyDescent="0.2">
      <c r="A668" s="42"/>
      <c r="B668" s="42" t="s">
        <v>309</v>
      </c>
      <c r="C668" s="31" t="s">
        <v>685</v>
      </c>
      <c r="D668" s="31"/>
    </row>
    <row r="669" spans="1:4" x14ac:dyDescent="0.2">
      <c r="A669" s="43"/>
      <c r="B669" s="43"/>
      <c r="C669" s="31" t="s">
        <v>686</v>
      </c>
      <c r="D669" s="31"/>
    </row>
    <row r="670" spans="1:4" x14ac:dyDescent="0.2">
      <c r="A670" s="43"/>
      <c r="B670" s="43"/>
      <c r="C670" s="31" t="s">
        <v>319</v>
      </c>
      <c r="D670" s="31"/>
    </row>
    <row r="671" spans="1:4" x14ac:dyDescent="0.2">
      <c r="A671" s="43"/>
      <c r="B671" s="43"/>
      <c r="C671" s="31" t="s">
        <v>324</v>
      </c>
      <c r="D671" s="31"/>
    </row>
    <row r="672" spans="1:4" x14ac:dyDescent="0.2">
      <c r="A672" s="43"/>
      <c r="B672" s="43"/>
      <c r="C672" s="31" t="s">
        <v>321</v>
      </c>
      <c r="D672" s="31"/>
    </row>
    <row r="673" spans="1:4" x14ac:dyDescent="0.2">
      <c r="A673" s="43"/>
      <c r="B673" s="43"/>
      <c r="C673" s="31" t="s">
        <v>320</v>
      </c>
      <c r="D673" s="31"/>
    </row>
    <row r="674" spans="1:4" x14ac:dyDescent="0.2">
      <c r="A674" s="43"/>
      <c r="B674" s="43"/>
      <c r="C674" s="31" t="s">
        <v>325</v>
      </c>
      <c r="D674" s="31"/>
    </row>
    <row r="675" spans="1:4" x14ac:dyDescent="0.2">
      <c r="A675" s="43"/>
      <c r="B675" s="43"/>
      <c r="C675" s="31" t="s">
        <v>322</v>
      </c>
      <c r="D675" s="31"/>
    </row>
    <row r="676" spans="1:4" x14ac:dyDescent="0.2">
      <c r="A676" s="43"/>
      <c r="B676" s="43"/>
      <c r="C676" s="31" t="s">
        <v>443</v>
      </c>
      <c r="D676" s="31"/>
    </row>
    <row r="677" spans="1:4" x14ac:dyDescent="0.2">
      <c r="A677" s="43"/>
      <c r="B677" s="43"/>
      <c r="C677" s="31" t="s">
        <v>323</v>
      </c>
      <c r="D677" s="31"/>
    </row>
    <row r="678" spans="1:4" x14ac:dyDescent="0.2">
      <c r="A678" s="43"/>
      <c r="B678" s="43"/>
      <c r="C678" s="31" t="s">
        <v>130</v>
      </c>
      <c r="D678" s="31"/>
    </row>
    <row r="679" spans="1:4" x14ac:dyDescent="0.2">
      <c r="A679" s="44"/>
      <c r="B679" s="44"/>
      <c r="C679" s="31" t="s">
        <v>362</v>
      </c>
      <c r="D679" s="31"/>
    </row>
    <row r="680" spans="1:4" x14ac:dyDescent="0.2">
      <c r="A680" s="54"/>
      <c r="B680" s="54" t="s">
        <v>310</v>
      </c>
      <c r="C680" s="29" t="s">
        <v>356</v>
      </c>
      <c r="D680" s="29"/>
    </row>
    <row r="681" spans="1:4" x14ac:dyDescent="0.2">
      <c r="A681" s="55"/>
      <c r="B681" s="55"/>
      <c r="C681" s="29" t="s">
        <v>357</v>
      </c>
      <c r="D681" s="29"/>
    </row>
    <row r="682" spans="1:4" x14ac:dyDescent="0.2">
      <c r="A682" s="55"/>
      <c r="B682" s="55"/>
      <c r="C682" s="29" t="s">
        <v>358</v>
      </c>
      <c r="D682" s="29"/>
    </row>
    <row r="683" spans="1:4" x14ac:dyDescent="0.2">
      <c r="A683" s="55"/>
      <c r="B683" s="55"/>
      <c r="C683" s="29" t="s">
        <v>359</v>
      </c>
      <c r="D683" s="29"/>
    </row>
    <row r="684" spans="1:4" x14ac:dyDescent="0.2">
      <c r="A684" s="55"/>
      <c r="B684" s="55"/>
      <c r="C684" s="29" t="s">
        <v>360</v>
      </c>
      <c r="D684" s="29"/>
    </row>
    <row r="685" spans="1:4" x14ac:dyDescent="0.2">
      <c r="A685" s="55"/>
      <c r="B685" s="55"/>
      <c r="C685" s="29" t="s">
        <v>361</v>
      </c>
      <c r="D685" s="29"/>
    </row>
    <row r="686" spans="1:4" x14ac:dyDescent="0.2">
      <c r="A686" s="55"/>
      <c r="B686" s="55"/>
      <c r="C686" s="29" t="s">
        <v>102</v>
      </c>
      <c r="D686" s="29"/>
    </row>
    <row r="687" spans="1:4" x14ac:dyDescent="0.2">
      <c r="A687" s="55"/>
      <c r="B687" s="55"/>
      <c r="C687" s="29" t="s">
        <v>362</v>
      </c>
      <c r="D687" s="29"/>
    </row>
    <row r="688" spans="1:4" x14ac:dyDescent="0.2">
      <c r="A688" s="42"/>
      <c r="B688" s="42" t="s">
        <v>369</v>
      </c>
      <c r="C688" s="31" t="s">
        <v>339</v>
      </c>
      <c r="D688" s="31"/>
    </row>
    <row r="689" spans="1:4" x14ac:dyDescent="0.2">
      <c r="A689" s="43"/>
      <c r="B689" s="44"/>
      <c r="C689" s="31" t="s">
        <v>340</v>
      </c>
      <c r="D689" s="31"/>
    </row>
    <row r="690" spans="1:4" x14ac:dyDescent="0.2">
      <c r="A690" s="54"/>
      <c r="B690" s="54" t="s">
        <v>737</v>
      </c>
      <c r="C690" s="29" t="s">
        <v>341</v>
      </c>
      <c r="D690" s="29"/>
    </row>
    <row r="691" spans="1:4" x14ac:dyDescent="0.2">
      <c r="A691" s="55"/>
      <c r="B691" s="55"/>
      <c r="C691" s="29" t="s">
        <v>342</v>
      </c>
      <c r="D691" s="29"/>
    </row>
    <row r="692" spans="1:4" x14ac:dyDescent="0.2">
      <c r="A692" s="42"/>
      <c r="B692" s="42" t="s">
        <v>343</v>
      </c>
      <c r="C692" s="31" t="s">
        <v>398</v>
      </c>
      <c r="D692" s="31"/>
    </row>
    <row r="693" spans="1:4" x14ac:dyDescent="0.2">
      <c r="A693" s="43"/>
      <c r="B693" s="43"/>
      <c r="C693" s="31" t="s">
        <v>381</v>
      </c>
      <c r="D693" s="31"/>
    </row>
    <row r="694" spans="1:4" x14ac:dyDescent="0.2">
      <c r="A694" s="43"/>
      <c r="B694" s="43"/>
      <c r="C694" s="31" t="s">
        <v>376</v>
      </c>
      <c r="D694" s="31"/>
    </row>
    <row r="695" spans="1:4" x14ac:dyDescent="0.2">
      <c r="A695" s="43"/>
      <c r="B695" s="43"/>
      <c r="C695" s="31" t="s">
        <v>333</v>
      </c>
      <c r="D695" s="31"/>
    </row>
    <row r="696" spans="1:4" x14ac:dyDescent="0.2">
      <c r="A696" s="43"/>
      <c r="B696" s="43"/>
      <c r="C696" s="31" t="s">
        <v>73</v>
      </c>
      <c r="D696" s="31"/>
    </row>
    <row r="697" spans="1:4" x14ac:dyDescent="0.2">
      <c r="A697" s="43"/>
      <c r="B697" s="43"/>
      <c r="C697" s="31" t="s">
        <v>9</v>
      </c>
      <c r="D697" s="31"/>
    </row>
    <row r="698" spans="1:4" x14ac:dyDescent="0.2">
      <c r="A698" s="43"/>
      <c r="B698" s="43"/>
      <c r="C698" s="31" t="s">
        <v>344</v>
      </c>
      <c r="D698" s="31"/>
    </row>
    <row r="699" spans="1:4" x14ac:dyDescent="0.2">
      <c r="A699" s="43"/>
      <c r="B699" s="43"/>
      <c r="C699" s="31" t="s">
        <v>332</v>
      </c>
      <c r="D699" s="31"/>
    </row>
    <row r="700" spans="1:4" x14ac:dyDescent="0.2">
      <c r="A700" s="43"/>
      <c r="B700" s="43"/>
      <c r="C700" s="31" t="s">
        <v>102</v>
      </c>
      <c r="D700" s="31"/>
    </row>
    <row r="701" spans="1:4" x14ac:dyDescent="0.2">
      <c r="A701" s="54"/>
      <c r="B701" s="54" t="s">
        <v>463</v>
      </c>
      <c r="C701" s="29" t="s">
        <v>414</v>
      </c>
      <c r="D701" s="29"/>
    </row>
    <row r="702" spans="1:4" x14ac:dyDescent="0.2">
      <c r="A702" s="55"/>
      <c r="B702" s="55"/>
      <c r="C702" s="29" t="s">
        <v>262</v>
      </c>
      <c r="D702" s="29"/>
    </row>
    <row r="703" spans="1:4" x14ac:dyDescent="0.2">
      <c r="A703" s="55"/>
      <c r="B703" s="55"/>
      <c r="C703" s="29" t="s">
        <v>172</v>
      </c>
      <c r="D703" s="29"/>
    </row>
    <row r="704" spans="1:4" x14ac:dyDescent="0.2">
      <c r="A704" s="55"/>
      <c r="B704" s="55"/>
      <c r="C704" s="29" t="s">
        <v>637</v>
      </c>
      <c r="D704" s="29"/>
    </row>
    <row r="705" spans="1:5" x14ac:dyDescent="0.2">
      <c r="A705" s="55"/>
      <c r="B705" s="55"/>
      <c r="C705" s="29" t="s">
        <v>156</v>
      </c>
      <c r="D705" s="29"/>
    </row>
    <row r="706" spans="1:5" x14ac:dyDescent="0.2">
      <c r="A706" s="55"/>
      <c r="B706" s="55"/>
      <c r="C706" s="29" t="s">
        <v>631</v>
      </c>
      <c r="D706" s="29"/>
    </row>
    <row r="707" spans="1:5" x14ac:dyDescent="0.2">
      <c r="A707" s="55"/>
      <c r="B707" s="55"/>
      <c r="C707" s="29" t="s">
        <v>633</v>
      </c>
      <c r="D707" s="29"/>
    </row>
    <row r="708" spans="1:5" x14ac:dyDescent="0.2">
      <c r="A708" s="55"/>
      <c r="B708" s="55"/>
      <c r="C708" s="29" t="s">
        <v>66</v>
      </c>
      <c r="D708" s="29"/>
    </row>
    <row r="709" spans="1:5" x14ac:dyDescent="0.2">
      <c r="A709" s="55"/>
      <c r="B709" s="55"/>
      <c r="C709" s="29" t="s">
        <v>269</v>
      </c>
      <c r="D709" s="29"/>
    </row>
    <row r="710" spans="1:5" x14ac:dyDescent="0.2">
      <c r="A710" s="55"/>
      <c r="B710" s="55"/>
      <c r="C710" s="29" t="s">
        <v>638</v>
      </c>
      <c r="D710" s="29"/>
    </row>
    <row r="711" spans="1:5" x14ac:dyDescent="0.2">
      <c r="A711" s="55"/>
      <c r="B711" s="55"/>
      <c r="C711" s="29" t="s">
        <v>140</v>
      </c>
      <c r="D711" s="29"/>
    </row>
    <row r="712" spans="1:5" x14ac:dyDescent="0.2">
      <c r="A712" s="55"/>
      <c r="B712" s="55"/>
      <c r="C712" s="29" t="s">
        <v>256</v>
      </c>
      <c r="D712" s="29"/>
    </row>
    <row r="713" spans="1:5" x14ac:dyDescent="0.2">
      <c r="A713" s="55"/>
      <c r="B713" s="55"/>
      <c r="C713" s="29" t="s">
        <v>122</v>
      </c>
      <c r="D713" s="29"/>
    </row>
    <row r="714" spans="1:5" x14ac:dyDescent="0.2">
      <c r="A714" s="55"/>
      <c r="B714" s="55"/>
      <c r="C714" s="29" t="s">
        <v>270</v>
      </c>
      <c r="D714" s="29"/>
    </row>
    <row r="715" spans="1:5" x14ac:dyDescent="0.2">
      <c r="A715" s="55"/>
      <c r="B715" s="55"/>
      <c r="C715" s="29" t="s">
        <v>692</v>
      </c>
      <c r="D715" s="29"/>
    </row>
    <row r="716" spans="1:5" x14ac:dyDescent="0.2">
      <c r="A716" s="55"/>
      <c r="B716" s="55"/>
      <c r="C716" s="29" t="s">
        <v>1152</v>
      </c>
      <c r="D716" s="29" t="s">
        <v>639</v>
      </c>
      <c r="E716" t="s">
        <v>1182</v>
      </c>
    </row>
    <row r="717" spans="1:5" x14ac:dyDescent="0.2">
      <c r="A717" s="55"/>
      <c r="B717" s="55"/>
      <c r="C717" s="29" t="s">
        <v>267</v>
      </c>
      <c r="D717" s="29"/>
    </row>
    <row r="718" spans="1:5" x14ac:dyDescent="0.2">
      <c r="A718" s="55"/>
      <c r="B718" s="55"/>
      <c r="C718" s="29" t="s">
        <v>264</v>
      </c>
      <c r="D718" s="29"/>
    </row>
    <row r="719" spans="1:5" x14ac:dyDescent="0.2">
      <c r="A719" s="55"/>
      <c r="B719" s="55"/>
      <c r="C719" s="29" t="s">
        <v>265</v>
      </c>
      <c r="D719" s="29"/>
    </row>
    <row r="720" spans="1:5" x14ac:dyDescent="0.2">
      <c r="A720" s="55"/>
      <c r="B720" s="55"/>
      <c r="C720" s="29" t="s">
        <v>167</v>
      </c>
      <c r="D720" s="29"/>
    </row>
    <row r="721" spans="1:4" x14ac:dyDescent="0.2">
      <c r="A721" s="55"/>
      <c r="B721" s="55"/>
      <c r="C721" s="29" t="s">
        <v>254</v>
      </c>
      <c r="D721" s="29"/>
    </row>
    <row r="722" spans="1:4" x14ac:dyDescent="0.2">
      <c r="A722" s="55"/>
      <c r="B722" s="55"/>
      <c r="C722" s="29" t="s">
        <v>261</v>
      </c>
      <c r="D722" s="29"/>
    </row>
    <row r="723" spans="1:4" x14ac:dyDescent="0.2">
      <c r="A723" s="55"/>
      <c r="B723" s="55"/>
      <c r="C723" s="29" t="s">
        <v>71</v>
      </c>
      <c r="D723" s="29"/>
    </row>
    <row r="724" spans="1:4" x14ac:dyDescent="0.2">
      <c r="A724" s="55"/>
      <c r="B724" s="55"/>
      <c r="C724" s="29" t="s">
        <v>259</v>
      </c>
      <c r="D724" s="29"/>
    </row>
    <row r="725" spans="1:4" x14ac:dyDescent="0.2">
      <c r="A725" s="55"/>
      <c r="B725" s="55"/>
      <c r="C725" s="29" t="s">
        <v>75</v>
      </c>
      <c r="D725" s="29"/>
    </row>
    <row r="726" spans="1:4" x14ac:dyDescent="0.2">
      <c r="A726" s="55"/>
      <c r="B726" s="55"/>
      <c r="C726" s="29" t="s">
        <v>263</v>
      </c>
      <c r="D726" s="29"/>
    </row>
    <row r="727" spans="1:4" x14ac:dyDescent="0.2">
      <c r="A727" s="55"/>
      <c r="B727" s="55"/>
      <c r="C727" s="29" t="s">
        <v>635</v>
      </c>
      <c r="D727" s="29"/>
    </row>
    <row r="728" spans="1:4" x14ac:dyDescent="0.2">
      <c r="A728" s="55"/>
      <c r="B728" s="55"/>
      <c r="C728" s="29" t="s">
        <v>636</v>
      </c>
      <c r="D728" s="29"/>
    </row>
    <row r="729" spans="1:4" x14ac:dyDescent="0.2">
      <c r="A729" s="55"/>
      <c r="B729" s="55"/>
      <c r="C729" s="29" t="s">
        <v>266</v>
      </c>
      <c r="D729" s="29"/>
    </row>
    <row r="730" spans="1:4" x14ac:dyDescent="0.2">
      <c r="A730" s="55"/>
      <c r="B730" s="55"/>
      <c r="C730" s="29" t="s">
        <v>85</v>
      </c>
      <c r="D730" s="29"/>
    </row>
    <row r="731" spans="1:4" x14ac:dyDescent="0.2">
      <c r="A731" s="55"/>
      <c r="B731" s="55"/>
      <c r="C731" s="29" t="s">
        <v>632</v>
      </c>
      <c r="D731" s="29"/>
    </row>
    <row r="732" spans="1:4" x14ac:dyDescent="0.2">
      <c r="A732" s="55"/>
      <c r="B732" s="55"/>
      <c r="C732" s="29" t="s">
        <v>630</v>
      </c>
      <c r="D732" s="29"/>
    </row>
    <row r="733" spans="1:4" x14ac:dyDescent="0.2">
      <c r="A733" s="55"/>
      <c r="B733" s="55"/>
      <c r="C733" s="29" t="s">
        <v>640</v>
      </c>
      <c r="D733" s="29"/>
    </row>
    <row r="734" spans="1:4" x14ac:dyDescent="0.2">
      <c r="A734" s="55"/>
      <c r="B734" s="55"/>
      <c r="C734" s="29" t="s">
        <v>255</v>
      </c>
      <c r="D734" s="29"/>
    </row>
    <row r="735" spans="1:4" x14ac:dyDescent="0.2">
      <c r="A735" s="55"/>
      <c r="B735" s="55"/>
      <c r="C735" s="29" t="s">
        <v>722</v>
      </c>
      <c r="D735" s="29"/>
    </row>
    <row r="736" spans="1:4" x14ac:dyDescent="0.2">
      <c r="A736" s="55"/>
      <c r="B736" s="55"/>
      <c r="C736" s="29" t="s">
        <v>34</v>
      </c>
      <c r="D736" s="29"/>
    </row>
    <row r="737" spans="1:4" x14ac:dyDescent="0.2">
      <c r="A737" s="55"/>
      <c r="B737" s="55"/>
      <c r="C737" s="29" t="s">
        <v>629</v>
      </c>
      <c r="D737" s="29"/>
    </row>
    <row r="738" spans="1:4" x14ac:dyDescent="0.2">
      <c r="A738" s="55"/>
      <c r="B738" s="55"/>
      <c r="C738" s="29" t="s">
        <v>268</v>
      </c>
      <c r="D738" s="29"/>
    </row>
    <row r="739" spans="1:4" x14ac:dyDescent="0.2">
      <c r="A739" s="55"/>
      <c r="B739" s="55"/>
      <c r="C739" s="29" t="s">
        <v>634</v>
      </c>
      <c r="D739" s="29"/>
    </row>
    <row r="740" spans="1:4" x14ac:dyDescent="0.2">
      <c r="A740" s="55"/>
      <c r="B740" s="55"/>
      <c r="C740" s="29" t="s">
        <v>252</v>
      </c>
      <c r="D740" s="29"/>
    </row>
    <row r="741" spans="1:4" x14ac:dyDescent="0.2">
      <c r="A741" s="55"/>
      <c r="B741" s="55"/>
      <c r="C741" s="29" t="s">
        <v>258</v>
      </c>
      <c r="D741" s="29"/>
    </row>
    <row r="742" spans="1:4" x14ac:dyDescent="0.2">
      <c r="A742" s="55"/>
      <c r="B742" s="55"/>
      <c r="C742" s="29" t="s">
        <v>257</v>
      </c>
      <c r="D742" s="29"/>
    </row>
    <row r="743" spans="1:4" x14ac:dyDescent="0.2">
      <c r="A743" s="55"/>
      <c r="B743" s="55"/>
      <c r="C743" s="29" t="s">
        <v>174</v>
      </c>
      <c r="D743" s="29"/>
    </row>
    <row r="744" spans="1:4" x14ac:dyDescent="0.2">
      <c r="A744" s="55"/>
      <c r="B744" s="55"/>
      <c r="C744" s="29" t="s">
        <v>253</v>
      </c>
      <c r="D744" s="29"/>
    </row>
    <row r="745" spans="1:4" x14ac:dyDescent="0.2">
      <c r="A745" s="55"/>
      <c r="B745" s="55"/>
      <c r="C745" s="29" t="s">
        <v>169</v>
      </c>
      <c r="D745" s="29"/>
    </row>
    <row r="746" spans="1:4" x14ac:dyDescent="0.2">
      <c r="A746" s="55"/>
      <c r="B746" s="55"/>
      <c r="C746" s="29" t="s">
        <v>170</v>
      </c>
      <c r="D746" s="29"/>
    </row>
    <row r="747" spans="1:4" x14ac:dyDescent="0.2">
      <c r="A747" s="55"/>
      <c r="B747" s="55"/>
      <c r="C747" s="29" t="s">
        <v>165</v>
      </c>
      <c r="D747" s="29"/>
    </row>
    <row r="748" spans="1:4" x14ac:dyDescent="0.2">
      <c r="A748" s="55"/>
      <c r="B748" s="55"/>
      <c r="C748" s="29" t="s">
        <v>260</v>
      </c>
      <c r="D748" s="29"/>
    </row>
    <row r="749" spans="1:4" x14ac:dyDescent="0.2">
      <c r="A749" s="55"/>
      <c r="B749" s="55"/>
      <c r="C749" s="29" t="s">
        <v>163</v>
      </c>
      <c r="D749" s="29"/>
    </row>
    <row r="750" spans="1:4" x14ac:dyDescent="0.2">
      <c r="A750" s="55"/>
      <c r="B750" s="55"/>
      <c r="C750" s="29" t="s">
        <v>53</v>
      </c>
      <c r="D750" s="29"/>
    </row>
    <row r="751" spans="1:4" x14ac:dyDescent="0.2">
      <c r="A751" s="55"/>
      <c r="B751" s="55"/>
      <c r="C751" s="29" t="s">
        <v>59</v>
      </c>
      <c r="D751" s="29"/>
    </row>
    <row r="752" spans="1:4" x14ac:dyDescent="0.2">
      <c r="A752" s="55"/>
      <c r="B752" s="55"/>
      <c r="C752" s="29" t="s">
        <v>67</v>
      </c>
      <c r="D752" s="29"/>
    </row>
    <row r="753" spans="1:4" x14ac:dyDescent="0.2">
      <c r="A753" s="55"/>
      <c r="B753" s="55"/>
      <c r="C753" s="29" t="s">
        <v>74</v>
      </c>
      <c r="D753" s="29"/>
    </row>
    <row r="754" spans="1:4" x14ac:dyDescent="0.2">
      <c r="A754" s="55"/>
      <c r="B754" s="55"/>
      <c r="C754" s="29" t="s">
        <v>81</v>
      </c>
      <c r="D754" s="29"/>
    </row>
    <row r="755" spans="1:4" x14ac:dyDescent="0.2">
      <c r="A755" s="55"/>
      <c r="B755" s="55"/>
      <c r="C755" s="29" t="s">
        <v>929</v>
      </c>
      <c r="D755" s="29"/>
    </row>
    <row r="756" spans="1:4" x14ac:dyDescent="0.2">
      <c r="A756" s="55"/>
      <c r="B756" s="55"/>
      <c r="C756" s="29" t="s">
        <v>92</v>
      </c>
      <c r="D756" s="29"/>
    </row>
    <row r="757" spans="1:4" x14ac:dyDescent="0.2">
      <c r="A757" s="55"/>
      <c r="B757" s="55"/>
      <c r="C757" s="29" t="s">
        <v>960</v>
      </c>
      <c r="D757" s="29"/>
    </row>
    <row r="758" spans="1:4" x14ac:dyDescent="0.2">
      <c r="A758" s="55"/>
      <c r="B758" s="55"/>
      <c r="C758" s="29" t="s">
        <v>961</v>
      </c>
      <c r="D758" s="29"/>
    </row>
    <row r="759" spans="1:4" x14ac:dyDescent="0.2">
      <c r="A759" s="55"/>
      <c r="B759" s="55"/>
      <c r="C759" s="29" t="s">
        <v>104</v>
      </c>
      <c r="D759" s="29"/>
    </row>
    <row r="760" spans="1:4" x14ac:dyDescent="0.2">
      <c r="A760" s="55"/>
      <c r="B760" s="55"/>
      <c r="C760" s="29" t="s">
        <v>109</v>
      </c>
      <c r="D760" s="29"/>
    </row>
    <row r="761" spans="1:4" x14ac:dyDescent="0.2">
      <c r="A761" s="55"/>
      <c r="B761" s="55"/>
      <c r="C761" s="29" t="s">
        <v>111</v>
      </c>
      <c r="D761" s="29"/>
    </row>
    <row r="762" spans="1:4" x14ac:dyDescent="0.2">
      <c r="A762" s="55"/>
      <c r="B762" s="55"/>
      <c r="C762" s="29" t="s">
        <v>114</v>
      </c>
      <c r="D762" s="29"/>
    </row>
    <row r="763" spans="1:4" x14ac:dyDescent="0.2">
      <c r="A763" s="55"/>
      <c r="B763" s="55"/>
      <c r="C763" s="29" t="s">
        <v>117</v>
      </c>
      <c r="D763" s="29"/>
    </row>
    <row r="764" spans="1:4" x14ac:dyDescent="0.2">
      <c r="A764" s="55"/>
      <c r="B764" s="55"/>
      <c r="C764" s="29" t="s">
        <v>120</v>
      </c>
      <c r="D764" s="29"/>
    </row>
    <row r="765" spans="1:4" x14ac:dyDescent="0.2">
      <c r="A765" s="55"/>
      <c r="B765" s="55"/>
      <c r="C765" s="29" t="s">
        <v>123</v>
      </c>
      <c r="D765" s="29"/>
    </row>
    <row r="766" spans="1:4" x14ac:dyDescent="0.2">
      <c r="A766" s="55"/>
      <c r="B766" s="55"/>
      <c r="C766" s="29" t="s">
        <v>125</v>
      </c>
      <c r="D766" s="29"/>
    </row>
    <row r="767" spans="1:4" x14ac:dyDescent="0.2">
      <c r="A767" s="55"/>
      <c r="B767" s="55"/>
      <c r="C767" s="29" t="s">
        <v>314</v>
      </c>
      <c r="D767" s="29"/>
    </row>
    <row r="768" spans="1:4" x14ac:dyDescent="0.2">
      <c r="A768" s="55"/>
      <c r="B768" s="55"/>
      <c r="C768" s="29" t="s">
        <v>128</v>
      </c>
      <c r="D768" s="29"/>
    </row>
    <row r="769" spans="1:5" x14ac:dyDescent="0.2">
      <c r="A769" s="55"/>
      <c r="B769" s="55"/>
      <c r="C769" s="29" t="s">
        <v>131</v>
      </c>
      <c r="D769" s="29"/>
    </row>
    <row r="770" spans="1:5" x14ac:dyDescent="0.2">
      <c r="A770" s="55"/>
      <c r="B770" s="55"/>
      <c r="C770" s="29" t="s">
        <v>132</v>
      </c>
      <c r="D770" s="29"/>
    </row>
    <row r="771" spans="1:5" x14ac:dyDescent="0.2">
      <c r="A771" s="55"/>
      <c r="B771" s="55"/>
      <c r="C771" s="29" t="s">
        <v>134</v>
      </c>
      <c r="D771" s="29"/>
    </row>
    <row r="772" spans="1:5" x14ac:dyDescent="0.2">
      <c r="A772" s="55"/>
      <c r="B772" s="55"/>
      <c r="C772" s="29" t="s">
        <v>136</v>
      </c>
      <c r="D772" s="29"/>
    </row>
    <row r="773" spans="1:5" x14ac:dyDescent="0.2">
      <c r="A773" s="55"/>
      <c r="B773" s="55"/>
      <c r="C773" s="29" t="s">
        <v>138</v>
      </c>
      <c r="D773" s="29"/>
    </row>
    <row r="774" spans="1:5" x14ac:dyDescent="0.2">
      <c r="A774" s="55"/>
      <c r="B774" s="55"/>
      <c r="C774" s="29" t="s">
        <v>141</v>
      </c>
      <c r="D774" s="29"/>
    </row>
    <row r="775" spans="1:5" x14ac:dyDescent="0.2">
      <c r="A775" s="55"/>
      <c r="B775" s="55"/>
      <c r="C775" s="29" t="s">
        <v>143</v>
      </c>
      <c r="D775" s="29"/>
    </row>
    <row r="776" spans="1:5" x14ac:dyDescent="0.2">
      <c r="A776" s="55"/>
      <c r="B776" s="55"/>
      <c r="C776" s="29" t="s">
        <v>315</v>
      </c>
      <c r="D776" s="29"/>
    </row>
    <row r="777" spans="1:5" x14ac:dyDescent="0.2">
      <c r="A777" s="55"/>
      <c r="B777" s="55"/>
      <c r="C777" s="29" t="s">
        <v>145</v>
      </c>
      <c r="D777" s="29"/>
    </row>
    <row r="778" spans="1:5" x14ac:dyDescent="0.2">
      <c r="A778" s="55"/>
      <c r="B778" s="55"/>
      <c r="C778" s="29" t="s">
        <v>147</v>
      </c>
      <c r="D778" s="29"/>
    </row>
    <row r="779" spans="1:5" x14ac:dyDescent="0.2">
      <c r="A779" s="55"/>
      <c r="B779" s="55"/>
      <c r="C779" s="29" t="s">
        <v>149</v>
      </c>
      <c r="D779" s="29"/>
    </row>
    <row r="780" spans="1:5" x14ac:dyDescent="0.2">
      <c r="A780" s="55"/>
      <c r="B780" s="55"/>
      <c r="C780" s="29" t="s">
        <v>151</v>
      </c>
      <c r="D780" s="29"/>
    </row>
    <row r="781" spans="1:5" x14ac:dyDescent="0.2">
      <c r="A781" s="55"/>
      <c r="B781" s="55"/>
      <c r="C781" s="29" t="s">
        <v>153</v>
      </c>
      <c r="D781" s="29"/>
    </row>
    <row r="782" spans="1:5" x14ac:dyDescent="0.2">
      <c r="A782" s="55"/>
      <c r="B782" s="55"/>
      <c r="C782" s="29" t="s">
        <v>1124</v>
      </c>
      <c r="D782" s="29"/>
      <c r="E782" t="s">
        <v>1182</v>
      </c>
    </row>
    <row r="783" spans="1:5" x14ac:dyDescent="0.2">
      <c r="A783" s="55"/>
      <c r="B783" s="55"/>
      <c r="C783" s="29" t="s">
        <v>1123</v>
      </c>
      <c r="D783" s="29"/>
      <c r="E783" t="s">
        <v>1182</v>
      </c>
    </row>
    <row r="784" spans="1:5" x14ac:dyDescent="0.2">
      <c r="A784" s="55"/>
      <c r="B784" s="55"/>
      <c r="C784" s="29" t="s">
        <v>954</v>
      </c>
      <c r="D784" s="29"/>
      <c r="E784" t="s">
        <v>1182</v>
      </c>
    </row>
    <row r="785" spans="1:5" x14ac:dyDescent="0.2">
      <c r="A785" s="55"/>
      <c r="B785" s="55"/>
      <c r="C785" s="29" t="s">
        <v>157</v>
      </c>
      <c r="D785" s="29"/>
    </row>
    <row r="786" spans="1:5" x14ac:dyDescent="0.2">
      <c r="A786" s="55"/>
      <c r="B786" s="55"/>
      <c r="C786" s="29" t="s">
        <v>158</v>
      </c>
      <c r="D786" s="29"/>
    </row>
    <row r="787" spans="1:5" x14ac:dyDescent="0.2">
      <c r="A787" s="55"/>
      <c r="B787" s="55"/>
      <c r="C787" s="29" t="s">
        <v>159</v>
      </c>
      <c r="D787" s="29"/>
    </row>
    <row r="788" spans="1:5" x14ac:dyDescent="0.2">
      <c r="A788" s="55"/>
      <c r="B788" s="55"/>
      <c r="C788" s="29" t="s">
        <v>160</v>
      </c>
      <c r="D788" s="29"/>
    </row>
    <row r="789" spans="1:5" x14ac:dyDescent="0.2">
      <c r="A789" s="55"/>
      <c r="B789" s="55"/>
      <c r="C789" s="29" t="s">
        <v>161</v>
      </c>
      <c r="D789" s="29"/>
    </row>
    <row r="790" spans="1:5" x14ac:dyDescent="0.2">
      <c r="A790" s="55"/>
      <c r="B790" s="55"/>
      <c r="C790" s="29" t="s">
        <v>956</v>
      </c>
      <c r="D790" s="29"/>
      <c r="E790" t="s">
        <v>1182</v>
      </c>
    </row>
    <row r="791" spans="1:5" x14ac:dyDescent="0.2">
      <c r="A791" s="55"/>
      <c r="B791" s="55"/>
      <c r="C791" s="29" t="s">
        <v>164</v>
      </c>
      <c r="D791" s="29"/>
    </row>
    <row r="792" spans="1:5" x14ac:dyDescent="0.2">
      <c r="A792" s="55"/>
      <c r="B792" s="55"/>
      <c r="C792" s="29" t="s">
        <v>166</v>
      </c>
      <c r="D792" s="29"/>
    </row>
    <row r="793" spans="1:5" x14ac:dyDescent="0.2">
      <c r="A793" s="55"/>
      <c r="B793" s="55"/>
      <c r="C793" s="29" t="s">
        <v>168</v>
      </c>
      <c r="D793" s="29"/>
    </row>
    <row r="794" spans="1:5" x14ac:dyDescent="0.2">
      <c r="A794" s="55"/>
      <c r="B794" s="55"/>
      <c r="C794" s="29" t="s">
        <v>171</v>
      </c>
      <c r="D794" s="29"/>
    </row>
    <row r="795" spans="1:5" x14ac:dyDescent="0.2">
      <c r="A795" s="55"/>
      <c r="B795" s="55"/>
      <c r="C795" s="29" t="s">
        <v>173</v>
      </c>
      <c r="D795" s="29"/>
    </row>
    <row r="796" spans="1:5" x14ac:dyDescent="0.2">
      <c r="A796" s="55"/>
      <c r="B796" s="55"/>
      <c r="C796" s="29" t="s">
        <v>175</v>
      </c>
      <c r="D796" s="29"/>
    </row>
    <row r="797" spans="1:5" x14ac:dyDescent="0.2">
      <c r="A797" s="55"/>
      <c r="B797" s="55"/>
      <c r="C797" s="29" t="s">
        <v>177</v>
      </c>
      <c r="D797" s="29"/>
    </row>
    <row r="798" spans="1:5" x14ac:dyDescent="0.2">
      <c r="A798" s="55"/>
      <c r="B798" s="55"/>
      <c r="C798" s="29" t="s">
        <v>178</v>
      </c>
      <c r="D798" s="29"/>
    </row>
    <row r="799" spans="1:5" x14ac:dyDescent="0.2">
      <c r="A799" s="55"/>
      <c r="B799" s="55"/>
      <c r="C799" s="29" t="s">
        <v>179</v>
      </c>
      <c r="D799" s="29"/>
    </row>
    <row r="800" spans="1:5" x14ac:dyDescent="0.2">
      <c r="A800" s="55"/>
      <c r="B800" s="55"/>
      <c r="C800" s="29" t="s">
        <v>180</v>
      </c>
      <c r="D800" s="29"/>
    </row>
    <row r="801" spans="1:5" x14ac:dyDescent="0.2">
      <c r="A801" s="55"/>
      <c r="B801" s="55"/>
      <c r="C801" s="29" t="s">
        <v>181</v>
      </c>
      <c r="D801" s="29"/>
    </row>
    <row r="802" spans="1:5" x14ac:dyDescent="0.2">
      <c r="A802" s="55"/>
      <c r="B802" s="55"/>
      <c r="C802" s="29" t="s">
        <v>182</v>
      </c>
      <c r="D802" s="29"/>
    </row>
    <row r="803" spans="1:5" x14ac:dyDescent="0.2">
      <c r="A803" s="55"/>
      <c r="B803" s="55"/>
      <c r="C803" s="29" t="s">
        <v>183</v>
      </c>
      <c r="D803" s="29"/>
    </row>
    <row r="804" spans="1:5" x14ac:dyDescent="0.2">
      <c r="A804" s="55"/>
      <c r="B804" s="55"/>
      <c r="C804" s="29" t="s">
        <v>510</v>
      </c>
      <c r="D804" s="29"/>
    </row>
    <row r="805" spans="1:5" x14ac:dyDescent="0.2">
      <c r="A805" s="55"/>
      <c r="B805" s="55"/>
      <c r="C805" s="29" t="s">
        <v>184</v>
      </c>
      <c r="D805" s="29"/>
    </row>
    <row r="806" spans="1:5" x14ac:dyDescent="0.2">
      <c r="A806" s="55"/>
      <c r="B806" s="55"/>
      <c r="C806" s="29" t="s">
        <v>185</v>
      </c>
      <c r="D806" s="29"/>
    </row>
    <row r="807" spans="1:5" x14ac:dyDescent="0.2">
      <c r="A807" s="55"/>
      <c r="B807" s="55"/>
      <c r="C807" s="29" t="s">
        <v>186</v>
      </c>
      <c r="D807" s="29"/>
    </row>
    <row r="808" spans="1:5" x14ac:dyDescent="0.2">
      <c r="A808" s="55"/>
      <c r="B808" s="55"/>
      <c r="C808" s="29" t="s">
        <v>187</v>
      </c>
      <c r="D808" s="29"/>
    </row>
    <row r="809" spans="1:5" x14ac:dyDescent="0.2">
      <c r="A809" s="55"/>
      <c r="B809" s="55"/>
      <c r="C809" s="29" t="s">
        <v>955</v>
      </c>
      <c r="D809" s="29"/>
      <c r="E809" t="s">
        <v>1182</v>
      </c>
    </row>
    <row r="810" spans="1:5" x14ac:dyDescent="0.2">
      <c r="A810" s="55"/>
      <c r="B810" s="55"/>
      <c r="C810" s="29" t="s">
        <v>188</v>
      </c>
      <c r="D810" s="29"/>
    </row>
    <row r="811" spans="1:5" x14ac:dyDescent="0.2">
      <c r="A811" s="55"/>
      <c r="B811" s="55"/>
      <c r="C811" s="29" t="s">
        <v>189</v>
      </c>
      <c r="D811" s="29"/>
    </row>
    <row r="812" spans="1:5" x14ac:dyDescent="0.2">
      <c r="A812" s="55"/>
      <c r="B812" s="55"/>
      <c r="C812" s="29" t="s">
        <v>190</v>
      </c>
      <c r="D812" s="29"/>
    </row>
    <row r="813" spans="1:5" x14ac:dyDescent="0.2">
      <c r="A813" s="55"/>
      <c r="B813" s="55"/>
      <c r="C813" s="29" t="s">
        <v>191</v>
      </c>
      <c r="D813" s="29"/>
    </row>
    <row r="814" spans="1:5" x14ac:dyDescent="0.2">
      <c r="A814" s="55"/>
      <c r="B814" s="55"/>
      <c r="C814" s="29" t="s">
        <v>192</v>
      </c>
      <c r="D814" s="29"/>
    </row>
    <row r="815" spans="1:5" x14ac:dyDescent="0.2">
      <c r="A815" s="55"/>
      <c r="B815" s="55"/>
      <c r="C815" s="29" t="s">
        <v>193</v>
      </c>
      <c r="D815" s="29"/>
    </row>
    <row r="816" spans="1:5" x14ac:dyDescent="0.2">
      <c r="A816" s="55"/>
      <c r="B816" s="55"/>
      <c r="C816" s="29" t="s">
        <v>194</v>
      </c>
      <c r="D816" s="29"/>
    </row>
    <row r="817" spans="1:4" x14ac:dyDescent="0.2">
      <c r="A817" s="55"/>
      <c r="B817" s="55"/>
      <c r="C817" s="29" t="s">
        <v>196</v>
      </c>
      <c r="D817" s="29"/>
    </row>
    <row r="818" spans="1:4" x14ac:dyDescent="0.2">
      <c r="A818" s="55"/>
      <c r="B818" s="55"/>
      <c r="C818" s="29" t="s">
        <v>197</v>
      </c>
      <c r="D818" s="29"/>
    </row>
    <row r="819" spans="1:4" x14ac:dyDescent="0.2">
      <c r="A819" s="55"/>
      <c r="B819" s="55"/>
      <c r="C819" s="29" t="s">
        <v>198</v>
      </c>
      <c r="D819" s="29"/>
    </row>
    <row r="820" spans="1:4" x14ac:dyDescent="0.2">
      <c r="A820" s="55"/>
      <c r="B820" s="55"/>
      <c r="C820" s="29" t="s">
        <v>199</v>
      </c>
      <c r="D820" s="29"/>
    </row>
    <row r="821" spans="1:4" x14ac:dyDescent="0.2">
      <c r="A821" s="55"/>
      <c r="B821" s="55"/>
      <c r="C821" s="29" t="s">
        <v>200</v>
      </c>
      <c r="D821" s="29"/>
    </row>
    <row r="822" spans="1:4" x14ac:dyDescent="0.2">
      <c r="A822" s="55"/>
      <c r="B822" s="55"/>
      <c r="C822" s="29" t="s">
        <v>201</v>
      </c>
      <c r="D822" s="29"/>
    </row>
    <row r="823" spans="1:4" x14ac:dyDescent="0.2">
      <c r="A823" s="55"/>
      <c r="B823" s="55"/>
      <c r="C823" s="29" t="s">
        <v>203</v>
      </c>
      <c r="D823" s="29"/>
    </row>
    <row r="824" spans="1:4" x14ac:dyDescent="0.2">
      <c r="A824" s="55"/>
      <c r="B824" s="55"/>
      <c r="C824" s="29" t="s">
        <v>204</v>
      </c>
      <c r="D824" s="29"/>
    </row>
    <row r="825" spans="1:4" x14ac:dyDescent="0.2">
      <c r="A825" s="55"/>
      <c r="B825" s="55"/>
      <c r="C825" s="29" t="s">
        <v>205</v>
      </c>
      <c r="D825" s="29"/>
    </row>
    <row r="826" spans="1:4" x14ac:dyDescent="0.2">
      <c r="A826" s="55"/>
      <c r="B826" s="55"/>
      <c r="C826" s="29" t="s">
        <v>206</v>
      </c>
      <c r="D826" s="29"/>
    </row>
    <row r="827" spans="1:4" x14ac:dyDescent="0.2">
      <c r="A827" s="55"/>
      <c r="B827" s="55"/>
      <c r="C827" s="29" t="s">
        <v>207</v>
      </c>
      <c r="D827" s="29"/>
    </row>
    <row r="828" spans="1:4" x14ac:dyDescent="0.2">
      <c r="A828" s="55"/>
      <c r="B828" s="55"/>
      <c r="C828" s="29" t="s">
        <v>208</v>
      </c>
      <c r="D828" s="29"/>
    </row>
    <row r="829" spans="1:4" x14ac:dyDescent="0.2">
      <c r="A829" s="55"/>
      <c r="B829" s="55"/>
      <c r="C829" s="29" t="s">
        <v>209</v>
      </c>
      <c r="D829" s="29"/>
    </row>
    <row r="830" spans="1:4" x14ac:dyDescent="0.2">
      <c r="A830" s="55"/>
      <c r="B830" s="55"/>
      <c r="C830" s="29" t="s">
        <v>210</v>
      </c>
      <c r="D830" s="29"/>
    </row>
    <row r="831" spans="1:4" x14ac:dyDescent="0.2">
      <c r="A831" s="55"/>
      <c r="B831" s="55"/>
      <c r="C831" s="29" t="s">
        <v>1176</v>
      </c>
      <c r="D831" s="29" t="s">
        <v>1175</v>
      </c>
    </row>
    <row r="832" spans="1:4" x14ac:dyDescent="0.2">
      <c r="A832" s="55"/>
      <c r="B832" s="55"/>
      <c r="C832" s="29" t="s">
        <v>1177</v>
      </c>
      <c r="D832" s="29" t="s">
        <v>946</v>
      </c>
    </row>
    <row r="833" spans="1:4" x14ac:dyDescent="0.2">
      <c r="A833" s="55"/>
      <c r="B833" s="55"/>
      <c r="C833" s="29" t="s">
        <v>1178</v>
      </c>
      <c r="D833" s="29" t="s">
        <v>946</v>
      </c>
    </row>
    <row r="834" spans="1:4" ht="15" x14ac:dyDescent="0.25">
      <c r="A834" s="55"/>
      <c r="B834" s="55"/>
      <c r="C834" s="29" t="s">
        <v>942</v>
      </c>
      <c r="D834" s="86"/>
    </row>
    <row r="835" spans="1:4" x14ac:dyDescent="0.2">
      <c r="A835" s="55"/>
      <c r="B835" s="55"/>
      <c r="C835" s="29" t="s">
        <v>317</v>
      </c>
      <c r="D835" s="29"/>
    </row>
    <row r="836" spans="1:4" x14ac:dyDescent="0.2">
      <c r="A836" s="55"/>
      <c r="B836" s="55"/>
      <c r="C836" s="29" t="s">
        <v>930</v>
      </c>
      <c r="D836" s="29"/>
    </row>
    <row r="837" spans="1:4" x14ac:dyDescent="0.2">
      <c r="A837" s="55"/>
      <c r="B837" s="55"/>
      <c r="C837" s="29" t="s">
        <v>931</v>
      </c>
      <c r="D837" s="29"/>
    </row>
    <row r="838" spans="1:4" x14ac:dyDescent="0.2">
      <c r="A838" s="55"/>
      <c r="B838" s="55"/>
      <c r="C838" s="29" t="s">
        <v>316</v>
      </c>
      <c r="D838" s="29"/>
    </row>
    <row r="839" spans="1:4" x14ac:dyDescent="0.2">
      <c r="A839" s="55"/>
      <c r="B839" s="55"/>
      <c r="C839" s="29" t="s">
        <v>313</v>
      </c>
      <c r="D839" s="29"/>
    </row>
    <row r="840" spans="1:4" x14ac:dyDescent="0.2">
      <c r="A840" s="55"/>
      <c r="B840" s="55"/>
      <c r="C840" s="29" t="s">
        <v>318</v>
      </c>
      <c r="D840" s="29"/>
    </row>
    <row r="841" spans="1:4" x14ac:dyDescent="0.2">
      <c r="A841" s="55"/>
      <c r="B841" s="55"/>
      <c r="C841" s="29" t="s">
        <v>932</v>
      </c>
      <c r="D841" s="29"/>
    </row>
    <row r="842" spans="1:4" x14ac:dyDescent="0.2">
      <c r="A842" s="55"/>
      <c r="B842" s="55"/>
      <c r="C842" s="29" t="s">
        <v>688</v>
      </c>
      <c r="D842" s="29"/>
    </row>
    <row r="843" spans="1:4" x14ac:dyDescent="0.2">
      <c r="A843" s="55"/>
      <c r="B843" s="55"/>
      <c r="C843" s="29" t="s">
        <v>689</v>
      </c>
      <c r="D843" s="29"/>
    </row>
    <row r="844" spans="1:4" x14ac:dyDescent="0.2">
      <c r="A844" s="55"/>
      <c r="B844" s="55"/>
      <c r="C844" s="29" t="s">
        <v>691</v>
      </c>
      <c r="D844" s="29"/>
    </row>
    <row r="845" spans="1:4" x14ac:dyDescent="0.2">
      <c r="A845" s="55"/>
      <c r="B845" s="55"/>
      <c r="C845" s="29" t="s">
        <v>690</v>
      </c>
      <c r="D845" s="29"/>
    </row>
    <row r="846" spans="1:4" x14ac:dyDescent="0.2">
      <c r="A846" s="55"/>
      <c r="B846" s="55"/>
      <c r="C846" s="29" t="s">
        <v>687</v>
      </c>
      <c r="D846" s="29"/>
    </row>
    <row r="847" spans="1:4" x14ac:dyDescent="0.2">
      <c r="A847" s="55"/>
      <c r="B847" s="55"/>
      <c r="C847" s="29" t="s">
        <v>455</v>
      </c>
      <c r="D847" s="29"/>
    </row>
    <row r="848" spans="1:4" x14ac:dyDescent="0.2">
      <c r="A848" s="55"/>
      <c r="B848" s="55"/>
      <c r="C848" s="29" t="s">
        <v>456</v>
      </c>
      <c r="D848" s="29"/>
    </row>
    <row r="849" spans="1:4" x14ac:dyDescent="0.2">
      <c r="A849" s="55"/>
      <c r="B849" s="55"/>
      <c r="C849" s="29" t="s">
        <v>457</v>
      </c>
      <c r="D849" s="29"/>
    </row>
    <row r="850" spans="1:4" x14ac:dyDescent="0.2">
      <c r="A850" s="55"/>
      <c r="B850" s="55"/>
      <c r="C850" s="29" t="s">
        <v>102</v>
      </c>
      <c r="D850" s="29"/>
    </row>
    <row r="851" spans="1:4" x14ac:dyDescent="0.2">
      <c r="A851" s="42" t="s">
        <v>364</v>
      </c>
      <c r="B851" s="42"/>
      <c r="C851" s="31" t="s">
        <v>55</v>
      </c>
      <c r="D851" s="31"/>
    </row>
    <row r="852" spans="1:4" x14ac:dyDescent="0.2">
      <c r="A852" s="43"/>
      <c r="B852" s="43"/>
      <c r="C852" s="31" t="s">
        <v>62</v>
      </c>
      <c r="D852" s="31"/>
    </row>
    <row r="853" spans="1:4" x14ac:dyDescent="0.2">
      <c r="A853" s="55" t="s">
        <v>31</v>
      </c>
      <c r="B853" s="55" t="s">
        <v>1</v>
      </c>
      <c r="C853" s="29" t="s">
        <v>213</v>
      </c>
      <c r="D853" s="29"/>
    </row>
    <row r="854" spans="1:4" x14ac:dyDescent="0.2">
      <c r="A854" s="55"/>
      <c r="B854" s="55"/>
      <c r="C854" s="29" t="s">
        <v>220</v>
      </c>
      <c r="D854" s="29"/>
    </row>
    <row r="855" spans="1:4" x14ac:dyDescent="0.2">
      <c r="A855" s="55"/>
      <c r="B855" s="55"/>
      <c r="C855" s="29" t="s">
        <v>218</v>
      </c>
      <c r="D855" s="29"/>
    </row>
    <row r="856" spans="1:4" x14ac:dyDescent="0.2">
      <c r="A856" s="55"/>
      <c r="B856" s="55"/>
      <c r="C856" s="29" t="s">
        <v>219</v>
      </c>
      <c r="D856" s="29"/>
    </row>
    <row r="857" spans="1:4" x14ac:dyDescent="0.2">
      <c r="A857" s="55"/>
      <c r="B857" s="55"/>
      <c r="C857" s="29" t="s">
        <v>214</v>
      </c>
      <c r="D857" s="29"/>
    </row>
    <row r="858" spans="1:4" x14ac:dyDescent="0.2">
      <c r="A858" s="55"/>
      <c r="B858" s="55"/>
      <c r="C858" s="29" t="s">
        <v>217</v>
      </c>
      <c r="D858" s="29"/>
    </row>
    <row r="859" spans="1:4" x14ac:dyDescent="0.2">
      <c r="A859" s="55"/>
      <c r="B859" s="55"/>
      <c r="C859" s="29" t="s">
        <v>215</v>
      </c>
      <c r="D859" s="29"/>
    </row>
    <row r="860" spans="1:4" x14ac:dyDescent="0.2">
      <c r="A860" s="55"/>
      <c r="B860" s="55"/>
      <c r="C860" s="29" t="s">
        <v>216</v>
      </c>
      <c r="D860" s="29"/>
    </row>
    <row r="861" spans="1:4" x14ac:dyDescent="0.2">
      <c r="A861" s="55"/>
      <c r="B861" s="55"/>
      <c r="C861" s="29" t="s">
        <v>505</v>
      </c>
      <c r="D861" s="29"/>
    </row>
    <row r="862" spans="1:4" x14ac:dyDescent="0.2">
      <c r="A862" s="42" t="s">
        <v>40</v>
      </c>
      <c r="B862" s="42" t="s">
        <v>1</v>
      </c>
      <c r="C862" s="31" t="s">
        <v>221</v>
      </c>
      <c r="D862" s="31"/>
    </row>
    <row r="863" spans="1:4" x14ac:dyDescent="0.2">
      <c r="A863" s="43"/>
      <c r="B863" s="43"/>
      <c r="C863" s="31" t="s">
        <v>222</v>
      </c>
      <c r="D863" s="31"/>
    </row>
    <row r="864" spans="1:4" x14ac:dyDescent="0.2">
      <c r="A864" s="43"/>
      <c r="B864" s="43"/>
      <c r="C864" s="31" t="s">
        <v>223</v>
      </c>
      <c r="D864" s="31"/>
    </row>
    <row r="865" spans="1:4" x14ac:dyDescent="0.2">
      <c r="A865" s="43"/>
      <c r="B865" s="43"/>
      <c r="C865" s="31" t="s">
        <v>224</v>
      </c>
      <c r="D865" s="31"/>
    </row>
    <row r="866" spans="1:4" x14ac:dyDescent="0.2">
      <c r="A866" s="43"/>
      <c r="B866" s="43"/>
      <c r="C866" s="31" t="s">
        <v>225</v>
      </c>
      <c r="D866" s="31"/>
    </row>
    <row r="867" spans="1:4" x14ac:dyDescent="0.2">
      <c r="A867" s="43"/>
      <c r="B867" s="43"/>
      <c r="C867" s="31" t="s">
        <v>226</v>
      </c>
      <c r="D867" s="31"/>
    </row>
    <row r="868" spans="1:4" x14ac:dyDescent="0.2">
      <c r="A868" s="43"/>
      <c r="B868" s="43"/>
      <c r="C868" s="31" t="s">
        <v>227</v>
      </c>
      <c r="D868" s="31"/>
    </row>
    <row r="869" spans="1:4" x14ac:dyDescent="0.2">
      <c r="A869" s="43"/>
      <c r="B869" s="43"/>
      <c r="C869" s="31" t="s">
        <v>246</v>
      </c>
      <c r="D869" s="31"/>
    </row>
    <row r="870" spans="1:4" x14ac:dyDescent="0.2">
      <c r="A870" s="55" t="s">
        <v>32</v>
      </c>
      <c r="B870" s="55" t="s">
        <v>1</v>
      </c>
      <c r="C870" s="29" t="s">
        <v>221</v>
      </c>
      <c r="D870" s="29"/>
    </row>
    <row r="871" spans="1:4" x14ac:dyDescent="0.2">
      <c r="A871" s="55"/>
      <c r="B871" s="55"/>
      <c r="C871" s="29" t="s">
        <v>223</v>
      </c>
      <c r="D871" s="29"/>
    </row>
    <row r="872" spans="1:4" x14ac:dyDescent="0.2">
      <c r="A872" s="55"/>
      <c r="B872" s="55"/>
      <c r="C872" s="29" t="s">
        <v>225</v>
      </c>
      <c r="D872" s="29"/>
    </row>
    <row r="873" spans="1:4" x14ac:dyDescent="0.2">
      <c r="A873" s="55"/>
      <c r="B873" s="55"/>
      <c r="C873" s="29" t="s">
        <v>102</v>
      </c>
      <c r="D873" s="29"/>
    </row>
    <row r="874" spans="1:4" x14ac:dyDescent="0.2">
      <c r="A874" s="42" t="s">
        <v>33</v>
      </c>
      <c r="B874" s="42" t="s">
        <v>1</v>
      </c>
      <c r="C874" s="31" t="s">
        <v>228</v>
      </c>
      <c r="D874" s="31"/>
    </row>
    <row r="875" spans="1:4" x14ac:dyDescent="0.2">
      <c r="A875" s="43"/>
      <c r="B875" s="43"/>
      <c r="C875" s="31" t="s">
        <v>229</v>
      </c>
      <c r="D875" s="31"/>
    </row>
    <row r="876" spans="1:4" x14ac:dyDescent="0.2">
      <c r="A876" s="43"/>
      <c r="B876" s="43"/>
      <c r="C876" s="31" t="s">
        <v>230</v>
      </c>
      <c r="D876" s="31"/>
    </row>
    <row r="877" spans="1:4" x14ac:dyDescent="0.2">
      <c r="A877" s="43"/>
      <c r="B877" s="43"/>
      <c r="C877" s="31" t="s">
        <v>231</v>
      </c>
      <c r="D877" s="31"/>
    </row>
    <row r="878" spans="1:4" x14ac:dyDescent="0.2">
      <c r="A878" s="43"/>
      <c r="B878" s="43"/>
      <c r="C878" s="31" t="s">
        <v>607</v>
      </c>
      <c r="D878" s="31"/>
    </row>
    <row r="879" spans="1:4" x14ac:dyDescent="0.2">
      <c r="A879" s="43"/>
      <c r="B879" s="43"/>
      <c r="C879" s="31" t="s">
        <v>306</v>
      </c>
      <c r="D879" s="31"/>
    </row>
    <row r="880" spans="1:4" x14ac:dyDescent="0.2">
      <c r="A880" s="43"/>
      <c r="B880" s="43"/>
      <c r="C880" s="31" t="s">
        <v>307</v>
      </c>
      <c r="D880" s="31"/>
    </row>
    <row r="881" spans="1:5" x14ac:dyDescent="0.2">
      <c r="A881" s="43"/>
      <c r="B881" s="43"/>
      <c r="C881" s="31" t="s">
        <v>291</v>
      </c>
      <c r="D881" s="31"/>
    </row>
    <row r="882" spans="1:5" x14ac:dyDescent="0.2">
      <c r="A882" s="43"/>
      <c r="B882" s="43"/>
      <c r="C882" s="31" t="s">
        <v>769</v>
      </c>
      <c r="D882" s="31" t="s">
        <v>769</v>
      </c>
      <c r="E882" t="s">
        <v>1182</v>
      </c>
    </row>
    <row r="883" spans="1:5" x14ac:dyDescent="0.2">
      <c r="A883" s="44"/>
      <c r="B883" s="44"/>
      <c r="C883" s="31" t="s">
        <v>102</v>
      </c>
      <c r="D883" s="31"/>
    </row>
    <row r="884" spans="1:5" x14ac:dyDescent="0.2">
      <c r="A884" s="54" t="s">
        <v>459</v>
      </c>
      <c r="B884" s="54" t="s">
        <v>1</v>
      </c>
      <c r="C884" s="29" t="s">
        <v>73</v>
      </c>
      <c r="D884" s="29"/>
    </row>
    <row r="885" spans="1:5" x14ac:dyDescent="0.2">
      <c r="A885" s="55"/>
      <c r="B885" s="55"/>
      <c r="C885" s="29" t="s">
        <v>232</v>
      </c>
      <c r="D885" s="29"/>
    </row>
    <row r="886" spans="1:5" x14ac:dyDescent="0.2">
      <c r="A886" s="55"/>
      <c r="B886" s="55"/>
      <c r="C886" s="29" t="s">
        <v>460</v>
      </c>
      <c r="D886" s="29"/>
    </row>
    <row r="887" spans="1:5" x14ac:dyDescent="0.2">
      <c r="A887" s="55"/>
      <c r="B887" s="55"/>
      <c r="C887" s="29" t="s">
        <v>162</v>
      </c>
      <c r="D887" s="29"/>
    </row>
    <row r="888" spans="1:5" x14ac:dyDescent="0.2">
      <c r="A888" s="55"/>
      <c r="B888" s="55"/>
      <c r="C888" s="29" t="s">
        <v>934</v>
      </c>
      <c r="D888" s="29"/>
    </row>
    <row r="889" spans="1:5" x14ac:dyDescent="0.2">
      <c r="A889" s="55"/>
      <c r="B889" s="55"/>
      <c r="C889" s="29" t="s">
        <v>416</v>
      </c>
      <c r="D889" s="29" t="s">
        <v>417</v>
      </c>
    </row>
    <row r="890" spans="1:5" x14ac:dyDescent="0.2">
      <c r="A890" s="55"/>
      <c r="B890" s="55"/>
      <c r="C890" s="29" t="s">
        <v>233</v>
      </c>
      <c r="D890" s="29"/>
    </row>
    <row r="891" spans="1:5" x14ac:dyDescent="0.2">
      <c r="A891" s="42" t="s">
        <v>34</v>
      </c>
      <c r="B891" s="42" t="s">
        <v>1</v>
      </c>
      <c r="C891" s="31" t="s">
        <v>234</v>
      </c>
      <c r="D891" s="31"/>
    </row>
    <row r="892" spans="1:5" x14ac:dyDescent="0.2">
      <c r="A892" s="43"/>
      <c r="B892" s="43"/>
      <c r="C892" s="31" t="s">
        <v>235</v>
      </c>
      <c r="D892" s="31"/>
    </row>
    <row r="893" spans="1:5" x14ac:dyDescent="0.2">
      <c r="A893" s="43"/>
      <c r="B893" s="43"/>
      <c r="C893" s="31" t="s">
        <v>236</v>
      </c>
      <c r="D893" s="31"/>
    </row>
    <row r="894" spans="1:5" x14ac:dyDescent="0.2">
      <c r="A894" s="43"/>
      <c r="B894" s="43"/>
      <c r="C894" s="31" t="s">
        <v>237</v>
      </c>
      <c r="D894" s="31"/>
    </row>
    <row r="895" spans="1:5" x14ac:dyDescent="0.2">
      <c r="A895" s="43"/>
      <c r="B895" s="43"/>
      <c r="C895" s="31" t="s">
        <v>238</v>
      </c>
      <c r="D895" s="31"/>
    </row>
    <row r="896" spans="1:5" x14ac:dyDescent="0.2">
      <c r="A896" s="43"/>
      <c r="B896" s="43"/>
      <c r="C896" s="31" t="s">
        <v>102</v>
      </c>
      <c r="D896" s="31"/>
    </row>
    <row r="897" spans="1:4" x14ac:dyDescent="0.2">
      <c r="A897" s="54" t="s">
        <v>35</v>
      </c>
      <c r="B897" s="54" t="s">
        <v>1</v>
      </c>
      <c r="C897" s="29" t="s">
        <v>211</v>
      </c>
      <c r="D897" s="29"/>
    </row>
    <row r="898" spans="1:4" x14ac:dyDescent="0.2">
      <c r="A898" s="55"/>
      <c r="B898" s="55"/>
      <c r="C898" s="29" t="s">
        <v>212</v>
      </c>
      <c r="D898" s="29"/>
    </row>
    <row r="899" spans="1:4" x14ac:dyDescent="0.2">
      <c r="A899" s="55"/>
      <c r="B899" s="55"/>
      <c r="C899" s="29" t="s">
        <v>73</v>
      </c>
      <c r="D899" s="29"/>
    </row>
    <row r="900" spans="1:4" x14ac:dyDescent="0.2">
      <c r="A900" s="55"/>
      <c r="B900" s="55"/>
      <c r="C900" s="29" t="s">
        <v>102</v>
      </c>
      <c r="D900" s="29"/>
    </row>
    <row r="901" spans="1:4" x14ac:dyDescent="0.2">
      <c r="A901" s="42" t="s">
        <v>37</v>
      </c>
      <c r="B901" s="42" t="s">
        <v>1</v>
      </c>
      <c r="C901" s="31" t="s">
        <v>641</v>
      </c>
      <c r="D901" s="31"/>
    </row>
    <row r="902" spans="1:4" x14ac:dyDescent="0.2">
      <c r="A902" s="43"/>
      <c r="B902" s="43"/>
      <c r="C902" s="31" t="s">
        <v>642</v>
      </c>
      <c r="D902" s="31"/>
    </row>
    <row r="903" spans="1:4" x14ac:dyDescent="0.2">
      <c r="A903" s="43"/>
      <c r="B903" s="43"/>
      <c r="C903" s="31" t="s">
        <v>72</v>
      </c>
      <c r="D903" s="31"/>
    </row>
    <row r="904" spans="1:4" x14ac:dyDescent="0.2">
      <c r="A904" s="43"/>
      <c r="B904" s="43"/>
      <c r="C904" s="31" t="s">
        <v>643</v>
      </c>
      <c r="D904" s="31"/>
    </row>
    <row r="905" spans="1:4" x14ac:dyDescent="0.2">
      <c r="A905" s="43"/>
      <c r="B905" s="43"/>
      <c r="C905" s="31" t="s">
        <v>644</v>
      </c>
      <c r="D905" s="31"/>
    </row>
    <row r="906" spans="1:4" x14ac:dyDescent="0.2">
      <c r="A906" s="61" t="s">
        <v>39</v>
      </c>
      <c r="B906" s="61" t="s">
        <v>1</v>
      </c>
      <c r="C906" s="34" t="s">
        <v>239</v>
      </c>
      <c r="D906" s="34"/>
    </row>
    <row r="907" spans="1:4" x14ac:dyDescent="0.2">
      <c r="A907" s="55"/>
      <c r="B907" s="55"/>
      <c r="C907" s="34" t="s">
        <v>240</v>
      </c>
      <c r="D907" s="34"/>
    </row>
    <row r="908" spans="1:4" x14ac:dyDescent="0.2">
      <c r="A908" s="55"/>
      <c r="B908" s="55"/>
      <c r="C908" s="29" t="s">
        <v>660</v>
      </c>
      <c r="D908" s="29"/>
    </row>
    <row r="909" spans="1:4" x14ac:dyDescent="0.2">
      <c r="A909" s="55"/>
      <c r="B909" s="55"/>
      <c r="C909" s="29" t="s">
        <v>661</v>
      </c>
      <c r="D909" s="29"/>
    </row>
    <row r="910" spans="1:4" x14ac:dyDescent="0.2">
      <c r="A910" s="55"/>
      <c r="B910" s="55"/>
      <c r="C910" s="29" t="s">
        <v>662</v>
      </c>
      <c r="D910" s="29"/>
    </row>
    <row r="911" spans="1:4" x14ac:dyDescent="0.2">
      <c r="A911" s="55"/>
      <c r="B911" s="55"/>
      <c r="C911" s="29" t="s">
        <v>663</v>
      </c>
      <c r="D911" s="29"/>
    </row>
    <row r="912" spans="1:4" x14ac:dyDescent="0.2">
      <c r="A912" s="58" t="s">
        <v>41</v>
      </c>
      <c r="B912" s="58" t="s">
        <v>1</v>
      </c>
      <c r="C912" s="36" t="s">
        <v>221</v>
      </c>
      <c r="D912" s="36"/>
    </row>
    <row r="913" spans="1:5" x14ac:dyDescent="0.2">
      <c r="A913" s="43"/>
      <c r="B913" s="43"/>
      <c r="C913" s="36" t="s">
        <v>222</v>
      </c>
      <c r="D913" s="36"/>
    </row>
    <row r="914" spans="1:5" x14ac:dyDescent="0.2">
      <c r="A914" s="43"/>
      <c r="B914" s="43"/>
      <c r="C914" s="31" t="s">
        <v>223</v>
      </c>
      <c r="D914" s="31"/>
    </row>
    <row r="915" spans="1:5" x14ac:dyDescent="0.2">
      <c r="A915" s="43"/>
      <c r="B915" s="43"/>
      <c r="C915" s="31" t="s">
        <v>224</v>
      </c>
      <c r="D915" s="31"/>
    </row>
    <row r="916" spans="1:5" x14ac:dyDescent="0.2">
      <c r="A916" s="43"/>
      <c r="B916" s="43"/>
      <c r="C916" s="31" t="s">
        <v>225</v>
      </c>
      <c r="D916" s="31"/>
    </row>
    <row r="917" spans="1:5" x14ac:dyDescent="0.2">
      <c r="A917" s="43"/>
      <c r="B917" s="43"/>
      <c r="C917" s="31" t="s">
        <v>226</v>
      </c>
      <c r="D917" s="31"/>
    </row>
    <row r="918" spans="1:5" x14ac:dyDescent="0.2">
      <c r="A918" s="43"/>
      <c r="B918" s="43"/>
      <c r="C918" s="36" t="s">
        <v>227</v>
      </c>
      <c r="D918" s="36"/>
    </row>
    <row r="919" spans="1:5" x14ac:dyDescent="0.2">
      <c r="A919" s="43"/>
      <c r="B919" s="43"/>
      <c r="C919" s="36" t="s">
        <v>246</v>
      </c>
      <c r="D919" s="36"/>
    </row>
    <row r="920" spans="1:5" ht="15" x14ac:dyDescent="0.25">
      <c r="A920" s="61" t="s">
        <v>42</v>
      </c>
      <c r="B920" s="61" t="s">
        <v>1</v>
      </c>
      <c r="C920" s="34" t="s">
        <v>610</v>
      </c>
      <c r="D920" s="34"/>
      <c r="E920" s="35"/>
    </row>
    <row r="921" spans="1:5" ht="15" x14ac:dyDescent="0.25">
      <c r="A921" s="55"/>
      <c r="B921" s="55"/>
      <c r="C921" s="34" t="s">
        <v>648</v>
      </c>
      <c r="D921" s="34"/>
      <c r="E921" s="35"/>
    </row>
    <row r="922" spans="1:5" ht="15" x14ac:dyDescent="0.25">
      <c r="A922" s="55"/>
      <c r="B922" s="55"/>
      <c r="C922" s="29" t="s">
        <v>649</v>
      </c>
      <c r="D922" s="29"/>
      <c r="E922" s="35"/>
    </row>
    <row r="923" spans="1:5" ht="15" x14ac:dyDescent="0.25">
      <c r="A923" s="55"/>
      <c r="B923" s="55"/>
      <c r="C923" s="29" t="s">
        <v>650</v>
      </c>
      <c r="D923" s="29"/>
      <c r="E923" s="35"/>
    </row>
    <row r="924" spans="1:5" ht="15" x14ac:dyDescent="0.25">
      <c r="A924" s="55"/>
      <c r="B924" s="55"/>
      <c r="C924" s="29" t="s">
        <v>611</v>
      </c>
      <c r="D924" s="29"/>
      <c r="E924" s="35"/>
    </row>
    <row r="925" spans="1:5" x14ac:dyDescent="0.2">
      <c r="A925" s="55"/>
      <c r="B925" s="55"/>
      <c r="C925" s="29" t="s">
        <v>102</v>
      </c>
      <c r="D925" s="29"/>
    </row>
    <row r="926" spans="1:5" x14ac:dyDescent="0.2">
      <c r="A926" s="58" t="s">
        <v>667</v>
      </c>
      <c r="B926" s="58" t="s">
        <v>1</v>
      </c>
      <c r="C926" s="31" t="s">
        <v>928</v>
      </c>
      <c r="D926" s="31"/>
    </row>
    <row r="927" spans="1:5" x14ac:dyDescent="0.2">
      <c r="A927" s="43"/>
      <c r="B927" s="43"/>
      <c r="C927" s="31" t="s">
        <v>672</v>
      </c>
      <c r="D927" s="31"/>
    </row>
    <row r="928" spans="1:5" x14ac:dyDescent="0.2">
      <c r="A928" s="43"/>
      <c r="B928" s="43"/>
      <c r="C928" s="31" t="s">
        <v>671</v>
      </c>
      <c r="D928" s="31"/>
    </row>
    <row r="929" spans="1:5" x14ac:dyDescent="0.2">
      <c r="A929" s="59" t="s">
        <v>43</v>
      </c>
      <c r="B929" s="59" t="s">
        <v>1</v>
      </c>
      <c r="C929" s="34" t="s">
        <v>312</v>
      </c>
      <c r="D929" s="34"/>
    </row>
    <row r="930" spans="1:5" x14ac:dyDescent="0.2">
      <c r="A930" s="60"/>
      <c r="B930" s="60"/>
      <c r="C930" s="34" t="s">
        <v>229</v>
      </c>
      <c r="D930" s="34"/>
    </row>
    <row r="931" spans="1:5" x14ac:dyDescent="0.2">
      <c r="A931" s="60"/>
      <c r="B931" s="60"/>
      <c r="C931" s="29" t="s">
        <v>228</v>
      </c>
      <c r="D931" s="29"/>
    </row>
    <row r="932" spans="1:5" x14ac:dyDescent="0.2">
      <c r="A932" s="60"/>
      <c r="B932" s="60"/>
      <c r="C932" s="29" t="s">
        <v>230</v>
      </c>
      <c r="D932" s="29"/>
    </row>
    <row r="933" spans="1:5" x14ac:dyDescent="0.2">
      <c r="A933" s="60"/>
      <c r="B933" s="60"/>
      <c r="C933" s="29" t="s">
        <v>102</v>
      </c>
      <c r="D933" s="29"/>
    </row>
    <row r="934" spans="1:5" x14ac:dyDescent="0.2">
      <c r="A934" s="64" t="s">
        <v>44</v>
      </c>
      <c r="B934" s="64" t="s">
        <v>1</v>
      </c>
      <c r="C934" s="36" t="s">
        <v>228</v>
      </c>
      <c r="D934" s="36"/>
    </row>
    <row r="935" spans="1:5" x14ac:dyDescent="0.2">
      <c r="A935" s="65"/>
      <c r="B935" s="65"/>
      <c r="C935" s="36" t="s">
        <v>229</v>
      </c>
      <c r="D935" s="36"/>
    </row>
    <row r="936" spans="1:5" x14ac:dyDescent="0.2">
      <c r="A936" s="65"/>
      <c r="B936" s="65"/>
      <c r="C936" s="31" t="s">
        <v>230</v>
      </c>
      <c r="D936" s="31"/>
    </row>
    <row r="937" spans="1:5" x14ac:dyDescent="0.2">
      <c r="A937" s="65"/>
      <c r="B937" s="65"/>
      <c r="C937" s="31" t="s">
        <v>231</v>
      </c>
      <c r="D937" s="31"/>
    </row>
    <row r="938" spans="1:5" x14ac:dyDescent="0.2">
      <c r="A938" s="65"/>
      <c r="B938" s="65"/>
      <c r="C938" s="31" t="s">
        <v>290</v>
      </c>
      <c r="D938" s="31"/>
    </row>
    <row r="939" spans="1:5" x14ac:dyDescent="0.2">
      <c r="A939" s="65"/>
      <c r="B939" s="65"/>
      <c r="C939" s="36" t="s">
        <v>290</v>
      </c>
      <c r="D939" s="36"/>
    </row>
    <row r="940" spans="1:5" x14ac:dyDescent="0.2">
      <c r="A940" s="65"/>
      <c r="B940" s="65"/>
      <c r="C940" s="36" t="s">
        <v>306</v>
      </c>
      <c r="D940" s="36"/>
    </row>
    <row r="941" spans="1:5" x14ac:dyDescent="0.2">
      <c r="A941" s="65"/>
      <c r="B941" s="65"/>
      <c r="C941" s="31" t="s">
        <v>307</v>
      </c>
      <c r="D941" s="31"/>
    </row>
    <row r="942" spans="1:5" x14ac:dyDescent="0.2">
      <c r="A942" s="65"/>
      <c r="B942" s="65"/>
      <c r="C942" s="36" t="s">
        <v>291</v>
      </c>
      <c r="D942" s="36"/>
    </row>
    <row r="943" spans="1:5" x14ac:dyDescent="0.2">
      <c r="A943" s="65"/>
      <c r="B943" s="65"/>
      <c r="C943" s="36" t="s">
        <v>312</v>
      </c>
      <c r="D943" s="36"/>
    </row>
    <row r="944" spans="1:5" x14ac:dyDescent="0.2">
      <c r="A944" s="65"/>
      <c r="B944" s="65"/>
      <c r="C944" s="31" t="s">
        <v>770</v>
      </c>
      <c r="D944" s="31" t="s">
        <v>770</v>
      </c>
      <c r="E944" t="s">
        <v>1182</v>
      </c>
    </row>
    <row r="945" spans="1:4" x14ac:dyDescent="0.2">
      <c r="A945" s="84"/>
      <c r="B945" s="84"/>
      <c r="C945" s="31" t="s">
        <v>102</v>
      </c>
      <c r="D945" s="31"/>
    </row>
    <row r="946" spans="1:4" ht="14.25" customHeight="1" x14ac:dyDescent="0.2">
      <c r="A946" s="59" t="s">
        <v>462</v>
      </c>
      <c r="B946" s="59" t="s">
        <v>1</v>
      </c>
      <c r="C946" s="34" t="s">
        <v>467</v>
      </c>
      <c r="D946" s="34"/>
    </row>
    <row r="947" spans="1:4" x14ac:dyDescent="0.2">
      <c r="A947" s="60"/>
      <c r="B947" s="60"/>
      <c r="C947" s="34" t="s">
        <v>468</v>
      </c>
      <c r="D947" s="34"/>
    </row>
    <row r="948" spans="1:4" x14ac:dyDescent="0.2">
      <c r="A948" s="60"/>
      <c r="B948" s="60"/>
      <c r="C948" s="29" t="s">
        <v>469</v>
      </c>
      <c r="D948" s="29"/>
    </row>
    <row r="949" spans="1:4" x14ac:dyDescent="0.2">
      <c r="A949" s="60"/>
      <c r="B949" s="60"/>
      <c r="C949" s="29" t="s">
        <v>471</v>
      </c>
      <c r="D949" s="29"/>
    </row>
    <row r="950" spans="1:4" x14ac:dyDescent="0.2">
      <c r="A950" s="60"/>
      <c r="B950" s="60"/>
      <c r="C950" s="29" t="s">
        <v>466</v>
      </c>
      <c r="D950" s="29"/>
    </row>
    <row r="951" spans="1:4" x14ac:dyDescent="0.2">
      <c r="A951" s="60"/>
      <c r="B951" s="60"/>
      <c r="C951" s="34" t="s">
        <v>465</v>
      </c>
      <c r="D951" s="34"/>
    </row>
    <row r="952" spans="1:4" x14ac:dyDescent="0.2">
      <c r="A952" s="60"/>
      <c r="B952" s="60"/>
      <c r="C952" s="34" t="s">
        <v>312</v>
      </c>
      <c r="D952" s="34"/>
    </row>
    <row r="953" spans="1:4" x14ac:dyDescent="0.2">
      <c r="A953" s="60"/>
      <c r="B953" s="60"/>
      <c r="C953" s="29" t="s">
        <v>474</v>
      </c>
      <c r="D953" s="29" t="s">
        <v>624</v>
      </c>
    </row>
    <row r="954" spans="1:4" x14ac:dyDescent="0.2">
      <c r="A954" s="60"/>
      <c r="B954" s="60"/>
      <c r="C954" s="29" t="s">
        <v>416</v>
      </c>
      <c r="D954" s="29" t="s">
        <v>417</v>
      </c>
    </row>
    <row r="955" spans="1:4" x14ac:dyDescent="0.2">
      <c r="A955" s="60"/>
      <c r="B955" s="60"/>
      <c r="C955" s="29" t="s">
        <v>102</v>
      </c>
      <c r="D955" s="29"/>
    </row>
    <row r="956" spans="1:4" x14ac:dyDescent="0.2">
      <c r="A956" s="64" t="s">
        <v>45</v>
      </c>
      <c r="B956" s="64" t="s">
        <v>1</v>
      </c>
      <c r="C956" s="31" t="s">
        <v>750</v>
      </c>
      <c r="D956" s="31"/>
    </row>
    <row r="957" spans="1:4" x14ac:dyDescent="0.2">
      <c r="A957" s="65"/>
      <c r="B957" s="65"/>
      <c r="C957" s="31" t="s">
        <v>749</v>
      </c>
      <c r="D957" s="31"/>
    </row>
    <row r="958" spans="1:4" x14ac:dyDescent="0.2">
      <c r="A958" s="65"/>
      <c r="B958" s="65"/>
      <c r="C958" s="31" t="s">
        <v>242</v>
      </c>
      <c r="D958" s="31"/>
    </row>
    <row r="959" spans="1:4" x14ac:dyDescent="0.2">
      <c r="A959" s="65"/>
      <c r="B959" s="65"/>
      <c r="C959" s="31" t="s">
        <v>281</v>
      </c>
      <c r="D959" s="31"/>
    </row>
    <row r="960" spans="1:4" x14ac:dyDescent="0.2">
      <c r="A960" s="65"/>
      <c r="B960" s="65"/>
      <c r="C960" s="31" t="s">
        <v>280</v>
      </c>
      <c r="D960" s="31"/>
    </row>
    <row r="961" spans="1:5" x14ac:dyDescent="0.2">
      <c r="A961" s="65"/>
      <c r="B961" s="65"/>
      <c r="C961" s="31" t="s">
        <v>241</v>
      </c>
      <c r="D961" s="31"/>
    </row>
    <row r="962" spans="1:5" x14ac:dyDescent="0.2">
      <c r="A962" s="65"/>
      <c r="B962" s="65"/>
      <c r="C962" s="31" t="s">
        <v>926</v>
      </c>
      <c r="D962" s="31"/>
    </row>
    <row r="963" spans="1:5" x14ac:dyDescent="0.2">
      <c r="A963" s="65"/>
      <c r="B963" s="65"/>
      <c r="C963" s="31" t="s">
        <v>1144</v>
      </c>
      <c r="D963" s="31"/>
      <c r="E963" t="s">
        <v>1182</v>
      </c>
    </row>
    <row r="964" spans="1:5" x14ac:dyDescent="0.2">
      <c r="A964" s="66" t="s">
        <v>47</v>
      </c>
      <c r="B964" s="59" t="s">
        <v>1</v>
      </c>
      <c r="C964" s="29" t="s">
        <v>641</v>
      </c>
      <c r="D964" s="29"/>
    </row>
    <row r="965" spans="1:5" x14ac:dyDescent="0.2">
      <c r="A965" s="67"/>
      <c r="B965" s="60"/>
      <c r="C965" s="29" t="s">
        <v>642</v>
      </c>
      <c r="D965" s="29"/>
    </row>
    <row r="966" spans="1:5" x14ac:dyDescent="0.2">
      <c r="A966" s="67"/>
      <c r="B966" s="60"/>
      <c r="C966" s="29" t="s">
        <v>72</v>
      </c>
      <c r="D966" s="29"/>
    </row>
    <row r="967" spans="1:5" x14ac:dyDescent="0.2">
      <c r="A967" s="67"/>
      <c r="B967" s="60"/>
      <c r="C967" s="29" t="s">
        <v>643</v>
      </c>
      <c r="D967" s="29"/>
    </row>
    <row r="968" spans="1:5" x14ac:dyDescent="0.2">
      <c r="A968" s="67"/>
      <c r="B968" s="60"/>
      <c r="C968" s="29" t="s">
        <v>644</v>
      </c>
      <c r="D968" s="29"/>
    </row>
    <row r="969" spans="1:5" x14ac:dyDescent="0.2">
      <c r="A969" s="67"/>
      <c r="B969" s="60"/>
      <c r="C969" s="29" t="s">
        <v>957</v>
      </c>
      <c r="D969" s="29"/>
      <c r="E969" t="s">
        <v>1182</v>
      </c>
    </row>
    <row r="970" spans="1:5" x14ac:dyDescent="0.2">
      <c r="A970" s="68" t="s">
        <v>48</v>
      </c>
      <c r="B970" s="64" t="s">
        <v>1</v>
      </c>
      <c r="C970" s="31" t="s">
        <v>470</v>
      </c>
      <c r="D970" s="31"/>
    </row>
    <row r="971" spans="1:5" x14ac:dyDescent="0.2">
      <c r="A971" s="69"/>
      <c r="B971" s="65"/>
      <c r="C971" s="31" t="s">
        <v>627</v>
      </c>
      <c r="D971" s="31"/>
    </row>
    <row r="972" spans="1:5" x14ac:dyDescent="0.2">
      <c r="A972" s="69"/>
      <c r="B972" s="65"/>
      <c r="C972" s="31" t="s">
        <v>243</v>
      </c>
      <c r="D972" s="31"/>
    </row>
    <row r="973" spans="1:5" x14ac:dyDescent="0.2">
      <c r="A973" s="69"/>
      <c r="B973" s="65"/>
      <c r="C973" s="31" t="s">
        <v>244</v>
      </c>
      <c r="D973" s="31"/>
    </row>
    <row r="974" spans="1:5" x14ac:dyDescent="0.2">
      <c r="A974" s="69"/>
      <c r="B974" s="65"/>
      <c r="C974" s="31" t="s">
        <v>628</v>
      </c>
      <c r="D974" s="31"/>
    </row>
    <row r="975" spans="1:5" x14ac:dyDescent="0.2">
      <c r="A975" s="69"/>
      <c r="B975" s="65"/>
      <c r="C975" s="31" t="s">
        <v>245</v>
      </c>
      <c r="D975" s="31"/>
    </row>
    <row r="976" spans="1:5" x14ac:dyDescent="0.2">
      <c r="A976" s="85"/>
      <c r="B976" s="84"/>
      <c r="C976" s="31" t="s">
        <v>102</v>
      </c>
      <c r="D976" s="31"/>
    </row>
    <row r="977" spans="1:5" x14ac:dyDescent="0.2">
      <c r="A977" s="59" t="s">
        <v>461</v>
      </c>
      <c r="B977" s="59" t="s">
        <v>1</v>
      </c>
      <c r="C977" s="29" t="s">
        <v>350</v>
      </c>
      <c r="D977" s="29"/>
      <c r="E977" t="s">
        <v>1183</v>
      </c>
    </row>
    <row r="978" spans="1:5" x14ac:dyDescent="0.2">
      <c r="A978" s="60"/>
      <c r="B978" s="60"/>
      <c r="C978" s="29" t="s">
        <v>351</v>
      </c>
      <c r="D978" s="29"/>
    </row>
    <row r="979" spans="1:5" x14ac:dyDescent="0.2">
      <c r="A979" s="60"/>
      <c r="B979" s="60"/>
      <c r="C979" s="29" t="s">
        <v>352</v>
      </c>
      <c r="D979" s="29"/>
    </row>
    <row r="980" spans="1:5" x14ac:dyDescent="0.2">
      <c r="A980" s="60"/>
      <c r="B980" s="60"/>
      <c r="C980" s="29" t="s">
        <v>353</v>
      </c>
      <c r="D980" s="29"/>
    </row>
    <row r="981" spans="1:5" x14ac:dyDescent="0.2">
      <c r="A981" s="60"/>
      <c r="B981" s="60"/>
      <c r="C981" s="29" t="s">
        <v>354</v>
      </c>
      <c r="D981" s="29"/>
    </row>
    <row r="982" spans="1:5" x14ac:dyDescent="0.2">
      <c r="A982" s="60"/>
      <c r="B982" s="60"/>
      <c r="C982" s="29" t="s">
        <v>355</v>
      </c>
      <c r="D982" s="29"/>
    </row>
    <row r="983" spans="1:5" x14ac:dyDescent="0.2">
      <c r="A983" s="60"/>
      <c r="B983" s="60"/>
      <c r="C983" s="29" t="s">
        <v>399</v>
      </c>
      <c r="D983" s="29"/>
    </row>
    <row r="984" spans="1:5" x14ac:dyDescent="0.2">
      <c r="A984" s="60"/>
      <c r="B984" s="60"/>
      <c r="C984" s="29" t="s">
        <v>400</v>
      </c>
      <c r="D984" s="29"/>
    </row>
    <row r="985" spans="1:5" x14ac:dyDescent="0.2">
      <c r="A985" s="60"/>
      <c r="B985" s="60"/>
      <c r="C985" s="29" t="s">
        <v>1126</v>
      </c>
      <c r="D985" s="29" t="s">
        <v>1151</v>
      </c>
      <c r="E985" t="s">
        <v>1182</v>
      </c>
    </row>
    <row r="986" spans="1:5" x14ac:dyDescent="0.2">
      <c r="A986" s="68" t="s">
        <v>49</v>
      </c>
      <c r="B986" s="64" t="s">
        <v>1</v>
      </c>
      <c r="C986" s="31" t="s">
        <v>239</v>
      </c>
      <c r="D986" s="31"/>
    </row>
    <row r="987" spans="1:5" x14ac:dyDescent="0.2">
      <c r="A987" s="69"/>
      <c r="B987" s="65"/>
      <c r="C987" s="31" t="s">
        <v>240</v>
      </c>
      <c r="D987" s="31"/>
    </row>
    <row r="988" spans="1:5" x14ac:dyDescent="0.2">
      <c r="A988" s="69"/>
      <c r="B988" s="65"/>
      <c r="C988" s="31" t="s">
        <v>645</v>
      </c>
      <c r="D988" s="31"/>
    </row>
    <row r="989" spans="1:5" x14ac:dyDescent="0.2">
      <c r="A989" s="69"/>
      <c r="B989" s="65"/>
      <c r="C989" s="31" t="s">
        <v>646</v>
      </c>
      <c r="D989" s="31"/>
    </row>
    <row r="990" spans="1:5" x14ac:dyDescent="0.2">
      <c r="A990" s="69"/>
      <c r="B990" s="65"/>
      <c r="C990" s="31" t="s">
        <v>647</v>
      </c>
      <c r="D990" s="31"/>
    </row>
    <row r="991" spans="1:5" x14ac:dyDescent="0.2">
      <c r="A991" s="69"/>
      <c r="B991" s="65"/>
      <c r="C991" s="31" t="s">
        <v>668</v>
      </c>
      <c r="D991" s="31"/>
    </row>
    <row r="992" spans="1:5" x14ac:dyDescent="0.2">
      <c r="A992" s="59" t="s">
        <v>50</v>
      </c>
      <c r="B992" s="59" t="s">
        <v>1</v>
      </c>
      <c r="C992" s="29" t="s">
        <v>229</v>
      </c>
      <c r="D992" s="29"/>
    </row>
    <row r="993" spans="1:5" x14ac:dyDescent="0.2">
      <c r="A993" s="60"/>
      <c r="B993" s="60"/>
      <c r="C993" s="29" t="s">
        <v>228</v>
      </c>
      <c r="D993" s="29"/>
    </row>
    <row r="994" spans="1:5" x14ac:dyDescent="0.2">
      <c r="A994" s="60"/>
      <c r="B994" s="60"/>
      <c r="C994" s="29" t="s">
        <v>246</v>
      </c>
      <c r="D994" s="29"/>
    </row>
    <row r="995" spans="1:5" x14ac:dyDescent="0.2">
      <c r="A995" s="60"/>
      <c r="B995" s="60"/>
      <c r="C995" s="29" t="s">
        <v>230</v>
      </c>
      <c r="D995" s="29"/>
    </row>
    <row r="996" spans="1:5" x14ac:dyDescent="0.2">
      <c r="A996" s="60"/>
      <c r="B996" s="60"/>
      <c r="C996" s="29" t="s">
        <v>247</v>
      </c>
      <c r="D996" s="29" t="s">
        <v>684</v>
      </c>
    </row>
    <row r="997" spans="1:5" x14ac:dyDescent="0.2">
      <c r="A997" s="60"/>
      <c r="B997" s="60"/>
      <c r="C997" s="29" t="s">
        <v>102</v>
      </c>
      <c r="D997" s="29"/>
    </row>
    <row r="998" spans="1:5" x14ac:dyDescent="0.2">
      <c r="A998" s="64" t="s">
        <v>51</v>
      </c>
      <c r="B998" s="64" t="s">
        <v>1</v>
      </c>
      <c r="C998" s="31" t="s">
        <v>734</v>
      </c>
      <c r="D998" s="31"/>
      <c r="E998" t="s">
        <v>1183</v>
      </c>
    </row>
    <row r="999" spans="1:5" x14ac:dyDescent="0.2">
      <c r="A999" s="65"/>
      <c r="B999" s="65"/>
      <c r="C999" s="31" t="s">
        <v>735</v>
      </c>
      <c r="D999" s="31"/>
    </row>
    <row r="1000" spans="1:5" x14ac:dyDescent="0.2">
      <c r="A1000" s="59" t="s">
        <v>52</v>
      </c>
      <c r="B1000" s="59" t="s">
        <v>1</v>
      </c>
      <c r="C1000" s="29" t="s">
        <v>693</v>
      </c>
      <c r="D1000" s="29"/>
    </row>
    <row r="1001" spans="1:5" x14ac:dyDescent="0.2">
      <c r="A1001" s="60"/>
      <c r="B1001" s="60"/>
      <c r="C1001" s="29" t="s">
        <v>694</v>
      </c>
      <c r="D1001" s="29"/>
    </row>
    <row r="1002" spans="1:5" x14ac:dyDescent="0.2">
      <c r="A1002" s="60"/>
      <c r="B1002" s="60"/>
      <c r="C1002" s="29" t="s">
        <v>695</v>
      </c>
      <c r="D1002" s="29"/>
    </row>
    <row r="1003" spans="1:5" x14ac:dyDescent="0.2">
      <c r="A1003" s="60"/>
      <c r="B1003" s="60"/>
      <c r="C1003" s="29" t="s">
        <v>1180</v>
      </c>
      <c r="D1003" s="29"/>
      <c r="E1003" t="s">
        <v>1182</v>
      </c>
    </row>
    <row r="1004" spans="1:5" x14ac:dyDescent="0.2">
      <c r="A1004" s="60"/>
      <c r="B1004" s="60"/>
      <c r="C1004" s="29" t="s">
        <v>696</v>
      </c>
      <c r="D1004" s="29"/>
    </row>
    <row r="1005" spans="1:5" x14ac:dyDescent="0.2">
      <c r="A1005" s="60"/>
      <c r="B1005" s="60"/>
      <c r="C1005" s="29" t="s">
        <v>697</v>
      </c>
      <c r="D1005" s="29"/>
    </row>
    <row r="1006" spans="1:5" x14ac:dyDescent="0.2">
      <c r="A1006" s="60"/>
      <c r="B1006" s="60"/>
      <c r="C1006" s="29" t="s">
        <v>1179</v>
      </c>
      <c r="D1006" s="29"/>
      <c r="E1006" t="s">
        <v>1182</v>
      </c>
    </row>
    <row r="1007" spans="1:5" x14ac:dyDescent="0.2">
      <c r="A1007" s="60"/>
      <c r="B1007" s="60"/>
      <c r="C1007" s="29" t="s">
        <v>698</v>
      </c>
      <c r="D1007" s="29"/>
    </row>
    <row r="1008" spans="1:5" x14ac:dyDescent="0.2">
      <c r="A1008" s="60"/>
      <c r="B1008" s="60"/>
      <c r="C1008" s="29" t="s">
        <v>699</v>
      </c>
      <c r="D1008" s="29"/>
    </row>
    <row r="1009" spans="1:4" x14ac:dyDescent="0.2">
      <c r="A1009" s="60"/>
      <c r="B1009" s="60"/>
      <c r="C1009" s="29" t="s">
        <v>700</v>
      </c>
      <c r="D1009" s="29"/>
    </row>
    <row r="1010" spans="1:4" x14ac:dyDescent="0.2">
      <c r="A1010" s="60"/>
      <c r="B1010" s="60"/>
      <c r="C1010" s="29" t="s">
        <v>701</v>
      </c>
      <c r="D1010" s="29"/>
    </row>
    <row r="1011" spans="1:4" x14ac:dyDescent="0.2">
      <c r="A1011" s="60"/>
      <c r="B1011" s="60"/>
      <c r="C1011" s="29" t="s">
        <v>702</v>
      </c>
      <c r="D1011" s="29"/>
    </row>
    <row r="1012" spans="1:4" x14ac:dyDescent="0.2">
      <c r="A1012" s="60"/>
      <c r="B1012" s="60"/>
      <c r="C1012" s="29" t="s">
        <v>1181</v>
      </c>
      <c r="D1012" s="29"/>
    </row>
    <row r="1013" spans="1:4" x14ac:dyDescent="0.2">
      <c r="A1013" s="60"/>
      <c r="B1013" s="60"/>
      <c r="C1013" s="29" t="s">
        <v>703</v>
      </c>
      <c r="D1013" s="29"/>
    </row>
    <row r="1014" spans="1:4" x14ac:dyDescent="0.2">
      <c r="A1014" s="60"/>
      <c r="B1014" s="60"/>
      <c r="C1014" s="29" t="s">
        <v>704</v>
      </c>
      <c r="D1014" s="29"/>
    </row>
    <row r="1015" spans="1:4" x14ac:dyDescent="0.2">
      <c r="A1015" s="60"/>
      <c r="B1015" s="60"/>
      <c r="C1015" s="29" t="s">
        <v>705</v>
      </c>
      <c r="D1015" s="29"/>
    </row>
    <row r="1016" spans="1:4" x14ac:dyDescent="0.2">
      <c r="A1016" s="60"/>
      <c r="B1016" s="60"/>
      <c r="C1016" s="29" t="s">
        <v>706</v>
      </c>
      <c r="D1016" s="29"/>
    </row>
    <row r="1017" spans="1:4" x14ac:dyDescent="0.2">
      <c r="A1017" s="60"/>
      <c r="B1017" s="60"/>
      <c r="C1017" s="29" t="s">
        <v>707</v>
      </c>
      <c r="D1017" s="29"/>
    </row>
    <row r="1018" spans="1:4" x14ac:dyDescent="0.2">
      <c r="A1018" s="60"/>
      <c r="B1018" s="60"/>
      <c r="C1018" s="29" t="s">
        <v>708</v>
      </c>
      <c r="D1018" s="29"/>
    </row>
    <row r="1019" spans="1:4" x14ac:dyDescent="0.2">
      <c r="A1019" s="60"/>
      <c r="B1019" s="60"/>
      <c r="C1019" s="29" t="s">
        <v>709</v>
      </c>
      <c r="D1019" s="29"/>
    </row>
    <row r="1020" spans="1:4" x14ac:dyDescent="0.2">
      <c r="A1020" s="60"/>
      <c r="B1020" s="60"/>
      <c r="C1020" s="29" t="s">
        <v>710</v>
      </c>
      <c r="D1020" s="29"/>
    </row>
    <row r="1021" spans="1:4" x14ac:dyDescent="0.2">
      <c r="A1021" s="60"/>
      <c r="B1021" s="60"/>
      <c r="C1021" s="29" t="s">
        <v>711</v>
      </c>
      <c r="D1021" s="29"/>
    </row>
    <row r="1022" spans="1:4" x14ac:dyDescent="0.2">
      <c r="A1022" s="60"/>
      <c r="B1022" s="60"/>
      <c r="C1022" s="29" t="s">
        <v>919</v>
      </c>
      <c r="D1022" s="29"/>
    </row>
    <row r="1023" spans="1:4" x14ac:dyDescent="0.2">
      <c r="A1023" s="60"/>
      <c r="B1023" s="60"/>
      <c r="C1023" s="29" t="s">
        <v>712</v>
      </c>
      <c r="D1023" s="29"/>
    </row>
    <row r="1024" spans="1:4" x14ac:dyDescent="0.2">
      <c r="A1024" s="60"/>
      <c r="B1024" s="60"/>
      <c r="C1024" s="29" t="s">
        <v>713</v>
      </c>
      <c r="D1024" s="29"/>
    </row>
    <row r="1025" spans="1:5" x14ac:dyDescent="0.2">
      <c r="A1025" s="60"/>
      <c r="B1025" s="60"/>
      <c r="C1025" s="29" t="s">
        <v>714</v>
      </c>
      <c r="D1025" s="29"/>
    </row>
    <row r="1026" spans="1:5" x14ac:dyDescent="0.2">
      <c r="A1026" s="60"/>
      <c r="B1026" s="60"/>
      <c r="C1026" s="29" t="s">
        <v>715</v>
      </c>
      <c r="D1026" s="29"/>
    </row>
    <row r="1027" spans="1:5" x14ac:dyDescent="0.2">
      <c r="A1027" s="60"/>
      <c r="B1027" s="60"/>
      <c r="C1027" s="29" t="s">
        <v>716</v>
      </c>
      <c r="D1027" s="29"/>
    </row>
    <row r="1028" spans="1:5" x14ac:dyDescent="0.2">
      <c r="A1028" s="60"/>
      <c r="B1028" s="60"/>
      <c r="C1028" s="29" t="s">
        <v>717</v>
      </c>
      <c r="D1028" s="29"/>
    </row>
    <row r="1029" spans="1:5" x14ac:dyDescent="0.2">
      <c r="A1029" s="60"/>
      <c r="B1029" s="60"/>
      <c r="C1029" s="29" t="s">
        <v>718</v>
      </c>
      <c r="D1029" s="29"/>
    </row>
    <row r="1030" spans="1:5" x14ac:dyDescent="0.2">
      <c r="A1030" s="60"/>
      <c r="B1030" s="60"/>
      <c r="C1030" s="29" t="s">
        <v>719</v>
      </c>
      <c r="D1030" s="29"/>
    </row>
    <row r="1031" spans="1:5" x14ac:dyDescent="0.2">
      <c r="A1031" s="60"/>
      <c r="B1031" s="60"/>
      <c r="C1031" s="90" t="s">
        <v>720</v>
      </c>
      <c r="D1031" s="29"/>
      <c r="E1031" t="s">
        <v>1182</v>
      </c>
    </row>
    <row r="1032" spans="1:5" x14ac:dyDescent="0.2">
      <c r="A1032" s="60"/>
      <c r="B1032" s="60"/>
      <c r="C1032" s="29" t="s">
        <v>721</v>
      </c>
      <c r="D1032" s="29"/>
    </row>
    <row r="1033" spans="1:5" x14ac:dyDescent="0.2">
      <c r="A1033" s="60"/>
      <c r="B1033" s="60"/>
      <c r="C1033" s="29" t="s">
        <v>102</v>
      </c>
      <c r="D1033" s="29"/>
    </row>
    <row r="1034" spans="1:5" x14ac:dyDescent="0.2">
      <c r="A1034" s="42" t="s">
        <v>506</v>
      </c>
      <c r="B1034" s="42" t="s">
        <v>1</v>
      </c>
      <c r="C1034" s="31" t="s">
        <v>472</v>
      </c>
      <c r="D1034" s="31"/>
      <c r="E1034" t="s">
        <v>1183</v>
      </c>
    </row>
    <row r="1035" spans="1:5" x14ac:dyDescent="0.2">
      <c r="A1035" s="43"/>
      <c r="B1035" s="43"/>
      <c r="C1035" s="31" t="s">
        <v>473</v>
      </c>
      <c r="D1035" s="31"/>
    </row>
    <row r="1036" spans="1:5" x14ac:dyDescent="0.2">
      <c r="A1036" s="43"/>
      <c r="B1036" s="43"/>
      <c r="C1036" s="31" t="s">
        <v>102</v>
      </c>
      <c r="D1036" s="31"/>
    </row>
    <row r="1037" spans="1:5" x14ac:dyDescent="0.2">
      <c r="A1037" s="59" t="s">
        <v>774</v>
      </c>
      <c r="B1037" s="59" t="s">
        <v>1</v>
      </c>
      <c r="C1037" s="29" t="s">
        <v>248</v>
      </c>
      <c r="D1037" s="29"/>
    </row>
    <row r="1038" spans="1:5" x14ac:dyDescent="0.2">
      <c r="A1038" s="60"/>
      <c r="B1038" s="60"/>
      <c r="C1038" s="29" t="s">
        <v>654</v>
      </c>
      <c r="D1038" s="29" t="s">
        <v>655</v>
      </c>
    </row>
    <row r="1039" spans="1:5" x14ac:dyDescent="0.2">
      <c r="A1039" s="60"/>
      <c r="B1039" s="60"/>
      <c r="C1039" s="29" t="s">
        <v>652</v>
      </c>
      <c r="D1039" s="29" t="s">
        <v>657</v>
      </c>
    </row>
    <row r="1040" spans="1:5" x14ac:dyDescent="0.2">
      <c r="A1040" s="60"/>
      <c r="B1040" s="60"/>
      <c r="C1040" s="29" t="s">
        <v>653</v>
      </c>
      <c r="D1040" s="29" t="s">
        <v>656</v>
      </c>
    </row>
    <row r="1044" spans="4:4" x14ac:dyDescent="0.2">
      <c r="D1044" s="8"/>
    </row>
    <row r="1045" spans="4:4" x14ac:dyDescent="0.2">
      <c r="D1045" s="8"/>
    </row>
    <row r="1046" spans="4:4" x14ac:dyDescent="0.2">
      <c r="D1046" s="8"/>
    </row>
    <row r="1047" spans="4:4" x14ac:dyDescent="0.2">
      <c r="D1047" s="8"/>
    </row>
    <row r="1072" spans="3:3" x14ac:dyDescent="0.2">
      <c r="C1072"/>
    </row>
    <row r="1073" spans="1:3" x14ac:dyDescent="0.2">
      <c r="C1073"/>
    </row>
    <row r="1074" spans="1:3" x14ac:dyDescent="0.2">
      <c r="A1074" s="24"/>
      <c r="C1074"/>
    </row>
    <row r="1076" spans="1:3" x14ac:dyDescent="0.2">
      <c r="C1076" s="8" t="s">
        <v>429</v>
      </c>
    </row>
    <row r="1077" spans="1:3" x14ac:dyDescent="0.2">
      <c r="C1077" s="8" t="s">
        <v>2</v>
      </c>
    </row>
    <row r="1078" spans="1:3" x14ac:dyDescent="0.2">
      <c r="C1078" s="8" t="s">
        <v>432</v>
      </c>
    </row>
    <row r="1079" spans="1:3" x14ac:dyDescent="0.2">
      <c r="C1079" s="8" t="s">
        <v>430</v>
      </c>
    </row>
    <row r="1081" spans="1:3" x14ac:dyDescent="0.2">
      <c r="C1081" s="8" t="s">
        <v>429</v>
      </c>
    </row>
    <row r="1082" spans="1:3" x14ac:dyDescent="0.2">
      <c r="C1082" s="8" t="s">
        <v>2</v>
      </c>
    </row>
    <row r="1083" spans="1:3" x14ac:dyDescent="0.2">
      <c r="C1083" s="8" t="s">
        <v>432</v>
      </c>
    </row>
    <row r="1084" spans="1:3" x14ac:dyDescent="0.2">
      <c r="C1084" s="8" t="s">
        <v>430</v>
      </c>
    </row>
    <row r="1085" spans="1:3" x14ac:dyDescent="0.2">
      <c r="C1085" s="8" t="s">
        <v>767</v>
      </c>
    </row>
    <row r="1087" spans="1:3" x14ac:dyDescent="0.2">
      <c r="C1087" s="8" t="s">
        <v>429</v>
      </c>
    </row>
    <row r="1088" spans="1:3" x14ac:dyDescent="0.2">
      <c r="C1088" s="8" t="s">
        <v>2</v>
      </c>
    </row>
    <row r="1089" spans="3:3" x14ac:dyDescent="0.2">
      <c r="C1089" s="8" t="s">
        <v>430</v>
      </c>
    </row>
    <row r="1091" spans="3:3" x14ac:dyDescent="0.2">
      <c r="C1091" s="8" t="s">
        <v>775</v>
      </c>
    </row>
    <row r="1092" spans="3:3" x14ac:dyDescent="0.2">
      <c r="C1092" s="8" t="s">
        <v>102</v>
      </c>
    </row>
    <row r="1094" spans="3:3" x14ac:dyDescent="0.2">
      <c r="C1094" s="8" t="s">
        <v>156</v>
      </c>
    </row>
    <row r="1095" spans="3:3" x14ac:dyDescent="0.2">
      <c r="C1095" s="8" t="s">
        <v>665</v>
      </c>
    </row>
    <row r="1096" spans="3:3" x14ac:dyDescent="0.2">
      <c r="C1096" s="8" t="s">
        <v>664</v>
      </c>
    </row>
    <row r="1097" spans="3:3" x14ac:dyDescent="0.2">
      <c r="C1097" s="8" t="s">
        <v>79</v>
      </c>
    </row>
    <row r="1098" spans="3:3" x14ac:dyDescent="0.2">
      <c r="C1098" s="8" t="s">
        <v>381</v>
      </c>
    </row>
    <row r="1099" spans="3:3" x14ac:dyDescent="0.2">
      <c r="C1099" s="8" t="s">
        <v>72</v>
      </c>
    </row>
    <row r="1100" spans="3:3" x14ac:dyDescent="0.2">
      <c r="C1100" s="8" t="s">
        <v>97</v>
      </c>
    </row>
    <row r="1101" spans="3:3" x14ac:dyDescent="0.2">
      <c r="C1101" s="8" t="s">
        <v>98</v>
      </c>
    </row>
    <row r="1102" spans="3:3" x14ac:dyDescent="0.2">
      <c r="C1102" s="8" t="s">
        <v>377</v>
      </c>
    </row>
    <row r="1103" spans="3:3" x14ac:dyDescent="0.2">
      <c r="C1103" s="8" t="s">
        <v>382</v>
      </c>
    </row>
    <row r="1104" spans="3:3" x14ac:dyDescent="0.2">
      <c r="C1104" s="8" t="s">
        <v>163</v>
      </c>
    </row>
    <row r="1105" spans="3:3" x14ac:dyDescent="0.2">
      <c r="C1105" s="8" t="s">
        <v>102</v>
      </c>
    </row>
    <row r="1108" spans="3:3" x14ac:dyDescent="0.2">
      <c r="C1108" s="8" t="s">
        <v>302</v>
      </c>
    </row>
    <row r="1109" spans="3:3" x14ac:dyDescent="0.2">
      <c r="C1109" s="8" t="s">
        <v>303</v>
      </c>
    </row>
    <row r="1110" spans="3:3" x14ac:dyDescent="0.2">
      <c r="C1110" s="8" t="s">
        <v>301</v>
      </c>
    </row>
    <row r="1111" spans="3:3" x14ac:dyDescent="0.2">
      <c r="C1111" s="8" t="s">
        <v>102</v>
      </c>
    </row>
    <row r="1113" spans="3:3" x14ac:dyDescent="0.2">
      <c r="C1113" s="8" t="s">
        <v>76</v>
      </c>
    </row>
    <row r="1114" spans="3:3" x14ac:dyDescent="0.2">
      <c r="C1114" s="8" t="s">
        <v>88</v>
      </c>
    </row>
    <row r="1115" spans="3:3" x14ac:dyDescent="0.2">
      <c r="C1115" s="8" t="s">
        <v>78</v>
      </c>
    </row>
    <row r="1116" spans="3:3" x14ac:dyDescent="0.2">
      <c r="C1116" s="8" t="s">
        <v>102</v>
      </c>
    </row>
    <row r="1118" spans="3:3" x14ac:dyDescent="0.2">
      <c r="C1118" s="8" t="s">
        <v>805</v>
      </c>
    </row>
    <row r="1119" spans="3:3" x14ac:dyDescent="0.2">
      <c r="C1119" s="8" t="s">
        <v>806</v>
      </c>
    </row>
    <row r="1121" spans="3:3" x14ac:dyDescent="0.2">
      <c r="C1121" s="8" t="s">
        <v>805</v>
      </c>
    </row>
    <row r="1122" spans="3:3" x14ac:dyDescent="0.2">
      <c r="C1122" s="8" t="s">
        <v>54</v>
      </c>
    </row>
    <row r="1123" spans="3:3" x14ac:dyDescent="0.2">
      <c r="C1123" s="8" t="s">
        <v>69</v>
      </c>
    </row>
    <row r="1124" spans="3:3" x14ac:dyDescent="0.2">
      <c r="C1124" s="8" t="s">
        <v>608</v>
      </c>
    </row>
    <row r="1125" spans="3:3" x14ac:dyDescent="0.2">
      <c r="C1125" s="8" t="s">
        <v>939</v>
      </c>
    </row>
    <row r="1126" spans="3:3" x14ac:dyDescent="0.2">
      <c r="C1126" s="8" t="s">
        <v>102</v>
      </c>
    </row>
    <row r="1129" spans="3:3" x14ac:dyDescent="0.2">
      <c r="C1129" s="8" t="s">
        <v>414</v>
      </c>
    </row>
    <row r="1130" spans="3:3" x14ac:dyDescent="0.2">
      <c r="C1130" s="8" t="s">
        <v>262</v>
      </c>
    </row>
    <row r="1131" spans="3:3" x14ac:dyDescent="0.2">
      <c r="C1131" s="8" t="s">
        <v>637</v>
      </c>
    </row>
    <row r="1132" spans="3:3" x14ac:dyDescent="0.2">
      <c r="C1132" s="8" t="s">
        <v>156</v>
      </c>
    </row>
    <row r="1133" spans="3:3" x14ac:dyDescent="0.2">
      <c r="C1133" s="8" t="s">
        <v>631</v>
      </c>
    </row>
    <row r="1134" spans="3:3" x14ac:dyDescent="0.2">
      <c r="C1134" s="8" t="s">
        <v>633</v>
      </c>
    </row>
    <row r="1135" spans="3:3" x14ac:dyDescent="0.2">
      <c r="C1135" s="8" t="s">
        <v>66</v>
      </c>
    </row>
    <row r="1136" spans="3:3" x14ac:dyDescent="0.2">
      <c r="C1136" s="8" t="s">
        <v>269</v>
      </c>
    </row>
    <row r="1137" spans="3:3" x14ac:dyDescent="0.2">
      <c r="C1137" s="8" t="s">
        <v>638</v>
      </c>
    </row>
    <row r="1138" spans="3:3" x14ac:dyDescent="0.2">
      <c r="C1138" s="8" t="s">
        <v>140</v>
      </c>
    </row>
    <row r="1139" spans="3:3" x14ac:dyDescent="0.2">
      <c r="C1139" s="8" t="s">
        <v>256</v>
      </c>
    </row>
    <row r="1140" spans="3:3" x14ac:dyDescent="0.2">
      <c r="C1140" s="8" t="s">
        <v>122</v>
      </c>
    </row>
    <row r="1141" spans="3:3" x14ac:dyDescent="0.2">
      <c r="C1141" s="8" t="s">
        <v>270</v>
      </c>
    </row>
    <row r="1142" spans="3:3" x14ac:dyDescent="0.2">
      <c r="C1142" s="8" t="s">
        <v>692</v>
      </c>
    </row>
    <row r="1143" spans="3:3" x14ac:dyDescent="0.2">
      <c r="C1143" s="8" t="s">
        <v>1152</v>
      </c>
    </row>
    <row r="1144" spans="3:3" x14ac:dyDescent="0.2">
      <c r="C1144" s="8" t="s">
        <v>267</v>
      </c>
    </row>
    <row r="1145" spans="3:3" x14ac:dyDescent="0.2">
      <c r="C1145" s="8" t="s">
        <v>264</v>
      </c>
    </row>
    <row r="1146" spans="3:3" x14ac:dyDescent="0.2">
      <c r="C1146" s="8" t="s">
        <v>265</v>
      </c>
    </row>
    <row r="1147" spans="3:3" x14ac:dyDescent="0.2">
      <c r="C1147" s="8" t="s">
        <v>254</v>
      </c>
    </row>
    <row r="1148" spans="3:3" x14ac:dyDescent="0.2">
      <c r="C1148" s="8" t="s">
        <v>261</v>
      </c>
    </row>
    <row r="1149" spans="3:3" x14ac:dyDescent="0.2">
      <c r="C1149" s="8" t="s">
        <v>71</v>
      </c>
    </row>
    <row r="1150" spans="3:3" x14ac:dyDescent="0.2">
      <c r="C1150" s="8" t="s">
        <v>259</v>
      </c>
    </row>
    <row r="1151" spans="3:3" x14ac:dyDescent="0.2">
      <c r="C1151" s="8" t="s">
        <v>75</v>
      </c>
    </row>
    <row r="1152" spans="3:3" x14ac:dyDescent="0.2">
      <c r="C1152" s="8" t="s">
        <v>263</v>
      </c>
    </row>
    <row r="1153" spans="3:3" x14ac:dyDescent="0.2">
      <c r="C1153" s="8" t="s">
        <v>635</v>
      </c>
    </row>
    <row r="1154" spans="3:3" x14ac:dyDescent="0.2">
      <c r="C1154" s="8" t="s">
        <v>636</v>
      </c>
    </row>
    <row r="1155" spans="3:3" x14ac:dyDescent="0.2">
      <c r="C1155" s="8" t="s">
        <v>266</v>
      </c>
    </row>
    <row r="1156" spans="3:3" x14ac:dyDescent="0.2">
      <c r="C1156" s="8" t="s">
        <v>85</v>
      </c>
    </row>
    <row r="1157" spans="3:3" x14ac:dyDescent="0.2">
      <c r="C1157" s="8" t="s">
        <v>632</v>
      </c>
    </row>
    <row r="1158" spans="3:3" x14ac:dyDescent="0.2">
      <c r="C1158" s="8" t="s">
        <v>630</v>
      </c>
    </row>
    <row r="1159" spans="3:3" x14ac:dyDescent="0.2">
      <c r="C1159" s="8" t="s">
        <v>640</v>
      </c>
    </row>
    <row r="1160" spans="3:3" x14ac:dyDescent="0.2">
      <c r="C1160" s="8" t="s">
        <v>255</v>
      </c>
    </row>
    <row r="1161" spans="3:3" x14ac:dyDescent="0.2">
      <c r="C1161" s="8" t="s">
        <v>722</v>
      </c>
    </row>
    <row r="1162" spans="3:3" x14ac:dyDescent="0.2">
      <c r="C1162" s="8" t="s">
        <v>34</v>
      </c>
    </row>
    <row r="1163" spans="3:3" ht="14.45" customHeight="1" x14ac:dyDescent="0.2">
      <c r="C1163" s="8" t="s">
        <v>629</v>
      </c>
    </row>
    <row r="1164" spans="3:3" x14ac:dyDescent="0.2">
      <c r="C1164" s="8" t="s">
        <v>634</v>
      </c>
    </row>
    <row r="1165" spans="3:3" x14ac:dyDescent="0.2">
      <c r="C1165" s="8" t="s">
        <v>252</v>
      </c>
    </row>
    <row r="1166" spans="3:3" x14ac:dyDescent="0.2">
      <c r="C1166" s="8" t="s">
        <v>258</v>
      </c>
    </row>
    <row r="1167" spans="3:3" x14ac:dyDescent="0.2">
      <c r="C1167" s="8" t="s">
        <v>257</v>
      </c>
    </row>
    <row r="1168" spans="3:3" x14ac:dyDescent="0.2">
      <c r="C1168" s="8" t="s">
        <v>253</v>
      </c>
    </row>
    <row r="1169" spans="3:3" x14ac:dyDescent="0.2">
      <c r="C1169" s="8" t="s">
        <v>260</v>
      </c>
    </row>
    <row r="1170" spans="3:3" x14ac:dyDescent="0.2">
      <c r="C1170" s="8" t="s">
        <v>102</v>
      </c>
    </row>
    <row r="1171" spans="3:3" x14ac:dyDescent="0.2">
      <c r="C1171" s="8" t="s">
        <v>862</v>
      </c>
    </row>
    <row r="1172" spans="3:3" x14ac:dyDescent="0.2">
      <c r="C1172" s="8" t="s">
        <v>863</v>
      </c>
    </row>
    <row r="1173" spans="3:3" x14ac:dyDescent="0.2">
      <c r="C1173" s="8" t="s">
        <v>864</v>
      </c>
    </row>
    <row r="1174" spans="3:3" x14ac:dyDescent="0.2">
      <c r="C1174" s="8" t="s">
        <v>865</v>
      </c>
    </row>
    <row r="1175" spans="3:3" x14ac:dyDescent="0.2">
      <c r="C1175" s="8" t="s">
        <v>866</v>
      </c>
    </row>
    <row r="1176" spans="3:3" x14ac:dyDescent="0.2">
      <c r="C1176" s="8" t="s">
        <v>867</v>
      </c>
    </row>
    <row r="1177" spans="3:3" x14ac:dyDescent="0.2">
      <c r="C1177" s="8" t="s">
        <v>868</v>
      </c>
    </row>
    <row r="1178" spans="3:3" x14ac:dyDescent="0.2">
      <c r="C1178" s="8" t="s">
        <v>869</v>
      </c>
    </row>
    <row r="1179" spans="3:3" x14ac:dyDescent="0.2">
      <c r="C1179" s="8" t="s">
        <v>870</v>
      </c>
    </row>
    <row r="1180" spans="3:3" x14ac:dyDescent="0.2">
      <c r="C1180" s="8" t="s">
        <v>871</v>
      </c>
    </row>
    <row r="1181" spans="3:3" x14ac:dyDescent="0.2">
      <c r="C1181" s="8" t="s">
        <v>872</v>
      </c>
    </row>
    <row r="1182" spans="3:3" x14ac:dyDescent="0.2">
      <c r="C1182" s="8" t="s">
        <v>873</v>
      </c>
    </row>
    <row r="1183" spans="3:3" x14ac:dyDescent="0.2">
      <c r="C1183" s="8" t="s">
        <v>874</v>
      </c>
    </row>
    <row r="1184" spans="3:3" x14ac:dyDescent="0.2">
      <c r="C1184" s="8" t="s">
        <v>875</v>
      </c>
    </row>
    <row r="1185" spans="3:3" x14ac:dyDescent="0.2">
      <c r="C1185" s="8" t="s">
        <v>876</v>
      </c>
    </row>
    <row r="1186" spans="3:3" x14ac:dyDescent="0.2">
      <c r="C1186" s="8" t="s">
        <v>877</v>
      </c>
    </row>
    <row r="1187" spans="3:3" x14ac:dyDescent="0.2">
      <c r="C1187" s="8" t="s">
        <v>861</v>
      </c>
    </row>
    <row r="1188" spans="3:3" x14ac:dyDescent="0.2">
      <c r="C1188" s="8" t="s">
        <v>1128</v>
      </c>
    </row>
    <row r="1189" spans="3:3" x14ac:dyDescent="0.2">
      <c r="C1189" s="8" t="s">
        <v>1130</v>
      </c>
    </row>
    <row r="1190" spans="3:3" x14ac:dyDescent="0.2">
      <c r="C1190" s="8" t="s">
        <v>1132</v>
      </c>
    </row>
    <row r="1191" spans="3:3" x14ac:dyDescent="0.2">
      <c r="C1191" s="8" t="s">
        <v>878</v>
      </c>
    </row>
    <row r="1192" spans="3:3" x14ac:dyDescent="0.2">
      <c r="C1192" s="8" t="s">
        <v>1134</v>
      </c>
    </row>
    <row r="1193" spans="3:3" x14ac:dyDescent="0.2">
      <c r="C1193" s="8" t="s">
        <v>879</v>
      </c>
    </row>
    <row r="1194" spans="3:3" x14ac:dyDescent="0.2">
      <c r="C1194" s="8" t="s">
        <v>880</v>
      </c>
    </row>
    <row r="1195" spans="3:3" x14ac:dyDescent="0.2">
      <c r="C1195" s="8" t="s">
        <v>881</v>
      </c>
    </row>
    <row r="1196" spans="3:3" x14ac:dyDescent="0.2">
      <c r="C1196" s="8" t="s">
        <v>882</v>
      </c>
    </row>
    <row r="1197" spans="3:3" x14ac:dyDescent="0.2">
      <c r="C1197" s="8" t="s">
        <v>883</v>
      </c>
    </row>
    <row r="1198" spans="3:3" x14ac:dyDescent="0.2">
      <c r="C1198" s="8" t="s">
        <v>884</v>
      </c>
    </row>
    <row r="1199" spans="3:3" x14ac:dyDescent="0.2">
      <c r="C1199" s="8" t="s">
        <v>857</v>
      </c>
    </row>
    <row r="1200" spans="3:3" x14ac:dyDescent="0.2">
      <c r="C1200" s="8" t="s">
        <v>1136</v>
      </c>
    </row>
    <row r="1201" spans="3:3" x14ac:dyDescent="0.2">
      <c r="C1201" s="8" t="s">
        <v>885</v>
      </c>
    </row>
    <row r="1202" spans="3:3" x14ac:dyDescent="0.2">
      <c r="C1202" s="8" t="s">
        <v>1138</v>
      </c>
    </row>
    <row r="1203" spans="3:3" x14ac:dyDescent="0.2">
      <c r="C1203" s="8" t="s">
        <v>886</v>
      </c>
    </row>
    <row r="1204" spans="3:3" x14ac:dyDescent="0.2">
      <c r="C1204" s="8" t="s">
        <v>887</v>
      </c>
    </row>
    <row r="1205" spans="3:3" x14ac:dyDescent="0.2">
      <c r="C1205" s="8" t="s">
        <v>888</v>
      </c>
    </row>
    <row r="1206" spans="3:3" x14ac:dyDescent="0.2">
      <c r="C1206" s="8" t="s">
        <v>889</v>
      </c>
    </row>
    <row r="1207" spans="3:3" x14ac:dyDescent="0.2">
      <c r="C1207" s="8" t="s">
        <v>1140</v>
      </c>
    </row>
    <row r="1208" spans="3:3" x14ac:dyDescent="0.2">
      <c r="C1208" s="8" t="s">
        <v>890</v>
      </c>
    </row>
    <row r="1209" spans="3:3" x14ac:dyDescent="0.2">
      <c r="C1209" s="8" t="s">
        <v>891</v>
      </c>
    </row>
    <row r="1210" spans="3:3" x14ac:dyDescent="0.2">
      <c r="C1210" s="8" t="s">
        <v>892</v>
      </c>
    </row>
    <row r="1211" spans="3:3" x14ac:dyDescent="0.2">
      <c r="C1211" s="8" t="s">
        <v>893</v>
      </c>
    </row>
    <row r="1212" spans="3:3" x14ac:dyDescent="0.2">
      <c r="C1212" s="8" t="s">
        <v>894</v>
      </c>
    </row>
    <row r="1213" spans="3:3" x14ac:dyDescent="0.2">
      <c r="C1213" s="8" t="s">
        <v>895</v>
      </c>
    </row>
    <row r="1214" spans="3:3" x14ac:dyDescent="0.2">
      <c r="C1214" s="8" t="s">
        <v>195</v>
      </c>
    </row>
    <row r="1215" spans="3:3" x14ac:dyDescent="0.2">
      <c r="C1215" s="8" t="s">
        <v>1141</v>
      </c>
    </row>
    <row r="1216" spans="3:3" x14ac:dyDescent="0.2">
      <c r="C1216" s="8" t="s">
        <v>896</v>
      </c>
    </row>
    <row r="1217" spans="3:3" x14ac:dyDescent="0.2">
      <c r="C1217" s="8" t="s">
        <v>897</v>
      </c>
    </row>
    <row r="1218" spans="3:3" x14ac:dyDescent="0.2">
      <c r="C1218" s="8" t="s">
        <v>1143</v>
      </c>
    </row>
    <row r="1219" spans="3:3" x14ac:dyDescent="0.2">
      <c r="C1219" s="8" t="s">
        <v>249</v>
      </c>
    </row>
    <row r="1220" spans="3:3" x14ac:dyDescent="0.2">
      <c r="C1220" s="8" t="s">
        <v>898</v>
      </c>
    </row>
    <row r="1221" spans="3:3" x14ac:dyDescent="0.2">
      <c r="C1221" s="8" t="s">
        <v>899</v>
      </c>
    </row>
    <row r="1222" spans="3:3" x14ac:dyDescent="0.2">
      <c r="C1222" s="8" t="s">
        <v>900</v>
      </c>
    </row>
    <row r="1223" spans="3:3" x14ac:dyDescent="0.2">
      <c r="C1223" s="8" t="s">
        <v>901</v>
      </c>
    </row>
    <row r="1224" spans="3:3" x14ac:dyDescent="0.2">
      <c r="C1224" s="8" t="s">
        <v>902</v>
      </c>
    </row>
    <row r="1225" spans="3:3" x14ac:dyDescent="0.2">
      <c r="C1225" s="8" t="s">
        <v>202</v>
      </c>
    </row>
    <row r="1226" spans="3:3" x14ac:dyDescent="0.2">
      <c r="C1226" s="8" t="s">
        <v>903</v>
      </c>
    </row>
    <row r="1227" spans="3:3" x14ac:dyDescent="0.2">
      <c r="C1227" s="8" t="s">
        <v>904</v>
      </c>
    </row>
    <row r="1228" spans="3:3" x14ac:dyDescent="0.2">
      <c r="C1228" s="8" t="s">
        <v>951</v>
      </c>
    </row>
    <row r="1229" spans="3:3" x14ac:dyDescent="0.2">
      <c r="C1229" s="8" t="s">
        <v>952</v>
      </c>
    </row>
    <row r="1230" spans="3:3" x14ac:dyDescent="0.2">
      <c r="C1230" s="8" t="s">
        <v>953</v>
      </c>
    </row>
    <row r="1231" spans="3:3" x14ac:dyDescent="0.2">
      <c r="C1231" s="8" t="s">
        <v>905</v>
      </c>
    </row>
    <row r="1232" spans="3:3" x14ac:dyDescent="0.2">
      <c r="C1232" s="8" t="s">
        <v>906</v>
      </c>
    </row>
    <row r="1233" spans="3:3" x14ac:dyDescent="0.2">
      <c r="C1233" s="8" t="s">
        <v>907</v>
      </c>
    </row>
    <row r="1234" spans="3:3" x14ac:dyDescent="0.2">
      <c r="C1234" s="8" t="s">
        <v>908</v>
      </c>
    </row>
    <row r="1235" spans="3:3" x14ac:dyDescent="0.2">
      <c r="C1235" s="8" t="s">
        <v>909</v>
      </c>
    </row>
    <row r="1236" spans="3:3" x14ac:dyDescent="0.2">
      <c r="C1236" s="8" t="s">
        <v>950</v>
      </c>
    </row>
    <row r="1237" spans="3:3" x14ac:dyDescent="0.2">
      <c r="C1237" s="8" t="s">
        <v>911</v>
      </c>
    </row>
    <row r="1238" spans="3:3" x14ac:dyDescent="0.2">
      <c r="C1238" s="8" t="s">
        <v>912</v>
      </c>
    </row>
    <row r="1239" spans="3:3" x14ac:dyDescent="0.2">
      <c r="C1239" s="8" t="s">
        <v>858</v>
      </c>
    </row>
    <row r="1240" spans="3:3" x14ac:dyDescent="0.2">
      <c r="C1240" s="8" t="s">
        <v>859</v>
      </c>
    </row>
    <row r="1241" spans="3:3" x14ac:dyDescent="0.2">
      <c r="C1241" s="8" t="s">
        <v>913</v>
      </c>
    </row>
    <row r="1242" spans="3:3" x14ac:dyDescent="0.2">
      <c r="C1242" s="8" t="s">
        <v>860</v>
      </c>
    </row>
    <row r="1243" spans="3:3" x14ac:dyDescent="0.2">
      <c r="C1243" s="8" t="s">
        <v>914</v>
      </c>
    </row>
    <row r="1244" spans="3:3" x14ac:dyDescent="0.2">
      <c r="C1244" s="8" t="s">
        <v>915</v>
      </c>
    </row>
    <row r="1245" spans="3:3" x14ac:dyDescent="0.2">
      <c r="C1245" s="8" t="s">
        <v>130</v>
      </c>
    </row>
    <row r="1248" spans="3:3" x14ac:dyDescent="0.2">
      <c r="C1248" s="8" t="s">
        <v>958</v>
      </c>
    </row>
    <row r="1249" spans="3:3" x14ac:dyDescent="0.2">
      <c r="C1249" s="8" t="s">
        <v>54</v>
      </c>
    </row>
    <row r="1250" spans="3:3" x14ac:dyDescent="0.2">
      <c r="C1250" s="8" t="s">
        <v>69</v>
      </c>
    </row>
    <row r="1251" spans="3:3" x14ac:dyDescent="0.2">
      <c r="C1251" s="8" t="s">
        <v>678</v>
      </c>
    </row>
    <row r="1252" spans="3:3" x14ac:dyDescent="0.2">
      <c r="C1252" s="8" t="s">
        <v>680</v>
      </c>
    </row>
    <row r="1253" spans="3:3" x14ac:dyDescent="0.2">
      <c r="C1253" s="8" t="s">
        <v>102</v>
      </c>
    </row>
    <row r="1255" spans="3:3" x14ac:dyDescent="0.2">
      <c r="C1255" s="8" t="s">
        <v>958</v>
      </c>
    </row>
    <row r="1256" spans="3:3" x14ac:dyDescent="0.2">
      <c r="C1256" s="8" t="s">
        <v>608</v>
      </c>
    </row>
    <row r="1257" spans="3:3" x14ac:dyDescent="0.2">
      <c r="C1257" s="8" t="s">
        <v>939</v>
      </c>
    </row>
    <row r="1258" spans="3:3" x14ac:dyDescent="0.2">
      <c r="C1258" s="8" t="s">
        <v>54</v>
      </c>
    </row>
    <row r="1259" spans="3:3" x14ac:dyDescent="0.2">
      <c r="C1259" s="8" t="s">
        <v>102</v>
      </c>
    </row>
    <row r="1261" spans="3:3" x14ac:dyDescent="0.2">
      <c r="C1261" s="8" t="s">
        <v>805</v>
      </c>
    </row>
    <row r="1262" spans="3:3" x14ac:dyDescent="0.2">
      <c r="C1262" s="8" t="s">
        <v>54</v>
      </c>
    </row>
    <row r="1263" spans="3:3" x14ac:dyDescent="0.2">
      <c r="C1263" s="8" t="s">
        <v>680</v>
      </c>
    </row>
    <row r="1264" spans="3:3" x14ac:dyDescent="0.2">
      <c r="C1264" s="8" t="s">
        <v>678</v>
      </c>
    </row>
    <row r="1265" spans="3:3" x14ac:dyDescent="0.2">
      <c r="C1265" s="8" t="s">
        <v>102</v>
      </c>
    </row>
    <row r="1267" spans="3:3" x14ac:dyDescent="0.2">
      <c r="C1267" s="8" t="s">
        <v>958</v>
      </c>
    </row>
    <row r="1268" spans="3:3" x14ac:dyDescent="0.2">
      <c r="C1268" s="8" t="s">
        <v>54</v>
      </c>
    </row>
    <row r="1269" spans="3:3" x14ac:dyDescent="0.2">
      <c r="C1269" s="8" t="s">
        <v>102</v>
      </c>
    </row>
    <row r="1272" spans="3:3" x14ac:dyDescent="0.2">
      <c r="C1272" s="8" t="s">
        <v>805</v>
      </c>
    </row>
    <row r="1273" spans="3:3" x14ac:dyDescent="0.2">
      <c r="C1273" s="8" t="s">
        <v>54</v>
      </c>
    </row>
    <row r="1274" spans="3:3" x14ac:dyDescent="0.2">
      <c r="C1274" s="8" t="s">
        <v>69</v>
      </c>
    </row>
    <row r="1275" spans="3:3" x14ac:dyDescent="0.2">
      <c r="C1275" s="8" t="s">
        <v>608</v>
      </c>
    </row>
    <row r="1276" spans="3:3" x14ac:dyDescent="0.2">
      <c r="C1276" s="8" t="s">
        <v>678</v>
      </c>
    </row>
    <row r="1277" spans="3:3" x14ac:dyDescent="0.2">
      <c r="C1277" s="8" t="s">
        <v>679</v>
      </c>
    </row>
    <row r="1278" spans="3:3" x14ac:dyDescent="0.2">
      <c r="C1278" s="8" t="s">
        <v>680</v>
      </c>
    </row>
    <row r="1279" spans="3:3" x14ac:dyDescent="0.2">
      <c r="C1279" s="8" t="s">
        <v>681</v>
      </c>
    </row>
    <row r="1280" spans="3:3" x14ac:dyDescent="0.2">
      <c r="C1280" s="8" t="s">
        <v>939</v>
      </c>
    </row>
    <row r="1281" spans="3:3" x14ac:dyDescent="0.2">
      <c r="C1281" s="8" t="s">
        <v>102</v>
      </c>
    </row>
    <row r="1283" spans="3:3" x14ac:dyDescent="0.2">
      <c r="C1283" s="8" t="s">
        <v>311</v>
      </c>
    </row>
    <row r="1284" spans="3:3" x14ac:dyDescent="0.2">
      <c r="C1284" s="8" t="s">
        <v>927</v>
      </c>
    </row>
    <row r="1285" spans="3:3" x14ac:dyDescent="0.2">
      <c r="C1285" s="8" t="s">
        <v>476</v>
      </c>
    </row>
    <row r="1286" spans="3:3" x14ac:dyDescent="0.2">
      <c r="C1286" s="8" t="s">
        <v>479</v>
      </c>
    </row>
    <row r="1287" spans="3:3" x14ac:dyDescent="0.2">
      <c r="C1287" s="8" t="s">
        <v>480</v>
      </c>
    </row>
    <row r="1288" spans="3:3" x14ac:dyDescent="0.2">
      <c r="C1288" s="8" t="s">
        <v>477</v>
      </c>
    </row>
    <row r="1289" spans="3:3" x14ac:dyDescent="0.2">
      <c r="C1289" s="8" t="s">
        <v>481</v>
      </c>
    </row>
    <row r="1290" spans="3:3" x14ac:dyDescent="0.2">
      <c r="C1290" s="8" t="s">
        <v>478</v>
      </c>
    </row>
    <row r="1291" spans="3:3" x14ac:dyDescent="0.2">
      <c r="C1291" s="8" t="s">
        <v>482</v>
      </c>
    </row>
    <row r="1292" spans="3:3" x14ac:dyDescent="0.2">
      <c r="C1292" s="8" t="s">
        <v>483</v>
      </c>
    </row>
    <row r="1293" spans="3:3" x14ac:dyDescent="0.2">
      <c r="C1293" s="8" t="s">
        <v>485</v>
      </c>
    </row>
    <row r="1294" spans="3:3" x14ac:dyDescent="0.2">
      <c r="C1294" s="8" t="s">
        <v>484</v>
      </c>
    </row>
    <row r="1295" spans="3:3" x14ac:dyDescent="0.2">
      <c r="C1295" s="8" t="s">
        <v>486</v>
      </c>
    </row>
    <row r="1296" spans="3:3" x14ac:dyDescent="0.2">
      <c r="C1296" s="8" t="s">
        <v>487</v>
      </c>
    </row>
    <row r="1297" spans="3:3" x14ac:dyDescent="0.2">
      <c r="C1297" s="8" t="s">
        <v>488</v>
      </c>
    </row>
    <row r="1298" spans="3:3" x14ac:dyDescent="0.2">
      <c r="C1298" s="8" t="s">
        <v>489</v>
      </c>
    </row>
    <row r="1299" spans="3:3" x14ac:dyDescent="0.2">
      <c r="C1299" s="8" t="s">
        <v>490</v>
      </c>
    </row>
    <row r="1300" spans="3:3" x14ac:dyDescent="0.2">
      <c r="C1300" s="8" t="s">
        <v>491</v>
      </c>
    </row>
    <row r="1301" spans="3:3" x14ac:dyDescent="0.2">
      <c r="C1301" s="8" t="s">
        <v>492</v>
      </c>
    </row>
    <row r="1302" spans="3:3" x14ac:dyDescent="0.2">
      <c r="C1302" s="8" t="s">
        <v>493</v>
      </c>
    </row>
    <row r="1303" spans="3:3" x14ac:dyDescent="0.2">
      <c r="C1303" s="8" t="s">
        <v>494</v>
      </c>
    </row>
    <row r="1304" spans="3:3" x14ac:dyDescent="0.2">
      <c r="C1304" s="8" t="s">
        <v>495</v>
      </c>
    </row>
    <row r="1305" spans="3:3" x14ac:dyDescent="0.2">
      <c r="C1305" s="8" t="s">
        <v>593</v>
      </c>
    </row>
    <row r="1306" spans="3:3" x14ac:dyDescent="0.2">
      <c r="C1306" s="8" t="s">
        <v>496</v>
      </c>
    </row>
    <row r="1307" spans="3:3" x14ac:dyDescent="0.2">
      <c r="C1307" s="8" t="s">
        <v>497</v>
      </c>
    </row>
    <row r="1308" spans="3:3" x14ac:dyDescent="0.2">
      <c r="C1308" s="8" t="s">
        <v>498</v>
      </c>
    </row>
    <row r="1309" spans="3:3" x14ac:dyDescent="0.2">
      <c r="C1309" s="8" t="s">
        <v>499</v>
      </c>
    </row>
    <row r="1310" spans="3:3" x14ac:dyDescent="0.2">
      <c r="C1310" s="8" t="s">
        <v>500</v>
      </c>
    </row>
    <row r="1311" spans="3:3" x14ac:dyDescent="0.2">
      <c r="C1311" s="8" t="s">
        <v>501</v>
      </c>
    </row>
    <row r="1312" spans="3:3" x14ac:dyDescent="0.2">
      <c r="C1312" s="8" t="s">
        <v>502</v>
      </c>
    </row>
    <row r="1313" spans="3:3" x14ac:dyDescent="0.2">
      <c r="C1313" s="8" t="s">
        <v>503</v>
      </c>
    </row>
    <row r="1314" spans="3:3" x14ac:dyDescent="0.2">
      <c r="C1314" s="8" t="s">
        <v>504</v>
      </c>
    </row>
    <row r="1315" spans="3:3" x14ac:dyDescent="0.2">
      <c r="C1315" s="8" t="s">
        <v>102</v>
      </c>
    </row>
  </sheetData>
  <autoFilter ref="A1:D1040" xr:uid="{00000000-0009-0000-0000-000020000000}"/>
  <sortState xmlns:xlrd2="http://schemas.microsoft.com/office/spreadsheetml/2017/richdata2" ref="C81:C84">
    <sortCondition ref="C81:C84"/>
  </sortState>
  <pageMargins left="0.70866141732283505" right="0.70866141732283505" top="0.74803149606299202" bottom="0.74803149606299202" header="0.31496062992126" footer="0.31496062992126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2">
    <tabColor theme="9" tint="-0.49995422223578601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35" customWidth="1"/>
    <col min="2" max="2" width="48.75" style="35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74" t="s">
        <v>789</v>
      </c>
      <c r="B1" s="75" t="s">
        <v>790</v>
      </c>
      <c r="C1" s="75" t="s">
        <v>800</v>
      </c>
      <c r="D1" s="76" t="s">
        <v>947</v>
      </c>
    </row>
    <row r="2" spans="1:4" ht="15.75" hidden="1" outlineLevel="1" x14ac:dyDescent="0.2">
      <c r="A2" s="20" t="s">
        <v>31</v>
      </c>
      <c r="B2" s="21" t="s">
        <v>651</v>
      </c>
      <c r="C2" s="20">
        <v>5.0999999999999996</v>
      </c>
      <c r="D2" s="78"/>
    </row>
    <row r="3" spans="1:4" ht="15.75" hidden="1" outlineLevel="1" x14ac:dyDescent="0.2">
      <c r="A3" s="20" t="s">
        <v>31</v>
      </c>
      <c r="B3" s="21" t="s">
        <v>0</v>
      </c>
      <c r="C3" s="20">
        <v>5.2</v>
      </c>
      <c r="D3" s="78"/>
    </row>
    <row r="4" spans="1:4" ht="15.75" hidden="1" outlineLevel="1" x14ac:dyDescent="0.2">
      <c r="A4" s="20" t="s">
        <v>31</v>
      </c>
      <c r="B4" s="21" t="s">
        <v>723</v>
      </c>
      <c r="C4" s="20">
        <v>5.4</v>
      </c>
      <c r="D4" s="78"/>
    </row>
    <row r="5" spans="1:4" ht="15.75" hidden="1" outlineLevel="1" x14ac:dyDescent="0.2">
      <c r="A5" s="20" t="s">
        <v>31</v>
      </c>
      <c r="B5" s="21" t="s">
        <v>741</v>
      </c>
      <c r="C5" s="20">
        <v>5.7</v>
      </c>
      <c r="D5" s="78"/>
    </row>
    <row r="6" spans="1:4" ht="15.75" hidden="1" outlineLevel="1" x14ac:dyDescent="0.2">
      <c r="A6" s="20" t="s">
        <v>31</v>
      </c>
      <c r="B6" s="21" t="s">
        <v>742</v>
      </c>
      <c r="C6" s="20">
        <v>5.1100000000000003</v>
      </c>
      <c r="D6" s="78"/>
    </row>
    <row r="7" spans="1:4" ht="15.75" hidden="1" outlineLevel="1" x14ac:dyDescent="0.2">
      <c r="A7" s="20" t="s">
        <v>31</v>
      </c>
      <c r="B7" s="21" t="s">
        <v>1</v>
      </c>
      <c r="C7" s="20">
        <v>5.26</v>
      </c>
      <c r="D7" s="78"/>
    </row>
    <row r="8" spans="1:4" ht="15.75" hidden="1" outlineLevel="1" x14ac:dyDescent="0.2">
      <c r="A8" s="20" t="s">
        <v>31</v>
      </c>
      <c r="B8" s="21" t="s">
        <v>604</v>
      </c>
      <c r="C8" s="20">
        <v>5.27</v>
      </c>
      <c r="D8" s="78"/>
    </row>
    <row r="9" spans="1:4" ht="15.75" hidden="1" outlineLevel="1" x14ac:dyDescent="0.2">
      <c r="A9" s="20" t="s">
        <v>31</v>
      </c>
      <c r="B9" s="21" t="s">
        <v>606</v>
      </c>
      <c r="C9" s="20">
        <v>5.36</v>
      </c>
      <c r="D9" s="78"/>
    </row>
    <row r="10" spans="1:4" ht="15.75" hidden="1" outlineLevel="1" x14ac:dyDescent="0.2">
      <c r="A10" s="20" t="s">
        <v>31</v>
      </c>
      <c r="B10" s="21" t="s">
        <v>772</v>
      </c>
      <c r="C10" s="22">
        <v>5.5</v>
      </c>
      <c r="D10" s="78"/>
    </row>
    <row r="11" spans="1:4" ht="15.75" hidden="1" outlineLevel="1" x14ac:dyDescent="0.2">
      <c r="A11" s="20" t="s">
        <v>31</v>
      </c>
      <c r="B11" s="21" t="s">
        <v>8</v>
      </c>
      <c r="C11" s="20">
        <v>5.51</v>
      </c>
      <c r="D11" s="78"/>
    </row>
    <row r="12" spans="1:4" ht="15.75" hidden="1" outlineLevel="1" x14ac:dyDescent="0.2">
      <c r="A12" s="20" t="s">
        <v>31</v>
      </c>
      <c r="B12" s="21" t="s">
        <v>396</v>
      </c>
      <c r="C12" s="20">
        <v>5.53</v>
      </c>
      <c r="D12" s="78"/>
    </row>
    <row r="13" spans="1:4" ht="15.75" hidden="1" outlineLevel="1" x14ac:dyDescent="0.2">
      <c r="A13" s="20" t="s">
        <v>31</v>
      </c>
      <c r="B13" s="21" t="s">
        <v>922</v>
      </c>
      <c r="C13" s="20">
        <v>5.59</v>
      </c>
      <c r="D13" s="78"/>
    </row>
    <row r="14" spans="1:4" ht="15.75" hidden="1" outlineLevel="1" x14ac:dyDescent="0.2">
      <c r="A14" s="20" t="s">
        <v>31</v>
      </c>
      <c r="B14" s="21" t="s">
        <v>11</v>
      </c>
      <c r="C14" s="20">
        <v>5.54</v>
      </c>
      <c r="D14" s="78"/>
    </row>
    <row r="15" spans="1:4" ht="15.75" hidden="1" outlineLevel="1" x14ac:dyDescent="0.2">
      <c r="A15" s="20" t="s">
        <v>31</v>
      </c>
      <c r="B15" s="21" t="s">
        <v>14</v>
      </c>
      <c r="C15" s="22">
        <v>5.7</v>
      </c>
      <c r="D15" s="77" t="s">
        <v>935</v>
      </c>
    </row>
    <row r="16" spans="1:4" ht="15.75" hidden="1" outlineLevel="1" x14ac:dyDescent="0.2">
      <c r="A16" s="20" t="s">
        <v>31</v>
      </c>
      <c r="B16" s="21" t="s">
        <v>1153</v>
      </c>
      <c r="C16" s="20">
        <v>5.63</v>
      </c>
      <c r="D16" s="78"/>
    </row>
    <row r="17" spans="1:4" ht="15.75" hidden="1" outlineLevel="1" x14ac:dyDescent="0.2">
      <c r="A17" s="20" t="s">
        <v>31</v>
      </c>
      <c r="B17" s="21" t="s">
        <v>19</v>
      </c>
      <c r="C17" s="20">
        <v>5.47</v>
      </c>
      <c r="D17" s="78"/>
    </row>
    <row r="18" spans="1:4" ht="15.75" hidden="1" outlineLevel="1" x14ac:dyDescent="0.2">
      <c r="A18" s="20" t="s">
        <v>31</v>
      </c>
      <c r="B18" s="21" t="s">
        <v>30</v>
      </c>
      <c r="C18" s="20">
        <v>5.48</v>
      </c>
      <c r="D18" s="78"/>
    </row>
    <row r="19" spans="1:4" ht="15.75" collapsed="1" x14ac:dyDescent="0.2">
      <c r="A19" s="25" t="s">
        <v>31</v>
      </c>
      <c r="B19" s="21"/>
      <c r="C19" s="20"/>
      <c r="D19" s="78"/>
    </row>
    <row r="20" spans="1:4" ht="15.75" hidden="1" outlineLevel="1" x14ac:dyDescent="0.2">
      <c r="A20" s="20" t="s">
        <v>40</v>
      </c>
      <c r="B20" s="21" t="s">
        <v>651</v>
      </c>
      <c r="C20" s="20">
        <v>5.0999999999999996</v>
      </c>
      <c r="D20" s="78"/>
    </row>
    <row r="21" spans="1:4" ht="15.75" hidden="1" outlineLevel="1" x14ac:dyDescent="0.2">
      <c r="A21" s="20" t="s">
        <v>40</v>
      </c>
      <c r="B21" s="21" t="s">
        <v>0</v>
      </c>
      <c r="C21" s="20">
        <v>5.2</v>
      </c>
      <c r="D21" s="78"/>
    </row>
    <row r="22" spans="1:4" ht="15.75" hidden="1" outlineLevel="1" x14ac:dyDescent="0.2">
      <c r="A22" s="20" t="s">
        <v>40</v>
      </c>
      <c r="B22" s="21" t="s">
        <v>724</v>
      </c>
      <c r="C22" s="20">
        <v>5.3</v>
      </c>
      <c r="D22" s="78"/>
    </row>
    <row r="23" spans="1:4" ht="15.75" hidden="1" outlineLevel="1" x14ac:dyDescent="0.2">
      <c r="A23" s="20" t="s">
        <v>40</v>
      </c>
      <c r="B23" s="21" t="s">
        <v>3</v>
      </c>
      <c r="C23" s="20">
        <v>5.14</v>
      </c>
      <c r="D23" s="78"/>
    </row>
    <row r="24" spans="1:4" ht="15.75" hidden="1" outlineLevel="1" x14ac:dyDescent="0.2">
      <c r="A24" s="20" t="s">
        <v>40</v>
      </c>
      <c r="B24" s="21" t="s">
        <v>29</v>
      </c>
      <c r="C24" s="20">
        <v>5.19</v>
      </c>
      <c r="D24" s="78"/>
    </row>
    <row r="25" spans="1:4" ht="15.75" hidden="1" outlineLevel="1" x14ac:dyDescent="0.2">
      <c r="A25" s="20" t="s">
        <v>40</v>
      </c>
      <c r="B25" s="21" t="s">
        <v>1</v>
      </c>
      <c r="C25" s="20">
        <v>5.26</v>
      </c>
      <c r="D25" s="78"/>
    </row>
    <row r="26" spans="1:4" ht="15.75" hidden="1" outlineLevel="1" x14ac:dyDescent="0.2">
      <c r="A26" s="20" t="s">
        <v>40</v>
      </c>
      <c r="B26" s="21" t="s">
        <v>604</v>
      </c>
      <c r="C26" s="20">
        <v>5.27</v>
      </c>
      <c r="D26" s="78"/>
    </row>
    <row r="27" spans="1:4" ht="15.75" hidden="1" outlineLevel="1" x14ac:dyDescent="0.2">
      <c r="A27" s="20" t="s">
        <v>40</v>
      </c>
      <c r="B27" s="21" t="s">
        <v>605</v>
      </c>
      <c r="C27" s="20">
        <v>5.28</v>
      </c>
      <c r="D27" s="78"/>
    </row>
    <row r="28" spans="1:4" ht="15.75" hidden="1" outlineLevel="1" x14ac:dyDescent="0.2">
      <c r="A28" s="20" t="s">
        <v>40</v>
      </c>
      <c r="B28" s="21" t="s">
        <v>5</v>
      </c>
      <c r="C28" s="22">
        <v>5.3</v>
      </c>
      <c r="D28" s="78"/>
    </row>
    <row r="29" spans="1:4" ht="15.75" hidden="1" outlineLevel="1" x14ac:dyDescent="0.2">
      <c r="A29" s="20" t="s">
        <v>40</v>
      </c>
      <c r="B29" s="21" t="s">
        <v>6</v>
      </c>
      <c r="C29" s="20">
        <v>5.49</v>
      </c>
      <c r="D29" s="78"/>
    </row>
    <row r="30" spans="1:4" ht="15.75" hidden="1" outlineLevel="1" x14ac:dyDescent="0.2">
      <c r="A30" s="20" t="s">
        <v>40</v>
      </c>
      <c r="B30" s="21" t="s">
        <v>8</v>
      </c>
      <c r="C30" s="20">
        <v>5.51</v>
      </c>
      <c r="D30" s="78"/>
    </row>
    <row r="31" spans="1:4" ht="15.75" hidden="1" outlineLevel="1" x14ac:dyDescent="0.2">
      <c r="A31" s="20" t="s">
        <v>40</v>
      </c>
      <c r="B31" s="21" t="s">
        <v>396</v>
      </c>
      <c r="C31" s="20">
        <v>5.53</v>
      </c>
      <c r="D31" s="78"/>
    </row>
    <row r="32" spans="1:4" ht="15.75" hidden="1" outlineLevel="1" x14ac:dyDescent="0.2">
      <c r="A32" s="20" t="s">
        <v>40</v>
      </c>
      <c r="B32" s="21" t="s">
        <v>13</v>
      </c>
      <c r="C32" s="20">
        <v>5.69</v>
      </c>
      <c r="D32" s="78"/>
    </row>
    <row r="33" spans="1:4" ht="15.75" hidden="1" outlineLevel="1" x14ac:dyDescent="0.2">
      <c r="A33" s="20" t="s">
        <v>40</v>
      </c>
      <c r="B33" s="21" t="s">
        <v>421</v>
      </c>
      <c r="C33" s="20">
        <v>5.75</v>
      </c>
      <c r="D33" s="78"/>
    </row>
    <row r="34" spans="1:4" ht="15.75" hidden="1" outlineLevel="1" x14ac:dyDescent="0.2">
      <c r="A34" s="20" t="s">
        <v>40</v>
      </c>
      <c r="B34" s="21" t="s">
        <v>14</v>
      </c>
      <c r="C34" s="22">
        <v>5.7</v>
      </c>
      <c r="D34" s="78"/>
    </row>
    <row r="35" spans="1:4" ht="15.75" hidden="1" outlineLevel="1" x14ac:dyDescent="0.2">
      <c r="A35" s="20" t="s">
        <v>40</v>
      </c>
      <c r="B35" s="21" t="s">
        <v>621</v>
      </c>
      <c r="C35" s="20">
        <v>5.74</v>
      </c>
      <c r="D35" s="78"/>
    </row>
    <row r="36" spans="1:4" ht="15.75" hidden="1" outlineLevel="1" x14ac:dyDescent="0.2">
      <c r="A36" s="20" t="s">
        <v>40</v>
      </c>
      <c r="B36" s="21" t="s">
        <v>938</v>
      </c>
      <c r="C36" s="20">
        <v>5.62</v>
      </c>
      <c r="D36" s="78"/>
    </row>
    <row r="37" spans="1:4" ht="15.75" hidden="1" outlineLevel="1" x14ac:dyDescent="0.2">
      <c r="A37" s="20" t="s">
        <v>40</v>
      </c>
      <c r="B37" s="21" t="s">
        <v>773</v>
      </c>
      <c r="C37" s="20">
        <v>5.58</v>
      </c>
      <c r="D37" s="78"/>
    </row>
    <row r="38" spans="1:4" ht="15.75" hidden="1" outlineLevel="1" x14ac:dyDescent="0.2">
      <c r="A38" s="20" t="s">
        <v>40</v>
      </c>
      <c r="B38" s="21" t="s">
        <v>11</v>
      </c>
      <c r="C38" s="20">
        <v>5.54</v>
      </c>
      <c r="D38" s="78"/>
    </row>
    <row r="39" spans="1:4" ht="15.75" hidden="1" outlineLevel="1" x14ac:dyDescent="0.2">
      <c r="A39" s="20" t="s">
        <v>40</v>
      </c>
      <c r="B39" s="21" t="s">
        <v>15</v>
      </c>
      <c r="C39" s="20">
        <v>5.55</v>
      </c>
      <c r="D39" s="78"/>
    </row>
    <row r="40" spans="1:4" ht="15.75" hidden="1" outlineLevel="1" x14ac:dyDescent="0.2">
      <c r="A40" s="20" t="s">
        <v>40</v>
      </c>
      <c r="B40" s="21" t="s">
        <v>1153</v>
      </c>
      <c r="C40" s="20">
        <v>5.63</v>
      </c>
      <c r="D40" s="78"/>
    </row>
    <row r="41" spans="1:4" ht="15.75" hidden="1" outlineLevel="1" x14ac:dyDescent="0.2">
      <c r="A41" s="20" t="s">
        <v>40</v>
      </c>
      <c r="B41" s="21" t="s">
        <v>1154</v>
      </c>
      <c r="C41" s="20">
        <v>5.65</v>
      </c>
      <c r="D41" s="78"/>
    </row>
    <row r="42" spans="1:4" ht="15.75" hidden="1" outlineLevel="1" x14ac:dyDescent="0.2">
      <c r="A42" s="20" t="s">
        <v>40</v>
      </c>
      <c r="B42" s="21" t="s">
        <v>26</v>
      </c>
      <c r="C42" s="20">
        <v>5.68</v>
      </c>
      <c r="D42" s="78"/>
    </row>
    <row r="43" spans="1:4" ht="15.75" hidden="1" outlineLevel="1" x14ac:dyDescent="0.2">
      <c r="A43" s="20" t="s">
        <v>40</v>
      </c>
      <c r="B43" s="21" t="s">
        <v>18</v>
      </c>
      <c r="C43" s="20">
        <v>5.45</v>
      </c>
      <c r="D43" s="78"/>
    </row>
    <row r="44" spans="1:4" ht="15.75" hidden="1" outlineLevel="1" x14ac:dyDescent="0.2">
      <c r="A44" s="20" t="s">
        <v>40</v>
      </c>
      <c r="B44" s="21" t="s">
        <v>19</v>
      </c>
      <c r="C44" s="20">
        <v>5.47</v>
      </c>
      <c r="D44" s="78"/>
    </row>
    <row r="45" spans="1:4" ht="15.75" hidden="1" outlineLevel="1" x14ac:dyDescent="0.2">
      <c r="A45" s="20" t="s">
        <v>40</v>
      </c>
      <c r="B45" s="21" t="s">
        <v>30</v>
      </c>
      <c r="C45" s="20">
        <v>5.48</v>
      </c>
      <c r="D45" s="78"/>
    </row>
    <row r="46" spans="1:4" ht="15.75" collapsed="1" x14ac:dyDescent="0.2">
      <c r="A46" s="25" t="s">
        <v>40</v>
      </c>
      <c r="B46" s="21"/>
      <c r="C46" s="20"/>
      <c r="D46" s="78"/>
    </row>
    <row r="47" spans="1:4" ht="15.75" hidden="1" outlineLevel="1" x14ac:dyDescent="0.2">
      <c r="A47" s="20" t="s">
        <v>32</v>
      </c>
      <c r="B47" s="21" t="s">
        <v>651</v>
      </c>
      <c r="C47" s="20">
        <v>5.0999999999999996</v>
      </c>
      <c r="D47" s="78"/>
    </row>
    <row r="48" spans="1:4" ht="15.75" hidden="1" outlineLevel="1" x14ac:dyDescent="0.2">
      <c r="A48" s="20" t="s">
        <v>32</v>
      </c>
      <c r="B48" s="21" t="s">
        <v>0</v>
      </c>
      <c r="C48" s="20">
        <v>5.2</v>
      </c>
      <c r="D48" s="78"/>
    </row>
    <row r="49" spans="1:4" ht="15.75" hidden="1" outlineLevel="1" x14ac:dyDescent="0.2">
      <c r="A49" s="20" t="s">
        <v>32</v>
      </c>
      <c r="B49" s="21" t="s">
        <v>724</v>
      </c>
      <c r="C49" s="20">
        <v>5.3</v>
      </c>
      <c r="D49" s="78"/>
    </row>
    <row r="50" spans="1:4" ht="15.75" hidden="1" outlineLevel="1" x14ac:dyDescent="0.2">
      <c r="A50" s="20" t="s">
        <v>32</v>
      </c>
      <c r="B50" s="21" t="s">
        <v>2</v>
      </c>
      <c r="C50" s="20">
        <v>5.6</v>
      </c>
      <c r="D50" s="78"/>
    </row>
    <row r="51" spans="1:4" ht="15.75" hidden="1" outlineLevel="1" x14ac:dyDescent="0.2">
      <c r="A51" s="20" t="s">
        <v>32</v>
      </c>
      <c r="B51" s="21" t="s">
        <v>730</v>
      </c>
      <c r="C51" s="22">
        <v>5.0999999999999996</v>
      </c>
      <c r="D51" s="78"/>
    </row>
    <row r="52" spans="1:4" ht="15.75" hidden="1" outlineLevel="1" x14ac:dyDescent="0.2">
      <c r="A52" s="20" t="s">
        <v>32</v>
      </c>
      <c r="B52" s="21" t="s">
        <v>3</v>
      </c>
      <c r="C52" s="20">
        <v>5.14</v>
      </c>
      <c r="D52" s="78"/>
    </row>
    <row r="53" spans="1:4" ht="15.75" hidden="1" outlineLevel="1" x14ac:dyDescent="0.2">
      <c r="A53" s="20" t="s">
        <v>32</v>
      </c>
      <c r="B53" s="21" t="s">
        <v>29</v>
      </c>
      <c r="C53" s="20">
        <v>5.19</v>
      </c>
      <c r="D53" s="78"/>
    </row>
    <row r="54" spans="1:4" ht="15.75" hidden="1" outlineLevel="1" x14ac:dyDescent="0.2">
      <c r="A54" s="20" t="s">
        <v>32</v>
      </c>
      <c r="B54" s="21" t="s">
        <v>28</v>
      </c>
      <c r="C54" s="20">
        <v>5.24</v>
      </c>
      <c r="D54" s="78"/>
    </row>
    <row r="55" spans="1:4" ht="15.75" hidden="1" outlineLevel="1" x14ac:dyDescent="0.2">
      <c r="A55" s="20" t="s">
        <v>32</v>
      </c>
      <c r="B55" s="21" t="s">
        <v>1</v>
      </c>
      <c r="C55" s="20">
        <v>5.26</v>
      </c>
      <c r="D55" s="78"/>
    </row>
    <row r="56" spans="1:4" ht="15.75" hidden="1" outlineLevel="1" x14ac:dyDescent="0.2">
      <c r="A56" s="20" t="s">
        <v>32</v>
      </c>
      <c r="B56" s="21" t="s">
        <v>604</v>
      </c>
      <c r="C56" s="20">
        <v>5.27</v>
      </c>
      <c r="D56" s="78"/>
    </row>
    <row r="57" spans="1:4" ht="15.75" hidden="1" outlineLevel="1" x14ac:dyDescent="0.2">
      <c r="A57" s="20" t="s">
        <v>32</v>
      </c>
      <c r="B57" s="21" t="s">
        <v>605</v>
      </c>
      <c r="C57" s="20">
        <v>5.28</v>
      </c>
      <c r="D57" s="78"/>
    </row>
    <row r="58" spans="1:4" ht="15.75" hidden="1" outlineLevel="1" x14ac:dyDescent="0.2">
      <c r="A58" s="20" t="s">
        <v>32</v>
      </c>
      <c r="B58" s="21" t="s">
        <v>5</v>
      </c>
      <c r="C58" s="22">
        <v>5.3</v>
      </c>
      <c r="D58" s="78"/>
    </row>
    <row r="59" spans="1:4" ht="15.75" hidden="1" outlineLevel="1" x14ac:dyDescent="0.2">
      <c r="A59" s="20" t="s">
        <v>32</v>
      </c>
      <c r="B59" s="21" t="s">
        <v>9</v>
      </c>
      <c r="C59" s="20">
        <v>5.31</v>
      </c>
      <c r="D59" s="78"/>
    </row>
    <row r="60" spans="1:4" ht="15.75" hidden="1" outlineLevel="1" x14ac:dyDescent="0.2">
      <c r="A60" s="20" t="s">
        <v>32</v>
      </c>
      <c r="B60" s="21" t="s">
        <v>606</v>
      </c>
      <c r="C60" s="20">
        <v>5.36</v>
      </c>
      <c r="D60" s="78"/>
    </row>
    <row r="61" spans="1:4" ht="15.75" hidden="1" outlineLevel="1" x14ac:dyDescent="0.2">
      <c r="A61" s="20" t="s">
        <v>32</v>
      </c>
      <c r="B61" s="21" t="s">
        <v>6</v>
      </c>
      <c r="C61" s="20">
        <v>5.49</v>
      </c>
      <c r="D61" s="78"/>
    </row>
    <row r="62" spans="1:4" ht="15.75" hidden="1" outlineLevel="1" x14ac:dyDescent="0.2">
      <c r="A62" s="20" t="s">
        <v>32</v>
      </c>
      <c r="B62" s="21" t="s">
        <v>8</v>
      </c>
      <c r="C62" s="20">
        <v>5.51</v>
      </c>
      <c r="D62" s="78"/>
    </row>
    <row r="63" spans="1:4" ht="15.75" hidden="1" outlineLevel="1" x14ac:dyDescent="0.2">
      <c r="A63" s="20" t="s">
        <v>32</v>
      </c>
      <c r="B63" s="21" t="s">
        <v>7</v>
      </c>
      <c r="C63" s="20">
        <v>5.52</v>
      </c>
      <c r="D63" s="78"/>
    </row>
    <row r="64" spans="1:4" ht="15.75" hidden="1" outlineLevel="1" x14ac:dyDescent="0.2">
      <c r="A64" s="20" t="s">
        <v>32</v>
      </c>
      <c r="B64" s="21" t="s">
        <v>396</v>
      </c>
      <c r="C64" s="20">
        <v>5.53</v>
      </c>
      <c r="D64" s="78"/>
    </row>
    <row r="65" spans="1:4" ht="15.75" hidden="1" outlineLevel="1" x14ac:dyDescent="0.2">
      <c r="A65" s="20" t="s">
        <v>32</v>
      </c>
      <c r="B65" s="21" t="s">
        <v>13</v>
      </c>
      <c r="C65" s="20">
        <v>5.69</v>
      </c>
      <c r="D65" s="78"/>
    </row>
    <row r="66" spans="1:4" ht="15.75" hidden="1" outlineLevel="1" x14ac:dyDescent="0.2">
      <c r="A66" s="20" t="s">
        <v>32</v>
      </c>
      <c r="B66" s="21" t="s">
        <v>309</v>
      </c>
      <c r="C66" s="22">
        <v>5.72</v>
      </c>
      <c r="D66" s="78"/>
    </row>
    <row r="67" spans="1:4" ht="15.75" hidden="1" outlineLevel="1" x14ac:dyDescent="0.2">
      <c r="A67" s="20" t="s">
        <v>32</v>
      </c>
      <c r="B67" s="21" t="s">
        <v>421</v>
      </c>
      <c r="C67" s="20">
        <v>5.75</v>
      </c>
      <c r="D67" s="78"/>
    </row>
    <row r="68" spans="1:4" ht="15.75" hidden="1" outlineLevel="1" x14ac:dyDescent="0.2">
      <c r="A68" s="20" t="s">
        <v>32</v>
      </c>
      <c r="B68" s="21" t="s">
        <v>14</v>
      </c>
      <c r="C68" s="22">
        <v>5.7</v>
      </c>
      <c r="D68" s="78"/>
    </row>
    <row r="69" spans="1:4" ht="15.75" hidden="1" outlineLevel="1" x14ac:dyDescent="0.2">
      <c r="A69" s="20" t="s">
        <v>32</v>
      </c>
      <c r="B69" s="21" t="s">
        <v>621</v>
      </c>
      <c r="C69" s="20">
        <v>5.74</v>
      </c>
      <c r="D69" s="78"/>
    </row>
    <row r="70" spans="1:4" ht="15.75" hidden="1" outlineLevel="1" x14ac:dyDescent="0.2">
      <c r="A70" s="20" t="s">
        <v>32</v>
      </c>
      <c r="B70" s="21" t="s">
        <v>925</v>
      </c>
      <c r="C70" s="20">
        <v>5.76</v>
      </c>
      <c r="D70" s="78"/>
    </row>
    <row r="71" spans="1:4" ht="15.75" hidden="1" outlineLevel="1" x14ac:dyDescent="0.2">
      <c r="A71" s="20" t="s">
        <v>32</v>
      </c>
      <c r="B71" s="21" t="s">
        <v>669</v>
      </c>
      <c r="C71" s="20">
        <v>5.89</v>
      </c>
      <c r="D71" s="77" t="s">
        <v>935</v>
      </c>
    </row>
    <row r="72" spans="1:4" ht="15.75" hidden="1" outlineLevel="1" x14ac:dyDescent="0.2">
      <c r="A72" s="20" t="s">
        <v>32</v>
      </c>
      <c r="B72" s="21" t="s">
        <v>773</v>
      </c>
      <c r="C72" s="20">
        <v>5.58</v>
      </c>
      <c r="D72" s="78"/>
    </row>
    <row r="73" spans="1:4" ht="15.75" hidden="1" outlineLevel="1" x14ac:dyDescent="0.2">
      <c r="A73" s="20" t="s">
        <v>32</v>
      </c>
      <c r="B73" s="21" t="s">
        <v>938</v>
      </c>
      <c r="C73" s="20">
        <v>5.62</v>
      </c>
      <c r="D73" s="78"/>
    </row>
    <row r="74" spans="1:4" ht="15.75" hidden="1" outlineLevel="1" x14ac:dyDescent="0.2">
      <c r="A74" s="20" t="s">
        <v>32</v>
      </c>
      <c r="B74" s="21" t="s">
        <v>11</v>
      </c>
      <c r="C74" s="20">
        <v>5.54</v>
      </c>
      <c r="D74" s="78"/>
    </row>
    <row r="75" spans="1:4" ht="15.75" hidden="1" outlineLevel="1" x14ac:dyDescent="0.2">
      <c r="A75" s="20" t="s">
        <v>32</v>
      </c>
      <c r="B75" s="21" t="s">
        <v>15</v>
      </c>
      <c r="C75" s="20">
        <v>5.55</v>
      </c>
      <c r="D75" s="78"/>
    </row>
    <row r="76" spans="1:4" ht="15.75" hidden="1" outlineLevel="1" x14ac:dyDescent="0.2">
      <c r="A76" s="20" t="s">
        <v>32</v>
      </c>
      <c r="B76" s="21" t="s">
        <v>1153</v>
      </c>
      <c r="C76" s="20">
        <v>5.63</v>
      </c>
      <c r="D76" s="78"/>
    </row>
    <row r="77" spans="1:4" ht="15.75" hidden="1" outlineLevel="1" x14ac:dyDescent="0.2">
      <c r="A77" s="20" t="s">
        <v>32</v>
      </c>
      <c r="B77" s="21" t="s">
        <v>1154</v>
      </c>
      <c r="C77" s="20">
        <v>5.65</v>
      </c>
      <c r="D77" s="78"/>
    </row>
    <row r="78" spans="1:4" ht="15.75" hidden="1" outlineLevel="1" x14ac:dyDescent="0.2">
      <c r="A78" s="20" t="s">
        <v>32</v>
      </c>
      <c r="B78" s="21" t="s">
        <v>788</v>
      </c>
      <c r="C78" s="20">
        <v>5.66</v>
      </c>
      <c r="D78" s="78"/>
    </row>
    <row r="79" spans="1:4" ht="15.75" hidden="1" outlineLevel="1" x14ac:dyDescent="0.2">
      <c r="A79" s="20" t="s">
        <v>32</v>
      </c>
      <c r="B79" s="21" t="s">
        <v>26</v>
      </c>
      <c r="C79" s="20">
        <v>5.68</v>
      </c>
      <c r="D79" s="78"/>
    </row>
    <row r="80" spans="1:4" ht="15.75" hidden="1" outlineLevel="1" x14ac:dyDescent="0.2">
      <c r="A80" s="20" t="s">
        <v>32</v>
      </c>
      <c r="B80" s="21" t="s">
        <v>18</v>
      </c>
      <c r="C80" s="20">
        <v>5.45</v>
      </c>
      <c r="D80" s="78"/>
    </row>
    <row r="81" spans="1:4" ht="15.75" hidden="1" outlineLevel="1" x14ac:dyDescent="0.2">
      <c r="A81" s="20" t="s">
        <v>32</v>
      </c>
      <c r="B81" s="21" t="s">
        <v>19</v>
      </c>
      <c r="C81" s="20">
        <v>5.47</v>
      </c>
      <c r="D81" s="78"/>
    </row>
    <row r="82" spans="1:4" ht="15.75" hidden="1" outlineLevel="1" x14ac:dyDescent="0.2">
      <c r="A82" s="20" t="s">
        <v>32</v>
      </c>
      <c r="B82" s="21" t="s">
        <v>30</v>
      </c>
      <c r="C82" s="20">
        <v>5.48</v>
      </c>
      <c r="D82" s="78"/>
    </row>
    <row r="83" spans="1:4" ht="15.75" collapsed="1" x14ac:dyDescent="0.2">
      <c r="A83" s="25" t="s">
        <v>32</v>
      </c>
      <c r="B83" s="21"/>
      <c r="C83" s="20"/>
      <c r="D83" s="78"/>
    </row>
    <row r="84" spans="1:4" ht="15.75" hidden="1" outlineLevel="1" x14ac:dyDescent="0.2">
      <c r="A84" s="20" t="s">
        <v>33</v>
      </c>
      <c r="B84" s="21" t="s">
        <v>651</v>
      </c>
      <c r="C84" s="20">
        <v>5.0999999999999996</v>
      </c>
      <c r="D84" s="78"/>
    </row>
    <row r="85" spans="1:4" ht="15.75" hidden="1" outlineLevel="1" x14ac:dyDescent="0.2">
      <c r="A85" s="20" t="s">
        <v>33</v>
      </c>
      <c r="B85" s="21" t="s">
        <v>0</v>
      </c>
      <c r="C85" s="20">
        <v>5.2</v>
      </c>
      <c r="D85" s="78"/>
    </row>
    <row r="86" spans="1:4" ht="15.75" hidden="1" outlineLevel="1" x14ac:dyDescent="0.2">
      <c r="A86" s="20" t="s">
        <v>33</v>
      </c>
      <c r="B86" s="21" t="s">
        <v>724</v>
      </c>
      <c r="C86" s="20">
        <v>5.3</v>
      </c>
      <c r="D86" s="78"/>
    </row>
    <row r="87" spans="1:4" ht="15.75" hidden="1" outlineLevel="1" x14ac:dyDescent="0.2">
      <c r="A87" s="20" t="s">
        <v>33</v>
      </c>
      <c r="B87" s="21" t="s">
        <v>2</v>
      </c>
      <c r="C87" s="20">
        <v>5.6</v>
      </c>
      <c r="D87" s="78"/>
    </row>
    <row r="88" spans="1:4" ht="15.75" hidden="1" outlineLevel="1" x14ac:dyDescent="0.2">
      <c r="A88" s="20" t="s">
        <v>33</v>
      </c>
      <c r="B88" s="21" t="s">
        <v>730</v>
      </c>
      <c r="C88" s="22">
        <v>5.0999999999999996</v>
      </c>
      <c r="D88" s="78"/>
    </row>
    <row r="89" spans="1:4" ht="15.75" hidden="1" outlineLevel="1" x14ac:dyDescent="0.2">
      <c r="A89" s="20" t="s">
        <v>33</v>
      </c>
      <c r="B89" s="21" t="s">
        <v>3</v>
      </c>
      <c r="C89" s="20">
        <v>5.14</v>
      </c>
      <c r="D89" s="78"/>
    </row>
    <row r="90" spans="1:4" ht="15.75" hidden="1" outlineLevel="1" x14ac:dyDescent="0.2">
      <c r="A90" s="20" t="s">
        <v>33</v>
      </c>
      <c r="B90" s="21" t="s">
        <v>29</v>
      </c>
      <c r="C90" s="20">
        <v>5.19</v>
      </c>
      <c r="D90" s="78"/>
    </row>
    <row r="91" spans="1:4" ht="15.75" hidden="1" outlineLevel="1" x14ac:dyDescent="0.2">
      <c r="A91" s="20" t="s">
        <v>33</v>
      </c>
      <c r="B91" s="21" t="s">
        <v>28</v>
      </c>
      <c r="C91" s="20">
        <v>5.24</v>
      </c>
      <c r="D91" s="78"/>
    </row>
    <row r="92" spans="1:4" ht="15.75" hidden="1" outlineLevel="1" x14ac:dyDescent="0.2">
      <c r="A92" s="20" t="s">
        <v>33</v>
      </c>
      <c r="B92" s="21" t="s">
        <v>1</v>
      </c>
      <c r="C92" s="20">
        <v>5.26</v>
      </c>
      <c r="D92" s="78"/>
    </row>
    <row r="93" spans="1:4" ht="15.75" hidden="1" outlineLevel="1" x14ac:dyDescent="0.2">
      <c r="A93" s="20" t="s">
        <v>33</v>
      </c>
      <c r="B93" s="21" t="s">
        <v>604</v>
      </c>
      <c r="C93" s="20">
        <v>5.27</v>
      </c>
      <c r="D93" s="78"/>
    </row>
    <row r="94" spans="1:4" ht="15.75" hidden="1" outlineLevel="1" x14ac:dyDescent="0.2">
      <c r="A94" s="20" t="s">
        <v>33</v>
      </c>
      <c r="B94" s="21" t="s">
        <v>605</v>
      </c>
      <c r="C94" s="20">
        <v>5.28</v>
      </c>
      <c r="D94" s="78"/>
    </row>
    <row r="95" spans="1:4" ht="15.75" hidden="1" outlineLevel="1" x14ac:dyDescent="0.2">
      <c r="A95" s="20" t="s">
        <v>33</v>
      </c>
      <c r="B95" s="21" t="s">
        <v>609</v>
      </c>
      <c r="C95" s="20">
        <v>5.29</v>
      </c>
      <c r="D95" s="78"/>
    </row>
    <row r="96" spans="1:4" ht="15.75" hidden="1" outlineLevel="1" x14ac:dyDescent="0.2">
      <c r="A96" s="20" t="s">
        <v>33</v>
      </c>
      <c r="B96" s="21" t="s">
        <v>5</v>
      </c>
      <c r="C96" s="22">
        <v>5.3</v>
      </c>
      <c r="D96" s="78"/>
    </row>
    <row r="97" spans="1:4" ht="15.75" hidden="1" outlineLevel="1" x14ac:dyDescent="0.2">
      <c r="A97" s="20" t="s">
        <v>33</v>
      </c>
      <c r="B97" s="21" t="s">
        <v>9</v>
      </c>
      <c r="C97" s="20">
        <v>5.31</v>
      </c>
      <c r="D97" s="78"/>
    </row>
    <row r="98" spans="1:4" ht="15.75" hidden="1" outlineLevel="1" x14ac:dyDescent="0.2">
      <c r="A98" s="20" t="s">
        <v>33</v>
      </c>
      <c r="B98" s="21" t="s">
        <v>606</v>
      </c>
      <c r="C98" s="20">
        <v>5.36</v>
      </c>
      <c r="D98" s="78"/>
    </row>
    <row r="99" spans="1:4" ht="15.75" hidden="1" outlineLevel="1" x14ac:dyDescent="0.2">
      <c r="A99" s="20" t="s">
        <v>33</v>
      </c>
      <c r="B99" s="21" t="s">
        <v>6</v>
      </c>
      <c r="C99" s="20">
        <v>5.49</v>
      </c>
      <c r="D99" s="78"/>
    </row>
    <row r="100" spans="1:4" ht="15.75" hidden="1" outlineLevel="1" x14ac:dyDescent="0.2">
      <c r="A100" s="20" t="s">
        <v>33</v>
      </c>
      <c r="B100" s="21" t="s">
        <v>8</v>
      </c>
      <c r="C100" s="20">
        <v>5.51</v>
      </c>
      <c r="D100" s="78"/>
    </row>
    <row r="101" spans="1:4" ht="15.75" hidden="1" outlineLevel="1" x14ac:dyDescent="0.2">
      <c r="A101" s="20" t="s">
        <v>33</v>
      </c>
      <c r="B101" s="21" t="s">
        <v>7</v>
      </c>
      <c r="C101" s="20">
        <v>5.52</v>
      </c>
      <c r="D101" s="78"/>
    </row>
    <row r="102" spans="1:4" ht="15.75" hidden="1" outlineLevel="1" x14ac:dyDescent="0.2">
      <c r="A102" s="20" t="s">
        <v>33</v>
      </c>
      <c r="B102" s="21" t="s">
        <v>396</v>
      </c>
      <c r="C102" s="20">
        <v>5.53</v>
      </c>
      <c r="D102" s="78"/>
    </row>
    <row r="103" spans="1:4" ht="15.75" hidden="1" outlineLevel="1" x14ac:dyDescent="0.2">
      <c r="A103" s="20" t="s">
        <v>33</v>
      </c>
      <c r="B103" s="21" t="s">
        <v>13</v>
      </c>
      <c r="C103" s="20">
        <v>5.69</v>
      </c>
      <c r="D103" s="78"/>
    </row>
    <row r="104" spans="1:4" ht="15.75" hidden="1" outlineLevel="1" x14ac:dyDescent="0.2">
      <c r="A104" s="20" t="s">
        <v>33</v>
      </c>
      <c r="B104" s="21" t="s">
        <v>421</v>
      </c>
      <c r="C104" s="20">
        <v>5.75</v>
      </c>
      <c r="D104" s="78"/>
    </row>
    <row r="105" spans="1:4" ht="15.75" hidden="1" outlineLevel="1" x14ac:dyDescent="0.2">
      <c r="A105" s="20" t="s">
        <v>33</v>
      </c>
      <c r="B105" s="21" t="s">
        <v>14</v>
      </c>
      <c r="C105" s="22">
        <v>5.7</v>
      </c>
      <c r="D105" s="78"/>
    </row>
    <row r="106" spans="1:4" ht="15.75" hidden="1" outlineLevel="1" x14ac:dyDescent="0.2">
      <c r="A106" s="20" t="s">
        <v>33</v>
      </c>
      <c r="B106" s="21" t="s">
        <v>621</v>
      </c>
      <c r="C106" s="20">
        <v>5.74</v>
      </c>
      <c r="D106" s="78"/>
    </row>
    <row r="107" spans="1:4" ht="15.75" hidden="1" outlineLevel="1" x14ac:dyDescent="0.2">
      <c r="A107" s="20" t="s">
        <v>33</v>
      </c>
      <c r="B107" s="21" t="s">
        <v>925</v>
      </c>
      <c r="C107" s="20">
        <v>5.76</v>
      </c>
      <c r="D107" s="78"/>
    </row>
    <row r="108" spans="1:4" ht="15.75" hidden="1" outlineLevel="1" x14ac:dyDescent="0.2">
      <c r="A108" s="20" t="s">
        <v>33</v>
      </c>
      <c r="B108" s="21" t="s">
        <v>669</v>
      </c>
      <c r="C108" s="20">
        <v>5.89</v>
      </c>
      <c r="D108" s="77" t="s">
        <v>935</v>
      </c>
    </row>
    <row r="109" spans="1:4" ht="15.75" hidden="1" outlineLevel="1" x14ac:dyDescent="0.2">
      <c r="A109" s="20" t="s">
        <v>33</v>
      </c>
      <c r="B109" s="21" t="s">
        <v>773</v>
      </c>
      <c r="C109" s="20">
        <v>5.58</v>
      </c>
      <c r="D109" s="78"/>
    </row>
    <row r="110" spans="1:4" ht="15.75" hidden="1" outlineLevel="1" x14ac:dyDescent="0.2">
      <c r="A110" s="20" t="s">
        <v>33</v>
      </c>
      <c r="B110" s="21" t="s">
        <v>938</v>
      </c>
      <c r="C110" s="20">
        <v>5.62</v>
      </c>
      <c r="D110" s="78"/>
    </row>
    <row r="111" spans="1:4" ht="15.75" hidden="1" outlineLevel="1" x14ac:dyDescent="0.2">
      <c r="A111" s="20" t="s">
        <v>33</v>
      </c>
      <c r="B111" s="21" t="s">
        <v>11</v>
      </c>
      <c r="C111" s="20">
        <v>5.54</v>
      </c>
      <c r="D111" s="78"/>
    </row>
    <row r="112" spans="1:4" ht="15.75" hidden="1" outlineLevel="1" x14ac:dyDescent="0.2">
      <c r="A112" s="20" t="s">
        <v>33</v>
      </c>
      <c r="B112" s="21" t="s">
        <v>15</v>
      </c>
      <c r="C112" s="20">
        <v>5.55</v>
      </c>
      <c r="D112" s="78"/>
    </row>
    <row r="113" spans="1:4" ht="15.75" hidden="1" outlineLevel="1" x14ac:dyDescent="0.2">
      <c r="A113" s="20" t="s">
        <v>33</v>
      </c>
      <c r="B113" s="21" t="s">
        <v>1154</v>
      </c>
      <c r="C113" s="20">
        <v>5.65</v>
      </c>
      <c r="D113" s="78"/>
    </row>
    <row r="114" spans="1:4" ht="15.75" hidden="1" outlineLevel="1" x14ac:dyDescent="0.2">
      <c r="A114" s="20" t="s">
        <v>33</v>
      </c>
      <c r="B114" s="21" t="s">
        <v>788</v>
      </c>
      <c r="C114" s="20">
        <v>5.66</v>
      </c>
      <c r="D114" s="78"/>
    </row>
    <row r="115" spans="1:4" ht="15.75" hidden="1" outlineLevel="1" x14ac:dyDescent="0.2">
      <c r="A115" s="20" t="s">
        <v>33</v>
      </c>
      <c r="B115" s="21" t="s">
        <v>26</v>
      </c>
      <c r="C115" s="20">
        <v>5.68</v>
      </c>
      <c r="D115" s="78"/>
    </row>
    <row r="116" spans="1:4" ht="15.75" hidden="1" outlineLevel="1" x14ac:dyDescent="0.2">
      <c r="A116" s="20" t="s">
        <v>33</v>
      </c>
      <c r="B116" s="21" t="s">
        <v>18</v>
      </c>
      <c r="C116" s="20">
        <v>5.45</v>
      </c>
      <c r="D116" s="78"/>
    </row>
    <row r="117" spans="1:4" ht="15.75" hidden="1" outlineLevel="1" x14ac:dyDescent="0.2">
      <c r="A117" s="20" t="s">
        <v>33</v>
      </c>
      <c r="B117" s="21" t="s">
        <v>19</v>
      </c>
      <c r="C117" s="20">
        <v>5.47</v>
      </c>
      <c r="D117" s="78"/>
    </row>
    <row r="118" spans="1:4" ht="15.75" hidden="1" outlineLevel="1" x14ac:dyDescent="0.2">
      <c r="A118" s="20" t="s">
        <v>33</v>
      </c>
      <c r="B118" s="21" t="s">
        <v>30</v>
      </c>
      <c r="C118" s="20">
        <v>5.48</v>
      </c>
      <c r="D118" s="78"/>
    </row>
    <row r="119" spans="1:4" ht="15.75" collapsed="1" x14ac:dyDescent="0.2">
      <c r="A119" s="25" t="s">
        <v>33</v>
      </c>
      <c r="B119" s="21"/>
      <c r="C119" s="20"/>
      <c r="D119" s="78"/>
    </row>
    <row r="120" spans="1:4" ht="15.75" hidden="1" outlineLevel="1" x14ac:dyDescent="0.2">
      <c r="A120" s="20" t="s">
        <v>791</v>
      </c>
      <c r="B120" s="21" t="s">
        <v>651</v>
      </c>
      <c r="C120" s="20">
        <v>5.0999999999999996</v>
      </c>
      <c r="D120" s="78"/>
    </row>
    <row r="121" spans="1:4" ht="15.75" hidden="1" outlineLevel="1" x14ac:dyDescent="0.2">
      <c r="A121" s="20" t="s">
        <v>791</v>
      </c>
      <c r="B121" s="21" t="s">
        <v>0</v>
      </c>
      <c r="C121" s="20">
        <v>5.2</v>
      </c>
      <c r="D121" s="78"/>
    </row>
    <row r="122" spans="1:4" ht="15.75" hidden="1" outlineLevel="1" x14ac:dyDescent="0.2">
      <c r="A122" s="20" t="s">
        <v>791</v>
      </c>
      <c r="B122" s="21" t="s">
        <v>724</v>
      </c>
      <c r="C122" s="20">
        <v>5.3</v>
      </c>
      <c r="D122" s="78"/>
    </row>
    <row r="123" spans="1:4" ht="15.75" hidden="1" outlineLevel="1" x14ac:dyDescent="0.2">
      <c r="A123" s="20" t="s">
        <v>791</v>
      </c>
      <c r="B123" s="21" t="s">
        <v>2</v>
      </c>
      <c r="C123" s="20">
        <v>5.6</v>
      </c>
      <c r="D123" s="78"/>
    </row>
    <row r="124" spans="1:4" ht="15.75" hidden="1" outlineLevel="1" x14ac:dyDescent="0.2">
      <c r="A124" s="20" t="s">
        <v>791</v>
      </c>
      <c r="B124" s="21" t="s">
        <v>730</v>
      </c>
      <c r="C124" s="22">
        <v>5.0999999999999996</v>
      </c>
      <c r="D124" s="78"/>
    </row>
    <row r="125" spans="1:4" ht="15.75" hidden="1" outlineLevel="1" x14ac:dyDescent="0.2">
      <c r="A125" s="20" t="s">
        <v>791</v>
      </c>
      <c r="B125" s="21" t="s">
        <v>3</v>
      </c>
      <c r="C125" s="20">
        <v>5.14</v>
      </c>
      <c r="D125" s="78"/>
    </row>
    <row r="126" spans="1:4" ht="15.75" hidden="1" outlineLevel="1" x14ac:dyDescent="0.2">
      <c r="A126" s="20" t="s">
        <v>791</v>
      </c>
      <c r="B126" s="21" t="s">
        <v>29</v>
      </c>
      <c r="C126" s="20">
        <v>5.19</v>
      </c>
      <c r="D126" s="78"/>
    </row>
    <row r="127" spans="1:4" ht="15.75" hidden="1" outlineLevel="1" x14ac:dyDescent="0.2">
      <c r="A127" s="20" t="s">
        <v>791</v>
      </c>
      <c r="B127" s="21" t="s">
        <v>28</v>
      </c>
      <c r="C127" s="20">
        <v>5.24</v>
      </c>
      <c r="D127" s="78"/>
    </row>
    <row r="128" spans="1:4" ht="15.75" hidden="1" outlineLevel="1" x14ac:dyDescent="0.2">
      <c r="A128" s="20" t="s">
        <v>791</v>
      </c>
      <c r="B128" s="21" t="s">
        <v>1</v>
      </c>
      <c r="C128" s="20">
        <v>5.26</v>
      </c>
      <c r="D128" s="78"/>
    </row>
    <row r="129" spans="1:4" ht="15.75" hidden="1" outlineLevel="1" x14ac:dyDescent="0.2">
      <c r="A129" s="20" t="s">
        <v>791</v>
      </c>
      <c r="B129" s="21" t="s">
        <v>604</v>
      </c>
      <c r="C129" s="20">
        <v>5.27</v>
      </c>
      <c r="D129" s="78"/>
    </row>
    <row r="130" spans="1:4" ht="15.75" hidden="1" outlineLevel="1" x14ac:dyDescent="0.2">
      <c r="A130" s="20" t="s">
        <v>791</v>
      </c>
      <c r="B130" s="21" t="s">
        <v>605</v>
      </c>
      <c r="C130" s="20">
        <v>5.28</v>
      </c>
      <c r="D130" s="78"/>
    </row>
    <row r="131" spans="1:4" ht="15.75" hidden="1" outlineLevel="1" x14ac:dyDescent="0.2">
      <c r="A131" s="20" t="s">
        <v>791</v>
      </c>
      <c r="B131" s="21" t="s">
        <v>609</v>
      </c>
      <c r="C131" s="20">
        <v>5.29</v>
      </c>
      <c r="D131" s="78"/>
    </row>
    <row r="132" spans="1:4" ht="15.75" hidden="1" outlineLevel="1" x14ac:dyDescent="0.2">
      <c r="A132" s="20" t="s">
        <v>791</v>
      </c>
      <c r="B132" s="21" t="s">
        <v>5</v>
      </c>
      <c r="C132" s="22">
        <v>5.3</v>
      </c>
      <c r="D132" s="78"/>
    </row>
    <row r="133" spans="1:4" ht="15.75" hidden="1" outlineLevel="1" x14ac:dyDescent="0.2">
      <c r="A133" s="20" t="s">
        <v>791</v>
      </c>
      <c r="B133" s="21" t="s">
        <v>9</v>
      </c>
      <c r="C133" s="20">
        <v>5.31</v>
      </c>
      <c r="D133" s="78"/>
    </row>
    <row r="134" spans="1:4" ht="15.75" hidden="1" outlineLevel="1" x14ac:dyDescent="0.2">
      <c r="A134" s="20" t="s">
        <v>791</v>
      </c>
      <c r="B134" s="21" t="s">
        <v>606</v>
      </c>
      <c r="C134" s="20">
        <v>5.36</v>
      </c>
      <c r="D134" s="78"/>
    </row>
    <row r="135" spans="1:4" ht="15.75" hidden="1" outlineLevel="1" x14ac:dyDescent="0.2">
      <c r="A135" s="20" t="s">
        <v>791</v>
      </c>
      <c r="B135" s="21" t="s">
        <v>396</v>
      </c>
      <c r="C135" s="20">
        <v>5.53</v>
      </c>
      <c r="D135" s="78"/>
    </row>
    <row r="136" spans="1:4" ht="15.75" hidden="1" outlineLevel="1" x14ac:dyDescent="0.2">
      <c r="A136" s="20" t="s">
        <v>791</v>
      </c>
      <c r="B136" s="21" t="s">
        <v>773</v>
      </c>
      <c r="C136" s="20">
        <v>5.58</v>
      </c>
      <c r="D136" s="78"/>
    </row>
    <row r="137" spans="1:4" ht="15.75" hidden="1" outlineLevel="1" x14ac:dyDescent="0.2">
      <c r="A137" s="20" t="s">
        <v>791</v>
      </c>
      <c r="B137" s="21" t="s">
        <v>938</v>
      </c>
      <c r="C137" s="20">
        <v>5.62</v>
      </c>
      <c r="D137" s="78"/>
    </row>
    <row r="138" spans="1:4" ht="15.75" hidden="1" outlineLevel="1" x14ac:dyDescent="0.2">
      <c r="A138" s="20" t="s">
        <v>791</v>
      </c>
      <c r="B138" s="21" t="s">
        <v>11</v>
      </c>
      <c r="C138" s="20">
        <v>5.54</v>
      </c>
      <c r="D138" s="78"/>
    </row>
    <row r="139" spans="1:4" ht="15.75" hidden="1" outlineLevel="1" x14ac:dyDescent="0.2">
      <c r="A139" s="20" t="s">
        <v>791</v>
      </c>
      <c r="B139" s="21" t="s">
        <v>15</v>
      </c>
      <c r="C139" s="20">
        <v>5.55</v>
      </c>
      <c r="D139" s="78"/>
    </row>
    <row r="140" spans="1:4" ht="15.75" hidden="1" outlineLevel="1" x14ac:dyDescent="0.2">
      <c r="A140" s="20" t="s">
        <v>791</v>
      </c>
      <c r="B140" s="21" t="s">
        <v>1153</v>
      </c>
      <c r="C140" s="20">
        <v>5.63</v>
      </c>
      <c r="D140" s="78"/>
    </row>
    <row r="141" spans="1:4" ht="15.75" hidden="1" outlineLevel="1" x14ac:dyDescent="0.2">
      <c r="A141" s="20" t="s">
        <v>791</v>
      </c>
      <c r="B141" s="21" t="s">
        <v>18</v>
      </c>
      <c r="C141" s="20">
        <v>5.45</v>
      </c>
      <c r="D141" s="78"/>
    </row>
    <row r="142" spans="1:4" ht="15.75" hidden="1" outlineLevel="1" x14ac:dyDescent="0.2">
      <c r="A142" s="20" t="s">
        <v>791</v>
      </c>
      <c r="B142" s="21" t="s">
        <v>19</v>
      </c>
      <c r="C142" s="20">
        <v>5.47</v>
      </c>
      <c r="D142" s="78"/>
    </row>
    <row r="143" spans="1:4" ht="15.75" hidden="1" outlineLevel="1" x14ac:dyDescent="0.2">
      <c r="A143" s="20" t="s">
        <v>791</v>
      </c>
      <c r="B143" s="21" t="s">
        <v>30</v>
      </c>
      <c r="C143" s="20">
        <v>5.48</v>
      </c>
      <c r="D143" s="78"/>
    </row>
    <row r="144" spans="1:4" ht="15.75" collapsed="1" x14ac:dyDescent="0.2">
      <c r="A144" s="25" t="s">
        <v>791</v>
      </c>
      <c r="B144" s="21"/>
      <c r="C144" s="20"/>
      <c r="D144" s="78"/>
    </row>
    <row r="145" spans="1:4" ht="15.75" hidden="1" outlineLevel="1" x14ac:dyDescent="0.2">
      <c r="A145" s="20" t="s">
        <v>34</v>
      </c>
      <c r="B145" s="21" t="s">
        <v>651</v>
      </c>
      <c r="C145" s="20">
        <v>5.0999999999999996</v>
      </c>
      <c r="D145" s="78"/>
    </row>
    <row r="146" spans="1:4" ht="15.75" hidden="1" outlineLevel="1" x14ac:dyDescent="0.2">
      <c r="A146" s="20" t="s">
        <v>34</v>
      </c>
      <c r="B146" s="21" t="s">
        <v>0</v>
      </c>
      <c r="C146" s="20">
        <v>5.2</v>
      </c>
      <c r="D146" s="78"/>
    </row>
    <row r="147" spans="1:4" ht="15.75" hidden="1" outlineLevel="1" x14ac:dyDescent="0.2">
      <c r="A147" s="20" t="s">
        <v>34</v>
      </c>
      <c r="B147" s="21" t="s">
        <v>724</v>
      </c>
      <c r="C147" s="20">
        <v>5.3</v>
      </c>
      <c r="D147" s="78"/>
    </row>
    <row r="148" spans="1:4" ht="15.75" hidden="1" outlineLevel="1" x14ac:dyDescent="0.2">
      <c r="A148" s="20" t="s">
        <v>34</v>
      </c>
      <c r="B148" s="21" t="s">
        <v>2</v>
      </c>
      <c r="C148" s="20">
        <v>5.6</v>
      </c>
      <c r="D148" s="78"/>
    </row>
    <row r="149" spans="1:4" ht="15.75" hidden="1" outlineLevel="1" x14ac:dyDescent="0.2">
      <c r="A149" s="20" t="s">
        <v>34</v>
      </c>
      <c r="B149" s="21" t="s">
        <v>730</v>
      </c>
      <c r="C149" s="22">
        <v>5.0999999999999996</v>
      </c>
      <c r="D149" s="78"/>
    </row>
    <row r="150" spans="1:4" ht="15.75" hidden="1" outlineLevel="1" x14ac:dyDescent="0.2">
      <c r="A150" s="20" t="s">
        <v>34</v>
      </c>
      <c r="B150" s="21" t="s">
        <v>3</v>
      </c>
      <c r="C150" s="20">
        <v>5.14</v>
      </c>
      <c r="D150" s="78"/>
    </row>
    <row r="151" spans="1:4" ht="15.75" hidden="1" outlineLevel="1" x14ac:dyDescent="0.2">
      <c r="A151" s="20" t="s">
        <v>34</v>
      </c>
      <c r="B151" s="21" t="s">
        <v>29</v>
      </c>
      <c r="C151" s="20">
        <v>5.19</v>
      </c>
      <c r="D151" s="78"/>
    </row>
    <row r="152" spans="1:4" ht="15.75" hidden="1" outlineLevel="1" x14ac:dyDescent="0.2">
      <c r="A152" s="20" t="s">
        <v>34</v>
      </c>
      <c r="B152" s="21" t="s">
        <v>28</v>
      </c>
      <c r="C152" s="20">
        <v>5.24</v>
      </c>
      <c r="D152" s="78"/>
    </row>
    <row r="153" spans="1:4" ht="15.75" hidden="1" outlineLevel="1" x14ac:dyDescent="0.2">
      <c r="A153" s="20" t="s">
        <v>34</v>
      </c>
      <c r="B153" s="21" t="s">
        <v>1</v>
      </c>
      <c r="C153" s="20">
        <v>5.26</v>
      </c>
      <c r="D153" s="78"/>
    </row>
    <row r="154" spans="1:4" ht="15.75" hidden="1" outlineLevel="1" x14ac:dyDescent="0.2">
      <c r="A154" s="20" t="s">
        <v>34</v>
      </c>
      <c r="B154" s="21" t="s">
        <v>604</v>
      </c>
      <c r="C154" s="20">
        <v>5.27</v>
      </c>
      <c r="D154" s="78"/>
    </row>
    <row r="155" spans="1:4" ht="15.75" hidden="1" outlineLevel="1" x14ac:dyDescent="0.2">
      <c r="A155" s="20" t="s">
        <v>34</v>
      </c>
      <c r="B155" s="21" t="s">
        <v>605</v>
      </c>
      <c r="C155" s="20">
        <v>5.28</v>
      </c>
      <c r="D155" s="78"/>
    </row>
    <row r="156" spans="1:4" ht="15.75" hidden="1" outlineLevel="1" x14ac:dyDescent="0.2">
      <c r="A156" s="20" t="s">
        <v>34</v>
      </c>
      <c r="B156" s="21" t="s">
        <v>5</v>
      </c>
      <c r="C156" s="22">
        <v>5.3</v>
      </c>
      <c r="D156" s="78"/>
    </row>
    <row r="157" spans="1:4" ht="15.75" hidden="1" outlineLevel="1" x14ac:dyDescent="0.2">
      <c r="A157" s="20" t="s">
        <v>34</v>
      </c>
      <c r="B157" s="21" t="s">
        <v>300</v>
      </c>
      <c r="C157" s="20">
        <v>5.32</v>
      </c>
      <c r="D157" s="78"/>
    </row>
    <row r="158" spans="1:4" ht="15.75" hidden="1" outlineLevel="1" x14ac:dyDescent="0.2">
      <c r="A158" s="20" t="s">
        <v>34</v>
      </c>
      <c r="B158" s="21" t="s">
        <v>606</v>
      </c>
      <c r="C158" s="20">
        <v>5.36</v>
      </c>
      <c r="D158" s="78"/>
    </row>
    <row r="159" spans="1:4" ht="15.75" hidden="1" outlineLevel="1" x14ac:dyDescent="0.2">
      <c r="A159" s="20" t="s">
        <v>34</v>
      </c>
      <c r="B159" s="21" t="s">
        <v>396</v>
      </c>
      <c r="C159" s="20">
        <v>5.53</v>
      </c>
      <c r="D159" s="78"/>
    </row>
    <row r="160" spans="1:4" ht="15.75" hidden="1" outlineLevel="1" x14ac:dyDescent="0.2">
      <c r="A160" s="20" t="s">
        <v>34</v>
      </c>
      <c r="B160" s="21" t="s">
        <v>773</v>
      </c>
      <c r="C160" s="20">
        <v>5.58</v>
      </c>
      <c r="D160" s="78"/>
    </row>
    <row r="161" spans="1:4" ht="15.75" hidden="1" outlineLevel="1" x14ac:dyDescent="0.2">
      <c r="A161" s="20" t="s">
        <v>34</v>
      </c>
      <c r="B161" s="21" t="s">
        <v>11</v>
      </c>
      <c r="C161" s="20">
        <v>5.54</v>
      </c>
      <c r="D161" s="78"/>
    </row>
    <row r="162" spans="1:4" ht="15.75" hidden="1" outlineLevel="1" x14ac:dyDescent="0.2">
      <c r="A162" s="20" t="s">
        <v>34</v>
      </c>
      <c r="B162" s="21" t="s">
        <v>15</v>
      </c>
      <c r="C162" s="20">
        <v>5.55</v>
      </c>
      <c r="D162" s="78"/>
    </row>
    <row r="163" spans="1:4" ht="15.75" hidden="1" outlineLevel="1" x14ac:dyDescent="0.2">
      <c r="A163" s="20" t="s">
        <v>34</v>
      </c>
      <c r="B163" s="21" t="s">
        <v>938</v>
      </c>
      <c r="C163" s="20">
        <v>5.62</v>
      </c>
      <c r="D163" s="78"/>
    </row>
    <row r="164" spans="1:4" ht="15.75" hidden="1" outlineLevel="1" x14ac:dyDescent="0.2">
      <c r="A164" s="20" t="s">
        <v>34</v>
      </c>
      <c r="B164" s="21" t="s">
        <v>1153</v>
      </c>
      <c r="C164" s="20">
        <v>5.63</v>
      </c>
      <c r="D164" s="78"/>
    </row>
    <row r="165" spans="1:4" ht="15.75" hidden="1" outlineLevel="1" x14ac:dyDescent="0.2">
      <c r="A165" s="20" t="s">
        <v>34</v>
      </c>
      <c r="B165" s="21" t="s">
        <v>18</v>
      </c>
      <c r="C165" s="20">
        <v>5.45</v>
      </c>
      <c r="D165" s="78"/>
    </row>
    <row r="166" spans="1:4" ht="15.75" hidden="1" outlineLevel="1" x14ac:dyDescent="0.2">
      <c r="A166" s="20" t="s">
        <v>34</v>
      </c>
      <c r="B166" s="21" t="s">
        <v>19</v>
      </c>
      <c r="C166" s="20">
        <v>5.47</v>
      </c>
      <c r="D166" s="78"/>
    </row>
    <row r="167" spans="1:4" ht="15.75" hidden="1" outlineLevel="1" x14ac:dyDescent="0.2">
      <c r="A167" s="20" t="s">
        <v>34</v>
      </c>
      <c r="B167" s="21" t="s">
        <v>30</v>
      </c>
      <c r="C167" s="20">
        <v>5.48</v>
      </c>
      <c r="D167" s="78"/>
    </row>
    <row r="168" spans="1:4" ht="15.75" collapsed="1" x14ac:dyDescent="0.2">
      <c r="A168" s="25" t="s">
        <v>34</v>
      </c>
      <c r="B168" s="21"/>
      <c r="C168" s="20"/>
      <c r="D168" s="78"/>
    </row>
    <row r="169" spans="1:4" ht="15.75" hidden="1" outlineLevel="1" x14ac:dyDescent="0.2">
      <c r="A169" s="20" t="s">
        <v>35</v>
      </c>
      <c r="B169" s="21" t="s">
        <v>651</v>
      </c>
      <c r="C169" s="20">
        <v>5.0999999999999996</v>
      </c>
      <c r="D169" s="78"/>
    </row>
    <row r="170" spans="1:4" ht="15.75" hidden="1" outlineLevel="1" x14ac:dyDescent="0.2">
      <c r="A170" s="20" t="s">
        <v>35</v>
      </c>
      <c r="B170" s="21" t="s">
        <v>0</v>
      </c>
      <c r="C170" s="20">
        <v>5.2</v>
      </c>
      <c r="D170" s="78"/>
    </row>
    <row r="171" spans="1:4" ht="15.75" hidden="1" outlineLevel="1" x14ac:dyDescent="0.2">
      <c r="A171" s="20" t="s">
        <v>35</v>
      </c>
      <c r="B171" s="21" t="s">
        <v>724</v>
      </c>
      <c r="C171" s="20">
        <v>5.3</v>
      </c>
      <c r="D171" s="78"/>
    </row>
    <row r="172" spans="1:4" ht="15.75" hidden="1" outlineLevel="1" x14ac:dyDescent="0.2">
      <c r="A172" s="20" t="s">
        <v>35</v>
      </c>
      <c r="B172" s="21" t="s">
        <v>2</v>
      </c>
      <c r="C172" s="20">
        <v>5.6</v>
      </c>
      <c r="D172" s="78"/>
    </row>
    <row r="173" spans="1:4" ht="15.75" hidden="1" outlineLevel="1" x14ac:dyDescent="0.2">
      <c r="A173" s="20" t="s">
        <v>35</v>
      </c>
      <c r="B173" s="21" t="s">
        <v>730</v>
      </c>
      <c r="C173" s="22">
        <v>5.0999999999999996</v>
      </c>
      <c r="D173" s="78"/>
    </row>
    <row r="174" spans="1:4" ht="15.75" hidden="1" outlineLevel="1" x14ac:dyDescent="0.2">
      <c r="A174" s="20" t="s">
        <v>35</v>
      </c>
      <c r="B174" s="21" t="s">
        <v>3</v>
      </c>
      <c r="C174" s="20">
        <v>5.14</v>
      </c>
      <c r="D174" s="78"/>
    </row>
    <row r="175" spans="1:4" ht="15.75" hidden="1" outlineLevel="1" x14ac:dyDescent="0.2">
      <c r="A175" s="20" t="s">
        <v>35</v>
      </c>
      <c r="B175" s="21" t="s">
        <v>29</v>
      </c>
      <c r="C175" s="20">
        <v>5.19</v>
      </c>
      <c r="D175" s="78"/>
    </row>
    <row r="176" spans="1:4" ht="15.75" hidden="1" outlineLevel="1" x14ac:dyDescent="0.2">
      <c r="A176" s="20" t="s">
        <v>35</v>
      </c>
      <c r="B176" s="21" t="s">
        <v>28</v>
      </c>
      <c r="C176" s="20">
        <v>5.24</v>
      </c>
      <c r="D176" s="78"/>
    </row>
    <row r="177" spans="1:4" ht="15.75" hidden="1" outlineLevel="1" x14ac:dyDescent="0.2">
      <c r="A177" s="20" t="s">
        <v>35</v>
      </c>
      <c r="B177" s="21" t="s">
        <v>1</v>
      </c>
      <c r="C177" s="20">
        <v>5.26</v>
      </c>
      <c r="D177" s="78"/>
    </row>
    <row r="178" spans="1:4" ht="15.75" hidden="1" outlineLevel="1" x14ac:dyDescent="0.2">
      <c r="A178" s="20" t="s">
        <v>35</v>
      </c>
      <c r="B178" s="21" t="s">
        <v>604</v>
      </c>
      <c r="C178" s="20">
        <v>5.27</v>
      </c>
      <c r="D178" s="78"/>
    </row>
    <row r="179" spans="1:4" ht="15.75" hidden="1" outlineLevel="1" x14ac:dyDescent="0.2">
      <c r="A179" s="20" t="s">
        <v>35</v>
      </c>
      <c r="B179" s="21" t="s">
        <v>605</v>
      </c>
      <c r="C179" s="20">
        <v>5.28</v>
      </c>
      <c r="D179" s="78"/>
    </row>
    <row r="180" spans="1:4" ht="15.75" hidden="1" outlineLevel="1" x14ac:dyDescent="0.2">
      <c r="A180" s="20" t="s">
        <v>35</v>
      </c>
      <c r="B180" s="21" t="s">
        <v>609</v>
      </c>
      <c r="C180" s="20">
        <v>5.29</v>
      </c>
      <c r="D180" s="78"/>
    </row>
    <row r="181" spans="1:4" ht="15.75" hidden="1" outlineLevel="1" x14ac:dyDescent="0.2">
      <c r="A181" s="20" t="s">
        <v>35</v>
      </c>
      <c r="B181" s="21" t="s">
        <v>5</v>
      </c>
      <c r="C181" s="22">
        <v>5.3</v>
      </c>
      <c r="D181" s="78"/>
    </row>
    <row r="182" spans="1:4" ht="15.75" hidden="1" outlineLevel="1" x14ac:dyDescent="0.2">
      <c r="A182" s="20" t="s">
        <v>35</v>
      </c>
      <c r="B182" s="21" t="s">
        <v>300</v>
      </c>
      <c r="C182" s="20">
        <v>5.32</v>
      </c>
      <c r="D182" s="78"/>
    </row>
    <row r="183" spans="1:4" ht="15.75" hidden="1" outlineLevel="1" x14ac:dyDescent="0.2">
      <c r="A183" s="20" t="s">
        <v>35</v>
      </c>
      <c r="B183" s="21" t="s">
        <v>606</v>
      </c>
      <c r="C183" s="20">
        <v>5.36</v>
      </c>
      <c r="D183" s="78"/>
    </row>
    <row r="184" spans="1:4" ht="15.75" hidden="1" outlineLevel="1" x14ac:dyDescent="0.2">
      <c r="A184" s="20" t="s">
        <v>35</v>
      </c>
      <c r="B184" s="21" t="s">
        <v>396</v>
      </c>
      <c r="C184" s="20">
        <v>5.53</v>
      </c>
      <c r="D184" s="78"/>
    </row>
    <row r="185" spans="1:4" ht="15.75" hidden="1" outlineLevel="1" x14ac:dyDescent="0.2">
      <c r="A185" s="20" t="s">
        <v>35</v>
      </c>
      <c r="B185" s="21" t="s">
        <v>773</v>
      </c>
      <c r="C185" s="20">
        <v>5.58</v>
      </c>
      <c r="D185" s="78"/>
    </row>
    <row r="186" spans="1:4" ht="15.75" hidden="1" outlineLevel="1" x14ac:dyDescent="0.2">
      <c r="A186" s="20" t="s">
        <v>35</v>
      </c>
      <c r="B186" s="21" t="s">
        <v>11</v>
      </c>
      <c r="C186" s="20">
        <v>5.54</v>
      </c>
      <c r="D186" s="78"/>
    </row>
    <row r="187" spans="1:4" ht="15.75" hidden="1" outlineLevel="1" x14ac:dyDescent="0.2">
      <c r="A187" s="20" t="s">
        <v>35</v>
      </c>
      <c r="B187" s="21" t="s">
        <v>15</v>
      </c>
      <c r="C187" s="20">
        <v>5.55</v>
      </c>
      <c r="D187" s="78"/>
    </row>
    <row r="188" spans="1:4" ht="15.75" hidden="1" outlineLevel="1" x14ac:dyDescent="0.2">
      <c r="A188" s="20" t="s">
        <v>35</v>
      </c>
      <c r="B188" s="21" t="s">
        <v>1153</v>
      </c>
      <c r="C188" s="20">
        <v>5.63</v>
      </c>
      <c r="D188" s="78"/>
    </row>
    <row r="189" spans="1:4" ht="15.75" hidden="1" outlineLevel="1" x14ac:dyDescent="0.2">
      <c r="A189" s="20" t="s">
        <v>35</v>
      </c>
      <c r="B189" s="21" t="s">
        <v>18</v>
      </c>
      <c r="C189" s="20">
        <v>5.45</v>
      </c>
      <c r="D189" s="78"/>
    </row>
    <row r="190" spans="1:4" ht="15.75" hidden="1" outlineLevel="1" x14ac:dyDescent="0.2">
      <c r="A190" s="20" t="s">
        <v>35</v>
      </c>
      <c r="B190" s="21" t="s">
        <v>19</v>
      </c>
      <c r="C190" s="20">
        <v>5.47</v>
      </c>
      <c r="D190" s="78"/>
    </row>
    <row r="191" spans="1:4" ht="15.75" hidden="1" outlineLevel="1" x14ac:dyDescent="0.2">
      <c r="A191" s="20" t="s">
        <v>35</v>
      </c>
      <c r="B191" s="21" t="s">
        <v>30</v>
      </c>
      <c r="C191" s="20">
        <v>5.48</v>
      </c>
      <c r="D191" s="78"/>
    </row>
    <row r="192" spans="1:4" ht="15.75" collapsed="1" x14ac:dyDescent="0.2">
      <c r="A192" s="25" t="s">
        <v>35</v>
      </c>
      <c r="B192" s="21"/>
      <c r="C192" s="20"/>
      <c r="D192" s="78"/>
    </row>
    <row r="193" spans="1:4" ht="15.75" hidden="1" outlineLevel="1" x14ac:dyDescent="0.2">
      <c r="A193" s="20" t="s">
        <v>36</v>
      </c>
      <c r="B193" s="21" t="s">
        <v>651</v>
      </c>
      <c r="C193" s="20">
        <v>5.0999999999999996</v>
      </c>
      <c r="D193" s="78"/>
    </row>
    <row r="194" spans="1:4" ht="15.75" hidden="1" outlineLevel="1" x14ac:dyDescent="0.2">
      <c r="A194" s="20" t="s">
        <v>36</v>
      </c>
      <c r="B194" s="21" t="s">
        <v>0</v>
      </c>
      <c r="C194" s="20">
        <v>5.2</v>
      </c>
      <c r="D194" s="78"/>
    </row>
    <row r="195" spans="1:4" ht="15.75" hidden="1" outlineLevel="1" x14ac:dyDescent="0.2">
      <c r="A195" s="20" t="s">
        <v>36</v>
      </c>
      <c r="B195" s="21" t="s">
        <v>724</v>
      </c>
      <c r="C195" s="20">
        <v>5.3</v>
      </c>
      <c r="D195" s="78"/>
    </row>
    <row r="196" spans="1:4" ht="15.75" hidden="1" outlineLevel="1" x14ac:dyDescent="0.2">
      <c r="A196" s="20" t="s">
        <v>36</v>
      </c>
      <c r="B196" s="21" t="s">
        <v>2</v>
      </c>
      <c r="C196" s="20">
        <v>5.6</v>
      </c>
      <c r="D196" s="78"/>
    </row>
    <row r="197" spans="1:4" ht="15.75" hidden="1" outlineLevel="1" x14ac:dyDescent="0.2">
      <c r="A197" s="20" t="s">
        <v>36</v>
      </c>
      <c r="B197" s="21" t="s">
        <v>730</v>
      </c>
      <c r="C197" s="22">
        <v>5.0999999999999996</v>
      </c>
      <c r="D197" s="78"/>
    </row>
    <row r="198" spans="1:4" ht="15.75" hidden="1" outlineLevel="1" x14ac:dyDescent="0.2">
      <c r="A198" s="20" t="s">
        <v>36</v>
      </c>
      <c r="B198" s="21" t="s">
        <v>3</v>
      </c>
      <c r="C198" s="20">
        <v>5.14</v>
      </c>
      <c r="D198" s="78"/>
    </row>
    <row r="199" spans="1:4" ht="15.75" hidden="1" outlineLevel="1" x14ac:dyDescent="0.2">
      <c r="A199" s="20" t="s">
        <v>36</v>
      </c>
      <c r="B199" s="21" t="s">
        <v>29</v>
      </c>
      <c r="C199" s="20">
        <v>5.19</v>
      </c>
      <c r="D199" s="78"/>
    </row>
    <row r="200" spans="1:4" ht="15.75" hidden="1" outlineLevel="1" x14ac:dyDescent="0.2">
      <c r="A200" s="20" t="s">
        <v>36</v>
      </c>
      <c r="B200" s="21" t="s">
        <v>28</v>
      </c>
      <c r="C200" s="20">
        <v>5.24</v>
      </c>
      <c r="D200" s="78"/>
    </row>
    <row r="201" spans="1:4" ht="15.75" hidden="1" outlineLevel="1" x14ac:dyDescent="0.2">
      <c r="A201" s="20" t="s">
        <v>36</v>
      </c>
      <c r="B201" s="21" t="s">
        <v>604</v>
      </c>
      <c r="C201" s="20">
        <v>5.27</v>
      </c>
      <c r="D201" s="78"/>
    </row>
    <row r="202" spans="1:4" ht="15.75" hidden="1" outlineLevel="1" x14ac:dyDescent="0.2">
      <c r="A202" s="20" t="s">
        <v>36</v>
      </c>
      <c r="B202" s="21" t="s">
        <v>605</v>
      </c>
      <c r="C202" s="20">
        <v>5.28</v>
      </c>
      <c r="D202" s="78"/>
    </row>
    <row r="203" spans="1:4" ht="15.75" hidden="1" outlineLevel="1" x14ac:dyDescent="0.2">
      <c r="A203" s="20" t="s">
        <v>36</v>
      </c>
      <c r="B203" s="21" t="s">
        <v>609</v>
      </c>
      <c r="C203" s="20">
        <v>5.29</v>
      </c>
      <c r="D203" s="78"/>
    </row>
    <row r="204" spans="1:4" ht="15.75" hidden="1" outlineLevel="1" x14ac:dyDescent="0.2">
      <c r="A204" s="20" t="s">
        <v>36</v>
      </c>
      <c r="B204" s="21" t="s">
        <v>5</v>
      </c>
      <c r="C204" s="22">
        <v>5.3</v>
      </c>
      <c r="D204" s="78"/>
    </row>
    <row r="205" spans="1:4" ht="15.75" hidden="1" outlineLevel="1" x14ac:dyDescent="0.2">
      <c r="A205" s="20" t="s">
        <v>36</v>
      </c>
      <c r="B205" s="21" t="s">
        <v>738</v>
      </c>
      <c r="C205" s="20">
        <v>5.34</v>
      </c>
      <c r="D205" s="78"/>
    </row>
    <row r="206" spans="1:4" ht="15.75" hidden="1" outlineLevel="1" x14ac:dyDescent="0.2">
      <c r="A206" s="20" t="s">
        <v>36</v>
      </c>
      <c r="B206" s="21" t="s">
        <v>9</v>
      </c>
      <c r="C206" s="20">
        <v>5.31</v>
      </c>
      <c r="D206" s="78"/>
    </row>
    <row r="207" spans="1:4" ht="15.75" hidden="1" outlineLevel="1" x14ac:dyDescent="0.2">
      <c r="A207" s="20" t="s">
        <v>36</v>
      </c>
      <c r="B207" s="21" t="s">
        <v>666</v>
      </c>
      <c r="C207" s="20">
        <v>5.101</v>
      </c>
      <c r="D207" s="78"/>
    </row>
    <row r="208" spans="1:4" ht="15.75" hidden="1" outlineLevel="1" x14ac:dyDescent="0.2">
      <c r="A208" s="20" t="s">
        <v>36</v>
      </c>
      <c r="B208" s="21" t="s">
        <v>606</v>
      </c>
      <c r="C208" s="20">
        <v>5.36</v>
      </c>
      <c r="D208" s="78"/>
    </row>
    <row r="209" spans="1:4" ht="15.75" hidden="1" outlineLevel="1" x14ac:dyDescent="0.2">
      <c r="A209" s="20" t="s">
        <v>36</v>
      </c>
      <c r="B209" s="21" t="s">
        <v>396</v>
      </c>
      <c r="C209" s="20">
        <v>5.53</v>
      </c>
      <c r="D209" s="78"/>
    </row>
    <row r="210" spans="1:4" ht="15.75" hidden="1" outlineLevel="1" x14ac:dyDescent="0.2">
      <c r="A210" s="20" t="s">
        <v>36</v>
      </c>
      <c r="B210" s="21" t="s">
        <v>23</v>
      </c>
      <c r="C210" s="20">
        <v>5.1020000000000003</v>
      </c>
      <c r="D210" s="78"/>
    </row>
    <row r="211" spans="1:4" ht="15.75" hidden="1" outlineLevel="1" x14ac:dyDescent="0.2">
      <c r="A211" s="20" t="s">
        <v>36</v>
      </c>
      <c r="B211" s="21" t="s">
        <v>613</v>
      </c>
      <c r="C211" s="23">
        <v>5.0999999999999996</v>
      </c>
      <c r="D211" s="78"/>
    </row>
    <row r="212" spans="1:4" ht="15.75" hidden="1" outlineLevel="1" x14ac:dyDescent="0.2">
      <c r="A212" s="20" t="s">
        <v>36</v>
      </c>
      <c r="B212" s="21" t="s">
        <v>773</v>
      </c>
      <c r="C212" s="20">
        <v>5.58</v>
      </c>
      <c r="D212" s="78"/>
    </row>
    <row r="213" spans="1:4" ht="15.75" hidden="1" outlineLevel="1" x14ac:dyDescent="0.2">
      <c r="A213" s="20" t="s">
        <v>36</v>
      </c>
      <c r="B213" s="21" t="s">
        <v>11</v>
      </c>
      <c r="C213" s="20">
        <v>5.54</v>
      </c>
      <c r="D213" s="78"/>
    </row>
    <row r="214" spans="1:4" ht="15.75" hidden="1" outlineLevel="1" x14ac:dyDescent="0.2">
      <c r="A214" s="20" t="s">
        <v>36</v>
      </c>
      <c r="B214" s="21" t="s">
        <v>15</v>
      </c>
      <c r="C214" s="20">
        <v>5.55</v>
      </c>
      <c r="D214" s="78"/>
    </row>
    <row r="215" spans="1:4" ht="15.75" hidden="1" outlineLevel="1" x14ac:dyDescent="0.2">
      <c r="A215" s="20" t="s">
        <v>36</v>
      </c>
      <c r="B215" s="21" t="s">
        <v>1153</v>
      </c>
      <c r="C215" s="20">
        <v>5.63</v>
      </c>
      <c r="D215" s="78"/>
    </row>
    <row r="216" spans="1:4" ht="15.75" hidden="1" outlineLevel="1" x14ac:dyDescent="0.2">
      <c r="A216" s="20" t="s">
        <v>36</v>
      </c>
      <c r="B216" s="21" t="s">
        <v>19</v>
      </c>
      <c r="C216" s="20">
        <v>5.47</v>
      </c>
      <c r="D216" s="78"/>
    </row>
    <row r="217" spans="1:4" ht="15.75" hidden="1" outlineLevel="1" x14ac:dyDescent="0.2">
      <c r="A217" s="20" t="s">
        <v>36</v>
      </c>
      <c r="B217" s="21" t="s">
        <v>30</v>
      </c>
      <c r="C217" s="20">
        <v>5.48</v>
      </c>
      <c r="D217" s="78"/>
    </row>
    <row r="218" spans="1:4" ht="15.75" collapsed="1" x14ac:dyDescent="0.2">
      <c r="A218" s="25" t="s">
        <v>36</v>
      </c>
      <c r="B218" s="21"/>
      <c r="C218" s="20"/>
      <c r="D218" s="78"/>
    </row>
    <row r="219" spans="1:4" ht="15.75" hidden="1" outlineLevel="1" x14ac:dyDescent="0.2">
      <c r="A219" s="20" t="s">
        <v>37</v>
      </c>
      <c r="B219" s="21" t="s">
        <v>651</v>
      </c>
      <c r="C219" s="20">
        <v>5.0999999999999996</v>
      </c>
      <c r="D219" s="78"/>
    </row>
    <row r="220" spans="1:4" ht="15.75" hidden="1" outlineLevel="1" x14ac:dyDescent="0.2">
      <c r="A220" s="20" t="s">
        <v>37</v>
      </c>
      <c r="B220" s="21" t="s">
        <v>0</v>
      </c>
      <c r="C220" s="20">
        <v>5.2</v>
      </c>
      <c r="D220" s="78"/>
    </row>
    <row r="221" spans="1:4" ht="15.75" hidden="1" outlineLevel="1" x14ac:dyDescent="0.2">
      <c r="A221" s="20" t="s">
        <v>37</v>
      </c>
      <c r="B221" s="21" t="s">
        <v>724</v>
      </c>
      <c r="C221" s="20">
        <v>5.3</v>
      </c>
      <c r="D221" s="78"/>
    </row>
    <row r="222" spans="1:4" ht="15.75" hidden="1" outlineLevel="1" x14ac:dyDescent="0.2">
      <c r="A222" s="20" t="s">
        <v>37</v>
      </c>
      <c r="B222" s="21" t="s">
        <v>2</v>
      </c>
      <c r="C222" s="20">
        <v>5.6</v>
      </c>
      <c r="D222" s="78"/>
    </row>
    <row r="223" spans="1:4" ht="15.75" hidden="1" outlineLevel="1" x14ac:dyDescent="0.2">
      <c r="A223" s="20" t="s">
        <v>37</v>
      </c>
      <c r="B223" s="21" t="s">
        <v>730</v>
      </c>
      <c r="C223" s="22">
        <v>5.0999999999999996</v>
      </c>
      <c r="D223" s="78"/>
    </row>
    <row r="224" spans="1:4" ht="15.75" hidden="1" outlineLevel="1" x14ac:dyDescent="0.2">
      <c r="A224" s="20" t="s">
        <v>37</v>
      </c>
      <c r="B224" s="21" t="s">
        <v>3</v>
      </c>
      <c r="C224" s="20">
        <v>5.14</v>
      </c>
      <c r="D224" s="78"/>
    </row>
    <row r="225" spans="1:4" ht="15.75" hidden="1" outlineLevel="1" x14ac:dyDescent="0.2">
      <c r="A225" s="20" t="s">
        <v>37</v>
      </c>
      <c r="B225" s="21" t="s">
        <v>29</v>
      </c>
      <c r="C225" s="20">
        <v>5.19</v>
      </c>
      <c r="D225" s="78"/>
    </row>
    <row r="226" spans="1:4" ht="15.75" hidden="1" outlineLevel="1" x14ac:dyDescent="0.2">
      <c r="A226" s="20" t="s">
        <v>37</v>
      </c>
      <c r="B226" s="21" t="s">
        <v>28</v>
      </c>
      <c r="C226" s="20">
        <v>5.24</v>
      </c>
      <c r="D226" s="78"/>
    </row>
    <row r="227" spans="1:4" ht="15.75" hidden="1" outlineLevel="1" x14ac:dyDescent="0.2">
      <c r="A227" s="20" t="s">
        <v>37</v>
      </c>
      <c r="B227" s="21" t="s">
        <v>1</v>
      </c>
      <c r="C227" s="20">
        <v>5.26</v>
      </c>
      <c r="D227" s="78"/>
    </row>
    <row r="228" spans="1:4" ht="15.75" hidden="1" outlineLevel="1" x14ac:dyDescent="0.2">
      <c r="A228" s="20" t="s">
        <v>37</v>
      </c>
      <c r="B228" s="21" t="s">
        <v>604</v>
      </c>
      <c r="C228" s="20">
        <v>5.27</v>
      </c>
      <c r="D228" s="78"/>
    </row>
    <row r="229" spans="1:4" ht="15.75" hidden="1" outlineLevel="1" x14ac:dyDescent="0.2">
      <c r="A229" s="20" t="s">
        <v>37</v>
      </c>
      <c r="B229" s="21" t="s">
        <v>605</v>
      </c>
      <c r="C229" s="20">
        <v>5.28</v>
      </c>
      <c r="D229" s="78"/>
    </row>
    <row r="230" spans="1:4" ht="15.75" hidden="1" outlineLevel="1" x14ac:dyDescent="0.2">
      <c r="A230" s="20" t="s">
        <v>37</v>
      </c>
      <c r="B230" s="21" t="s">
        <v>609</v>
      </c>
      <c r="C230" s="20">
        <v>5.29</v>
      </c>
      <c r="D230" s="78"/>
    </row>
    <row r="231" spans="1:4" ht="15.75" hidden="1" outlineLevel="1" x14ac:dyDescent="0.2">
      <c r="A231" s="20" t="s">
        <v>37</v>
      </c>
      <c r="B231" s="21" t="s">
        <v>5</v>
      </c>
      <c r="C231" s="22">
        <v>5.3</v>
      </c>
      <c r="D231" s="78"/>
    </row>
    <row r="232" spans="1:4" ht="15.75" hidden="1" outlineLevel="1" x14ac:dyDescent="0.2">
      <c r="A232" s="20" t="s">
        <v>37</v>
      </c>
      <c r="B232" s="21" t="s">
        <v>9</v>
      </c>
      <c r="C232" s="20">
        <v>5.31</v>
      </c>
      <c r="D232" s="78"/>
    </row>
    <row r="233" spans="1:4" ht="15.75" hidden="1" outlineLevel="1" x14ac:dyDescent="0.2">
      <c r="A233" s="20" t="s">
        <v>37</v>
      </c>
      <c r="B233" s="21" t="s">
        <v>10</v>
      </c>
      <c r="C233" s="20">
        <v>5.33</v>
      </c>
      <c r="D233" s="78"/>
    </row>
    <row r="234" spans="1:4" ht="15.75" hidden="1" outlineLevel="1" x14ac:dyDescent="0.2">
      <c r="A234" s="20" t="s">
        <v>37</v>
      </c>
      <c r="B234" s="21" t="s">
        <v>666</v>
      </c>
      <c r="C234" s="20">
        <v>5.101</v>
      </c>
      <c r="D234" s="78"/>
    </row>
    <row r="235" spans="1:4" ht="15.75" hidden="1" outlineLevel="1" x14ac:dyDescent="0.2">
      <c r="A235" s="20" t="s">
        <v>37</v>
      </c>
      <c r="B235" s="21" t="s">
        <v>606</v>
      </c>
      <c r="C235" s="20">
        <v>5.36</v>
      </c>
      <c r="D235" s="78"/>
    </row>
    <row r="236" spans="1:4" ht="15.75" hidden="1" outlineLevel="1" x14ac:dyDescent="0.2">
      <c r="A236" s="20" t="s">
        <v>37</v>
      </c>
      <c r="B236" s="21" t="s">
        <v>396</v>
      </c>
      <c r="C236" s="20">
        <v>5.53</v>
      </c>
      <c r="D236" s="78"/>
    </row>
    <row r="237" spans="1:4" ht="15.75" hidden="1" outlineLevel="1" x14ac:dyDescent="0.2">
      <c r="A237" s="20" t="s">
        <v>37</v>
      </c>
      <c r="B237" s="21" t="s">
        <v>23</v>
      </c>
      <c r="C237" s="20">
        <v>5.1020000000000003</v>
      </c>
      <c r="D237" s="78"/>
    </row>
    <row r="238" spans="1:4" ht="15.75" hidden="1" outlineLevel="1" x14ac:dyDescent="0.2">
      <c r="A238" s="20" t="s">
        <v>37</v>
      </c>
      <c r="B238" s="21" t="s">
        <v>773</v>
      </c>
      <c r="C238" s="20">
        <v>5.58</v>
      </c>
      <c r="D238" s="78"/>
    </row>
    <row r="239" spans="1:4" ht="15.75" hidden="1" outlineLevel="1" x14ac:dyDescent="0.2">
      <c r="A239" s="20" t="s">
        <v>37</v>
      </c>
      <c r="B239" s="21" t="s">
        <v>11</v>
      </c>
      <c r="C239" s="20">
        <v>5.54</v>
      </c>
      <c r="D239" s="78"/>
    </row>
    <row r="240" spans="1:4" ht="15.75" hidden="1" outlineLevel="1" x14ac:dyDescent="0.2">
      <c r="A240" s="20" t="s">
        <v>37</v>
      </c>
      <c r="B240" s="21" t="s">
        <v>15</v>
      </c>
      <c r="C240" s="20">
        <v>5.55</v>
      </c>
      <c r="D240" s="78"/>
    </row>
    <row r="241" spans="1:4" ht="15.75" hidden="1" outlineLevel="1" x14ac:dyDescent="0.2">
      <c r="A241" s="20" t="s">
        <v>37</v>
      </c>
      <c r="B241" s="21" t="s">
        <v>1153</v>
      </c>
      <c r="C241" s="20">
        <v>5.63</v>
      </c>
      <c r="D241" s="78"/>
    </row>
    <row r="242" spans="1:4" ht="15.75" hidden="1" outlineLevel="1" x14ac:dyDescent="0.2">
      <c r="A242" s="20" t="s">
        <v>37</v>
      </c>
      <c r="B242" s="21" t="s">
        <v>19</v>
      </c>
      <c r="C242" s="20">
        <v>5.47</v>
      </c>
      <c r="D242" s="78"/>
    </row>
    <row r="243" spans="1:4" ht="15.75" hidden="1" outlineLevel="1" x14ac:dyDescent="0.2">
      <c r="A243" s="20" t="s">
        <v>37</v>
      </c>
      <c r="B243" s="21" t="s">
        <v>30</v>
      </c>
      <c r="C243" s="20">
        <v>5.48</v>
      </c>
      <c r="D243" s="78"/>
    </row>
    <row r="244" spans="1:4" ht="15.75" collapsed="1" x14ac:dyDescent="0.2">
      <c r="A244" s="25" t="s">
        <v>37</v>
      </c>
      <c r="B244" s="21"/>
      <c r="C244" s="20"/>
      <c r="D244" s="78"/>
    </row>
    <row r="245" spans="1:4" ht="15.75" hidden="1" outlineLevel="1" x14ac:dyDescent="0.2">
      <c r="A245" s="20" t="s">
        <v>38</v>
      </c>
      <c r="B245" s="21" t="s">
        <v>651</v>
      </c>
      <c r="C245" s="20">
        <v>5.0999999999999996</v>
      </c>
      <c r="D245" s="78"/>
    </row>
    <row r="246" spans="1:4" ht="15.75" hidden="1" outlineLevel="1" x14ac:dyDescent="0.2">
      <c r="A246" s="20" t="s">
        <v>38</v>
      </c>
      <c r="B246" s="21" t="s">
        <v>0</v>
      </c>
      <c r="C246" s="20">
        <v>5.2</v>
      </c>
      <c r="D246" s="78"/>
    </row>
    <row r="247" spans="1:4" ht="15.75" hidden="1" outlineLevel="1" x14ac:dyDescent="0.2">
      <c r="A247" s="20" t="s">
        <v>38</v>
      </c>
      <c r="B247" s="21" t="s">
        <v>724</v>
      </c>
      <c r="C247" s="20">
        <v>5.3</v>
      </c>
      <c r="D247" s="78"/>
    </row>
    <row r="248" spans="1:4" ht="15.75" hidden="1" outlineLevel="1" x14ac:dyDescent="0.2">
      <c r="A248" s="20" t="s">
        <v>38</v>
      </c>
      <c r="B248" s="21" t="s">
        <v>2</v>
      </c>
      <c r="C248" s="20">
        <v>5.6</v>
      </c>
      <c r="D248" s="78"/>
    </row>
    <row r="249" spans="1:4" ht="15.75" hidden="1" outlineLevel="1" x14ac:dyDescent="0.2">
      <c r="A249" s="20" t="s">
        <v>38</v>
      </c>
      <c r="B249" s="21" t="s">
        <v>730</v>
      </c>
      <c r="C249" s="22">
        <v>5.0999999999999996</v>
      </c>
      <c r="D249" s="78"/>
    </row>
    <row r="250" spans="1:4" ht="15.75" hidden="1" outlineLevel="1" x14ac:dyDescent="0.2">
      <c r="A250" s="20" t="s">
        <v>38</v>
      </c>
      <c r="B250" s="21" t="s">
        <v>3</v>
      </c>
      <c r="C250" s="20">
        <v>5.14</v>
      </c>
      <c r="D250" s="78"/>
    </row>
    <row r="251" spans="1:4" ht="15.75" hidden="1" outlineLevel="1" x14ac:dyDescent="0.2">
      <c r="A251" s="20" t="s">
        <v>38</v>
      </c>
      <c r="B251" s="21" t="s">
        <v>29</v>
      </c>
      <c r="C251" s="20">
        <v>5.19</v>
      </c>
      <c r="D251" s="78"/>
    </row>
    <row r="252" spans="1:4" ht="15.75" hidden="1" outlineLevel="1" x14ac:dyDescent="0.2">
      <c r="A252" s="20" t="s">
        <v>38</v>
      </c>
      <c r="B252" s="21" t="s">
        <v>28</v>
      </c>
      <c r="C252" s="20">
        <v>5.24</v>
      </c>
      <c r="D252" s="78"/>
    </row>
    <row r="253" spans="1:4" ht="15.75" hidden="1" outlineLevel="1" x14ac:dyDescent="0.2">
      <c r="A253" s="20" t="s">
        <v>38</v>
      </c>
      <c r="B253" s="21" t="s">
        <v>604</v>
      </c>
      <c r="C253" s="20">
        <v>5.27</v>
      </c>
      <c r="D253" s="78"/>
    </row>
    <row r="254" spans="1:4" ht="15.75" hidden="1" outlineLevel="1" x14ac:dyDescent="0.2">
      <c r="A254" s="20" t="s">
        <v>38</v>
      </c>
      <c r="B254" s="21" t="s">
        <v>605</v>
      </c>
      <c r="C254" s="20">
        <v>5.28</v>
      </c>
      <c r="D254" s="78"/>
    </row>
    <row r="255" spans="1:4" ht="15.75" hidden="1" outlineLevel="1" x14ac:dyDescent="0.2">
      <c r="A255" s="20" t="s">
        <v>38</v>
      </c>
      <c r="B255" s="21" t="s">
        <v>5</v>
      </c>
      <c r="C255" s="22">
        <v>5.3</v>
      </c>
      <c r="D255" s="78"/>
    </row>
    <row r="256" spans="1:4" ht="15.75" hidden="1" outlineLevel="1" x14ac:dyDescent="0.2">
      <c r="A256" s="20" t="s">
        <v>38</v>
      </c>
      <c r="B256" s="21" t="s">
        <v>10</v>
      </c>
      <c r="C256" s="20">
        <v>5.33</v>
      </c>
      <c r="D256" s="78"/>
    </row>
    <row r="257" spans="1:4" ht="15.75" hidden="1" outlineLevel="1" x14ac:dyDescent="0.2">
      <c r="A257" s="20" t="s">
        <v>38</v>
      </c>
      <c r="B257" s="21" t="s">
        <v>606</v>
      </c>
      <c r="C257" s="20">
        <v>5.36</v>
      </c>
      <c r="D257" s="78"/>
    </row>
    <row r="258" spans="1:4" ht="15.75" hidden="1" outlineLevel="1" x14ac:dyDescent="0.2">
      <c r="A258" s="20" t="s">
        <v>38</v>
      </c>
      <c r="B258" s="21" t="s">
        <v>396</v>
      </c>
      <c r="C258" s="20">
        <v>5.53</v>
      </c>
      <c r="D258" s="78"/>
    </row>
    <row r="259" spans="1:4" ht="15.75" hidden="1" outlineLevel="1" x14ac:dyDescent="0.2">
      <c r="A259" s="20" t="s">
        <v>38</v>
      </c>
      <c r="B259" s="21" t="s">
        <v>773</v>
      </c>
      <c r="C259" s="20">
        <v>5.58</v>
      </c>
      <c r="D259" s="78"/>
    </row>
    <row r="260" spans="1:4" ht="15.75" hidden="1" outlineLevel="1" x14ac:dyDescent="0.2">
      <c r="A260" s="20" t="s">
        <v>38</v>
      </c>
      <c r="B260" s="21" t="s">
        <v>11</v>
      </c>
      <c r="C260" s="20">
        <v>5.54</v>
      </c>
      <c r="D260" s="78"/>
    </row>
    <row r="261" spans="1:4" ht="15.75" hidden="1" outlineLevel="1" x14ac:dyDescent="0.2">
      <c r="A261" s="20" t="s">
        <v>38</v>
      </c>
      <c r="B261" s="21" t="s">
        <v>15</v>
      </c>
      <c r="C261" s="20">
        <v>5.55</v>
      </c>
      <c r="D261" s="78"/>
    </row>
    <row r="262" spans="1:4" ht="15.75" hidden="1" outlineLevel="1" x14ac:dyDescent="0.2">
      <c r="A262" s="20" t="s">
        <v>38</v>
      </c>
      <c r="B262" s="21" t="s">
        <v>1153</v>
      </c>
      <c r="C262" s="20">
        <v>5.63</v>
      </c>
      <c r="D262" s="78"/>
    </row>
    <row r="263" spans="1:4" ht="15.75" hidden="1" outlineLevel="1" x14ac:dyDescent="0.2">
      <c r="A263" s="20" t="s">
        <v>38</v>
      </c>
      <c r="B263" s="21" t="s">
        <v>19</v>
      </c>
      <c r="C263" s="20">
        <v>5.47</v>
      </c>
      <c r="D263" s="78"/>
    </row>
    <row r="264" spans="1:4" ht="15.75" hidden="1" outlineLevel="1" x14ac:dyDescent="0.2">
      <c r="A264" s="20" t="s">
        <v>38</v>
      </c>
      <c r="B264" s="21" t="s">
        <v>30</v>
      </c>
      <c r="C264" s="20">
        <v>5.48</v>
      </c>
      <c r="D264" s="78"/>
    </row>
    <row r="265" spans="1:4" ht="15.75" collapsed="1" x14ac:dyDescent="0.2">
      <c r="A265" s="25" t="s">
        <v>38</v>
      </c>
      <c r="B265" s="21"/>
      <c r="C265" s="20"/>
      <c r="D265" s="78"/>
    </row>
    <row r="266" spans="1:4" ht="15.75" hidden="1" outlineLevel="1" x14ac:dyDescent="0.2">
      <c r="A266" s="20" t="s">
        <v>39</v>
      </c>
      <c r="B266" s="21" t="s">
        <v>651</v>
      </c>
      <c r="C266" s="20">
        <v>5.0999999999999996</v>
      </c>
      <c r="D266" s="78"/>
    </row>
    <row r="267" spans="1:4" ht="15.75" hidden="1" outlineLevel="1" x14ac:dyDescent="0.2">
      <c r="A267" s="20" t="s">
        <v>39</v>
      </c>
      <c r="B267" s="21" t="s">
        <v>0</v>
      </c>
      <c r="C267" s="20">
        <v>5.2</v>
      </c>
      <c r="D267" s="78"/>
    </row>
    <row r="268" spans="1:4" ht="15.75" hidden="1" outlineLevel="1" x14ac:dyDescent="0.2">
      <c r="A268" s="20" t="s">
        <v>39</v>
      </c>
      <c r="B268" s="21" t="s">
        <v>724</v>
      </c>
      <c r="C268" s="20">
        <v>5.3</v>
      </c>
      <c r="D268" s="78"/>
    </row>
    <row r="269" spans="1:4" ht="15.75" hidden="1" outlineLevel="1" x14ac:dyDescent="0.2">
      <c r="A269" s="20" t="s">
        <v>39</v>
      </c>
      <c r="B269" s="21" t="s">
        <v>2</v>
      </c>
      <c r="C269" s="20">
        <v>5.6</v>
      </c>
      <c r="D269" s="78"/>
    </row>
    <row r="270" spans="1:4" ht="15.75" hidden="1" outlineLevel="1" x14ac:dyDescent="0.2">
      <c r="A270" s="20" t="s">
        <v>39</v>
      </c>
      <c r="B270" s="21" t="s">
        <v>730</v>
      </c>
      <c r="C270" s="22">
        <v>5.0999999999999996</v>
      </c>
      <c r="D270" s="78"/>
    </row>
    <row r="271" spans="1:4" ht="15.75" hidden="1" outlineLevel="1" x14ac:dyDescent="0.2">
      <c r="A271" s="20" t="s">
        <v>39</v>
      </c>
      <c r="B271" s="21" t="s">
        <v>3</v>
      </c>
      <c r="C271" s="20">
        <v>5.14</v>
      </c>
      <c r="D271" s="78"/>
    </row>
    <row r="272" spans="1:4" ht="15.75" hidden="1" outlineLevel="1" x14ac:dyDescent="0.2">
      <c r="A272" s="20" t="s">
        <v>39</v>
      </c>
      <c r="B272" s="21" t="s">
        <v>29</v>
      </c>
      <c r="C272" s="20">
        <v>5.19</v>
      </c>
      <c r="D272" s="78"/>
    </row>
    <row r="273" spans="1:4" ht="15.75" hidden="1" outlineLevel="1" x14ac:dyDescent="0.2">
      <c r="A273" s="20" t="s">
        <v>39</v>
      </c>
      <c r="B273" s="21" t="s">
        <v>28</v>
      </c>
      <c r="C273" s="20">
        <v>5.24</v>
      </c>
      <c r="D273" s="78"/>
    </row>
    <row r="274" spans="1:4" ht="15.75" hidden="1" outlineLevel="1" x14ac:dyDescent="0.2">
      <c r="A274" s="20" t="s">
        <v>39</v>
      </c>
      <c r="B274" s="21" t="s">
        <v>1</v>
      </c>
      <c r="C274" s="20">
        <v>5.26</v>
      </c>
      <c r="D274" s="78"/>
    </row>
    <row r="275" spans="1:4" ht="15.75" hidden="1" outlineLevel="1" x14ac:dyDescent="0.2">
      <c r="A275" s="20" t="s">
        <v>39</v>
      </c>
      <c r="B275" s="21" t="s">
        <v>604</v>
      </c>
      <c r="C275" s="20">
        <v>5.27</v>
      </c>
      <c r="D275" s="78"/>
    </row>
    <row r="276" spans="1:4" ht="15.75" hidden="1" outlineLevel="1" x14ac:dyDescent="0.2">
      <c r="A276" s="20" t="s">
        <v>39</v>
      </c>
      <c r="B276" s="21" t="s">
        <v>605</v>
      </c>
      <c r="C276" s="20">
        <v>5.28</v>
      </c>
      <c r="D276" s="78"/>
    </row>
    <row r="277" spans="1:4" ht="15.75" hidden="1" outlineLevel="1" x14ac:dyDescent="0.2">
      <c r="A277" s="20" t="s">
        <v>39</v>
      </c>
      <c r="B277" s="21" t="s">
        <v>609</v>
      </c>
      <c r="C277" s="20">
        <v>5.29</v>
      </c>
      <c r="D277" s="78"/>
    </row>
    <row r="278" spans="1:4" ht="15.75" hidden="1" outlineLevel="1" x14ac:dyDescent="0.2">
      <c r="A278" s="20" t="s">
        <v>39</v>
      </c>
      <c r="B278" s="21" t="s">
        <v>5</v>
      </c>
      <c r="C278" s="22">
        <v>5.3</v>
      </c>
      <c r="D278" s="78"/>
    </row>
    <row r="279" spans="1:4" ht="15.75" hidden="1" outlineLevel="1" x14ac:dyDescent="0.2">
      <c r="A279" s="20" t="s">
        <v>39</v>
      </c>
      <c r="B279" s="21" t="s">
        <v>10</v>
      </c>
      <c r="C279" s="20">
        <v>5.33</v>
      </c>
      <c r="D279" s="78"/>
    </row>
    <row r="280" spans="1:4" ht="15.75" hidden="1" outlineLevel="1" x14ac:dyDescent="0.2">
      <c r="A280" s="20" t="s">
        <v>39</v>
      </c>
      <c r="B280" s="21" t="s">
        <v>606</v>
      </c>
      <c r="C280" s="20">
        <v>5.36</v>
      </c>
      <c r="D280" s="78"/>
    </row>
    <row r="281" spans="1:4" ht="15.75" hidden="1" outlineLevel="1" x14ac:dyDescent="0.2">
      <c r="A281" s="20" t="s">
        <v>39</v>
      </c>
      <c r="B281" s="21" t="s">
        <v>13</v>
      </c>
      <c r="C281" s="20">
        <v>5.69</v>
      </c>
      <c r="D281" s="78"/>
    </row>
    <row r="282" spans="1:4" ht="15.75" hidden="1" outlineLevel="1" x14ac:dyDescent="0.2">
      <c r="A282" s="20" t="s">
        <v>39</v>
      </c>
      <c r="B282" s="21" t="s">
        <v>14</v>
      </c>
      <c r="C282" s="22">
        <v>5.7</v>
      </c>
      <c r="D282" s="78"/>
    </row>
    <row r="283" spans="1:4" ht="15.75" hidden="1" outlineLevel="1" x14ac:dyDescent="0.2">
      <c r="A283" s="20" t="s">
        <v>39</v>
      </c>
      <c r="B283" s="21" t="s">
        <v>621</v>
      </c>
      <c r="C283" s="20">
        <v>5.74</v>
      </c>
      <c r="D283" s="78"/>
    </row>
    <row r="284" spans="1:4" ht="15.75" hidden="1" outlineLevel="1" x14ac:dyDescent="0.2">
      <c r="A284" s="20" t="s">
        <v>39</v>
      </c>
      <c r="B284" s="21" t="s">
        <v>6</v>
      </c>
      <c r="C284" s="20">
        <v>5.49</v>
      </c>
      <c r="D284" s="78"/>
    </row>
    <row r="285" spans="1:4" ht="15.75" hidden="1" outlineLevel="1" x14ac:dyDescent="0.2">
      <c r="A285" s="20" t="s">
        <v>39</v>
      </c>
      <c r="B285" s="21" t="s">
        <v>8</v>
      </c>
      <c r="C285" s="20">
        <v>5.51</v>
      </c>
      <c r="D285" s="78"/>
    </row>
    <row r="286" spans="1:4" ht="15.75" hidden="1" outlineLevel="1" x14ac:dyDescent="0.2">
      <c r="A286" s="20" t="s">
        <v>39</v>
      </c>
      <c r="B286" s="21" t="s">
        <v>7</v>
      </c>
      <c r="C286" s="20">
        <v>5.52</v>
      </c>
      <c r="D286" s="78"/>
    </row>
    <row r="287" spans="1:4" ht="15.75" hidden="1" outlineLevel="1" x14ac:dyDescent="0.2">
      <c r="A287" s="20" t="s">
        <v>39</v>
      </c>
      <c r="B287" s="21" t="s">
        <v>396</v>
      </c>
      <c r="C287" s="20">
        <v>5.53</v>
      </c>
      <c r="D287" s="78"/>
    </row>
    <row r="288" spans="1:4" ht="15.75" hidden="1" outlineLevel="1" x14ac:dyDescent="0.2">
      <c r="A288" s="20" t="s">
        <v>39</v>
      </c>
      <c r="B288" s="21" t="s">
        <v>773</v>
      </c>
      <c r="C288" s="20">
        <v>5.58</v>
      </c>
      <c r="D288" s="78"/>
    </row>
    <row r="289" spans="1:4" ht="15.75" hidden="1" outlineLevel="1" x14ac:dyDescent="0.2">
      <c r="A289" s="20" t="s">
        <v>39</v>
      </c>
      <c r="B289" s="21" t="s">
        <v>11</v>
      </c>
      <c r="C289" s="20">
        <v>5.54</v>
      </c>
      <c r="D289" s="78"/>
    </row>
    <row r="290" spans="1:4" ht="15.75" hidden="1" outlineLevel="1" x14ac:dyDescent="0.2">
      <c r="A290" s="20" t="s">
        <v>39</v>
      </c>
      <c r="B290" s="21" t="s">
        <v>15</v>
      </c>
      <c r="C290" s="20">
        <v>5.55</v>
      </c>
      <c r="D290" s="78"/>
    </row>
    <row r="291" spans="1:4" ht="15.75" hidden="1" outlineLevel="1" x14ac:dyDescent="0.2">
      <c r="A291" s="20" t="s">
        <v>39</v>
      </c>
      <c r="B291" s="21" t="s">
        <v>1153</v>
      </c>
      <c r="C291" s="20">
        <v>5.63</v>
      </c>
      <c r="D291" s="78"/>
    </row>
    <row r="292" spans="1:4" ht="15.75" hidden="1" outlineLevel="1" x14ac:dyDescent="0.2">
      <c r="A292" s="20" t="s">
        <v>39</v>
      </c>
      <c r="B292" s="21" t="s">
        <v>19</v>
      </c>
      <c r="C292" s="20">
        <v>5.47</v>
      </c>
      <c r="D292" s="78"/>
    </row>
    <row r="293" spans="1:4" ht="15.75" hidden="1" outlineLevel="1" x14ac:dyDescent="0.2">
      <c r="A293" s="20" t="s">
        <v>39</v>
      </c>
      <c r="B293" s="21" t="s">
        <v>30</v>
      </c>
      <c r="C293" s="20">
        <v>5.48</v>
      </c>
      <c r="D293" s="78"/>
    </row>
    <row r="294" spans="1:4" ht="15.75" collapsed="1" x14ac:dyDescent="0.2">
      <c r="A294" s="25" t="s">
        <v>39</v>
      </c>
      <c r="B294" s="21"/>
      <c r="C294" s="20"/>
      <c r="D294" s="78"/>
    </row>
    <row r="295" spans="1:4" ht="15.75" hidden="1" outlineLevel="1" x14ac:dyDescent="0.2">
      <c r="A295" s="20" t="s">
        <v>41</v>
      </c>
      <c r="B295" s="21" t="s">
        <v>651</v>
      </c>
      <c r="C295" s="20">
        <v>5.0999999999999996</v>
      </c>
      <c r="D295" s="78"/>
    </row>
    <row r="296" spans="1:4" ht="15.75" hidden="1" outlineLevel="1" x14ac:dyDescent="0.2">
      <c r="A296" s="20" t="s">
        <v>41</v>
      </c>
      <c r="B296" s="21" t="s">
        <v>0</v>
      </c>
      <c r="C296" s="20">
        <v>5.2</v>
      </c>
      <c r="D296" s="78"/>
    </row>
    <row r="297" spans="1:4" ht="15.75" hidden="1" outlineLevel="1" x14ac:dyDescent="0.2">
      <c r="A297" s="20" t="s">
        <v>41</v>
      </c>
      <c r="B297" s="21" t="s">
        <v>724</v>
      </c>
      <c r="C297" s="20">
        <v>5.3</v>
      </c>
      <c r="D297" s="78"/>
    </row>
    <row r="298" spans="1:4" ht="15.75" hidden="1" outlineLevel="1" x14ac:dyDescent="0.2">
      <c r="A298" s="20" t="s">
        <v>41</v>
      </c>
      <c r="B298" s="21" t="s">
        <v>3</v>
      </c>
      <c r="C298" s="20">
        <v>5.14</v>
      </c>
      <c r="D298" s="78"/>
    </row>
    <row r="299" spans="1:4" ht="15.75" hidden="1" outlineLevel="1" x14ac:dyDescent="0.2">
      <c r="A299" s="20" t="s">
        <v>41</v>
      </c>
      <c r="B299" s="21" t="s">
        <v>29</v>
      </c>
      <c r="C299" s="20">
        <v>5.19</v>
      </c>
      <c r="D299" s="78"/>
    </row>
    <row r="300" spans="1:4" ht="15.75" hidden="1" outlineLevel="1" x14ac:dyDescent="0.2">
      <c r="A300" s="20" t="s">
        <v>41</v>
      </c>
      <c r="B300" s="21" t="s">
        <v>28</v>
      </c>
      <c r="C300" s="20">
        <v>5.24</v>
      </c>
      <c r="D300" s="78"/>
    </row>
    <row r="301" spans="1:4" ht="15.75" hidden="1" outlineLevel="1" x14ac:dyDescent="0.2">
      <c r="A301" s="20" t="s">
        <v>41</v>
      </c>
      <c r="B301" s="21" t="s">
        <v>1</v>
      </c>
      <c r="C301" s="20">
        <v>5.26</v>
      </c>
      <c r="D301" s="78"/>
    </row>
    <row r="302" spans="1:4" ht="15.75" hidden="1" outlineLevel="1" x14ac:dyDescent="0.2">
      <c r="A302" s="20" t="s">
        <v>41</v>
      </c>
      <c r="B302" s="21" t="s">
        <v>604</v>
      </c>
      <c r="C302" s="20">
        <v>5.27</v>
      </c>
      <c r="D302" s="78"/>
    </row>
    <row r="303" spans="1:4" ht="15.75" hidden="1" outlineLevel="1" x14ac:dyDescent="0.2">
      <c r="A303" s="20" t="s">
        <v>41</v>
      </c>
      <c r="B303" s="21" t="s">
        <v>605</v>
      </c>
      <c r="C303" s="20">
        <v>5.28</v>
      </c>
      <c r="D303" s="78"/>
    </row>
    <row r="304" spans="1:4" ht="15.75" hidden="1" outlineLevel="1" x14ac:dyDescent="0.2">
      <c r="A304" s="20" t="s">
        <v>41</v>
      </c>
      <c r="B304" s="21" t="s">
        <v>12</v>
      </c>
      <c r="C304" s="20">
        <v>5.37</v>
      </c>
      <c r="D304" s="78"/>
    </row>
    <row r="305" spans="1:4" ht="15.75" hidden="1" outlineLevel="1" x14ac:dyDescent="0.2">
      <c r="A305" s="20" t="s">
        <v>41</v>
      </c>
      <c r="B305" s="21" t="s">
        <v>6</v>
      </c>
      <c r="C305" s="20">
        <v>5.49</v>
      </c>
      <c r="D305" s="78"/>
    </row>
    <row r="306" spans="1:4" ht="15.75" hidden="1" outlineLevel="1" x14ac:dyDescent="0.2">
      <c r="A306" s="20" t="s">
        <v>41</v>
      </c>
      <c r="B306" s="21" t="s">
        <v>8</v>
      </c>
      <c r="C306" s="20">
        <v>5.51</v>
      </c>
      <c r="D306" s="78"/>
    </row>
    <row r="307" spans="1:4" ht="15.75" hidden="1" outlineLevel="1" x14ac:dyDescent="0.2">
      <c r="A307" s="20" t="s">
        <v>41</v>
      </c>
      <c r="B307" s="21" t="s">
        <v>396</v>
      </c>
      <c r="C307" s="20">
        <v>5.53</v>
      </c>
      <c r="D307" s="78"/>
    </row>
    <row r="308" spans="1:4" ht="15.75" hidden="1" outlineLevel="1" x14ac:dyDescent="0.2">
      <c r="A308" s="20" t="s">
        <v>41</v>
      </c>
      <c r="B308" s="21" t="s">
        <v>13</v>
      </c>
      <c r="C308" s="20">
        <v>5.69</v>
      </c>
      <c r="D308" s="78"/>
    </row>
    <row r="309" spans="1:4" ht="15.75" hidden="1" outlineLevel="1" x14ac:dyDescent="0.2">
      <c r="A309" s="20" t="s">
        <v>41</v>
      </c>
      <c r="B309" s="21" t="s">
        <v>421</v>
      </c>
      <c r="C309" s="20">
        <v>5.75</v>
      </c>
      <c r="D309" s="78"/>
    </row>
    <row r="310" spans="1:4" ht="15.75" hidden="1" outlineLevel="1" x14ac:dyDescent="0.2">
      <c r="A310" s="20" t="s">
        <v>41</v>
      </c>
      <c r="B310" s="21" t="s">
        <v>14</v>
      </c>
      <c r="C310" s="22">
        <v>5.7</v>
      </c>
      <c r="D310" s="78"/>
    </row>
    <row r="311" spans="1:4" ht="15.75" hidden="1" outlineLevel="1" x14ac:dyDescent="0.2">
      <c r="A311" s="20" t="s">
        <v>41</v>
      </c>
      <c r="B311" s="21" t="s">
        <v>621</v>
      </c>
      <c r="C311" s="20">
        <v>5.74</v>
      </c>
      <c r="D311" s="78"/>
    </row>
    <row r="312" spans="1:4" ht="15.75" hidden="1" outlineLevel="1" x14ac:dyDescent="0.2">
      <c r="A312" s="20" t="s">
        <v>41</v>
      </c>
      <c r="B312" s="21" t="s">
        <v>773</v>
      </c>
      <c r="C312" s="20">
        <v>5.58</v>
      </c>
      <c r="D312" s="78"/>
    </row>
    <row r="313" spans="1:4" ht="15.75" hidden="1" outlineLevel="1" x14ac:dyDescent="0.2">
      <c r="A313" s="20" t="s">
        <v>41</v>
      </c>
      <c r="B313" s="21" t="s">
        <v>11</v>
      </c>
      <c r="C313" s="20">
        <v>5.54</v>
      </c>
      <c r="D313" s="78"/>
    </row>
    <row r="314" spans="1:4" ht="15.75" hidden="1" outlineLevel="1" x14ac:dyDescent="0.2">
      <c r="A314" s="20" t="s">
        <v>41</v>
      </c>
      <c r="B314" s="21" t="s">
        <v>15</v>
      </c>
      <c r="C314" s="20">
        <v>5.55</v>
      </c>
      <c r="D314" s="78"/>
    </row>
    <row r="315" spans="1:4" ht="15.75" hidden="1" outlineLevel="1" x14ac:dyDescent="0.2">
      <c r="A315" s="20" t="s">
        <v>41</v>
      </c>
      <c r="B315" s="21" t="s">
        <v>1153</v>
      </c>
      <c r="C315" s="20">
        <v>5.63</v>
      </c>
      <c r="D315" s="78"/>
    </row>
    <row r="316" spans="1:4" ht="15.75" hidden="1" outlineLevel="1" x14ac:dyDescent="0.2">
      <c r="A316" s="20" t="s">
        <v>41</v>
      </c>
      <c r="B316" s="21" t="s">
        <v>1154</v>
      </c>
      <c r="C316" s="20">
        <v>5.65</v>
      </c>
      <c r="D316" s="78"/>
    </row>
    <row r="317" spans="1:4" ht="15.75" hidden="1" outlineLevel="1" x14ac:dyDescent="0.2">
      <c r="A317" s="20" t="s">
        <v>41</v>
      </c>
      <c r="B317" s="21" t="s">
        <v>26</v>
      </c>
      <c r="C317" s="20">
        <v>5.68</v>
      </c>
      <c r="D317" s="78"/>
    </row>
    <row r="318" spans="1:4" ht="15.75" hidden="1" outlineLevel="1" x14ac:dyDescent="0.2">
      <c r="A318" s="20" t="s">
        <v>41</v>
      </c>
      <c r="B318" s="21" t="s">
        <v>19</v>
      </c>
      <c r="C318" s="20">
        <v>5.47</v>
      </c>
      <c r="D318" s="78"/>
    </row>
    <row r="319" spans="1:4" ht="15.75" hidden="1" outlineLevel="1" x14ac:dyDescent="0.2">
      <c r="A319" s="20" t="s">
        <v>41</v>
      </c>
      <c r="B319" s="21" t="s">
        <v>30</v>
      </c>
      <c r="C319" s="20">
        <v>5.48</v>
      </c>
      <c r="D319" s="78"/>
    </row>
    <row r="320" spans="1:4" ht="15.75" collapsed="1" x14ac:dyDescent="0.2">
      <c r="A320" s="25" t="s">
        <v>41</v>
      </c>
      <c r="B320" s="21"/>
      <c r="C320" s="20"/>
      <c r="D320" s="78"/>
    </row>
    <row r="321" spans="1:4" ht="15.75" hidden="1" outlineLevel="1" x14ac:dyDescent="0.2">
      <c r="A321" s="20" t="s">
        <v>42</v>
      </c>
      <c r="B321" s="21" t="s">
        <v>651</v>
      </c>
      <c r="C321" s="20">
        <v>5.0999999999999996</v>
      </c>
      <c r="D321" s="78"/>
    </row>
    <row r="322" spans="1:4" ht="15.75" hidden="1" outlineLevel="1" x14ac:dyDescent="0.2">
      <c r="A322" s="20" t="s">
        <v>42</v>
      </c>
      <c r="B322" s="21" t="s">
        <v>0</v>
      </c>
      <c r="C322" s="20">
        <v>5.2</v>
      </c>
      <c r="D322" s="78"/>
    </row>
    <row r="323" spans="1:4" ht="15.75" hidden="1" outlineLevel="1" x14ac:dyDescent="0.2">
      <c r="A323" s="20" t="s">
        <v>42</v>
      </c>
      <c r="B323" s="21" t="s">
        <v>1</v>
      </c>
      <c r="C323" s="20">
        <v>5.26</v>
      </c>
      <c r="D323" s="78"/>
    </row>
    <row r="324" spans="1:4" ht="15.75" hidden="1" outlineLevel="1" x14ac:dyDescent="0.2">
      <c r="A324" s="20" t="s">
        <v>42</v>
      </c>
      <c r="B324" s="21" t="s">
        <v>3</v>
      </c>
      <c r="C324" s="20">
        <v>5.14</v>
      </c>
      <c r="D324" s="78"/>
    </row>
    <row r="325" spans="1:4" ht="15.75" hidden="1" outlineLevel="1" x14ac:dyDescent="0.2">
      <c r="A325" s="20" t="s">
        <v>42</v>
      </c>
      <c r="B325" s="21" t="s">
        <v>29</v>
      </c>
      <c r="C325" s="20">
        <v>5.19</v>
      </c>
      <c r="D325" s="78"/>
    </row>
    <row r="326" spans="1:4" ht="15.75" hidden="1" outlineLevel="1" x14ac:dyDescent="0.2">
      <c r="A326" s="20" t="s">
        <v>42</v>
      </c>
      <c r="B326" s="21" t="s">
        <v>12</v>
      </c>
      <c r="C326" s="20">
        <v>5.37</v>
      </c>
      <c r="D326" s="78"/>
    </row>
    <row r="327" spans="1:4" ht="15.75" hidden="1" outlineLevel="1" x14ac:dyDescent="0.2">
      <c r="A327" s="20" t="s">
        <v>42</v>
      </c>
      <c r="B327" s="21" t="s">
        <v>13</v>
      </c>
      <c r="C327" s="20">
        <v>5.69</v>
      </c>
      <c r="D327" s="78"/>
    </row>
    <row r="328" spans="1:4" ht="15.75" hidden="1" outlineLevel="1" x14ac:dyDescent="0.2">
      <c r="A328" s="20" t="s">
        <v>42</v>
      </c>
      <c r="B328" s="21" t="s">
        <v>282</v>
      </c>
      <c r="C328" s="22">
        <v>5.8</v>
      </c>
      <c r="D328" s="78"/>
    </row>
    <row r="329" spans="1:4" ht="15.75" hidden="1" outlineLevel="1" x14ac:dyDescent="0.2">
      <c r="A329" s="20" t="s">
        <v>42</v>
      </c>
      <c r="B329" s="21" t="s">
        <v>421</v>
      </c>
      <c r="C329" s="20">
        <v>5.75</v>
      </c>
      <c r="D329" s="78"/>
    </row>
    <row r="330" spans="1:4" ht="15.75" hidden="1" outlineLevel="1" x14ac:dyDescent="0.2">
      <c r="A330" s="20" t="s">
        <v>42</v>
      </c>
      <c r="B330" s="21" t="s">
        <v>14</v>
      </c>
      <c r="C330" s="22">
        <v>5.7</v>
      </c>
      <c r="D330" s="78"/>
    </row>
    <row r="331" spans="1:4" ht="15.75" hidden="1" outlineLevel="1" x14ac:dyDescent="0.2">
      <c r="A331" s="20" t="s">
        <v>42</v>
      </c>
      <c r="B331" s="21" t="s">
        <v>621</v>
      </c>
      <c r="C331" s="20">
        <v>5.74</v>
      </c>
      <c r="D331" s="78"/>
    </row>
    <row r="332" spans="1:4" ht="15.75" hidden="1" outlineLevel="1" x14ac:dyDescent="0.2">
      <c r="A332" s="20" t="s">
        <v>42</v>
      </c>
      <c r="B332" s="21" t="s">
        <v>773</v>
      </c>
      <c r="C332" s="20">
        <v>5.58</v>
      </c>
      <c r="D332" s="78"/>
    </row>
    <row r="333" spans="1:4" ht="15.75" hidden="1" outlineLevel="1" x14ac:dyDescent="0.2">
      <c r="A333" s="20" t="s">
        <v>42</v>
      </c>
      <c r="B333" s="21" t="s">
        <v>15</v>
      </c>
      <c r="C333" s="20">
        <v>5.55</v>
      </c>
      <c r="D333" s="78"/>
    </row>
    <row r="334" spans="1:4" ht="15.75" hidden="1" outlineLevel="1" x14ac:dyDescent="0.2">
      <c r="A334" s="20" t="s">
        <v>42</v>
      </c>
      <c r="B334" s="21" t="s">
        <v>1153</v>
      </c>
      <c r="C334" s="20">
        <v>5.63</v>
      </c>
      <c r="D334" s="78"/>
    </row>
    <row r="335" spans="1:4" ht="15.75" hidden="1" outlineLevel="1" x14ac:dyDescent="0.2">
      <c r="A335" s="20" t="s">
        <v>42</v>
      </c>
      <c r="B335" s="21" t="s">
        <v>1154</v>
      </c>
      <c r="C335" s="20">
        <v>5.65</v>
      </c>
      <c r="D335" s="78"/>
    </row>
    <row r="336" spans="1:4" ht="15.75" hidden="1" outlineLevel="1" x14ac:dyDescent="0.2">
      <c r="A336" s="20" t="s">
        <v>42</v>
      </c>
      <c r="B336" s="21" t="s">
        <v>26</v>
      </c>
      <c r="C336" s="20">
        <v>5.68</v>
      </c>
      <c r="D336" s="78"/>
    </row>
    <row r="337" spans="1:4" ht="15.75" hidden="1" outlineLevel="1" x14ac:dyDescent="0.2">
      <c r="A337" s="20" t="s">
        <v>42</v>
      </c>
      <c r="B337" s="21" t="s">
        <v>19</v>
      </c>
      <c r="C337" s="20">
        <v>5.47</v>
      </c>
      <c r="D337" s="78"/>
    </row>
    <row r="338" spans="1:4" ht="15.75" hidden="1" outlineLevel="1" x14ac:dyDescent="0.2">
      <c r="A338" s="20" t="s">
        <v>42</v>
      </c>
      <c r="B338" s="21" t="s">
        <v>30</v>
      </c>
      <c r="C338" s="20">
        <v>5.48</v>
      </c>
      <c r="D338" s="78"/>
    </row>
    <row r="339" spans="1:4" ht="15.75" collapsed="1" x14ac:dyDescent="0.2">
      <c r="A339" s="25" t="s">
        <v>42</v>
      </c>
      <c r="B339" s="21"/>
      <c r="C339" s="20"/>
      <c r="D339" s="78"/>
    </row>
    <row r="340" spans="1:4" ht="15.75" hidden="1" outlineLevel="1" x14ac:dyDescent="0.2">
      <c r="A340" s="20" t="s">
        <v>667</v>
      </c>
      <c r="B340" s="21" t="s">
        <v>784</v>
      </c>
      <c r="C340" s="20">
        <v>5.0999999999999996</v>
      </c>
      <c r="D340" s="78"/>
    </row>
    <row r="341" spans="1:4" ht="15.75" hidden="1" outlineLevel="1" x14ac:dyDescent="0.2">
      <c r="A341" s="20" t="s">
        <v>667</v>
      </c>
      <c r="B341" s="21" t="s">
        <v>0</v>
      </c>
      <c r="C341" s="20">
        <v>5.2</v>
      </c>
      <c r="D341" s="78"/>
    </row>
    <row r="342" spans="1:4" ht="15.75" hidden="1" outlineLevel="1" x14ac:dyDescent="0.2">
      <c r="A342" s="20" t="s">
        <v>667</v>
      </c>
      <c r="B342" s="21" t="s">
        <v>1</v>
      </c>
      <c r="C342" s="20">
        <v>5.26</v>
      </c>
      <c r="D342" s="78"/>
    </row>
    <row r="343" spans="1:4" ht="15.75" hidden="1" outlineLevel="1" x14ac:dyDescent="0.2">
      <c r="A343" s="20" t="s">
        <v>667</v>
      </c>
      <c r="B343" s="21" t="s">
        <v>758</v>
      </c>
      <c r="C343" s="20">
        <v>5.38</v>
      </c>
      <c r="D343" s="78"/>
    </row>
    <row r="344" spans="1:4" ht="15.75" hidden="1" outlineLevel="1" x14ac:dyDescent="0.2">
      <c r="A344" s="20" t="s">
        <v>667</v>
      </c>
      <c r="B344" s="21" t="s">
        <v>757</v>
      </c>
      <c r="C344" s="20">
        <v>5.39</v>
      </c>
      <c r="D344" s="78"/>
    </row>
    <row r="345" spans="1:4" ht="15.75" hidden="1" outlineLevel="1" x14ac:dyDescent="0.2">
      <c r="A345" s="20" t="s">
        <v>667</v>
      </c>
      <c r="B345" s="21" t="s">
        <v>1161</v>
      </c>
      <c r="C345" s="22">
        <v>5.6</v>
      </c>
      <c r="D345" s="78"/>
    </row>
    <row r="346" spans="1:4" ht="15.75" hidden="1" outlineLevel="1" x14ac:dyDescent="0.2">
      <c r="A346" s="20" t="s">
        <v>667</v>
      </c>
      <c r="B346" s="21" t="s">
        <v>30</v>
      </c>
      <c r="C346" s="20">
        <v>5.48</v>
      </c>
      <c r="D346" s="78"/>
    </row>
    <row r="347" spans="1:4" ht="15.75" collapsed="1" x14ac:dyDescent="0.2">
      <c r="A347" s="25" t="s">
        <v>667</v>
      </c>
      <c r="B347" s="21"/>
      <c r="C347" s="20"/>
      <c r="D347" s="78"/>
    </row>
    <row r="348" spans="1:4" ht="15.75" hidden="1" outlineLevel="1" x14ac:dyDescent="0.2">
      <c r="A348" s="20" t="s">
        <v>43</v>
      </c>
      <c r="B348" s="21" t="s">
        <v>651</v>
      </c>
      <c r="C348" s="20">
        <v>5.0999999999999996</v>
      </c>
      <c r="D348" s="78"/>
    </row>
    <row r="349" spans="1:4" ht="15.75" hidden="1" outlineLevel="1" x14ac:dyDescent="0.2">
      <c r="A349" s="20" t="s">
        <v>43</v>
      </c>
      <c r="B349" s="21" t="s">
        <v>0</v>
      </c>
      <c r="C349" s="20">
        <v>5.2</v>
      </c>
      <c r="D349" s="78"/>
    </row>
    <row r="350" spans="1:4" ht="15.75" hidden="1" outlineLevel="1" x14ac:dyDescent="0.2">
      <c r="A350" s="20" t="s">
        <v>43</v>
      </c>
      <c r="B350" s="21" t="s">
        <v>724</v>
      </c>
      <c r="C350" s="20">
        <v>5.3</v>
      </c>
      <c r="D350" s="78"/>
    </row>
    <row r="351" spans="1:4" ht="15.75" hidden="1" outlineLevel="1" x14ac:dyDescent="0.2">
      <c r="A351" s="20" t="s">
        <v>43</v>
      </c>
      <c r="B351" s="21" t="s">
        <v>2</v>
      </c>
      <c r="C351" s="20">
        <v>5.6</v>
      </c>
      <c r="D351" s="78"/>
    </row>
    <row r="352" spans="1:4" ht="15.75" hidden="1" outlineLevel="1" x14ac:dyDescent="0.2">
      <c r="A352" s="20" t="s">
        <v>43</v>
      </c>
      <c r="B352" s="21" t="s">
        <v>730</v>
      </c>
      <c r="C352" s="22">
        <v>5.0999999999999996</v>
      </c>
      <c r="D352" s="78"/>
    </row>
    <row r="353" spans="1:4" ht="15.75" hidden="1" outlineLevel="1" x14ac:dyDescent="0.2">
      <c r="A353" s="20" t="s">
        <v>43</v>
      </c>
      <c r="B353" s="21" t="s">
        <v>3</v>
      </c>
      <c r="C353" s="20">
        <v>5.14</v>
      </c>
      <c r="D353" s="78"/>
    </row>
    <row r="354" spans="1:4" ht="15.75" hidden="1" outlineLevel="1" x14ac:dyDescent="0.2">
      <c r="A354" s="20" t="s">
        <v>43</v>
      </c>
      <c r="B354" s="21" t="s">
        <v>29</v>
      </c>
      <c r="C354" s="20">
        <v>5.19</v>
      </c>
      <c r="D354" s="78"/>
    </row>
    <row r="355" spans="1:4" ht="15.75" hidden="1" outlineLevel="1" x14ac:dyDescent="0.2">
      <c r="A355" s="20" t="s">
        <v>43</v>
      </c>
      <c r="B355" s="21" t="s">
        <v>28</v>
      </c>
      <c r="C355" s="20">
        <v>5.24</v>
      </c>
      <c r="D355" s="78"/>
    </row>
    <row r="356" spans="1:4" ht="15.75" hidden="1" outlineLevel="1" x14ac:dyDescent="0.2">
      <c r="A356" s="20" t="s">
        <v>43</v>
      </c>
      <c r="B356" s="21" t="s">
        <v>1</v>
      </c>
      <c r="C356" s="20">
        <v>5.26</v>
      </c>
      <c r="D356" s="78"/>
    </row>
    <row r="357" spans="1:4" ht="15.75" hidden="1" outlineLevel="1" x14ac:dyDescent="0.2">
      <c r="A357" s="20" t="s">
        <v>43</v>
      </c>
      <c r="B357" s="21" t="s">
        <v>604</v>
      </c>
      <c r="C357" s="20">
        <v>5.27</v>
      </c>
      <c r="D357" s="78"/>
    </row>
    <row r="358" spans="1:4" ht="15.75" hidden="1" outlineLevel="1" x14ac:dyDescent="0.2">
      <c r="A358" s="20" t="s">
        <v>43</v>
      </c>
      <c r="B358" s="21" t="s">
        <v>605</v>
      </c>
      <c r="C358" s="20">
        <v>5.28</v>
      </c>
      <c r="D358" s="78"/>
    </row>
    <row r="359" spans="1:4" ht="15.75" hidden="1" outlineLevel="1" x14ac:dyDescent="0.2">
      <c r="A359" s="20" t="s">
        <v>43</v>
      </c>
      <c r="B359" s="21" t="s">
        <v>9</v>
      </c>
      <c r="C359" s="20">
        <v>5.31</v>
      </c>
      <c r="D359" s="78"/>
    </row>
    <row r="360" spans="1:4" ht="15.75" hidden="1" outlineLevel="1" x14ac:dyDescent="0.2">
      <c r="A360" s="20" t="s">
        <v>43</v>
      </c>
      <c r="B360" s="21" t="s">
        <v>606</v>
      </c>
      <c r="C360" s="20">
        <v>5.36</v>
      </c>
      <c r="D360" s="78"/>
    </row>
    <row r="361" spans="1:4" ht="15.75" hidden="1" outlineLevel="1" x14ac:dyDescent="0.2">
      <c r="A361" s="20" t="s">
        <v>43</v>
      </c>
      <c r="B361" s="21" t="s">
        <v>12</v>
      </c>
      <c r="C361" s="20">
        <v>5.37</v>
      </c>
      <c r="D361" s="78"/>
    </row>
    <row r="362" spans="1:4" ht="15.75" hidden="1" outlineLevel="1" x14ac:dyDescent="0.2">
      <c r="A362" s="20" t="s">
        <v>43</v>
      </c>
      <c r="B362" s="21" t="s">
        <v>6</v>
      </c>
      <c r="C362" s="20">
        <v>5.49</v>
      </c>
      <c r="D362" s="78"/>
    </row>
    <row r="363" spans="1:4" ht="15.75" hidden="1" outlineLevel="1" x14ac:dyDescent="0.2">
      <c r="A363" s="20" t="s">
        <v>43</v>
      </c>
      <c r="B363" s="21" t="s">
        <v>8</v>
      </c>
      <c r="C363" s="20">
        <v>5.51</v>
      </c>
      <c r="D363" s="78"/>
    </row>
    <row r="364" spans="1:4" ht="15.75" hidden="1" outlineLevel="1" x14ac:dyDescent="0.2">
      <c r="A364" s="20" t="s">
        <v>43</v>
      </c>
      <c r="B364" s="21" t="s">
        <v>7</v>
      </c>
      <c r="C364" s="20">
        <v>5.52</v>
      </c>
      <c r="D364" s="78"/>
    </row>
    <row r="365" spans="1:4" ht="15.75" hidden="1" outlineLevel="1" x14ac:dyDescent="0.2">
      <c r="A365" s="20" t="s">
        <v>43</v>
      </c>
      <c r="B365" s="21" t="s">
        <v>396</v>
      </c>
      <c r="C365" s="20">
        <v>5.53</v>
      </c>
      <c r="D365" s="78"/>
    </row>
    <row r="366" spans="1:4" ht="15.75" hidden="1" outlineLevel="1" x14ac:dyDescent="0.2">
      <c r="A366" s="20" t="s">
        <v>43</v>
      </c>
      <c r="B366" s="21" t="s">
        <v>13</v>
      </c>
      <c r="C366" s="20">
        <v>5.69</v>
      </c>
      <c r="D366" s="78"/>
    </row>
    <row r="367" spans="1:4" ht="15.75" hidden="1" outlineLevel="1" x14ac:dyDescent="0.2">
      <c r="A367" s="20" t="s">
        <v>43</v>
      </c>
      <c r="B367" s="21" t="s">
        <v>282</v>
      </c>
      <c r="C367" s="22">
        <v>5.8</v>
      </c>
      <c r="D367" s="78"/>
    </row>
    <row r="368" spans="1:4" ht="15.75" hidden="1" outlineLevel="1" x14ac:dyDescent="0.2">
      <c r="A368" s="20" t="s">
        <v>43</v>
      </c>
      <c r="B368" s="21" t="s">
        <v>309</v>
      </c>
      <c r="C368" s="22">
        <v>5.72</v>
      </c>
      <c r="D368" s="78"/>
    </row>
    <row r="369" spans="1:4" ht="15.75" hidden="1" outlineLevel="1" x14ac:dyDescent="0.2">
      <c r="A369" s="20" t="s">
        <v>43</v>
      </c>
      <c r="B369" s="21" t="s">
        <v>421</v>
      </c>
      <c r="C369" s="20">
        <v>5.75</v>
      </c>
      <c r="D369" s="78"/>
    </row>
    <row r="370" spans="1:4" ht="15.75" hidden="1" outlineLevel="1" x14ac:dyDescent="0.2">
      <c r="A370" s="20" t="s">
        <v>43</v>
      </c>
      <c r="B370" s="21" t="s">
        <v>14</v>
      </c>
      <c r="C370" s="22">
        <v>5.7</v>
      </c>
      <c r="D370" s="78"/>
    </row>
    <row r="371" spans="1:4" ht="15.75" hidden="1" outlineLevel="1" x14ac:dyDescent="0.2">
      <c r="A371" s="20" t="s">
        <v>43</v>
      </c>
      <c r="B371" s="21" t="s">
        <v>621</v>
      </c>
      <c r="C371" s="20">
        <v>5.74</v>
      </c>
      <c r="D371" s="78"/>
    </row>
    <row r="372" spans="1:4" ht="15.75" hidden="1" outlineLevel="1" x14ac:dyDescent="0.2">
      <c r="A372" s="20" t="s">
        <v>43</v>
      </c>
      <c r="B372" s="21" t="s">
        <v>925</v>
      </c>
      <c r="C372" s="20">
        <v>5.76</v>
      </c>
      <c r="D372" s="78"/>
    </row>
    <row r="373" spans="1:4" ht="15.75" hidden="1" outlineLevel="1" x14ac:dyDescent="0.2">
      <c r="A373" s="20" t="s">
        <v>43</v>
      </c>
      <c r="B373" s="21" t="s">
        <v>669</v>
      </c>
      <c r="C373" s="20">
        <v>5.89</v>
      </c>
      <c r="D373" s="77" t="s">
        <v>935</v>
      </c>
    </row>
    <row r="374" spans="1:4" ht="15.75" hidden="1" outlineLevel="1" x14ac:dyDescent="0.2">
      <c r="A374" s="20" t="s">
        <v>43</v>
      </c>
      <c r="B374" s="21" t="s">
        <v>917</v>
      </c>
      <c r="C374" s="20">
        <v>5.109</v>
      </c>
      <c r="D374" s="77"/>
    </row>
    <row r="375" spans="1:4" ht="15.75" hidden="1" outlineLevel="1" x14ac:dyDescent="0.2">
      <c r="A375" s="20" t="s">
        <v>43</v>
      </c>
      <c r="B375" s="21" t="s">
        <v>372</v>
      </c>
      <c r="C375" s="20">
        <v>5.1109999999999998</v>
      </c>
      <c r="D375" s="78"/>
    </row>
    <row r="376" spans="1:4" ht="15.75" hidden="1" outlineLevel="1" x14ac:dyDescent="0.2">
      <c r="A376" s="20" t="s">
        <v>43</v>
      </c>
      <c r="B376" s="21" t="s">
        <v>16</v>
      </c>
      <c r="C376" s="20">
        <v>5.1120000000000001</v>
      </c>
      <c r="D376" s="78"/>
    </row>
    <row r="377" spans="1:4" ht="15.75" hidden="1" outlineLevel="1" x14ac:dyDescent="0.2">
      <c r="A377" s="20" t="s">
        <v>43</v>
      </c>
      <c r="B377" s="21" t="s">
        <v>475</v>
      </c>
      <c r="C377" s="20">
        <v>5.1130000000000004</v>
      </c>
      <c r="D377" s="78"/>
    </row>
    <row r="378" spans="1:4" ht="15.75" hidden="1" outlineLevel="1" x14ac:dyDescent="0.2">
      <c r="A378" s="20" t="s">
        <v>43</v>
      </c>
      <c r="B378" s="21" t="s">
        <v>773</v>
      </c>
      <c r="C378" s="20">
        <v>5.58</v>
      </c>
      <c r="D378" s="78"/>
    </row>
    <row r="379" spans="1:4" ht="15.75" hidden="1" outlineLevel="1" x14ac:dyDescent="0.2">
      <c r="A379" s="20" t="s">
        <v>43</v>
      </c>
      <c r="B379" s="21" t="s">
        <v>11</v>
      </c>
      <c r="C379" s="20">
        <v>5.54</v>
      </c>
      <c r="D379" s="78"/>
    </row>
    <row r="380" spans="1:4" ht="15.75" hidden="1" outlineLevel="1" x14ac:dyDescent="0.2">
      <c r="A380" s="20" t="s">
        <v>43</v>
      </c>
      <c r="B380" s="21" t="s">
        <v>15</v>
      </c>
      <c r="C380" s="20">
        <v>5.55</v>
      </c>
      <c r="D380" s="78"/>
    </row>
    <row r="381" spans="1:4" ht="15.75" hidden="1" outlineLevel="1" x14ac:dyDescent="0.2">
      <c r="A381" s="20" t="s">
        <v>43</v>
      </c>
      <c r="B381" s="21" t="s">
        <v>1153</v>
      </c>
      <c r="C381" s="20">
        <v>5.63</v>
      </c>
      <c r="D381" s="78"/>
    </row>
    <row r="382" spans="1:4" ht="15.75" hidden="1" outlineLevel="1" x14ac:dyDescent="0.2">
      <c r="A382" s="20" t="s">
        <v>43</v>
      </c>
      <c r="B382" s="21" t="s">
        <v>1154</v>
      </c>
      <c r="C382" s="20">
        <v>5.65</v>
      </c>
      <c r="D382" s="78"/>
    </row>
    <row r="383" spans="1:4" ht="15.75" hidden="1" outlineLevel="1" x14ac:dyDescent="0.2">
      <c r="A383" s="20" t="s">
        <v>43</v>
      </c>
      <c r="B383" s="21" t="s">
        <v>788</v>
      </c>
      <c r="C383" s="20">
        <v>5.66</v>
      </c>
      <c r="D383" s="78"/>
    </row>
    <row r="384" spans="1:4" ht="15.75" hidden="1" outlineLevel="1" x14ac:dyDescent="0.2">
      <c r="A384" s="20" t="s">
        <v>43</v>
      </c>
      <c r="B384" s="21" t="s">
        <v>26</v>
      </c>
      <c r="C384" s="20">
        <v>5.68</v>
      </c>
      <c r="D384" s="78"/>
    </row>
    <row r="385" spans="1:4" ht="15.75" hidden="1" outlineLevel="1" x14ac:dyDescent="0.2">
      <c r="A385" s="20" t="s">
        <v>43</v>
      </c>
      <c r="B385" s="21" t="s">
        <v>19</v>
      </c>
      <c r="C385" s="20">
        <v>5.47</v>
      </c>
      <c r="D385" s="78"/>
    </row>
    <row r="386" spans="1:4" ht="15.75" hidden="1" outlineLevel="1" x14ac:dyDescent="0.2">
      <c r="A386" s="20" t="s">
        <v>43</v>
      </c>
      <c r="B386" s="21" t="s">
        <v>30</v>
      </c>
      <c r="C386" s="20">
        <v>5.48</v>
      </c>
      <c r="D386" s="78"/>
    </row>
    <row r="387" spans="1:4" ht="15.75" collapsed="1" x14ac:dyDescent="0.2">
      <c r="A387" s="25" t="s">
        <v>43</v>
      </c>
      <c r="B387" s="21"/>
      <c r="C387" s="20"/>
      <c r="D387" s="78"/>
    </row>
    <row r="388" spans="1:4" ht="15.75" hidden="1" outlineLevel="1" x14ac:dyDescent="0.2">
      <c r="A388" s="20" t="s">
        <v>44</v>
      </c>
      <c r="B388" s="21" t="s">
        <v>651</v>
      </c>
      <c r="C388" s="20">
        <v>5.0999999999999996</v>
      </c>
      <c r="D388" s="78"/>
    </row>
    <row r="389" spans="1:4" ht="15.75" hidden="1" outlineLevel="1" x14ac:dyDescent="0.2">
      <c r="A389" s="20" t="s">
        <v>44</v>
      </c>
      <c r="B389" s="21" t="s">
        <v>0</v>
      </c>
      <c r="C389" s="20">
        <v>5.2</v>
      </c>
      <c r="D389" s="78"/>
    </row>
    <row r="390" spans="1:4" ht="15.75" hidden="1" outlineLevel="1" x14ac:dyDescent="0.2">
      <c r="A390" s="20" t="s">
        <v>44</v>
      </c>
      <c r="B390" s="21" t="s">
        <v>724</v>
      </c>
      <c r="C390" s="20">
        <v>5.3</v>
      </c>
      <c r="D390" s="78"/>
    </row>
    <row r="391" spans="1:4" ht="15.75" hidden="1" outlineLevel="1" x14ac:dyDescent="0.2">
      <c r="A391" s="20" t="s">
        <v>44</v>
      </c>
      <c r="B391" s="21" t="s">
        <v>2</v>
      </c>
      <c r="C391" s="20">
        <v>5.6</v>
      </c>
      <c r="D391" s="78"/>
    </row>
    <row r="392" spans="1:4" ht="15.75" hidden="1" outlineLevel="1" x14ac:dyDescent="0.2">
      <c r="A392" s="20" t="s">
        <v>44</v>
      </c>
      <c r="B392" s="21" t="s">
        <v>730</v>
      </c>
      <c r="C392" s="22">
        <v>5.0999999999999996</v>
      </c>
      <c r="D392" s="78"/>
    </row>
    <row r="393" spans="1:4" ht="15.75" hidden="1" outlineLevel="1" x14ac:dyDescent="0.2">
      <c r="A393" s="20" t="s">
        <v>44</v>
      </c>
      <c r="B393" s="21" t="s">
        <v>3</v>
      </c>
      <c r="C393" s="20">
        <v>5.14</v>
      </c>
      <c r="D393" s="78"/>
    </row>
    <row r="394" spans="1:4" ht="15.75" hidden="1" outlineLevel="1" x14ac:dyDescent="0.2">
      <c r="A394" s="20" t="s">
        <v>44</v>
      </c>
      <c r="B394" s="21" t="s">
        <v>29</v>
      </c>
      <c r="C394" s="20">
        <v>5.19</v>
      </c>
      <c r="D394" s="78"/>
    </row>
    <row r="395" spans="1:4" ht="15.75" hidden="1" outlineLevel="1" x14ac:dyDescent="0.2">
      <c r="A395" s="20" t="s">
        <v>44</v>
      </c>
      <c r="B395" s="21" t="s">
        <v>28</v>
      </c>
      <c r="C395" s="20">
        <v>5.24</v>
      </c>
      <c r="D395" s="78"/>
    </row>
    <row r="396" spans="1:4" ht="15.75" hidden="1" outlineLevel="1" x14ac:dyDescent="0.2">
      <c r="A396" s="20" t="s">
        <v>44</v>
      </c>
      <c r="B396" s="21" t="s">
        <v>1</v>
      </c>
      <c r="C396" s="20">
        <v>5.26</v>
      </c>
      <c r="D396" s="78"/>
    </row>
    <row r="397" spans="1:4" ht="15.75" hidden="1" outlineLevel="1" x14ac:dyDescent="0.2">
      <c r="A397" s="20" t="s">
        <v>44</v>
      </c>
      <c r="B397" s="21" t="s">
        <v>604</v>
      </c>
      <c r="C397" s="20">
        <v>5.27</v>
      </c>
      <c r="D397" s="78"/>
    </row>
    <row r="398" spans="1:4" ht="15.75" hidden="1" outlineLevel="1" x14ac:dyDescent="0.2">
      <c r="A398" s="20" t="s">
        <v>44</v>
      </c>
      <c r="B398" s="21" t="s">
        <v>605</v>
      </c>
      <c r="C398" s="20">
        <v>5.28</v>
      </c>
      <c r="D398" s="78"/>
    </row>
    <row r="399" spans="1:4" ht="15.75" hidden="1" outlineLevel="1" x14ac:dyDescent="0.2">
      <c r="A399" s="20" t="s">
        <v>44</v>
      </c>
      <c r="B399" s="21" t="s">
        <v>609</v>
      </c>
      <c r="C399" s="20">
        <v>5.29</v>
      </c>
      <c r="D399" s="78"/>
    </row>
    <row r="400" spans="1:4" ht="15.75" hidden="1" outlineLevel="1" x14ac:dyDescent="0.2">
      <c r="A400" s="20" t="s">
        <v>44</v>
      </c>
      <c r="B400" s="21" t="s">
        <v>9</v>
      </c>
      <c r="C400" s="20">
        <v>5.31</v>
      </c>
      <c r="D400" s="78"/>
    </row>
    <row r="401" spans="1:4" ht="15.75" hidden="1" outlineLevel="1" x14ac:dyDescent="0.2">
      <c r="A401" s="20" t="s">
        <v>44</v>
      </c>
      <c r="B401" s="21" t="s">
        <v>606</v>
      </c>
      <c r="C401" s="20">
        <v>5.36</v>
      </c>
      <c r="D401" s="78"/>
    </row>
    <row r="402" spans="1:4" ht="15.75" hidden="1" outlineLevel="1" x14ac:dyDescent="0.2">
      <c r="A402" s="20" t="s">
        <v>44</v>
      </c>
      <c r="B402" s="21" t="s">
        <v>12</v>
      </c>
      <c r="C402" s="20">
        <v>5.37</v>
      </c>
      <c r="D402" s="78"/>
    </row>
    <row r="403" spans="1:4" ht="15.75" hidden="1" outlineLevel="1" x14ac:dyDescent="0.2">
      <c r="A403" s="20" t="s">
        <v>44</v>
      </c>
      <c r="B403" s="21" t="s">
        <v>6</v>
      </c>
      <c r="C403" s="20">
        <v>5.49</v>
      </c>
      <c r="D403" s="78"/>
    </row>
    <row r="404" spans="1:4" ht="15.75" hidden="1" outlineLevel="1" x14ac:dyDescent="0.2">
      <c r="A404" s="20" t="s">
        <v>44</v>
      </c>
      <c r="B404" s="21" t="s">
        <v>8</v>
      </c>
      <c r="C404" s="20">
        <v>5.51</v>
      </c>
      <c r="D404" s="78"/>
    </row>
    <row r="405" spans="1:4" ht="15.75" hidden="1" outlineLevel="1" x14ac:dyDescent="0.2">
      <c r="A405" s="20" t="s">
        <v>44</v>
      </c>
      <c r="B405" s="21" t="s">
        <v>7</v>
      </c>
      <c r="C405" s="20">
        <v>5.52</v>
      </c>
      <c r="D405" s="78"/>
    </row>
    <row r="406" spans="1:4" ht="15.75" hidden="1" outlineLevel="1" x14ac:dyDescent="0.2">
      <c r="A406" s="20" t="s">
        <v>44</v>
      </c>
      <c r="B406" s="21" t="s">
        <v>396</v>
      </c>
      <c r="C406" s="20">
        <v>5.53</v>
      </c>
      <c r="D406" s="78"/>
    </row>
    <row r="407" spans="1:4" ht="15.75" hidden="1" outlineLevel="1" x14ac:dyDescent="0.2">
      <c r="A407" s="20" t="s">
        <v>44</v>
      </c>
      <c r="B407" s="21" t="s">
        <v>13</v>
      </c>
      <c r="C407" s="20">
        <v>5.69</v>
      </c>
      <c r="D407" s="78"/>
    </row>
    <row r="408" spans="1:4" ht="15.75" hidden="1" outlineLevel="1" x14ac:dyDescent="0.2">
      <c r="A408" s="20" t="s">
        <v>44</v>
      </c>
      <c r="B408" s="21" t="s">
        <v>421</v>
      </c>
      <c r="C408" s="20">
        <v>5.75</v>
      </c>
      <c r="D408" s="78"/>
    </row>
    <row r="409" spans="1:4" ht="15.75" hidden="1" outlineLevel="1" x14ac:dyDescent="0.2">
      <c r="A409" s="20" t="s">
        <v>44</v>
      </c>
      <c r="B409" s="21" t="s">
        <v>621</v>
      </c>
      <c r="C409" s="20">
        <v>5.74</v>
      </c>
      <c r="D409" s="78"/>
    </row>
    <row r="410" spans="1:4" ht="15.75" hidden="1" outlineLevel="1" x14ac:dyDescent="0.2">
      <c r="A410" s="20" t="s">
        <v>44</v>
      </c>
      <c r="B410" s="21" t="s">
        <v>14</v>
      </c>
      <c r="C410" s="22">
        <v>5.7</v>
      </c>
      <c r="D410" s="78"/>
    </row>
    <row r="411" spans="1:4" ht="15.75" hidden="1" outlineLevel="1" x14ac:dyDescent="0.2">
      <c r="A411" s="20" t="s">
        <v>44</v>
      </c>
      <c r="B411" s="21" t="s">
        <v>925</v>
      </c>
      <c r="C411" s="20">
        <v>5.76</v>
      </c>
      <c r="D411" s="78"/>
    </row>
    <row r="412" spans="1:4" ht="15.75" hidden="1" outlineLevel="1" x14ac:dyDescent="0.2">
      <c r="A412" s="20" t="s">
        <v>44</v>
      </c>
      <c r="B412" s="21" t="s">
        <v>669</v>
      </c>
      <c r="C412" s="20">
        <v>5.89</v>
      </c>
      <c r="D412" s="77" t="s">
        <v>935</v>
      </c>
    </row>
    <row r="413" spans="1:4" ht="15.75" hidden="1" outlineLevel="1" x14ac:dyDescent="0.2">
      <c r="A413" s="20" t="s">
        <v>44</v>
      </c>
      <c r="B413" s="21" t="s">
        <v>917</v>
      </c>
      <c r="C413" s="20">
        <v>5.109</v>
      </c>
      <c r="D413" s="78"/>
    </row>
    <row r="414" spans="1:4" ht="15.75" hidden="1" outlineLevel="1" x14ac:dyDescent="0.2">
      <c r="A414" s="20" t="s">
        <v>44</v>
      </c>
      <c r="B414" s="21" t="s">
        <v>372</v>
      </c>
      <c r="C414" s="20">
        <v>5.1109999999999998</v>
      </c>
      <c r="D414" s="78"/>
    </row>
    <row r="415" spans="1:4" ht="15.75" hidden="1" outlineLevel="1" x14ac:dyDescent="0.2">
      <c r="A415" s="20" t="s">
        <v>44</v>
      </c>
      <c r="B415" s="21" t="s">
        <v>16</v>
      </c>
      <c r="C415" s="20">
        <v>5.1120000000000001</v>
      </c>
      <c r="D415" s="78"/>
    </row>
    <row r="416" spans="1:4" ht="15.75" hidden="1" outlineLevel="1" x14ac:dyDescent="0.2">
      <c r="A416" s="20" t="s">
        <v>44</v>
      </c>
      <c r="B416" s="21" t="s">
        <v>475</v>
      </c>
      <c r="C416" s="20">
        <v>5.1130000000000004</v>
      </c>
      <c r="D416" s="78"/>
    </row>
    <row r="417" spans="1:4" ht="15.75" hidden="1" outlineLevel="1" x14ac:dyDescent="0.2">
      <c r="A417" s="20" t="s">
        <v>44</v>
      </c>
      <c r="B417" s="21" t="s">
        <v>773</v>
      </c>
      <c r="C417" s="20">
        <v>5.58</v>
      </c>
      <c r="D417" s="78"/>
    </row>
    <row r="418" spans="1:4" ht="15.75" hidden="1" outlineLevel="1" x14ac:dyDescent="0.2">
      <c r="A418" s="20" t="s">
        <v>44</v>
      </c>
      <c r="B418" s="21" t="s">
        <v>11</v>
      </c>
      <c r="C418" s="20">
        <v>5.54</v>
      </c>
      <c r="D418" s="78"/>
    </row>
    <row r="419" spans="1:4" ht="15.75" hidden="1" outlineLevel="1" x14ac:dyDescent="0.2">
      <c r="A419" s="20" t="s">
        <v>44</v>
      </c>
      <c r="B419" s="21" t="s">
        <v>15</v>
      </c>
      <c r="C419" s="20">
        <v>5.55</v>
      </c>
      <c r="D419" s="78"/>
    </row>
    <row r="420" spans="1:4" ht="15.75" hidden="1" outlineLevel="1" x14ac:dyDescent="0.2">
      <c r="A420" s="20" t="s">
        <v>44</v>
      </c>
      <c r="B420" s="21" t="s">
        <v>1153</v>
      </c>
      <c r="C420" s="20">
        <v>5.63</v>
      </c>
      <c r="D420" s="78"/>
    </row>
    <row r="421" spans="1:4" ht="15.75" hidden="1" outlineLevel="1" x14ac:dyDescent="0.2">
      <c r="A421" s="20" t="s">
        <v>44</v>
      </c>
      <c r="B421" s="21" t="s">
        <v>1154</v>
      </c>
      <c r="C421" s="20">
        <v>5.65</v>
      </c>
      <c r="D421" s="78"/>
    </row>
    <row r="422" spans="1:4" ht="15.75" hidden="1" outlineLevel="1" x14ac:dyDescent="0.2">
      <c r="A422" s="20" t="s">
        <v>44</v>
      </c>
      <c r="B422" s="21" t="s">
        <v>788</v>
      </c>
      <c r="C422" s="20">
        <v>5.66</v>
      </c>
      <c r="D422" s="78"/>
    </row>
    <row r="423" spans="1:4" ht="15.75" hidden="1" outlineLevel="1" x14ac:dyDescent="0.2">
      <c r="A423" s="20" t="s">
        <v>44</v>
      </c>
      <c r="B423" s="21" t="s">
        <v>26</v>
      </c>
      <c r="C423" s="20">
        <v>5.68</v>
      </c>
      <c r="D423" s="78"/>
    </row>
    <row r="424" spans="1:4" ht="15.75" hidden="1" outlineLevel="1" x14ac:dyDescent="0.2">
      <c r="A424" s="20" t="s">
        <v>44</v>
      </c>
      <c r="B424" s="21" t="s">
        <v>19</v>
      </c>
      <c r="C424" s="20">
        <v>5.47</v>
      </c>
      <c r="D424" s="78"/>
    </row>
    <row r="425" spans="1:4" ht="15.75" hidden="1" outlineLevel="1" x14ac:dyDescent="0.2">
      <c r="A425" s="20" t="s">
        <v>44</v>
      </c>
      <c r="B425" s="21" t="s">
        <v>30</v>
      </c>
      <c r="C425" s="20">
        <v>5.48</v>
      </c>
      <c r="D425" s="78"/>
    </row>
    <row r="426" spans="1:4" ht="15.75" collapsed="1" x14ac:dyDescent="0.2">
      <c r="A426" s="25" t="s">
        <v>44</v>
      </c>
      <c r="B426" s="21"/>
      <c r="C426" s="20"/>
      <c r="D426" s="78"/>
    </row>
    <row r="427" spans="1:4" ht="15.75" outlineLevel="1" x14ac:dyDescent="0.2">
      <c r="A427" s="20" t="s">
        <v>792</v>
      </c>
      <c r="B427" s="21" t="s">
        <v>651</v>
      </c>
      <c r="C427" s="20">
        <v>5.0999999999999996</v>
      </c>
      <c r="D427" s="78"/>
    </row>
    <row r="428" spans="1:4" ht="15.75" outlineLevel="1" x14ac:dyDescent="0.2">
      <c r="A428" s="20" t="s">
        <v>792</v>
      </c>
      <c r="B428" s="21" t="s">
        <v>0</v>
      </c>
      <c r="C428" s="20">
        <v>5.2</v>
      </c>
      <c r="D428" s="78"/>
    </row>
    <row r="429" spans="1:4" ht="15.75" outlineLevel="1" x14ac:dyDescent="0.2">
      <c r="A429" s="20" t="s">
        <v>792</v>
      </c>
      <c r="B429" s="21" t="s">
        <v>724</v>
      </c>
      <c r="C429" s="20">
        <v>5.3</v>
      </c>
      <c r="D429" s="78"/>
    </row>
    <row r="430" spans="1:4" ht="15.75" outlineLevel="1" x14ac:dyDescent="0.2">
      <c r="A430" s="20" t="s">
        <v>792</v>
      </c>
      <c r="B430" s="21" t="s">
        <v>2</v>
      </c>
      <c r="C430" s="20">
        <v>5.6</v>
      </c>
      <c r="D430" s="78"/>
    </row>
    <row r="431" spans="1:4" ht="15.75" outlineLevel="1" x14ac:dyDescent="0.2">
      <c r="A431" s="20" t="s">
        <v>792</v>
      </c>
      <c r="B431" s="21" t="s">
        <v>730</v>
      </c>
      <c r="C431" s="22">
        <v>5.0999999999999996</v>
      </c>
      <c r="D431" s="78"/>
    </row>
    <row r="432" spans="1:4" ht="15.75" outlineLevel="1" x14ac:dyDescent="0.2">
      <c r="A432" s="20" t="s">
        <v>792</v>
      </c>
      <c r="B432" s="21" t="s">
        <v>3</v>
      </c>
      <c r="C432" s="20">
        <v>5.14</v>
      </c>
      <c r="D432" s="78"/>
    </row>
    <row r="433" spans="1:4" ht="15.75" outlineLevel="1" x14ac:dyDescent="0.2">
      <c r="A433" s="20" t="s">
        <v>792</v>
      </c>
      <c r="B433" s="21" t="s">
        <v>29</v>
      </c>
      <c r="C433" s="20">
        <v>5.19</v>
      </c>
      <c r="D433" s="78"/>
    </row>
    <row r="434" spans="1:4" ht="15.75" outlineLevel="1" x14ac:dyDescent="0.2">
      <c r="A434" s="20" t="s">
        <v>792</v>
      </c>
      <c r="B434" s="21" t="s">
        <v>28</v>
      </c>
      <c r="C434" s="20">
        <v>5.24</v>
      </c>
      <c r="D434" s="78"/>
    </row>
    <row r="435" spans="1:4" ht="15.75" outlineLevel="1" x14ac:dyDescent="0.2">
      <c r="A435" s="20" t="s">
        <v>792</v>
      </c>
      <c r="B435" s="21" t="s">
        <v>1</v>
      </c>
      <c r="C435" s="20">
        <v>5.26</v>
      </c>
      <c r="D435" s="78"/>
    </row>
    <row r="436" spans="1:4" ht="15.75" outlineLevel="1" x14ac:dyDescent="0.2">
      <c r="A436" s="20" t="s">
        <v>792</v>
      </c>
      <c r="B436" s="21" t="s">
        <v>604</v>
      </c>
      <c r="C436" s="20">
        <v>5.27</v>
      </c>
      <c r="D436" s="78"/>
    </row>
    <row r="437" spans="1:4" ht="15.75" outlineLevel="1" x14ac:dyDescent="0.2">
      <c r="A437" s="20" t="s">
        <v>792</v>
      </c>
      <c r="B437" s="21" t="s">
        <v>605</v>
      </c>
      <c r="C437" s="20">
        <v>5.28</v>
      </c>
      <c r="D437" s="78"/>
    </row>
    <row r="438" spans="1:4" ht="15.75" outlineLevel="1" x14ac:dyDescent="0.2">
      <c r="A438" s="20" t="s">
        <v>792</v>
      </c>
      <c r="B438" s="21" t="s">
        <v>609</v>
      </c>
      <c r="C438" s="20">
        <v>5.29</v>
      </c>
      <c r="D438" s="78"/>
    </row>
    <row r="439" spans="1:4" ht="15.75" outlineLevel="1" x14ac:dyDescent="0.2">
      <c r="A439" s="20" t="s">
        <v>792</v>
      </c>
      <c r="B439" s="21" t="s">
        <v>9</v>
      </c>
      <c r="C439" s="20">
        <v>5.31</v>
      </c>
      <c r="D439" s="78"/>
    </row>
    <row r="440" spans="1:4" ht="15.75" outlineLevel="1" x14ac:dyDescent="0.2">
      <c r="A440" s="20" t="s">
        <v>792</v>
      </c>
      <c r="B440" s="21" t="s">
        <v>606</v>
      </c>
      <c r="C440" s="20">
        <v>5.36</v>
      </c>
      <c r="D440" s="78"/>
    </row>
    <row r="441" spans="1:4" ht="15.75" outlineLevel="1" x14ac:dyDescent="0.2">
      <c r="A441" s="20" t="s">
        <v>792</v>
      </c>
      <c r="B441" s="21" t="s">
        <v>12</v>
      </c>
      <c r="C441" s="20">
        <v>5.37</v>
      </c>
      <c r="D441" s="78"/>
    </row>
    <row r="442" spans="1:4" ht="15.75" outlineLevel="1" x14ac:dyDescent="0.2">
      <c r="A442" s="20" t="s">
        <v>792</v>
      </c>
      <c r="B442" s="21" t="s">
        <v>396</v>
      </c>
      <c r="C442" s="20">
        <v>5.53</v>
      </c>
      <c r="D442" s="78"/>
    </row>
    <row r="443" spans="1:4" ht="15.75" outlineLevel="1" x14ac:dyDescent="0.2">
      <c r="A443" s="20" t="s">
        <v>792</v>
      </c>
      <c r="B443" s="21" t="s">
        <v>917</v>
      </c>
      <c r="C443" s="20">
        <v>5.109</v>
      </c>
      <c r="D443" s="78"/>
    </row>
    <row r="444" spans="1:4" ht="15.75" outlineLevel="1" x14ac:dyDescent="0.2">
      <c r="A444" s="20" t="s">
        <v>792</v>
      </c>
      <c r="B444" s="21" t="s">
        <v>372</v>
      </c>
      <c r="C444" s="20">
        <v>5.1109999999999998</v>
      </c>
      <c r="D444" s="78"/>
    </row>
    <row r="445" spans="1:4" ht="15.75" outlineLevel="1" x14ac:dyDescent="0.2">
      <c r="A445" s="20" t="s">
        <v>792</v>
      </c>
      <c r="B445" s="21" t="s">
        <v>16</v>
      </c>
      <c r="C445" s="20">
        <v>5.1120000000000001</v>
      </c>
      <c r="D445" s="78"/>
    </row>
    <row r="446" spans="1:4" ht="15.75" outlineLevel="1" x14ac:dyDescent="0.2">
      <c r="A446" s="20" t="s">
        <v>792</v>
      </c>
      <c r="B446" s="21" t="s">
        <v>475</v>
      </c>
      <c r="C446" s="20">
        <v>5.1130000000000004</v>
      </c>
      <c r="D446" s="78"/>
    </row>
    <row r="447" spans="1:4" ht="15.75" outlineLevel="1" x14ac:dyDescent="0.2">
      <c r="A447" s="20" t="s">
        <v>792</v>
      </c>
      <c r="B447" s="21" t="s">
        <v>773</v>
      </c>
      <c r="C447" s="20">
        <v>5.58</v>
      </c>
      <c r="D447" s="78"/>
    </row>
    <row r="448" spans="1:4" ht="15.75" outlineLevel="1" x14ac:dyDescent="0.2">
      <c r="A448" s="20" t="s">
        <v>792</v>
      </c>
      <c r="B448" s="21" t="s">
        <v>11</v>
      </c>
      <c r="C448" s="20">
        <v>5.54</v>
      </c>
      <c r="D448" s="78"/>
    </row>
    <row r="449" spans="1:4" ht="15.75" outlineLevel="1" x14ac:dyDescent="0.2">
      <c r="A449" s="20" t="s">
        <v>792</v>
      </c>
      <c r="B449" s="21" t="s">
        <v>15</v>
      </c>
      <c r="C449" s="20">
        <v>5.55</v>
      </c>
      <c r="D449" s="78"/>
    </row>
    <row r="450" spans="1:4" ht="15.75" outlineLevel="1" x14ac:dyDescent="0.2">
      <c r="A450" s="20" t="s">
        <v>792</v>
      </c>
      <c r="B450" s="21" t="s">
        <v>1153</v>
      </c>
      <c r="C450" s="20">
        <v>5.63</v>
      </c>
      <c r="D450" s="78"/>
    </row>
    <row r="451" spans="1:4" ht="15.75" outlineLevel="1" x14ac:dyDescent="0.2">
      <c r="A451" s="20" t="s">
        <v>792</v>
      </c>
      <c r="B451" s="21" t="s">
        <v>19</v>
      </c>
      <c r="C451" s="20">
        <v>5.47</v>
      </c>
      <c r="D451" s="78"/>
    </row>
    <row r="452" spans="1:4" ht="15.75" outlineLevel="1" x14ac:dyDescent="0.2">
      <c r="A452" s="20" t="s">
        <v>792</v>
      </c>
      <c r="B452" s="21" t="s">
        <v>30</v>
      </c>
      <c r="C452" s="20">
        <v>5.48</v>
      </c>
      <c r="D452" s="78"/>
    </row>
    <row r="453" spans="1:4" ht="15.75" x14ac:dyDescent="0.2">
      <c r="A453" s="25" t="s">
        <v>792</v>
      </c>
      <c r="B453" s="21"/>
      <c r="C453" s="20"/>
      <c r="D453" s="78"/>
    </row>
    <row r="454" spans="1:4" ht="15.75" outlineLevel="1" x14ac:dyDescent="0.2">
      <c r="A454" s="20" t="s">
        <v>45</v>
      </c>
      <c r="B454" s="21" t="s">
        <v>651</v>
      </c>
      <c r="C454" s="20">
        <v>5.0999999999999996</v>
      </c>
      <c r="D454" s="78"/>
    </row>
    <row r="455" spans="1:4" ht="15.75" outlineLevel="1" x14ac:dyDescent="0.2">
      <c r="A455" s="20" t="s">
        <v>45</v>
      </c>
      <c r="B455" s="21" t="s">
        <v>0</v>
      </c>
      <c r="C455" s="20">
        <v>5.2</v>
      </c>
      <c r="D455" s="78"/>
    </row>
    <row r="456" spans="1:4" ht="15.75" outlineLevel="1" x14ac:dyDescent="0.2">
      <c r="A456" s="20" t="s">
        <v>45</v>
      </c>
      <c r="B456" s="21" t="s">
        <v>780</v>
      </c>
      <c r="C456" s="20">
        <v>5.5</v>
      </c>
      <c r="D456" s="78"/>
    </row>
    <row r="457" spans="1:4" ht="15.75" outlineLevel="1" x14ac:dyDescent="0.2">
      <c r="A457" s="20" t="s">
        <v>45</v>
      </c>
      <c r="B457" s="21" t="s">
        <v>793</v>
      </c>
      <c r="C457" s="20">
        <v>5.8</v>
      </c>
      <c r="D457" s="77" t="s">
        <v>935</v>
      </c>
    </row>
    <row r="458" spans="1:4" ht="15.75" outlineLevel="1" x14ac:dyDescent="0.2">
      <c r="A458" s="20" t="s">
        <v>45</v>
      </c>
      <c r="B458" s="21" t="s">
        <v>781</v>
      </c>
      <c r="C458" s="20">
        <v>5.12</v>
      </c>
      <c r="D458" s="77" t="s">
        <v>935</v>
      </c>
    </row>
    <row r="459" spans="1:4" ht="15.75" outlineLevel="1" x14ac:dyDescent="0.2">
      <c r="A459" s="20" t="s">
        <v>45</v>
      </c>
      <c r="B459" s="21" t="s">
        <v>747</v>
      </c>
      <c r="C459" s="20">
        <v>5.15</v>
      </c>
      <c r="D459" s="78"/>
    </row>
    <row r="460" spans="1:4" ht="15.75" outlineLevel="1" x14ac:dyDescent="0.2">
      <c r="A460" s="20" t="s">
        <v>45</v>
      </c>
      <c r="B460" s="21" t="s">
        <v>746</v>
      </c>
      <c r="C460" s="22">
        <v>5.2</v>
      </c>
      <c r="D460" s="77"/>
    </row>
    <row r="461" spans="1:4" ht="15.75" outlineLevel="1" x14ac:dyDescent="0.2">
      <c r="A461" s="20" t="s">
        <v>45</v>
      </c>
      <c r="B461" s="21" t="s">
        <v>751</v>
      </c>
      <c r="C461" s="20">
        <v>5.25</v>
      </c>
      <c r="D461" s="78"/>
    </row>
    <row r="462" spans="1:4" ht="15.75" outlineLevel="1" x14ac:dyDescent="0.2">
      <c r="A462" s="20" t="s">
        <v>45</v>
      </c>
      <c r="B462" s="21" t="s">
        <v>1</v>
      </c>
      <c r="C462" s="20">
        <v>5.26</v>
      </c>
      <c r="D462" s="78"/>
    </row>
    <row r="463" spans="1:4" ht="15.75" outlineLevel="1" x14ac:dyDescent="0.2">
      <c r="A463" s="20" t="s">
        <v>45</v>
      </c>
      <c r="B463" s="21" t="s">
        <v>289</v>
      </c>
      <c r="C463" s="20">
        <v>5.1139999999999999</v>
      </c>
      <c r="D463" s="77" t="s">
        <v>935</v>
      </c>
    </row>
    <row r="464" spans="1:4" ht="15.75" outlineLevel="1" x14ac:dyDescent="0.2">
      <c r="A464" s="20" t="s">
        <v>45</v>
      </c>
      <c r="B464" s="21" t="s">
        <v>604</v>
      </c>
      <c r="C464" s="20">
        <v>5.27</v>
      </c>
      <c r="D464" s="78"/>
    </row>
    <row r="465" spans="1:4" ht="15.75" outlineLevel="1" x14ac:dyDescent="0.2">
      <c r="A465" s="20" t="s">
        <v>45</v>
      </c>
      <c r="B465" s="21" t="s">
        <v>739</v>
      </c>
      <c r="C465" s="20">
        <v>5.1150000000000002</v>
      </c>
      <c r="D465" s="77" t="s">
        <v>935</v>
      </c>
    </row>
    <row r="466" spans="1:4" ht="15.75" outlineLevel="1" x14ac:dyDescent="0.2">
      <c r="A466" s="20" t="s">
        <v>45</v>
      </c>
      <c r="B466" s="21" t="s">
        <v>754</v>
      </c>
      <c r="C466" s="20">
        <v>5.1159999999999997</v>
      </c>
      <c r="D466" s="77" t="s">
        <v>935</v>
      </c>
    </row>
    <row r="467" spans="1:4" ht="15.75" outlineLevel="1" x14ac:dyDescent="0.2">
      <c r="A467" s="20" t="s">
        <v>45</v>
      </c>
      <c r="B467" s="21" t="s">
        <v>605</v>
      </c>
      <c r="C467" s="20">
        <v>5.28</v>
      </c>
      <c r="D467" s="78"/>
    </row>
    <row r="468" spans="1:4" ht="15.75" outlineLevel="1" x14ac:dyDescent="0.2">
      <c r="A468" s="20" t="s">
        <v>45</v>
      </c>
      <c r="B468" s="21" t="s">
        <v>606</v>
      </c>
      <c r="C468" s="20">
        <v>5.36</v>
      </c>
      <c r="D468" s="78"/>
    </row>
    <row r="469" spans="1:4" ht="15.75" outlineLevel="1" x14ac:dyDescent="0.2">
      <c r="A469" s="20" t="s">
        <v>45</v>
      </c>
      <c r="B469" s="21" t="s">
        <v>12</v>
      </c>
      <c r="C469" s="20">
        <v>5.37</v>
      </c>
      <c r="D469" s="78"/>
    </row>
    <row r="470" spans="1:4" ht="15.75" outlineLevel="1" x14ac:dyDescent="0.2">
      <c r="A470" s="20" t="s">
        <v>45</v>
      </c>
      <c r="B470" s="21" t="s">
        <v>396</v>
      </c>
      <c r="C470" s="20">
        <v>5.53</v>
      </c>
      <c r="D470" s="78"/>
    </row>
    <row r="471" spans="1:4" ht="15.75" outlineLevel="1" x14ac:dyDescent="0.2">
      <c r="A471" s="20" t="s">
        <v>45</v>
      </c>
      <c r="B471" s="21" t="s">
        <v>917</v>
      </c>
      <c r="C471" s="20">
        <v>5.109</v>
      </c>
      <c r="D471" s="78"/>
    </row>
    <row r="472" spans="1:4" ht="15.75" outlineLevel="1" x14ac:dyDescent="0.2">
      <c r="A472" s="20" t="s">
        <v>45</v>
      </c>
      <c r="B472" s="21" t="s">
        <v>372</v>
      </c>
      <c r="C472" s="20">
        <v>5.1109999999999998</v>
      </c>
      <c r="D472" s="78"/>
    </row>
    <row r="473" spans="1:4" ht="15.75" outlineLevel="1" x14ac:dyDescent="0.2">
      <c r="A473" s="20" t="s">
        <v>45</v>
      </c>
      <c r="B473" s="21" t="s">
        <v>16</v>
      </c>
      <c r="C473" s="20">
        <v>5.1120000000000001</v>
      </c>
      <c r="D473" s="78"/>
    </row>
    <row r="474" spans="1:4" ht="15.75" outlineLevel="1" x14ac:dyDescent="0.2">
      <c r="A474" s="20" t="s">
        <v>45</v>
      </c>
      <c r="B474" s="21" t="s">
        <v>11</v>
      </c>
      <c r="C474" s="20">
        <v>5.54</v>
      </c>
      <c r="D474" s="78"/>
    </row>
    <row r="475" spans="1:4" ht="15.75" outlineLevel="1" x14ac:dyDescent="0.2">
      <c r="A475" s="20" t="s">
        <v>45</v>
      </c>
      <c r="B475" s="21" t="s">
        <v>936</v>
      </c>
      <c r="C475" s="20">
        <v>5.61</v>
      </c>
      <c r="D475" s="78"/>
    </row>
    <row r="476" spans="1:4" ht="15.75" outlineLevel="1" x14ac:dyDescent="0.2">
      <c r="A476" s="20" t="s">
        <v>45</v>
      </c>
      <c r="B476" s="21" t="s">
        <v>1153</v>
      </c>
      <c r="C476" s="20">
        <v>5.63</v>
      </c>
      <c r="D476" s="78"/>
    </row>
    <row r="477" spans="1:4" ht="15.75" outlineLevel="1" x14ac:dyDescent="0.2">
      <c r="A477" s="20" t="s">
        <v>45</v>
      </c>
      <c r="B477" s="21" t="s">
        <v>736</v>
      </c>
      <c r="C477" s="20">
        <v>5.46</v>
      </c>
      <c r="D477" s="78"/>
    </row>
    <row r="478" spans="1:4" ht="15.75" outlineLevel="1" x14ac:dyDescent="0.2">
      <c r="A478" s="20" t="s">
        <v>45</v>
      </c>
      <c r="B478" s="21" t="s">
        <v>19</v>
      </c>
      <c r="C478" s="20">
        <v>5.47</v>
      </c>
      <c r="D478" s="78"/>
    </row>
    <row r="479" spans="1:4" ht="15.75" outlineLevel="1" x14ac:dyDescent="0.2">
      <c r="A479" s="20" t="s">
        <v>45</v>
      </c>
      <c r="B479" s="21" t="s">
        <v>30</v>
      </c>
      <c r="C479" s="20">
        <v>5.48</v>
      </c>
      <c r="D479" s="78"/>
    </row>
    <row r="480" spans="1:4" ht="15.75" x14ac:dyDescent="0.2">
      <c r="A480" s="25" t="s">
        <v>45</v>
      </c>
      <c r="B480" s="21"/>
      <c r="C480" s="20"/>
      <c r="D480" s="78"/>
    </row>
    <row r="481" spans="1:4" ht="15.75" hidden="1" outlineLevel="1" x14ac:dyDescent="0.2">
      <c r="A481" s="20" t="s">
        <v>46</v>
      </c>
      <c r="B481" s="21" t="s">
        <v>651</v>
      </c>
      <c r="C481" s="20">
        <v>5.0999999999999996</v>
      </c>
      <c r="D481" s="78"/>
    </row>
    <row r="482" spans="1:4" ht="15.75" hidden="1" outlineLevel="1" x14ac:dyDescent="0.2">
      <c r="A482" s="20" t="s">
        <v>46</v>
      </c>
      <c r="B482" s="21" t="s">
        <v>0</v>
      </c>
      <c r="C482" s="20">
        <v>5.2</v>
      </c>
      <c r="D482" s="78"/>
    </row>
    <row r="483" spans="1:4" ht="15.75" hidden="1" outlineLevel="1" x14ac:dyDescent="0.2">
      <c r="A483" s="20" t="s">
        <v>46</v>
      </c>
      <c r="B483" s="21" t="s">
        <v>724</v>
      </c>
      <c r="C483" s="20">
        <v>5.3</v>
      </c>
      <c r="D483" s="78"/>
    </row>
    <row r="484" spans="1:4" ht="15.75" hidden="1" outlineLevel="1" x14ac:dyDescent="0.2">
      <c r="A484" s="20" t="s">
        <v>46</v>
      </c>
      <c r="B484" s="21" t="s">
        <v>2</v>
      </c>
      <c r="C484" s="20">
        <v>5.6</v>
      </c>
      <c r="D484" s="78"/>
    </row>
    <row r="485" spans="1:4" ht="15.75" hidden="1" outlineLevel="1" x14ac:dyDescent="0.2">
      <c r="A485" s="20" t="s">
        <v>46</v>
      </c>
      <c r="B485" s="21" t="s">
        <v>730</v>
      </c>
      <c r="C485" s="22">
        <v>5.0999999999999996</v>
      </c>
      <c r="D485" s="78"/>
    </row>
    <row r="486" spans="1:4" ht="15.75" hidden="1" outlineLevel="1" x14ac:dyDescent="0.2">
      <c r="A486" s="20" t="s">
        <v>46</v>
      </c>
      <c r="B486" s="21" t="s">
        <v>3</v>
      </c>
      <c r="C486" s="20">
        <v>5.14</v>
      </c>
      <c r="D486" s="78"/>
    </row>
    <row r="487" spans="1:4" ht="15.75" hidden="1" outlineLevel="1" x14ac:dyDescent="0.2">
      <c r="A487" s="20" t="s">
        <v>46</v>
      </c>
      <c r="B487" s="21" t="s">
        <v>29</v>
      </c>
      <c r="C487" s="20">
        <v>5.19</v>
      </c>
      <c r="D487" s="78"/>
    </row>
    <row r="488" spans="1:4" ht="15.75" hidden="1" outlineLevel="1" x14ac:dyDescent="0.2">
      <c r="A488" s="20" t="s">
        <v>46</v>
      </c>
      <c r="B488" s="21" t="s">
        <v>28</v>
      </c>
      <c r="C488" s="20">
        <v>5.24</v>
      </c>
      <c r="D488" s="78"/>
    </row>
    <row r="489" spans="1:4" ht="15.75" hidden="1" outlineLevel="1" x14ac:dyDescent="0.2">
      <c r="A489" s="20" t="s">
        <v>46</v>
      </c>
      <c r="B489" s="21" t="s">
        <v>604</v>
      </c>
      <c r="C489" s="20">
        <v>5.27</v>
      </c>
      <c r="D489" s="78"/>
    </row>
    <row r="490" spans="1:4" ht="15.75" hidden="1" outlineLevel="1" x14ac:dyDescent="0.2">
      <c r="A490" s="20" t="s">
        <v>46</v>
      </c>
      <c r="B490" s="21" t="s">
        <v>605</v>
      </c>
      <c r="C490" s="20">
        <v>5.28</v>
      </c>
      <c r="D490" s="78"/>
    </row>
    <row r="491" spans="1:4" ht="15.75" hidden="1" outlineLevel="1" x14ac:dyDescent="0.2">
      <c r="A491" s="20" t="s">
        <v>46</v>
      </c>
      <c r="B491" s="21" t="s">
        <v>609</v>
      </c>
      <c r="C491" s="20">
        <v>5.29</v>
      </c>
      <c r="D491" s="78"/>
    </row>
    <row r="492" spans="1:4" ht="15.75" hidden="1" outlineLevel="1" x14ac:dyDescent="0.2">
      <c r="A492" s="20" t="s">
        <v>46</v>
      </c>
      <c r="B492" s="21" t="s">
        <v>738</v>
      </c>
      <c r="C492" s="20">
        <v>5.34</v>
      </c>
      <c r="D492" s="78"/>
    </row>
    <row r="493" spans="1:4" ht="15.75" hidden="1" outlineLevel="1" x14ac:dyDescent="0.2">
      <c r="A493" s="20" t="s">
        <v>46</v>
      </c>
      <c r="B493" s="21" t="s">
        <v>9</v>
      </c>
      <c r="C493" s="20">
        <v>5.31</v>
      </c>
      <c r="D493" s="78"/>
    </row>
    <row r="494" spans="1:4" ht="15.75" hidden="1" outlineLevel="1" x14ac:dyDescent="0.2">
      <c r="A494" s="20" t="s">
        <v>46</v>
      </c>
      <c r="B494" s="21" t="s">
        <v>666</v>
      </c>
      <c r="C494" s="20">
        <v>5.101</v>
      </c>
      <c r="D494" s="78"/>
    </row>
    <row r="495" spans="1:4" ht="15.75" hidden="1" outlineLevel="1" x14ac:dyDescent="0.2">
      <c r="A495" s="20" t="s">
        <v>46</v>
      </c>
      <c r="B495" s="21" t="s">
        <v>606</v>
      </c>
      <c r="C495" s="20">
        <v>5.36</v>
      </c>
      <c r="D495" s="78"/>
    </row>
    <row r="496" spans="1:4" ht="15.75" hidden="1" outlineLevel="1" x14ac:dyDescent="0.2">
      <c r="A496" s="20" t="s">
        <v>46</v>
      </c>
      <c r="B496" s="21" t="s">
        <v>12</v>
      </c>
      <c r="C496" s="20">
        <v>5.37</v>
      </c>
      <c r="D496" s="78"/>
    </row>
    <row r="497" spans="1:4" ht="15.75" hidden="1" outlineLevel="1" x14ac:dyDescent="0.2">
      <c r="A497" s="20" t="s">
        <v>46</v>
      </c>
      <c r="B497" s="21" t="s">
        <v>396</v>
      </c>
      <c r="C497" s="20">
        <v>5.53</v>
      </c>
      <c r="D497" s="78"/>
    </row>
    <row r="498" spans="1:4" ht="15.75" hidden="1" outlineLevel="1" x14ac:dyDescent="0.2">
      <c r="A498" s="20" t="s">
        <v>46</v>
      </c>
      <c r="B498" s="21" t="s">
        <v>917</v>
      </c>
      <c r="C498" s="20">
        <v>5.109</v>
      </c>
      <c r="D498" s="78"/>
    </row>
    <row r="499" spans="1:4" ht="15.75" hidden="1" outlineLevel="1" x14ac:dyDescent="0.2">
      <c r="A499" s="20" t="s">
        <v>46</v>
      </c>
      <c r="B499" s="21" t="s">
        <v>372</v>
      </c>
      <c r="C499" s="20">
        <v>5.1109999999999998</v>
      </c>
      <c r="D499" s="78"/>
    </row>
    <row r="500" spans="1:4" ht="15.75" hidden="1" outlineLevel="1" x14ac:dyDescent="0.2">
      <c r="A500" s="20" t="s">
        <v>46</v>
      </c>
      <c r="B500" s="21" t="s">
        <v>16</v>
      </c>
      <c r="C500" s="20">
        <v>5.1120000000000001</v>
      </c>
      <c r="D500" s="78"/>
    </row>
    <row r="501" spans="1:4" ht="15.75" hidden="1" outlineLevel="1" x14ac:dyDescent="0.2">
      <c r="A501" s="20" t="s">
        <v>46</v>
      </c>
      <c r="B501" s="21" t="s">
        <v>23</v>
      </c>
      <c r="C501" s="20">
        <v>5.1020000000000003</v>
      </c>
      <c r="D501" s="78"/>
    </row>
    <row r="502" spans="1:4" ht="15.75" hidden="1" outlineLevel="1" x14ac:dyDescent="0.2">
      <c r="A502" s="20" t="s">
        <v>46</v>
      </c>
      <c r="B502" s="21" t="s">
        <v>613</v>
      </c>
      <c r="C502" s="23">
        <v>5.0999999999999996</v>
      </c>
      <c r="D502" s="78"/>
    </row>
    <row r="503" spans="1:4" ht="15.75" hidden="1" outlineLevel="1" x14ac:dyDescent="0.2">
      <c r="A503" s="20" t="s">
        <v>46</v>
      </c>
      <c r="B503" s="21" t="s">
        <v>773</v>
      </c>
      <c r="C503" s="20">
        <v>5.58</v>
      </c>
      <c r="D503" s="78"/>
    </row>
    <row r="504" spans="1:4" ht="15.75" hidden="1" outlineLevel="1" x14ac:dyDescent="0.2">
      <c r="A504" s="20" t="s">
        <v>46</v>
      </c>
      <c r="B504" s="21" t="s">
        <v>15</v>
      </c>
      <c r="C504" s="20">
        <v>5.55</v>
      </c>
      <c r="D504" s="78"/>
    </row>
    <row r="505" spans="1:4" ht="15.75" hidden="1" outlineLevel="1" x14ac:dyDescent="0.2">
      <c r="A505" s="20" t="s">
        <v>46</v>
      </c>
      <c r="B505" s="21" t="s">
        <v>11</v>
      </c>
      <c r="C505" s="20">
        <v>5.54</v>
      </c>
      <c r="D505" s="78"/>
    </row>
    <row r="506" spans="1:4" ht="15.75" hidden="1" outlineLevel="1" x14ac:dyDescent="0.2">
      <c r="A506" s="20" t="s">
        <v>46</v>
      </c>
      <c r="B506" s="21" t="s">
        <v>1153</v>
      </c>
      <c r="C506" s="20">
        <v>5.63</v>
      </c>
      <c r="D506" s="78"/>
    </row>
    <row r="507" spans="1:4" ht="15.75" hidden="1" outlineLevel="1" x14ac:dyDescent="0.2">
      <c r="A507" s="20" t="s">
        <v>46</v>
      </c>
      <c r="B507" s="21" t="s">
        <v>19</v>
      </c>
      <c r="C507" s="20">
        <v>5.47</v>
      </c>
      <c r="D507" s="78"/>
    </row>
    <row r="508" spans="1:4" ht="15.75" hidden="1" outlineLevel="1" x14ac:dyDescent="0.2">
      <c r="A508" s="20" t="s">
        <v>46</v>
      </c>
      <c r="B508" s="21" t="s">
        <v>30</v>
      </c>
      <c r="C508" s="20">
        <v>5.48</v>
      </c>
      <c r="D508" s="78"/>
    </row>
    <row r="509" spans="1:4" ht="15.75" collapsed="1" x14ac:dyDescent="0.2">
      <c r="A509" s="25" t="s">
        <v>46</v>
      </c>
      <c r="B509" s="21"/>
      <c r="C509" s="20"/>
      <c r="D509" s="78"/>
    </row>
    <row r="510" spans="1:4" ht="15.75" hidden="1" outlineLevel="1" x14ac:dyDescent="0.2">
      <c r="A510" s="20" t="s">
        <v>47</v>
      </c>
      <c r="B510" s="21" t="s">
        <v>651</v>
      </c>
      <c r="C510" s="20">
        <v>5.0999999999999996</v>
      </c>
      <c r="D510" s="78"/>
    </row>
    <row r="511" spans="1:4" ht="15.75" hidden="1" outlineLevel="1" x14ac:dyDescent="0.2">
      <c r="A511" s="20" t="s">
        <v>47</v>
      </c>
      <c r="B511" s="21" t="s">
        <v>0</v>
      </c>
      <c r="C511" s="20">
        <v>5.2</v>
      </c>
      <c r="D511" s="78"/>
    </row>
    <row r="512" spans="1:4" ht="15.75" hidden="1" outlineLevel="1" x14ac:dyDescent="0.2">
      <c r="A512" s="20" t="s">
        <v>47</v>
      </c>
      <c r="B512" s="21" t="s">
        <v>724</v>
      </c>
      <c r="C512" s="20">
        <v>5.3</v>
      </c>
      <c r="D512" s="78"/>
    </row>
    <row r="513" spans="1:4" ht="15.75" hidden="1" outlineLevel="1" x14ac:dyDescent="0.2">
      <c r="A513" s="20" t="s">
        <v>47</v>
      </c>
      <c r="B513" s="21" t="s">
        <v>2</v>
      </c>
      <c r="C513" s="20">
        <v>5.6</v>
      </c>
      <c r="D513" s="78"/>
    </row>
    <row r="514" spans="1:4" ht="15.75" hidden="1" outlineLevel="1" x14ac:dyDescent="0.2">
      <c r="A514" s="20" t="s">
        <v>47</v>
      </c>
      <c r="B514" s="21" t="s">
        <v>730</v>
      </c>
      <c r="C514" s="22">
        <v>5.0999999999999996</v>
      </c>
      <c r="D514" s="78"/>
    </row>
    <row r="515" spans="1:4" ht="15.75" hidden="1" outlineLevel="1" x14ac:dyDescent="0.2">
      <c r="A515" s="20" t="s">
        <v>47</v>
      </c>
      <c r="B515" s="21" t="s">
        <v>3</v>
      </c>
      <c r="C515" s="20">
        <v>5.14</v>
      </c>
      <c r="D515" s="78"/>
    </row>
    <row r="516" spans="1:4" ht="15.75" hidden="1" outlineLevel="1" x14ac:dyDescent="0.2">
      <c r="A516" s="20" t="s">
        <v>47</v>
      </c>
      <c r="B516" s="21" t="s">
        <v>29</v>
      </c>
      <c r="C516" s="20">
        <v>5.19</v>
      </c>
      <c r="D516" s="78"/>
    </row>
    <row r="517" spans="1:4" ht="15.75" hidden="1" outlineLevel="1" x14ac:dyDescent="0.2">
      <c r="A517" s="20" t="s">
        <v>47</v>
      </c>
      <c r="B517" s="21" t="s">
        <v>28</v>
      </c>
      <c r="C517" s="20">
        <v>5.24</v>
      </c>
      <c r="D517" s="78"/>
    </row>
    <row r="518" spans="1:4" ht="15.75" hidden="1" outlineLevel="1" x14ac:dyDescent="0.2">
      <c r="A518" s="20" t="s">
        <v>47</v>
      </c>
      <c r="B518" s="21" t="s">
        <v>1</v>
      </c>
      <c r="C518" s="20">
        <v>5.26</v>
      </c>
      <c r="D518" s="78"/>
    </row>
    <row r="519" spans="1:4" ht="15.75" hidden="1" outlineLevel="1" x14ac:dyDescent="0.2">
      <c r="A519" s="20" t="s">
        <v>47</v>
      </c>
      <c r="B519" s="21" t="s">
        <v>604</v>
      </c>
      <c r="C519" s="20">
        <v>5.27</v>
      </c>
      <c r="D519" s="78"/>
    </row>
    <row r="520" spans="1:4" ht="15.75" hidden="1" outlineLevel="1" x14ac:dyDescent="0.2">
      <c r="A520" s="20" t="s">
        <v>47</v>
      </c>
      <c r="B520" s="21" t="s">
        <v>605</v>
      </c>
      <c r="C520" s="20">
        <v>5.28</v>
      </c>
      <c r="D520" s="78"/>
    </row>
    <row r="521" spans="1:4" ht="15.75" hidden="1" outlineLevel="1" x14ac:dyDescent="0.2">
      <c r="A521" s="20" t="s">
        <v>47</v>
      </c>
      <c r="B521" s="21" t="s">
        <v>9</v>
      </c>
      <c r="C521" s="20">
        <v>5.31</v>
      </c>
      <c r="D521" s="78"/>
    </row>
    <row r="522" spans="1:4" ht="15.75" hidden="1" outlineLevel="1" x14ac:dyDescent="0.2">
      <c r="A522" s="20" t="s">
        <v>47</v>
      </c>
      <c r="B522" s="21" t="s">
        <v>10</v>
      </c>
      <c r="C522" s="20">
        <v>5.33</v>
      </c>
      <c r="D522" s="78"/>
    </row>
    <row r="523" spans="1:4" ht="15.75" hidden="1" outlineLevel="1" x14ac:dyDescent="0.2">
      <c r="A523" s="20" t="s">
        <v>47</v>
      </c>
      <c r="B523" s="21" t="s">
        <v>666</v>
      </c>
      <c r="C523" s="20">
        <v>5.101</v>
      </c>
      <c r="D523" s="78"/>
    </row>
    <row r="524" spans="1:4" ht="15.75" hidden="1" outlineLevel="1" x14ac:dyDescent="0.2">
      <c r="A524" s="20" t="s">
        <v>47</v>
      </c>
      <c r="B524" s="21" t="s">
        <v>606</v>
      </c>
      <c r="C524" s="20">
        <v>5.36</v>
      </c>
      <c r="D524" s="78"/>
    </row>
    <row r="525" spans="1:4" ht="15.75" hidden="1" outlineLevel="1" x14ac:dyDescent="0.2">
      <c r="A525" s="20" t="s">
        <v>47</v>
      </c>
      <c r="B525" s="21" t="s">
        <v>12</v>
      </c>
      <c r="C525" s="20">
        <v>5.37</v>
      </c>
      <c r="D525" s="78"/>
    </row>
    <row r="526" spans="1:4" ht="15.75" hidden="1" outlineLevel="1" x14ac:dyDescent="0.2">
      <c r="A526" s="20" t="s">
        <v>47</v>
      </c>
      <c r="B526" s="21" t="s">
        <v>396</v>
      </c>
      <c r="C526" s="20">
        <v>5.53</v>
      </c>
      <c r="D526" s="78"/>
    </row>
    <row r="527" spans="1:4" ht="15.75" hidden="1" outlineLevel="1" x14ac:dyDescent="0.2">
      <c r="A527" s="20" t="s">
        <v>47</v>
      </c>
      <c r="B527" s="21" t="s">
        <v>917</v>
      </c>
      <c r="C527" s="20">
        <v>5.109</v>
      </c>
      <c r="D527" s="78"/>
    </row>
    <row r="528" spans="1:4" ht="15.75" hidden="1" outlineLevel="1" x14ac:dyDescent="0.2">
      <c r="A528" s="20" t="s">
        <v>47</v>
      </c>
      <c r="B528" s="21" t="s">
        <v>372</v>
      </c>
      <c r="C528" s="20">
        <v>5.1109999999999998</v>
      </c>
      <c r="D528" s="78"/>
    </row>
    <row r="529" spans="1:4" ht="15.75" hidden="1" outlineLevel="1" x14ac:dyDescent="0.2">
      <c r="A529" s="20" t="s">
        <v>47</v>
      </c>
      <c r="B529" s="21" t="s">
        <v>16</v>
      </c>
      <c r="C529" s="20">
        <v>5.1120000000000001</v>
      </c>
      <c r="D529" s="78"/>
    </row>
    <row r="530" spans="1:4" ht="15.75" hidden="1" outlineLevel="1" x14ac:dyDescent="0.2">
      <c r="A530" s="20" t="s">
        <v>47</v>
      </c>
      <c r="B530" s="21" t="s">
        <v>23</v>
      </c>
      <c r="C530" s="20">
        <v>5.1020000000000003</v>
      </c>
      <c r="D530" s="78"/>
    </row>
    <row r="531" spans="1:4" ht="15.75" hidden="1" outlineLevel="1" x14ac:dyDescent="0.2">
      <c r="A531" s="20" t="s">
        <v>47</v>
      </c>
      <c r="B531" s="21" t="s">
        <v>613</v>
      </c>
      <c r="C531" s="23">
        <v>5.0999999999999996</v>
      </c>
      <c r="D531" s="78"/>
    </row>
    <row r="532" spans="1:4" ht="15.75" hidden="1" outlineLevel="1" x14ac:dyDescent="0.2">
      <c r="A532" s="20" t="s">
        <v>47</v>
      </c>
      <c r="B532" s="21" t="s">
        <v>773</v>
      </c>
      <c r="C532" s="20">
        <v>5.58</v>
      </c>
      <c r="D532" s="78"/>
    </row>
    <row r="533" spans="1:4" ht="15.75" hidden="1" outlineLevel="1" x14ac:dyDescent="0.2">
      <c r="A533" s="20" t="s">
        <v>47</v>
      </c>
      <c r="B533" s="21" t="s">
        <v>15</v>
      </c>
      <c r="C533" s="20">
        <v>5.55</v>
      </c>
      <c r="D533" s="78"/>
    </row>
    <row r="534" spans="1:4" ht="15.75" hidden="1" outlineLevel="1" x14ac:dyDescent="0.2">
      <c r="A534" s="20" t="s">
        <v>47</v>
      </c>
      <c r="B534" s="21" t="s">
        <v>11</v>
      </c>
      <c r="C534" s="20">
        <v>5.54</v>
      </c>
      <c r="D534" s="78"/>
    </row>
    <row r="535" spans="1:4" ht="15.75" hidden="1" outlineLevel="1" x14ac:dyDescent="0.2">
      <c r="A535" s="20" t="s">
        <v>47</v>
      </c>
      <c r="B535" s="21" t="s">
        <v>1153</v>
      </c>
      <c r="C535" s="20">
        <v>5.63</v>
      </c>
      <c r="D535" s="78"/>
    </row>
    <row r="536" spans="1:4" ht="15.75" hidden="1" outlineLevel="1" x14ac:dyDescent="0.2">
      <c r="A536" s="20" t="s">
        <v>47</v>
      </c>
      <c r="B536" s="21" t="s">
        <v>19</v>
      </c>
      <c r="C536" s="20">
        <v>5.47</v>
      </c>
      <c r="D536" s="78"/>
    </row>
    <row r="537" spans="1:4" ht="15.75" hidden="1" outlineLevel="1" x14ac:dyDescent="0.2">
      <c r="A537" s="20" t="s">
        <v>47</v>
      </c>
      <c r="B537" s="21" t="s">
        <v>30</v>
      </c>
      <c r="C537" s="20">
        <v>5.48</v>
      </c>
      <c r="D537" s="78"/>
    </row>
    <row r="538" spans="1:4" ht="15.75" collapsed="1" x14ac:dyDescent="0.2">
      <c r="A538" s="25" t="s">
        <v>47</v>
      </c>
      <c r="B538" s="21"/>
      <c r="C538" s="20"/>
      <c r="D538" s="78"/>
    </row>
    <row r="539" spans="1:4" ht="15.75" hidden="1" outlineLevel="1" x14ac:dyDescent="0.2">
      <c r="A539" s="20" t="s">
        <v>461</v>
      </c>
      <c r="B539" s="21" t="s">
        <v>651</v>
      </c>
      <c r="C539" s="20">
        <v>5.0999999999999996</v>
      </c>
      <c r="D539" s="78"/>
    </row>
    <row r="540" spans="1:4" ht="15.75" hidden="1" outlineLevel="1" x14ac:dyDescent="0.2">
      <c r="A540" s="20" t="s">
        <v>461</v>
      </c>
      <c r="B540" s="21" t="s">
        <v>0</v>
      </c>
      <c r="C540" s="20">
        <v>5.2</v>
      </c>
      <c r="D540" s="78"/>
    </row>
    <row r="541" spans="1:4" ht="15.75" hidden="1" outlineLevel="1" x14ac:dyDescent="0.2">
      <c r="A541" s="20" t="s">
        <v>461</v>
      </c>
      <c r="B541" s="21" t="s">
        <v>1</v>
      </c>
      <c r="C541" s="20">
        <v>5.26</v>
      </c>
      <c r="D541" s="78"/>
    </row>
    <row r="542" spans="1:4" ht="15.75" hidden="1" outlineLevel="1" x14ac:dyDescent="0.2">
      <c r="A542" s="20" t="s">
        <v>461</v>
      </c>
      <c r="B542" s="21" t="s">
        <v>418</v>
      </c>
      <c r="C542" s="20">
        <v>5.21</v>
      </c>
      <c r="D542" s="78"/>
    </row>
    <row r="543" spans="1:4" ht="15.75" hidden="1" outlineLevel="1" x14ac:dyDescent="0.2">
      <c r="A543" s="20" t="s">
        <v>461</v>
      </c>
      <c r="B543" s="21" t="s">
        <v>798</v>
      </c>
      <c r="C543" s="20">
        <v>5.53</v>
      </c>
      <c r="D543" s="78"/>
    </row>
    <row r="544" spans="1:4" ht="15.75" hidden="1" outlineLevel="1" x14ac:dyDescent="0.2">
      <c r="A544" s="20" t="s">
        <v>461</v>
      </c>
      <c r="B544" s="21" t="s">
        <v>11</v>
      </c>
      <c r="C544" s="20">
        <v>5.54</v>
      </c>
      <c r="D544" s="78"/>
    </row>
    <row r="545" spans="1:4" ht="15.75" hidden="1" outlineLevel="1" x14ac:dyDescent="0.2">
      <c r="A545" s="20" t="s">
        <v>461</v>
      </c>
      <c r="B545" s="21" t="s">
        <v>326</v>
      </c>
      <c r="C545" s="20">
        <v>5.58</v>
      </c>
      <c r="D545" s="78"/>
    </row>
    <row r="546" spans="1:4" ht="15.75" hidden="1" outlineLevel="1" x14ac:dyDescent="0.2">
      <c r="A546" s="20" t="s">
        <v>461</v>
      </c>
      <c r="B546" s="21" t="s">
        <v>330</v>
      </c>
      <c r="C546" s="20">
        <v>5.1180000000000003</v>
      </c>
      <c r="D546" s="78"/>
    </row>
    <row r="547" spans="1:4" ht="15.75" hidden="1" outlineLevel="1" x14ac:dyDescent="0.2">
      <c r="A547" s="20" t="s">
        <v>461</v>
      </c>
      <c r="B547" s="21" t="s">
        <v>328</v>
      </c>
      <c r="C547" s="20">
        <v>5.47</v>
      </c>
      <c r="D547" s="78"/>
    </row>
    <row r="548" spans="1:4" ht="15.75" hidden="1" outlineLevel="1" x14ac:dyDescent="0.2">
      <c r="A548" s="20" t="s">
        <v>461</v>
      </c>
      <c r="B548" s="21" t="s">
        <v>329</v>
      </c>
      <c r="C548" s="20">
        <v>5.48</v>
      </c>
      <c r="D548" s="78"/>
    </row>
    <row r="549" spans="1:4" ht="15.75" hidden="1" outlineLevel="1" x14ac:dyDescent="0.2">
      <c r="A549" s="20" t="s">
        <v>461</v>
      </c>
      <c r="B549" s="21" t="s">
        <v>419</v>
      </c>
      <c r="C549" s="20">
        <v>5.21</v>
      </c>
      <c r="D549" s="78"/>
    </row>
    <row r="550" spans="1:4" ht="15.75" hidden="1" outlineLevel="1" x14ac:dyDescent="0.2">
      <c r="A550" s="20" t="s">
        <v>461</v>
      </c>
      <c r="B550" s="21" t="s">
        <v>799</v>
      </c>
      <c r="C550" s="20">
        <v>5.53</v>
      </c>
      <c r="D550" s="78"/>
    </row>
    <row r="551" spans="1:4" ht="15.75" hidden="1" outlineLevel="1" x14ac:dyDescent="0.2">
      <c r="A551" s="20" t="s">
        <v>461</v>
      </c>
      <c r="B551" s="21" t="s">
        <v>11</v>
      </c>
      <c r="C551" s="20">
        <v>5.54</v>
      </c>
      <c r="D551" s="78"/>
    </row>
    <row r="552" spans="1:4" ht="15.75" hidden="1" outlineLevel="1" x14ac:dyDescent="0.2">
      <c r="A552" s="20" t="s">
        <v>461</v>
      </c>
      <c r="B552" s="21" t="s">
        <v>327</v>
      </c>
      <c r="C552" s="20">
        <v>5.58</v>
      </c>
      <c r="D552" s="78"/>
    </row>
    <row r="553" spans="1:4" ht="15.75" hidden="1" outlineLevel="1" x14ac:dyDescent="0.2">
      <c r="A553" s="20" t="s">
        <v>461</v>
      </c>
      <c r="B553" s="21" t="s">
        <v>331</v>
      </c>
      <c r="C553" s="20">
        <v>5.1180000000000003</v>
      </c>
      <c r="D553" s="78"/>
    </row>
    <row r="554" spans="1:4" ht="15.75" hidden="1" outlineLevel="1" x14ac:dyDescent="0.2">
      <c r="A554" s="20" t="s">
        <v>461</v>
      </c>
      <c r="B554" s="21" t="s">
        <v>944</v>
      </c>
      <c r="C554" s="20">
        <v>5.47</v>
      </c>
      <c r="D554" s="78"/>
    </row>
    <row r="555" spans="1:4" ht="15.75" hidden="1" outlineLevel="1" x14ac:dyDescent="0.2">
      <c r="A555" s="20" t="s">
        <v>461</v>
      </c>
      <c r="B555" s="21" t="s">
        <v>945</v>
      </c>
      <c r="C555" s="20">
        <v>5.48</v>
      </c>
      <c r="D555" s="78"/>
    </row>
    <row r="556" spans="1:4" ht="15.75" hidden="1" outlineLevel="1" x14ac:dyDescent="0.2">
      <c r="A556" s="20" t="s">
        <v>461</v>
      </c>
      <c r="B556" s="21" t="s">
        <v>1160</v>
      </c>
      <c r="C556" s="20">
        <v>5.63</v>
      </c>
      <c r="D556" s="78"/>
    </row>
    <row r="557" spans="1:4" ht="15.75" hidden="1" outlineLevel="1" x14ac:dyDescent="0.2">
      <c r="A557" s="20" t="s">
        <v>461</v>
      </c>
      <c r="B557" s="21" t="s">
        <v>604</v>
      </c>
      <c r="C557" s="20">
        <v>5.27</v>
      </c>
      <c r="D557" s="78"/>
    </row>
    <row r="558" spans="1:4" ht="15.75" hidden="1" outlineLevel="1" x14ac:dyDescent="0.2">
      <c r="A558" s="20" t="s">
        <v>461</v>
      </c>
      <c r="B558" s="21" t="s">
        <v>605</v>
      </c>
      <c r="C558" s="20">
        <v>5.28</v>
      </c>
      <c r="D558" s="78"/>
    </row>
    <row r="559" spans="1:4" ht="15.75" hidden="1" outlineLevel="1" x14ac:dyDescent="0.2">
      <c r="A559" s="20" t="s">
        <v>461</v>
      </c>
      <c r="B559" s="21" t="s">
        <v>464</v>
      </c>
      <c r="C559" s="20">
        <v>5.35</v>
      </c>
      <c r="D559" s="78"/>
    </row>
    <row r="560" spans="1:4" ht="15.75" hidden="1" outlineLevel="1" x14ac:dyDescent="0.2">
      <c r="A560" s="20" t="s">
        <v>461</v>
      </c>
      <c r="B560" s="21" t="s">
        <v>343</v>
      </c>
      <c r="C560" s="20">
        <v>5.1189999999999998</v>
      </c>
      <c r="D560" s="78"/>
    </row>
    <row r="561" spans="1:4" ht="15.75" hidden="1" outlineLevel="1" x14ac:dyDescent="0.2">
      <c r="A561" s="20" t="s">
        <v>461</v>
      </c>
      <c r="B561" s="21" t="s">
        <v>463</v>
      </c>
      <c r="C561" s="23">
        <v>5.12</v>
      </c>
      <c r="D561" s="78"/>
    </row>
    <row r="562" spans="1:4" ht="15.75" hidden="1" outlineLevel="1" x14ac:dyDescent="0.2">
      <c r="A562" s="20" t="s">
        <v>461</v>
      </c>
      <c r="B562" s="21" t="s">
        <v>99</v>
      </c>
      <c r="C562" s="20">
        <v>5.1210000000000004</v>
      </c>
      <c r="D562" s="78"/>
    </row>
    <row r="563" spans="1:4" ht="15.75" hidden="1" outlineLevel="1" x14ac:dyDescent="0.2">
      <c r="A563" s="20" t="s">
        <v>461</v>
      </c>
      <c r="B563" s="21" t="s">
        <v>606</v>
      </c>
      <c r="C563" s="20">
        <v>5.36</v>
      </c>
      <c r="D563" s="78"/>
    </row>
    <row r="564" spans="1:4" ht="15.75" hidden="1" outlineLevel="1" x14ac:dyDescent="0.2">
      <c r="A564" s="20" t="s">
        <v>461</v>
      </c>
      <c r="B564" s="21" t="s">
        <v>365</v>
      </c>
      <c r="C564" s="20">
        <v>5.1219999999999999</v>
      </c>
      <c r="D564" s="78"/>
    </row>
    <row r="565" spans="1:4" ht="15.75" hidden="1" outlineLevel="1" x14ac:dyDescent="0.2">
      <c r="A565" s="20" t="s">
        <v>461</v>
      </c>
      <c r="B565" s="21" t="s">
        <v>366</v>
      </c>
      <c r="C565" s="20">
        <v>5.1230000000000002</v>
      </c>
      <c r="D565" s="78"/>
    </row>
    <row r="566" spans="1:4" ht="15.75" hidden="1" outlineLevel="1" x14ac:dyDescent="0.2">
      <c r="A566" s="20" t="s">
        <v>461</v>
      </c>
      <c r="B566" s="21" t="s">
        <v>612</v>
      </c>
      <c r="C566" s="20">
        <v>5.1239999999999997</v>
      </c>
      <c r="D566" s="78"/>
    </row>
    <row r="567" spans="1:4" ht="15.75" hidden="1" outlineLevel="1" x14ac:dyDescent="0.2">
      <c r="A567" s="20" t="s">
        <v>461</v>
      </c>
      <c r="B567" s="21" t="s">
        <v>308</v>
      </c>
      <c r="C567" s="20">
        <v>5.125</v>
      </c>
      <c r="D567" s="78"/>
    </row>
    <row r="568" spans="1:4" ht="15.75" hidden="1" outlineLevel="1" x14ac:dyDescent="0.2">
      <c r="A568" s="20" t="s">
        <v>461</v>
      </c>
      <c r="B568" s="21" t="s">
        <v>368</v>
      </c>
      <c r="C568" s="20">
        <v>5.1260000000000003</v>
      </c>
      <c r="D568" s="78"/>
    </row>
    <row r="569" spans="1:4" ht="15.75" hidden="1" outlineLevel="1" x14ac:dyDescent="0.2">
      <c r="A569" s="20" t="s">
        <v>461</v>
      </c>
      <c r="B569" s="21" t="s">
        <v>737</v>
      </c>
      <c r="C569" s="20">
        <v>5.1269999999999998</v>
      </c>
      <c r="D569" s="78"/>
    </row>
    <row r="570" spans="1:4" ht="15.75" hidden="1" outlineLevel="1" x14ac:dyDescent="0.2">
      <c r="A570" s="20" t="s">
        <v>461</v>
      </c>
      <c r="B570" s="21" t="s">
        <v>309</v>
      </c>
      <c r="C570" s="22">
        <v>5.72</v>
      </c>
      <c r="D570" s="78"/>
    </row>
    <row r="571" spans="1:4" ht="15.75" hidden="1" outlineLevel="1" x14ac:dyDescent="0.2">
      <c r="A571" s="20" t="s">
        <v>461</v>
      </c>
      <c r="B571" s="21" t="s">
        <v>310</v>
      </c>
      <c r="C571" s="20">
        <v>5.1280000000000001</v>
      </c>
      <c r="D571" s="78"/>
    </row>
    <row r="572" spans="1:4" ht="15.75" hidden="1" outlineLevel="1" x14ac:dyDescent="0.2">
      <c r="A572" s="20" t="s">
        <v>461</v>
      </c>
      <c r="B572" s="21" t="s">
        <v>349</v>
      </c>
      <c r="C572" s="20">
        <v>5.1289999999999996</v>
      </c>
      <c r="D572" s="77" t="s">
        <v>935</v>
      </c>
    </row>
    <row r="573" spans="1:4" ht="15.75" hidden="1" outlineLevel="1" x14ac:dyDescent="0.2">
      <c r="A573" s="20" t="s">
        <v>461</v>
      </c>
      <c r="B573" s="21" t="s">
        <v>367</v>
      </c>
      <c r="C573" s="20">
        <v>5.1310000000000002</v>
      </c>
      <c r="D573" s="78"/>
    </row>
    <row r="574" spans="1:4" ht="15.75" hidden="1" outlineLevel="1" x14ac:dyDescent="0.2">
      <c r="A574" s="20" t="s">
        <v>461</v>
      </c>
      <c r="B574" s="21" t="s">
        <v>617</v>
      </c>
      <c r="C574" s="20">
        <v>5.1319999999999997</v>
      </c>
      <c r="D574" s="77" t="s">
        <v>935</v>
      </c>
    </row>
    <row r="575" spans="1:4" ht="15.75" hidden="1" outlineLevel="1" x14ac:dyDescent="0.2">
      <c r="A575" s="20" t="s">
        <v>461</v>
      </c>
      <c r="B575" s="21" t="s">
        <v>364</v>
      </c>
      <c r="C575" s="20">
        <v>5.133</v>
      </c>
      <c r="D575" s="77" t="s">
        <v>935</v>
      </c>
    </row>
    <row r="576" spans="1:4" ht="15.75" hidden="1" outlineLevel="1" x14ac:dyDescent="0.2">
      <c r="A576" s="20" t="s">
        <v>461</v>
      </c>
      <c r="B576" s="21" t="s">
        <v>458</v>
      </c>
      <c r="C576" s="20">
        <v>5.1340000000000003</v>
      </c>
      <c r="D576" s="77" t="s">
        <v>935</v>
      </c>
    </row>
    <row r="577" spans="1:4" ht="15.75" hidden="1" outlineLevel="1" x14ac:dyDescent="0.2">
      <c r="A577" s="20" t="s">
        <v>461</v>
      </c>
      <c r="B577" s="21" t="s">
        <v>436</v>
      </c>
      <c r="C577" s="23">
        <v>5.13</v>
      </c>
      <c r="D577" s="78"/>
    </row>
    <row r="578" spans="1:4" ht="15.75" hidden="1" outlineLevel="1" x14ac:dyDescent="0.2">
      <c r="A578" s="20" t="s">
        <v>461</v>
      </c>
      <c r="B578" s="21" t="s">
        <v>19</v>
      </c>
      <c r="C578" s="20">
        <v>5.47</v>
      </c>
      <c r="D578" s="78"/>
    </row>
    <row r="579" spans="1:4" ht="15.75" hidden="1" outlineLevel="1" x14ac:dyDescent="0.2">
      <c r="A579" s="20" t="s">
        <v>461</v>
      </c>
      <c r="B579" s="21" t="s">
        <v>30</v>
      </c>
      <c r="C579" s="20">
        <v>5.48</v>
      </c>
      <c r="D579" s="78"/>
    </row>
    <row r="580" spans="1:4" ht="15.75" collapsed="1" x14ac:dyDescent="0.2">
      <c r="A580" s="25" t="s">
        <v>461</v>
      </c>
      <c r="B580" s="21"/>
      <c r="C580" s="20"/>
      <c r="D580" s="78"/>
    </row>
    <row r="581" spans="1:4" ht="15.75" hidden="1" outlineLevel="1" x14ac:dyDescent="0.2">
      <c r="A581" s="20" t="s">
        <v>48</v>
      </c>
      <c r="B581" s="21" t="s">
        <v>651</v>
      </c>
      <c r="C581" s="20">
        <v>5.0999999999999996</v>
      </c>
      <c r="D581" s="78"/>
    </row>
    <row r="582" spans="1:4" ht="15.75" hidden="1" outlineLevel="1" x14ac:dyDescent="0.2">
      <c r="A582" s="20" t="s">
        <v>48</v>
      </c>
      <c r="B582" s="21" t="s">
        <v>0</v>
      </c>
      <c r="C582" s="20">
        <v>5.2</v>
      </c>
      <c r="D582" s="78"/>
    </row>
    <row r="583" spans="1:4" ht="15.75" hidden="1" outlineLevel="1" x14ac:dyDescent="0.2">
      <c r="A583" s="20" t="s">
        <v>48</v>
      </c>
      <c r="B583" s="21" t="s">
        <v>725</v>
      </c>
      <c r="C583" s="20">
        <v>5.9</v>
      </c>
      <c r="D583" s="77" t="s">
        <v>935</v>
      </c>
    </row>
    <row r="584" spans="1:4" ht="15.75" hidden="1" outlineLevel="1" x14ac:dyDescent="0.2">
      <c r="A584" s="20" t="s">
        <v>48</v>
      </c>
      <c r="B584" s="21" t="s">
        <v>726</v>
      </c>
      <c r="C584" s="20">
        <v>5.13</v>
      </c>
      <c r="D584" s="77" t="s">
        <v>935</v>
      </c>
    </row>
    <row r="585" spans="1:4" ht="15.75" hidden="1" outlineLevel="1" x14ac:dyDescent="0.2">
      <c r="A585" s="20" t="s">
        <v>48</v>
      </c>
      <c r="B585" s="21" t="s">
        <v>727</v>
      </c>
      <c r="C585" s="20">
        <v>5.16</v>
      </c>
      <c r="D585" s="77" t="s">
        <v>935</v>
      </c>
    </row>
    <row r="586" spans="1:4" ht="15.75" hidden="1" outlineLevel="1" x14ac:dyDescent="0.2">
      <c r="A586" s="20" t="s">
        <v>48</v>
      </c>
      <c r="B586" s="21" t="s">
        <v>728</v>
      </c>
      <c r="C586" s="20">
        <v>5.22</v>
      </c>
      <c r="D586" s="77"/>
    </row>
    <row r="587" spans="1:4" ht="15.75" hidden="1" outlineLevel="1" x14ac:dyDescent="0.2">
      <c r="A587" s="20" t="s">
        <v>48</v>
      </c>
      <c r="B587" s="21" t="s">
        <v>1</v>
      </c>
      <c r="C587" s="20">
        <v>5.26</v>
      </c>
      <c r="D587" s="78"/>
    </row>
    <row r="588" spans="1:4" ht="15.75" hidden="1" outlineLevel="1" x14ac:dyDescent="0.2">
      <c r="A588" s="20" t="s">
        <v>48</v>
      </c>
      <c r="B588" s="21" t="s">
        <v>916</v>
      </c>
      <c r="C588" s="20">
        <v>5.77</v>
      </c>
      <c r="D588" s="78"/>
    </row>
    <row r="589" spans="1:4" ht="15.75" hidden="1" outlineLevel="1" x14ac:dyDescent="0.2">
      <c r="A589" s="20" t="s">
        <v>48</v>
      </c>
      <c r="B589" s="21" t="s">
        <v>604</v>
      </c>
      <c r="C589" s="20">
        <v>5.27</v>
      </c>
      <c r="D589" s="78"/>
    </row>
    <row r="590" spans="1:4" ht="15.75" hidden="1" outlineLevel="1" x14ac:dyDescent="0.2">
      <c r="A590" s="20" t="s">
        <v>48</v>
      </c>
      <c r="B590" s="21" t="s">
        <v>605</v>
      </c>
      <c r="C590" s="20">
        <v>5.28</v>
      </c>
      <c r="D590" s="77" t="s">
        <v>935</v>
      </c>
    </row>
    <row r="591" spans="1:4" ht="15.75" hidden="1" outlineLevel="1" x14ac:dyDescent="0.2">
      <c r="A591" s="20" t="s">
        <v>48</v>
      </c>
      <c r="B591" s="21" t="s">
        <v>9</v>
      </c>
      <c r="C591" s="20">
        <v>5.31</v>
      </c>
      <c r="D591" s="78"/>
    </row>
    <row r="592" spans="1:4" ht="15.75" hidden="1" outlineLevel="1" x14ac:dyDescent="0.2">
      <c r="A592" s="20" t="s">
        <v>48</v>
      </c>
      <c r="B592" s="21" t="s">
        <v>606</v>
      </c>
      <c r="C592" s="20">
        <v>5.36</v>
      </c>
      <c r="D592" s="78"/>
    </row>
    <row r="593" spans="1:4" ht="15.75" hidden="1" outlineLevel="1" x14ac:dyDescent="0.2">
      <c r="A593" s="20" t="s">
        <v>48</v>
      </c>
      <c r="B593" s="21" t="s">
        <v>297</v>
      </c>
      <c r="C593" s="20">
        <v>5.78</v>
      </c>
      <c r="D593" s="78"/>
    </row>
    <row r="594" spans="1:4" ht="15.75" hidden="1" outlineLevel="1" x14ac:dyDescent="0.2">
      <c r="A594" s="20" t="s">
        <v>48</v>
      </c>
      <c r="B594" s="21" t="s">
        <v>592</v>
      </c>
      <c r="C594" s="20">
        <v>5.79</v>
      </c>
      <c r="D594" s="77" t="s">
        <v>935</v>
      </c>
    </row>
    <row r="595" spans="1:4" ht="15.75" hidden="1" outlineLevel="1" x14ac:dyDescent="0.2">
      <c r="A595" s="20" t="s">
        <v>48</v>
      </c>
      <c r="B595" s="21" t="s">
        <v>732</v>
      </c>
      <c r="C595" s="20">
        <v>5.41</v>
      </c>
      <c r="D595" s="78"/>
    </row>
    <row r="596" spans="1:4" ht="15.75" hidden="1" outlineLevel="1" x14ac:dyDescent="0.2">
      <c r="A596" s="20" t="s">
        <v>48</v>
      </c>
      <c r="B596" s="21" t="s">
        <v>6</v>
      </c>
      <c r="C596" s="20">
        <v>5.49</v>
      </c>
      <c r="D596" s="78"/>
    </row>
    <row r="597" spans="1:4" ht="15.75" hidden="1" outlineLevel="1" x14ac:dyDescent="0.2">
      <c r="A597" s="20" t="s">
        <v>48</v>
      </c>
      <c r="B597" s="21" t="s">
        <v>8</v>
      </c>
      <c r="C597" s="20">
        <v>5.51</v>
      </c>
      <c r="D597" s="78"/>
    </row>
    <row r="598" spans="1:4" ht="15.75" hidden="1" outlineLevel="1" x14ac:dyDescent="0.2">
      <c r="A598" s="20" t="s">
        <v>48</v>
      </c>
      <c r="B598" s="21" t="s">
        <v>777</v>
      </c>
      <c r="C598" s="20">
        <v>5.52</v>
      </c>
      <c r="D598" s="78"/>
    </row>
    <row r="599" spans="1:4" ht="15.75" hidden="1" outlineLevel="1" x14ac:dyDescent="0.2">
      <c r="A599" s="20" t="s">
        <v>48</v>
      </c>
      <c r="B599" s="21" t="s">
        <v>396</v>
      </c>
      <c r="C599" s="20">
        <v>5.53</v>
      </c>
      <c r="D599" s="78"/>
    </row>
    <row r="600" spans="1:4" ht="15.75" hidden="1" outlineLevel="1" x14ac:dyDescent="0.2">
      <c r="A600" s="20" t="s">
        <v>48</v>
      </c>
      <c r="B600" s="21" t="s">
        <v>13</v>
      </c>
      <c r="C600" s="20">
        <v>5.69</v>
      </c>
      <c r="D600" s="78"/>
    </row>
    <row r="601" spans="1:4" ht="15.75" hidden="1" outlineLevel="1" x14ac:dyDescent="0.2">
      <c r="A601" s="20" t="s">
        <v>48</v>
      </c>
      <c r="B601" s="21" t="s">
        <v>440</v>
      </c>
      <c r="C601" s="20">
        <v>5.71</v>
      </c>
      <c r="D601" s="78"/>
    </row>
    <row r="602" spans="1:4" ht="15.75" hidden="1" outlineLevel="1" x14ac:dyDescent="0.2">
      <c r="A602" s="20" t="s">
        <v>48</v>
      </c>
      <c r="B602" s="21" t="s">
        <v>14</v>
      </c>
      <c r="C602" s="22">
        <v>5.7</v>
      </c>
      <c r="D602" s="78"/>
    </row>
    <row r="603" spans="1:4" ht="15.75" hidden="1" outlineLevel="1" x14ac:dyDescent="0.2">
      <c r="A603" s="20" t="s">
        <v>48</v>
      </c>
      <c r="B603" s="21" t="s">
        <v>282</v>
      </c>
      <c r="C603" s="22">
        <v>5.8</v>
      </c>
      <c r="D603" s="77" t="s">
        <v>935</v>
      </c>
    </row>
    <row r="604" spans="1:4" ht="15.75" hidden="1" outlineLevel="1" x14ac:dyDescent="0.2">
      <c r="A604" s="20" t="s">
        <v>48</v>
      </c>
      <c r="B604" s="21" t="s">
        <v>309</v>
      </c>
      <c r="C604" s="22">
        <v>5.72</v>
      </c>
      <c r="D604" s="77" t="s">
        <v>935</v>
      </c>
    </row>
    <row r="605" spans="1:4" ht="15.75" hidden="1" outlineLevel="1" x14ac:dyDescent="0.2">
      <c r="A605" s="20" t="s">
        <v>48</v>
      </c>
      <c r="B605" s="21" t="s">
        <v>673</v>
      </c>
      <c r="C605" s="20">
        <v>5.73</v>
      </c>
      <c r="D605" s="77" t="s">
        <v>935</v>
      </c>
    </row>
    <row r="606" spans="1:4" ht="15.75" hidden="1" outlineLevel="1" x14ac:dyDescent="0.2">
      <c r="A606" s="20" t="s">
        <v>48</v>
      </c>
      <c r="B606" s="21" t="s">
        <v>621</v>
      </c>
      <c r="C606" s="20">
        <v>5.74</v>
      </c>
      <c r="D606" s="78"/>
    </row>
    <row r="607" spans="1:4" ht="15.75" hidden="1" outlineLevel="1" x14ac:dyDescent="0.2">
      <c r="A607" s="20" t="s">
        <v>48</v>
      </c>
      <c r="B607" s="21" t="s">
        <v>421</v>
      </c>
      <c r="C607" s="20">
        <v>5.75</v>
      </c>
      <c r="D607" s="78"/>
    </row>
    <row r="608" spans="1:4" ht="15.75" hidden="1" outlineLevel="1" x14ac:dyDescent="0.2">
      <c r="A608" s="20" t="s">
        <v>48</v>
      </c>
      <c r="B608" s="21" t="s">
        <v>925</v>
      </c>
      <c r="C608" s="20">
        <v>5.76</v>
      </c>
      <c r="D608" s="78"/>
    </row>
    <row r="609" spans="1:4" ht="15.75" hidden="1" outlineLevel="1" x14ac:dyDescent="0.2">
      <c r="A609" s="20" t="s">
        <v>48</v>
      </c>
      <c r="B609" s="21" t="s">
        <v>20</v>
      </c>
      <c r="C609" s="20">
        <v>5.81</v>
      </c>
      <c r="D609" s="77" t="s">
        <v>935</v>
      </c>
    </row>
    <row r="610" spans="1:4" ht="15.75" hidden="1" outlineLevel="1" x14ac:dyDescent="0.2">
      <c r="A610" s="20" t="s">
        <v>48</v>
      </c>
      <c r="B610" s="21" t="s">
        <v>768</v>
      </c>
      <c r="C610" s="20">
        <v>5.82</v>
      </c>
      <c r="D610" s="77" t="s">
        <v>935</v>
      </c>
    </row>
    <row r="611" spans="1:4" ht="15.75" hidden="1" outlineLevel="1" x14ac:dyDescent="0.2">
      <c r="A611" s="20" t="s">
        <v>48</v>
      </c>
      <c r="B611" s="21" t="s">
        <v>658</v>
      </c>
      <c r="C611" s="20">
        <v>5.83</v>
      </c>
      <c r="D611" s="77" t="s">
        <v>935</v>
      </c>
    </row>
    <row r="612" spans="1:4" ht="15.75" hidden="1" outlineLevel="1" x14ac:dyDescent="0.2">
      <c r="A612" s="20" t="s">
        <v>48</v>
      </c>
      <c r="B612" s="21" t="s">
        <v>659</v>
      </c>
      <c r="C612" s="20">
        <v>5.84</v>
      </c>
      <c r="D612" s="78"/>
    </row>
    <row r="613" spans="1:4" ht="15.75" hidden="1" outlineLevel="1" x14ac:dyDescent="0.2">
      <c r="A613" s="20" t="s">
        <v>48</v>
      </c>
      <c r="B613" s="21" t="s">
        <v>850</v>
      </c>
      <c r="C613" s="20">
        <v>5.85</v>
      </c>
      <c r="D613" s="77" t="s">
        <v>935</v>
      </c>
    </row>
    <row r="614" spans="1:4" ht="15.75" hidden="1" outlineLevel="1" x14ac:dyDescent="0.2">
      <c r="A614" s="20" t="s">
        <v>48</v>
      </c>
      <c r="B614" s="21" t="s">
        <v>420</v>
      </c>
      <c r="C614" s="20">
        <v>5.86</v>
      </c>
      <c r="D614" s="77" t="s">
        <v>935</v>
      </c>
    </row>
    <row r="615" spans="1:4" ht="15.75" hidden="1" outlineLevel="1" x14ac:dyDescent="0.2">
      <c r="A615" s="20" t="s">
        <v>48</v>
      </c>
      <c r="B615" s="21" t="s">
        <v>21</v>
      </c>
      <c r="C615" s="20">
        <v>5.88</v>
      </c>
      <c r="D615" s="77" t="s">
        <v>935</v>
      </c>
    </row>
    <row r="616" spans="1:4" ht="15.75" hidden="1" outlineLevel="1" x14ac:dyDescent="0.2">
      <c r="A616" s="20" t="s">
        <v>48</v>
      </c>
      <c r="B616" s="21" t="s">
        <v>674</v>
      </c>
      <c r="C616" s="20">
        <v>5.87</v>
      </c>
      <c r="D616" s="78"/>
    </row>
    <row r="617" spans="1:4" ht="15.75" hidden="1" outlineLevel="1" x14ac:dyDescent="0.2">
      <c r="A617" s="20" t="s">
        <v>48</v>
      </c>
      <c r="B617" s="21" t="s">
        <v>917</v>
      </c>
      <c r="C617" s="20">
        <v>5.109</v>
      </c>
      <c r="D617" s="78"/>
    </row>
    <row r="618" spans="1:4" ht="15.75" hidden="1" outlineLevel="1" x14ac:dyDescent="0.2">
      <c r="A618" s="20" t="s">
        <v>48</v>
      </c>
      <c r="B618" s="21" t="s">
        <v>731</v>
      </c>
      <c r="C618" s="23">
        <v>5.1100000000000003</v>
      </c>
      <c r="D618" s="77" t="s">
        <v>935</v>
      </c>
    </row>
    <row r="619" spans="1:4" ht="15.75" hidden="1" outlineLevel="1" x14ac:dyDescent="0.2">
      <c r="A619" s="20" t="s">
        <v>48</v>
      </c>
      <c r="B619" s="21" t="s">
        <v>372</v>
      </c>
      <c r="C619" s="20">
        <v>5.1109999999999998</v>
      </c>
      <c r="D619" s="78"/>
    </row>
    <row r="620" spans="1:4" ht="15.75" hidden="1" outlineLevel="1" x14ac:dyDescent="0.2">
      <c r="A620" s="20" t="s">
        <v>48</v>
      </c>
      <c r="B620" s="21" t="s">
        <v>16</v>
      </c>
      <c r="C620" s="20">
        <v>5.1120000000000001</v>
      </c>
      <c r="D620" s="78"/>
    </row>
    <row r="621" spans="1:4" ht="15.75" hidden="1" outlineLevel="1" x14ac:dyDescent="0.2">
      <c r="A621" s="20" t="s">
        <v>48</v>
      </c>
      <c r="B621" s="21" t="s">
        <v>475</v>
      </c>
      <c r="C621" s="20">
        <v>5.1130000000000004</v>
      </c>
      <c r="D621" s="78"/>
    </row>
    <row r="622" spans="1:4" ht="15.75" hidden="1" outlineLevel="1" x14ac:dyDescent="0.2">
      <c r="A622" s="20" t="s">
        <v>48</v>
      </c>
      <c r="B622" s="21" t="s">
        <v>622</v>
      </c>
      <c r="C622" s="20">
        <v>5.99</v>
      </c>
      <c r="D622" s="77" t="s">
        <v>935</v>
      </c>
    </row>
    <row r="623" spans="1:4" ht="15.75" hidden="1" outlineLevel="1" x14ac:dyDescent="0.2">
      <c r="A623" s="20" t="s">
        <v>48</v>
      </c>
      <c r="B623" s="21" t="s">
        <v>948</v>
      </c>
      <c r="C623" s="20">
        <v>5.58</v>
      </c>
      <c r="D623" s="77"/>
    </row>
    <row r="624" spans="1:4" ht="15.75" hidden="1" outlineLevel="1" x14ac:dyDescent="0.2">
      <c r="A624" s="20" t="s">
        <v>48</v>
      </c>
      <c r="B624" s="21" t="s">
        <v>11</v>
      </c>
      <c r="C624" s="20">
        <v>5.54</v>
      </c>
      <c r="D624" s="78"/>
    </row>
    <row r="625" spans="1:4" ht="15.75" hidden="1" outlineLevel="1" x14ac:dyDescent="0.2">
      <c r="A625" s="20" t="s">
        <v>48</v>
      </c>
      <c r="B625" s="21" t="s">
        <v>729</v>
      </c>
      <c r="C625" s="20">
        <v>5.56</v>
      </c>
      <c r="D625" s="78"/>
    </row>
    <row r="626" spans="1:4" ht="15.75" hidden="1" outlineLevel="1" x14ac:dyDescent="0.2">
      <c r="A626" s="20" t="s">
        <v>48</v>
      </c>
      <c r="B626" s="21" t="s">
        <v>1153</v>
      </c>
      <c r="C626" s="20">
        <v>5.63</v>
      </c>
      <c r="D626" s="78"/>
    </row>
    <row r="627" spans="1:4" ht="15.75" hidden="1" outlineLevel="1" x14ac:dyDescent="0.2">
      <c r="A627" s="20" t="s">
        <v>48</v>
      </c>
      <c r="B627" s="21" t="s">
        <v>787</v>
      </c>
      <c r="C627" s="20">
        <v>5.64</v>
      </c>
      <c r="D627" s="78"/>
    </row>
    <row r="628" spans="1:4" ht="15.75" hidden="1" outlineLevel="1" x14ac:dyDescent="0.2">
      <c r="A628" s="20" t="s">
        <v>48</v>
      </c>
      <c r="B628" s="21" t="s">
        <v>1154</v>
      </c>
      <c r="C628" s="20">
        <v>5.65</v>
      </c>
      <c r="D628" s="78"/>
    </row>
    <row r="629" spans="1:4" ht="15.75" hidden="1" outlineLevel="1" x14ac:dyDescent="0.2">
      <c r="A629" s="20" t="s">
        <v>48</v>
      </c>
      <c r="B629" s="21" t="s">
        <v>788</v>
      </c>
      <c r="C629" s="20">
        <v>5.66</v>
      </c>
      <c r="D629" s="78"/>
    </row>
    <row r="630" spans="1:4" ht="15.75" hidden="1" outlineLevel="1" x14ac:dyDescent="0.2">
      <c r="A630" s="20" t="s">
        <v>48</v>
      </c>
      <c r="B630" s="21" t="s">
        <v>669</v>
      </c>
      <c r="C630" s="20">
        <v>5.89</v>
      </c>
      <c r="D630" s="77" t="s">
        <v>935</v>
      </c>
    </row>
    <row r="631" spans="1:4" ht="15.75" hidden="1" outlineLevel="1" x14ac:dyDescent="0.2">
      <c r="A631" s="20" t="s">
        <v>48</v>
      </c>
      <c r="B631" s="21" t="s">
        <v>26</v>
      </c>
      <c r="C631" s="20">
        <v>5.68</v>
      </c>
      <c r="D631" s="78"/>
    </row>
    <row r="632" spans="1:4" ht="15.75" hidden="1" outlineLevel="1" x14ac:dyDescent="0.2">
      <c r="A632" s="20" t="s">
        <v>48</v>
      </c>
      <c r="B632" s="21" t="s">
        <v>19</v>
      </c>
      <c r="C632" s="20">
        <v>5.47</v>
      </c>
      <c r="D632" s="78"/>
    </row>
    <row r="633" spans="1:4" ht="15.75" hidden="1" outlineLevel="1" x14ac:dyDescent="0.2">
      <c r="A633" s="20" t="s">
        <v>48</v>
      </c>
      <c r="B633" s="21" t="s">
        <v>30</v>
      </c>
      <c r="C633" s="20">
        <v>5.48</v>
      </c>
      <c r="D633" s="78"/>
    </row>
    <row r="634" spans="1:4" ht="15.75" collapsed="1" x14ac:dyDescent="0.2">
      <c r="A634" s="25" t="s">
        <v>48</v>
      </c>
      <c r="B634" s="21"/>
      <c r="C634" s="20"/>
      <c r="D634" s="78"/>
    </row>
    <row r="635" spans="1:4" ht="15.75" hidden="1" outlineLevel="1" x14ac:dyDescent="0.2">
      <c r="A635" s="20" t="s">
        <v>49</v>
      </c>
      <c r="B635" s="21" t="s">
        <v>651</v>
      </c>
      <c r="C635" s="20">
        <v>5.0999999999999996</v>
      </c>
      <c r="D635" s="78"/>
    </row>
    <row r="636" spans="1:4" ht="15.75" hidden="1" outlineLevel="1" x14ac:dyDescent="0.2">
      <c r="A636" s="20" t="s">
        <v>49</v>
      </c>
      <c r="B636" s="21" t="s">
        <v>0</v>
      </c>
      <c r="C636" s="20">
        <v>5.2</v>
      </c>
      <c r="D636" s="78"/>
    </row>
    <row r="637" spans="1:4" ht="15.75" hidden="1" outlineLevel="1" x14ac:dyDescent="0.2">
      <c r="A637" s="20" t="s">
        <v>49</v>
      </c>
      <c r="B637" s="21" t="s">
        <v>724</v>
      </c>
      <c r="C637" s="20">
        <v>5.3</v>
      </c>
      <c r="D637" s="78"/>
    </row>
    <row r="638" spans="1:4" ht="15.75" hidden="1" outlineLevel="1" x14ac:dyDescent="0.2">
      <c r="A638" s="20" t="s">
        <v>49</v>
      </c>
      <c r="B638" s="21" t="s">
        <v>2</v>
      </c>
      <c r="C638" s="20">
        <v>5.6</v>
      </c>
      <c r="D638" s="78"/>
    </row>
    <row r="639" spans="1:4" ht="15.75" hidden="1" outlineLevel="1" x14ac:dyDescent="0.2">
      <c r="A639" s="20" t="s">
        <v>49</v>
      </c>
      <c r="B639" s="21" t="s">
        <v>730</v>
      </c>
      <c r="C639" s="22">
        <v>5.0999999999999996</v>
      </c>
      <c r="D639" s="78"/>
    </row>
    <row r="640" spans="1:4" ht="15.75" hidden="1" outlineLevel="1" x14ac:dyDescent="0.2">
      <c r="A640" s="20" t="s">
        <v>49</v>
      </c>
      <c r="B640" s="21" t="s">
        <v>3</v>
      </c>
      <c r="C640" s="20">
        <v>5.14</v>
      </c>
      <c r="D640" s="78"/>
    </row>
    <row r="641" spans="1:4" ht="15.75" hidden="1" outlineLevel="1" x14ac:dyDescent="0.2">
      <c r="A641" s="20" t="s">
        <v>49</v>
      </c>
      <c r="B641" s="21" t="s">
        <v>29</v>
      </c>
      <c r="C641" s="20">
        <v>5.19</v>
      </c>
      <c r="D641" s="78"/>
    </row>
    <row r="642" spans="1:4" ht="15.75" hidden="1" outlineLevel="1" x14ac:dyDescent="0.2">
      <c r="A642" s="20" t="s">
        <v>49</v>
      </c>
      <c r="B642" s="21" t="s">
        <v>28</v>
      </c>
      <c r="C642" s="20">
        <v>5.24</v>
      </c>
      <c r="D642" s="78"/>
    </row>
    <row r="643" spans="1:4" ht="15.75" hidden="1" outlineLevel="1" x14ac:dyDescent="0.2">
      <c r="A643" s="20" t="s">
        <v>49</v>
      </c>
      <c r="B643" s="21" t="s">
        <v>1</v>
      </c>
      <c r="C643" s="20">
        <v>5.26</v>
      </c>
      <c r="D643" s="78"/>
    </row>
    <row r="644" spans="1:4" ht="15.75" hidden="1" outlineLevel="1" x14ac:dyDescent="0.2">
      <c r="A644" s="20" t="s">
        <v>49</v>
      </c>
      <c r="B644" s="21" t="s">
        <v>604</v>
      </c>
      <c r="C644" s="20">
        <v>5.27</v>
      </c>
      <c r="D644" s="78"/>
    </row>
    <row r="645" spans="1:4" ht="15.75" hidden="1" outlineLevel="1" x14ac:dyDescent="0.2">
      <c r="A645" s="20" t="s">
        <v>49</v>
      </c>
      <c r="B645" s="21" t="s">
        <v>605</v>
      </c>
      <c r="C645" s="20">
        <v>5.28</v>
      </c>
      <c r="D645" s="78"/>
    </row>
    <row r="646" spans="1:4" ht="15.75" hidden="1" outlineLevel="1" x14ac:dyDescent="0.2">
      <c r="A646" s="20" t="s">
        <v>49</v>
      </c>
      <c r="B646" s="21" t="s">
        <v>606</v>
      </c>
      <c r="C646" s="20">
        <v>5.36</v>
      </c>
      <c r="D646" s="78"/>
    </row>
    <row r="647" spans="1:4" ht="15.75" hidden="1" outlineLevel="1" x14ac:dyDescent="0.2">
      <c r="A647" s="20" t="s">
        <v>49</v>
      </c>
      <c r="B647" s="21" t="s">
        <v>10</v>
      </c>
      <c r="C647" s="20">
        <v>5.33</v>
      </c>
      <c r="D647" s="78"/>
    </row>
    <row r="648" spans="1:4" ht="15.75" hidden="1" outlineLevel="1" x14ac:dyDescent="0.2">
      <c r="A648" s="20" t="s">
        <v>49</v>
      </c>
      <c r="B648" s="21" t="s">
        <v>12</v>
      </c>
      <c r="C648" s="20">
        <v>5.37</v>
      </c>
      <c r="D648" s="78"/>
    </row>
    <row r="649" spans="1:4" ht="15.75" hidden="1" outlineLevel="1" x14ac:dyDescent="0.2">
      <c r="A649" s="20" t="s">
        <v>49</v>
      </c>
      <c r="B649" s="21" t="s">
        <v>6</v>
      </c>
      <c r="C649" s="20">
        <v>5.49</v>
      </c>
      <c r="D649" s="78"/>
    </row>
    <row r="650" spans="1:4" ht="15.75" hidden="1" outlineLevel="1" x14ac:dyDescent="0.2">
      <c r="A650" s="20" t="s">
        <v>49</v>
      </c>
      <c r="B650" s="21" t="s">
        <v>8</v>
      </c>
      <c r="C650" s="20">
        <v>5.51</v>
      </c>
      <c r="D650" s="78"/>
    </row>
    <row r="651" spans="1:4" ht="15.75" hidden="1" outlineLevel="1" x14ac:dyDescent="0.2">
      <c r="A651" s="20" t="s">
        <v>49</v>
      </c>
      <c r="B651" s="21" t="s">
        <v>7</v>
      </c>
      <c r="C651" s="20">
        <v>5.52</v>
      </c>
      <c r="D651" s="78"/>
    </row>
    <row r="652" spans="1:4" ht="15.75" hidden="1" outlineLevel="1" x14ac:dyDescent="0.2">
      <c r="A652" s="20" t="s">
        <v>49</v>
      </c>
      <c r="B652" s="21" t="s">
        <v>396</v>
      </c>
      <c r="C652" s="20">
        <v>5.53</v>
      </c>
      <c r="D652" s="78"/>
    </row>
    <row r="653" spans="1:4" ht="15.75" hidden="1" outlineLevel="1" x14ac:dyDescent="0.2">
      <c r="A653" s="20" t="s">
        <v>49</v>
      </c>
      <c r="B653" s="21" t="s">
        <v>13</v>
      </c>
      <c r="C653" s="20">
        <v>5.69</v>
      </c>
      <c r="D653" s="78"/>
    </row>
    <row r="654" spans="1:4" ht="15.75" hidden="1" outlineLevel="1" x14ac:dyDescent="0.2">
      <c r="A654" s="20" t="s">
        <v>49</v>
      </c>
      <c r="B654" s="21" t="s">
        <v>14</v>
      </c>
      <c r="C654" s="22">
        <v>5.7</v>
      </c>
      <c r="D654" s="78"/>
    </row>
    <row r="655" spans="1:4" ht="15.75" hidden="1" outlineLevel="1" x14ac:dyDescent="0.2">
      <c r="A655" s="20" t="s">
        <v>49</v>
      </c>
      <c r="B655" s="21" t="s">
        <v>621</v>
      </c>
      <c r="C655" s="20">
        <v>5.74</v>
      </c>
      <c r="D655" s="78"/>
    </row>
    <row r="656" spans="1:4" ht="15.75" hidden="1" outlineLevel="1" x14ac:dyDescent="0.2">
      <c r="A656" s="20" t="s">
        <v>49</v>
      </c>
      <c r="B656" s="21" t="s">
        <v>917</v>
      </c>
      <c r="C656" s="20">
        <v>5.109</v>
      </c>
      <c r="D656" s="78"/>
    </row>
    <row r="657" spans="1:4" ht="15.75" hidden="1" outlineLevel="1" x14ac:dyDescent="0.2">
      <c r="A657" s="20" t="s">
        <v>49</v>
      </c>
      <c r="B657" s="21" t="s">
        <v>372</v>
      </c>
      <c r="C657" s="20">
        <v>5.1109999999999998</v>
      </c>
      <c r="D657" s="78"/>
    </row>
    <row r="658" spans="1:4" ht="15.75" hidden="1" outlineLevel="1" x14ac:dyDescent="0.2">
      <c r="A658" s="20" t="s">
        <v>49</v>
      </c>
      <c r="B658" s="21" t="s">
        <v>16</v>
      </c>
      <c r="C658" s="20">
        <v>5.1120000000000001</v>
      </c>
      <c r="D658" s="78"/>
    </row>
    <row r="659" spans="1:4" ht="15.75" hidden="1" outlineLevel="1" x14ac:dyDescent="0.2">
      <c r="A659" s="20" t="s">
        <v>49</v>
      </c>
      <c r="B659" s="21" t="s">
        <v>773</v>
      </c>
      <c r="C659" s="20">
        <v>5.58</v>
      </c>
      <c r="D659" s="78"/>
    </row>
    <row r="660" spans="1:4" ht="15.75" hidden="1" outlineLevel="1" x14ac:dyDescent="0.2">
      <c r="A660" s="20" t="s">
        <v>49</v>
      </c>
      <c r="B660" s="21" t="s">
        <v>11</v>
      </c>
      <c r="C660" s="20">
        <v>5.54</v>
      </c>
      <c r="D660" s="78"/>
    </row>
    <row r="661" spans="1:4" ht="15.75" hidden="1" outlineLevel="1" x14ac:dyDescent="0.2">
      <c r="A661" s="20" t="s">
        <v>49</v>
      </c>
      <c r="B661" s="21" t="s">
        <v>15</v>
      </c>
      <c r="C661" s="20">
        <v>5.55</v>
      </c>
      <c r="D661" s="78"/>
    </row>
    <row r="662" spans="1:4" ht="15.75" hidden="1" outlineLevel="1" x14ac:dyDescent="0.2">
      <c r="A662" s="20" t="s">
        <v>49</v>
      </c>
      <c r="B662" s="21" t="s">
        <v>1153</v>
      </c>
      <c r="C662" s="20">
        <v>5.63</v>
      </c>
      <c r="D662" s="78"/>
    </row>
    <row r="663" spans="1:4" ht="15.75" hidden="1" outlineLevel="1" x14ac:dyDescent="0.2">
      <c r="A663" s="20" t="s">
        <v>49</v>
      </c>
      <c r="B663" s="21" t="s">
        <v>19</v>
      </c>
      <c r="C663" s="20">
        <v>5.47</v>
      </c>
      <c r="D663" s="78"/>
    </row>
    <row r="664" spans="1:4" ht="15.75" hidden="1" outlineLevel="1" x14ac:dyDescent="0.2">
      <c r="A664" s="20" t="s">
        <v>49</v>
      </c>
      <c r="B664" s="21" t="s">
        <v>30</v>
      </c>
      <c r="C664" s="20">
        <v>5.48</v>
      </c>
      <c r="D664" s="78"/>
    </row>
    <row r="665" spans="1:4" ht="15.75" collapsed="1" x14ac:dyDescent="0.2">
      <c r="A665" s="25" t="s">
        <v>49</v>
      </c>
      <c r="B665" s="21"/>
      <c r="C665" s="20"/>
      <c r="D665" s="78"/>
    </row>
    <row r="666" spans="1:4" ht="15.75" hidden="1" outlineLevel="1" x14ac:dyDescent="0.2">
      <c r="A666" s="20" t="s">
        <v>50</v>
      </c>
      <c r="B666" s="21" t="s">
        <v>651</v>
      </c>
      <c r="C666" s="20">
        <v>5.0999999999999996</v>
      </c>
      <c r="D666" s="78"/>
    </row>
    <row r="667" spans="1:4" ht="15.75" hidden="1" outlineLevel="1" x14ac:dyDescent="0.2">
      <c r="A667" s="20" t="s">
        <v>50</v>
      </c>
      <c r="B667" s="21" t="s">
        <v>0</v>
      </c>
      <c r="C667" s="20">
        <v>5.2</v>
      </c>
      <c r="D667" s="78"/>
    </row>
    <row r="668" spans="1:4" ht="15.75" hidden="1" outlineLevel="1" x14ac:dyDescent="0.2">
      <c r="A668" s="20" t="s">
        <v>50</v>
      </c>
      <c r="B668" s="21" t="s">
        <v>723</v>
      </c>
      <c r="C668" s="20">
        <v>5.4</v>
      </c>
      <c r="D668" s="78"/>
    </row>
    <row r="669" spans="1:4" ht="15.75" hidden="1" outlineLevel="1" x14ac:dyDescent="0.2">
      <c r="A669" s="20" t="s">
        <v>50</v>
      </c>
      <c r="B669" s="21" t="s">
        <v>741</v>
      </c>
      <c r="C669" s="20">
        <v>5.7</v>
      </c>
      <c r="D669" s="78"/>
    </row>
    <row r="670" spans="1:4" ht="15.75" hidden="1" outlineLevel="1" x14ac:dyDescent="0.2">
      <c r="A670" s="20" t="s">
        <v>50</v>
      </c>
      <c r="B670" s="21" t="s">
        <v>742</v>
      </c>
      <c r="C670" s="20">
        <v>5.1100000000000003</v>
      </c>
      <c r="D670" s="78"/>
    </row>
    <row r="671" spans="1:4" ht="15.75" hidden="1" outlineLevel="1" x14ac:dyDescent="0.2">
      <c r="A671" s="20" t="s">
        <v>50</v>
      </c>
      <c r="B671" s="21" t="s">
        <v>1</v>
      </c>
      <c r="C671" s="20">
        <v>5.26</v>
      </c>
      <c r="D671" s="78"/>
    </row>
    <row r="672" spans="1:4" ht="15.75" hidden="1" outlineLevel="1" x14ac:dyDescent="0.2">
      <c r="A672" s="20" t="s">
        <v>50</v>
      </c>
      <c r="B672" s="21" t="s">
        <v>625</v>
      </c>
      <c r="C672" s="20">
        <v>5.43</v>
      </c>
      <c r="D672" s="78"/>
    </row>
    <row r="673" spans="1:4" ht="15.75" hidden="1" outlineLevel="1" x14ac:dyDescent="0.2">
      <c r="A673" s="20" t="s">
        <v>50</v>
      </c>
      <c r="B673" s="21" t="s">
        <v>604</v>
      </c>
      <c r="C673" s="20">
        <v>5.27</v>
      </c>
      <c r="D673" s="78"/>
    </row>
    <row r="674" spans="1:4" ht="15.75" hidden="1" outlineLevel="1" x14ac:dyDescent="0.2">
      <c r="A674" s="20" t="s">
        <v>50</v>
      </c>
      <c r="B674" s="21" t="s">
        <v>605</v>
      </c>
      <c r="C674" s="20">
        <v>5.28</v>
      </c>
      <c r="D674" s="78"/>
    </row>
    <row r="675" spans="1:4" ht="15.75" hidden="1" outlineLevel="1" x14ac:dyDescent="0.2">
      <c r="A675" s="20" t="s">
        <v>50</v>
      </c>
      <c r="B675" s="21" t="s">
        <v>606</v>
      </c>
      <c r="C675" s="20">
        <v>5.36</v>
      </c>
      <c r="D675" s="78"/>
    </row>
    <row r="676" spans="1:4" ht="15.75" hidden="1" outlineLevel="1" x14ac:dyDescent="0.2">
      <c r="A676" s="20" t="s">
        <v>50</v>
      </c>
      <c r="B676" s="21" t="s">
        <v>772</v>
      </c>
      <c r="C676" s="22">
        <v>5.5</v>
      </c>
      <c r="D676" s="78"/>
    </row>
    <row r="677" spans="1:4" ht="15.75" hidden="1" outlineLevel="1" x14ac:dyDescent="0.2">
      <c r="A677" s="20" t="s">
        <v>50</v>
      </c>
      <c r="B677" s="21" t="s">
        <v>8</v>
      </c>
      <c r="C677" s="20">
        <v>5.51</v>
      </c>
      <c r="D677" s="78"/>
    </row>
    <row r="678" spans="1:4" ht="15.75" hidden="1" outlineLevel="1" x14ac:dyDescent="0.2">
      <c r="A678" s="20" t="s">
        <v>50</v>
      </c>
      <c r="B678" s="21" t="s">
        <v>396</v>
      </c>
      <c r="C678" s="20">
        <v>5.53</v>
      </c>
      <c r="D678" s="78"/>
    </row>
    <row r="679" spans="1:4" ht="15.75" hidden="1" outlineLevel="1" x14ac:dyDescent="0.2">
      <c r="A679" s="20" t="s">
        <v>50</v>
      </c>
      <c r="B679" s="21" t="s">
        <v>13</v>
      </c>
      <c r="C679" s="20">
        <v>5.69</v>
      </c>
      <c r="D679" s="78"/>
    </row>
    <row r="680" spans="1:4" ht="15.75" hidden="1" outlineLevel="1" x14ac:dyDescent="0.2">
      <c r="A680" s="20" t="s">
        <v>50</v>
      </c>
      <c r="B680" s="21" t="s">
        <v>14</v>
      </c>
      <c r="C680" s="22">
        <v>5.7</v>
      </c>
      <c r="D680" s="77" t="s">
        <v>935</v>
      </c>
    </row>
    <row r="681" spans="1:4" ht="15.75" hidden="1" outlineLevel="1" x14ac:dyDescent="0.2">
      <c r="A681" s="20" t="s">
        <v>50</v>
      </c>
      <c r="B681" s="21" t="s">
        <v>621</v>
      </c>
      <c r="C681" s="20">
        <v>5.74</v>
      </c>
      <c r="D681" s="78"/>
    </row>
    <row r="682" spans="1:4" ht="15.75" hidden="1" outlineLevel="1" x14ac:dyDescent="0.2">
      <c r="A682" s="20" t="s">
        <v>50</v>
      </c>
      <c r="B682" s="21" t="s">
        <v>922</v>
      </c>
      <c r="C682" s="20">
        <v>5.59</v>
      </c>
      <c r="D682" s="78"/>
    </row>
    <row r="683" spans="1:4" ht="15.75" hidden="1" outlineLevel="1" x14ac:dyDescent="0.2">
      <c r="A683" s="20" t="s">
        <v>50</v>
      </c>
      <c r="B683" s="21" t="s">
        <v>11</v>
      </c>
      <c r="C683" s="20">
        <v>5.54</v>
      </c>
      <c r="D683" s="78"/>
    </row>
    <row r="684" spans="1:4" ht="15.75" hidden="1" outlineLevel="1" x14ac:dyDescent="0.2">
      <c r="A684" s="20" t="s">
        <v>50</v>
      </c>
      <c r="B684" s="21" t="s">
        <v>795</v>
      </c>
      <c r="C684" s="20">
        <v>5.57</v>
      </c>
      <c r="D684" s="78"/>
    </row>
    <row r="685" spans="1:4" ht="15.75" hidden="1" outlineLevel="1" x14ac:dyDescent="0.2">
      <c r="A685" s="20" t="s">
        <v>50</v>
      </c>
      <c r="B685" s="21" t="s">
        <v>1153</v>
      </c>
      <c r="C685" s="20">
        <v>5.63</v>
      </c>
      <c r="D685" s="78"/>
    </row>
    <row r="686" spans="1:4" ht="15.75" hidden="1" outlineLevel="1" x14ac:dyDescent="0.2">
      <c r="A686" s="20" t="s">
        <v>50</v>
      </c>
      <c r="B686" s="21" t="s">
        <v>19</v>
      </c>
      <c r="C686" s="20">
        <v>5.47</v>
      </c>
      <c r="D686" s="78"/>
    </row>
    <row r="687" spans="1:4" ht="15.75" hidden="1" outlineLevel="1" x14ac:dyDescent="0.2">
      <c r="A687" s="20" t="s">
        <v>50</v>
      </c>
      <c r="B687" s="21" t="s">
        <v>30</v>
      </c>
      <c r="C687" s="20">
        <v>5.48</v>
      </c>
      <c r="D687" s="78"/>
    </row>
    <row r="688" spans="1:4" ht="15.75" collapsed="1" x14ac:dyDescent="0.2">
      <c r="A688" s="25" t="s">
        <v>50</v>
      </c>
      <c r="B688" s="21"/>
      <c r="C688" s="20"/>
      <c r="D688" s="78"/>
    </row>
    <row r="689" spans="1:4" ht="15.75" hidden="1" outlineLevel="1" x14ac:dyDescent="0.2">
      <c r="A689" s="20" t="s">
        <v>51</v>
      </c>
      <c r="B689" s="21" t="s">
        <v>651</v>
      </c>
      <c r="C689" s="20">
        <v>5.0999999999999996</v>
      </c>
      <c r="D689" s="78"/>
    </row>
    <row r="690" spans="1:4" ht="15.75" hidden="1" outlineLevel="1" x14ac:dyDescent="0.2">
      <c r="A690" s="20" t="s">
        <v>51</v>
      </c>
      <c r="B690" s="21" t="s">
        <v>0</v>
      </c>
      <c r="C690" s="20">
        <v>5.2</v>
      </c>
      <c r="D690" s="78"/>
    </row>
    <row r="691" spans="1:4" ht="15.75" hidden="1" outlineLevel="1" x14ac:dyDescent="0.2">
      <c r="A691" s="20" t="s">
        <v>51</v>
      </c>
      <c r="B691" s="21" t="s">
        <v>299</v>
      </c>
      <c r="C691" s="20">
        <v>5.17</v>
      </c>
      <c r="D691" s="78"/>
    </row>
    <row r="692" spans="1:4" ht="15.75" hidden="1" outlineLevel="1" x14ac:dyDescent="0.2">
      <c r="A692" s="20" t="s">
        <v>51</v>
      </c>
      <c r="B692" s="21" t="s">
        <v>1</v>
      </c>
      <c r="C692" s="20">
        <v>5.26</v>
      </c>
      <c r="D692" s="78"/>
    </row>
    <row r="693" spans="1:4" ht="15.75" hidden="1" outlineLevel="1" x14ac:dyDescent="0.2">
      <c r="A693" s="20" t="s">
        <v>51</v>
      </c>
      <c r="B693" s="21" t="s">
        <v>782</v>
      </c>
      <c r="C693" s="20">
        <v>5.1029999999999998</v>
      </c>
      <c r="D693" s="78"/>
    </row>
    <row r="694" spans="1:4" ht="15.75" hidden="1" outlineLevel="1" x14ac:dyDescent="0.2">
      <c r="A694" s="20" t="s">
        <v>51</v>
      </c>
      <c r="B694" s="21" t="s">
        <v>606</v>
      </c>
      <c r="C694" s="20">
        <v>5.36</v>
      </c>
      <c r="D694" s="78"/>
    </row>
    <row r="695" spans="1:4" ht="15.75" hidden="1" outlineLevel="1" x14ac:dyDescent="0.2">
      <c r="A695" s="20" t="s">
        <v>51</v>
      </c>
      <c r="B695" s="21" t="s">
        <v>12</v>
      </c>
      <c r="C695" s="20">
        <v>5.37</v>
      </c>
      <c r="D695" s="78"/>
    </row>
    <row r="696" spans="1:4" ht="15.75" hidden="1" outlineLevel="1" x14ac:dyDescent="0.2">
      <c r="A696" s="20" t="s">
        <v>51</v>
      </c>
      <c r="B696" s="21" t="s">
        <v>24</v>
      </c>
      <c r="C696" s="20">
        <v>5.1040000000000001</v>
      </c>
      <c r="D696" s="78"/>
    </row>
    <row r="697" spans="1:4" ht="15.75" hidden="1" outlineLevel="1" x14ac:dyDescent="0.2">
      <c r="A697" s="20" t="s">
        <v>51</v>
      </c>
      <c r="B697" s="21" t="s">
        <v>286</v>
      </c>
      <c r="C697" s="20">
        <v>5.1050000000000004</v>
      </c>
      <c r="D697" s="78"/>
    </row>
    <row r="698" spans="1:4" ht="15.75" hidden="1" outlineLevel="1" x14ac:dyDescent="0.2">
      <c r="A698" s="20" t="s">
        <v>51</v>
      </c>
      <c r="B698" s="21" t="s">
        <v>25</v>
      </c>
      <c r="C698" s="20">
        <v>5.1059999999999999</v>
      </c>
      <c r="D698" s="78"/>
    </row>
    <row r="699" spans="1:4" ht="15.75" hidden="1" outlineLevel="1" x14ac:dyDescent="0.2">
      <c r="A699" s="20" t="s">
        <v>51</v>
      </c>
      <c r="B699" s="21" t="s">
        <v>949</v>
      </c>
      <c r="C699" s="20">
        <v>5.1070000000000002</v>
      </c>
      <c r="D699" s="78"/>
    </row>
    <row r="700" spans="1:4" ht="15.75" hidden="1" outlineLevel="1" x14ac:dyDescent="0.2">
      <c r="A700" s="20" t="s">
        <v>51</v>
      </c>
      <c r="B700" s="21" t="s">
        <v>288</v>
      </c>
      <c r="C700" s="20">
        <v>5.1079999999999997</v>
      </c>
      <c r="D700" s="77" t="s">
        <v>935</v>
      </c>
    </row>
    <row r="701" spans="1:4" ht="15.75" hidden="1" outlineLevel="1" x14ac:dyDescent="0.2">
      <c r="A701" s="20" t="s">
        <v>51</v>
      </c>
      <c r="B701" s="21" t="s">
        <v>917</v>
      </c>
      <c r="C701" s="20">
        <v>5.109</v>
      </c>
      <c r="D701" s="78"/>
    </row>
    <row r="702" spans="1:4" ht="15.75" hidden="1" outlineLevel="1" x14ac:dyDescent="0.2">
      <c r="A702" s="20" t="s">
        <v>51</v>
      </c>
      <c r="B702" s="21" t="s">
        <v>731</v>
      </c>
      <c r="C702" s="23">
        <v>5.1100000000000003</v>
      </c>
      <c r="D702" s="77" t="s">
        <v>935</v>
      </c>
    </row>
    <row r="703" spans="1:4" ht="15.75" hidden="1" outlineLevel="1" x14ac:dyDescent="0.2">
      <c r="A703" s="20" t="s">
        <v>51</v>
      </c>
      <c r="B703" s="21" t="s">
        <v>372</v>
      </c>
      <c r="C703" s="20">
        <v>5.1109999999999998</v>
      </c>
      <c r="D703" s="78"/>
    </row>
    <row r="704" spans="1:4" ht="15.75" hidden="1" outlineLevel="1" x14ac:dyDescent="0.2">
      <c r="A704" s="20" t="s">
        <v>51</v>
      </c>
      <c r="B704" s="21" t="s">
        <v>16</v>
      </c>
      <c r="C704" s="20">
        <v>5.1120000000000001</v>
      </c>
      <c r="D704" s="78"/>
    </row>
    <row r="705" spans="1:4" ht="15.75" hidden="1" outlineLevel="1" x14ac:dyDescent="0.2">
      <c r="A705" s="20" t="s">
        <v>51</v>
      </c>
      <c r="B705" s="21" t="s">
        <v>396</v>
      </c>
      <c r="C705" s="20">
        <v>5.53</v>
      </c>
      <c r="D705" s="78"/>
    </row>
    <row r="706" spans="1:4" ht="15.75" hidden="1" outlineLevel="1" x14ac:dyDescent="0.2">
      <c r="A706" s="20" t="s">
        <v>51</v>
      </c>
      <c r="B706" s="21" t="s">
        <v>787</v>
      </c>
      <c r="C706" s="20">
        <v>5.64</v>
      </c>
      <c r="D706" s="78"/>
    </row>
    <row r="707" spans="1:4" ht="15.75" hidden="1" outlineLevel="1" x14ac:dyDescent="0.2">
      <c r="A707" s="20" t="s">
        <v>51</v>
      </c>
      <c r="B707" s="21" t="s">
        <v>1153</v>
      </c>
      <c r="C707" s="20">
        <v>5.63</v>
      </c>
      <c r="D707" s="78"/>
    </row>
    <row r="708" spans="1:4" ht="15.75" hidden="1" outlineLevel="1" x14ac:dyDescent="0.2">
      <c r="A708" s="20" t="s">
        <v>51</v>
      </c>
      <c r="B708" s="21" t="s">
        <v>1154</v>
      </c>
      <c r="C708" s="20">
        <v>5.65</v>
      </c>
      <c r="D708" s="78"/>
    </row>
    <row r="709" spans="1:4" ht="15.75" hidden="1" outlineLevel="1" x14ac:dyDescent="0.2">
      <c r="A709" s="20" t="s">
        <v>51</v>
      </c>
      <c r="B709" s="21" t="s">
        <v>788</v>
      </c>
      <c r="C709" s="20">
        <v>5.66</v>
      </c>
      <c r="D709" s="78"/>
    </row>
    <row r="710" spans="1:4" ht="15.75" hidden="1" outlineLevel="1" x14ac:dyDescent="0.2">
      <c r="A710" s="20" t="s">
        <v>51</v>
      </c>
      <c r="B710" s="21" t="s">
        <v>26</v>
      </c>
      <c r="C710" s="20">
        <v>5.68</v>
      </c>
      <c r="D710" s="78"/>
    </row>
    <row r="711" spans="1:4" ht="15.75" hidden="1" outlineLevel="1" x14ac:dyDescent="0.2">
      <c r="A711" s="20" t="s">
        <v>51</v>
      </c>
      <c r="B711" s="21" t="s">
        <v>19</v>
      </c>
      <c r="C711" s="20">
        <v>5.47</v>
      </c>
      <c r="D711" s="78"/>
    </row>
    <row r="712" spans="1:4" ht="15.75" hidden="1" outlineLevel="1" x14ac:dyDescent="0.2">
      <c r="A712" s="20" t="s">
        <v>51</v>
      </c>
      <c r="B712" s="21" t="s">
        <v>30</v>
      </c>
      <c r="C712" s="20">
        <v>5.48</v>
      </c>
      <c r="D712" s="78"/>
    </row>
    <row r="713" spans="1:4" ht="15.75" collapsed="1" x14ac:dyDescent="0.2">
      <c r="A713" s="25" t="s">
        <v>51</v>
      </c>
      <c r="B713" s="21"/>
      <c r="C713" s="20"/>
      <c r="D713" s="78"/>
    </row>
    <row r="714" spans="1:4" ht="15.75" hidden="1" outlineLevel="1" x14ac:dyDescent="0.2">
      <c r="A714" s="20" t="s">
        <v>937</v>
      </c>
      <c r="B714" s="21" t="s">
        <v>651</v>
      </c>
      <c r="C714" s="20">
        <v>5.0999999999999996</v>
      </c>
      <c r="D714" s="78"/>
    </row>
    <row r="715" spans="1:4" ht="15.75" hidden="1" outlineLevel="1" x14ac:dyDescent="0.2">
      <c r="A715" s="20" t="s">
        <v>937</v>
      </c>
      <c r="B715" s="21" t="s">
        <v>0</v>
      </c>
      <c r="C715" s="20">
        <v>5.2</v>
      </c>
      <c r="D715" s="78"/>
    </row>
    <row r="716" spans="1:4" ht="15.75" hidden="1" outlineLevel="1" x14ac:dyDescent="0.2">
      <c r="A716" s="20" t="s">
        <v>937</v>
      </c>
      <c r="B716" s="21" t="s">
        <v>724</v>
      </c>
      <c r="C716" s="20">
        <v>5.3</v>
      </c>
      <c r="D716" s="78"/>
    </row>
    <row r="717" spans="1:4" ht="15.75" hidden="1" outlineLevel="1" x14ac:dyDescent="0.2">
      <c r="A717" s="20" t="s">
        <v>937</v>
      </c>
      <c r="B717" s="21" t="s">
        <v>2</v>
      </c>
      <c r="C717" s="20">
        <v>5.6</v>
      </c>
      <c r="D717" s="78"/>
    </row>
    <row r="718" spans="1:4" ht="15.75" hidden="1" outlineLevel="1" x14ac:dyDescent="0.2">
      <c r="A718" s="20" t="s">
        <v>937</v>
      </c>
      <c r="B718" s="21" t="s">
        <v>730</v>
      </c>
      <c r="C718" s="22">
        <v>5.0999999999999996</v>
      </c>
      <c r="D718" s="78"/>
    </row>
    <row r="719" spans="1:4" ht="15.75" hidden="1" outlineLevel="1" x14ac:dyDescent="0.2">
      <c r="A719" s="20" t="s">
        <v>937</v>
      </c>
      <c r="B719" s="21" t="s">
        <v>3</v>
      </c>
      <c r="C719" s="20">
        <v>5.14</v>
      </c>
      <c r="D719" s="78"/>
    </row>
    <row r="720" spans="1:4" ht="15.75" hidden="1" outlineLevel="1" x14ac:dyDescent="0.2">
      <c r="A720" s="20" t="s">
        <v>937</v>
      </c>
      <c r="B720" s="21" t="s">
        <v>29</v>
      </c>
      <c r="C720" s="20">
        <v>5.19</v>
      </c>
      <c r="D720" s="78"/>
    </row>
    <row r="721" spans="1:4" ht="15.75" hidden="1" outlineLevel="1" x14ac:dyDescent="0.2">
      <c r="A721" s="20" t="s">
        <v>937</v>
      </c>
      <c r="B721" s="21" t="s">
        <v>28</v>
      </c>
      <c r="C721" s="20">
        <v>5.24</v>
      </c>
      <c r="D721" s="78"/>
    </row>
    <row r="722" spans="1:4" ht="15.75" hidden="1" outlineLevel="1" x14ac:dyDescent="0.2">
      <c r="A722" s="20" t="s">
        <v>937</v>
      </c>
      <c r="B722" s="21" t="s">
        <v>1</v>
      </c>
      <c r="C722" s="20">
        <v>5.26</v>
      </c>
      <c r="D722" s="78"/>
    </row>
    <row r="723" spans="1:4" ht="15.75" hidden="1" outlineLevel="1" x14ac:dyDescent="0.2">
      <c r="A723" s="20" t="s">
        <v>937</v>
      </c>
      <c r="B723" s="21" t="s">
        <v>604</v>
      </c>
      <c r="C723" s="20">
        <v>5.27</v>
      </c>
      <c r="D723" s="78"/>
    </row>
    <row r="724" spans="1:4" ht="15.75" hidden="1" outlineLevel="1" x14ac:dyDescent="0.2">
      <c r="A724" s="20" t="s">
        <v>937</v>
      </c>
      <c r="B724" s="21" t="s">
        <v>605</v>
      </c>
      <c r="C724" s="20">
        <v>5.28</v>
      </c>
      <c r="D724" s="78"/>
    </row>
    <row r="725" spans="1:4" ht="15.75" hidden="1" outlineLevel="1" x14ac:dyDescent="0.2">
      <c r="A725" s="20" t="s">
        <v>937</v>
      </c>
      <c r="B725" s="21" t="s">
        <v>9</v>
      </c>
      <c r="C725" s="20">
        <v>5.31</v>
      </c>
      <c r="D725" s="78"/>
    </row>
    <row r="726" spans="1:4" ht="15.75" hidden="1" outlineLevel="1" x14ac:dyDescent="0.2">
      <c r="A726" s="20" t="s">
        <v>937</v>
      </c>
      <c r="B726" s="21" t="s">
        <v>606</v>
      </c>
      <c r="C726" s="20">
        <v>5.36</v>
      </c>
      <c r="D726" s="78"/>
    </row>
    <row r="727" spans="1:4" ht="15.75" hidden="1" outlineLevel="1" x14ac:dyDescent="0.2">
      <c r="A727" s="20" t="s">
        <v>937</v>
      </c>
      <c r="B727" s="21" t="s">
        <v>396</v>
      </c>
      <c r="C727" s="20">
        <v>5.53</v>
      </c>
      <c r="D727" s="78"/>
    </row>
    <row r="728" spans="1:4" ht="15.75" hidden="1" outlineLevel="1" x14ac:dyDescent="0.2">
      <c r="A728" s="20" t="s">
        <v>937</v>
      </c>
      <c r="B728" s="21" t="s">
        <v>917</v>
      </c>
      <c r="C728" s="20">
        <v>5.109</v>
      </c>
      <c r="D728" s="78"/>
    </row>
    <row r="729" spans="1:4" ht="15.75" hidden="1" outlineLevel="1" x14ac:dyDescent="0.2">
      <c r="A729" s="20" t="s">
        <v>937</v>
      </c>
      <c r="B729" s="21" t="s">
        <v>372</v>
      </c>
      <c r="C729" s="20">
        <v>5.1109999999999998</v>
      </c>
      <c r="D729" s="78"/>
    </row>
    <row r="730" spans="1:4" ht="15.75" hidden="1" outlineLevel="1" x14ac:dyDescent="0.2">
      <c r="A730" s="20" t="s">
        <v>937</v>
      </c>
      <c r="B730" s="21" t="s">
        <v>16</v>
      </c>
      <c r="C730" s="20">
        <v>5.1120000000000001</v>
      </c>
      <c r="D730" s="78"/>
    </row>
    <row r="731" spans="1:4" ht="15.75" hidden="1" outlineLevel="1" x14ac:dyDescent="0.2">
      <c r="A731" s="20" t="s">
        <v>937</v>
      </c>
      <c r="B731" s="21" t="s">
        <v>475</v>
      </c>
      <c r="C731" s="20">
        <v>5.1130000000000004</v>
      </c>
      <c r="D731" s="78"/>
    </row>
    <row r="732" spans="1:4" ht="15.75" hidden="1" outlineLevel="1" x14ac:dyDescent="0.2">
      <c r="A732" s="20" t="s">
        <v>937</v>
      </c>
      <c r="B732" s="21" t="s">
        <v>618</v>
      </c>
      <c r="C732" s="20">
        <v>5.117</v>
      </c>
      <c r="D732" s="78"/>
    </row>
    <row r="733" spans="1:4" ht="15.75" hidden="1" outlineLevel="1" x14ac:dyDescent="0.2">
      <c r="A733" s="20" t="s">
        <v>937</v>
      </c>
      <c r="B733" s="21" t="s">
        <v>1156</v>
      </c>
      <c r="C733" s="20">
        <v>5.67</v>
      </c>
      <c r="D733" s="78"/>
    </row>
    <row r="734" spans="1:4" ht="15.75" hidden="1" outlineLevel="1" x14ac:dyDescent="0.2">
      <c r="A734" s="20" t="s">
        <v>937</v>
      </c>
      <c r="B734" s="21" t="s">
        <v>1153</v>
      </c>
      <c r="C734" s="20">
        <v>5.63</v>
      </c>
      <c r="D734" s="78"/>
    </row>
    <row r="735" spans="1:4" ht="15.75" hidden="1" outlineLevel="1" x14ac:dyDescent="0.2">
      <c r="A735" s="20" t="s">
        <v>937</v>
      </c>
      <c r="B735" s="21" t="s">
        <v>19</v>
      </c>
      <c r="C735" s="20">
        <v>5.47</v>
      </c>
      <c r="D735" s="78"/>
    </row>
    <row r="736" spans="1:4" ht="15.75" hidden="1" outlineLevel="1" x14ac:dyDescent="0.2">
      <c r="A736" s="20" t="s">
        <v>937</v>
      </c>
      <c r="B736" s="21" t="s">
        <v>30</v>
      </c>
      <c r="C736" s="20">
        <v>5.48</v>
      </c>
      <c r="D736" s="78"/>
    </row>
    <row r="737" spans="1:4" ht="15.75" collapsed="1" x14ac:dyDescent="0.2">
      <c r="A737" s="25" t="s">
        <v>959</v>
      </c>
      <c r="B737" s="21"/>
      <c r="C737" s="20"/>
      <c r="D737" s="78"/>
    </row>
    <row r="738" spans="1:4" ht="15.75" hidden="1" outlineLevel="1" x14ac:dyDescent="0.2">
      <c r="A738" s="20" t="s">
        <v>52</v>
      </c>
      <c r="B738" s="21" t="s">
        <v>651</v>
      </c>
      <c r="C738" s="20">
        <v>5.0999999999999996</v>
      </c>
      <c r="D738" s="78"/>
    </row>
    <row r="739" spans="1:4" ht="15.75" hidden="1" outlineLevel="1" x14ac:dyDescent="0.2">
      <c r="A739" s="20" t="s">
        <v>52</v>
      </c>
      <c r="B739" s="21" t="s">
        <v>0</v>
      </c>
      <c r="C739" s="20">
        <v>5.2</v>
      </c>
      <c r="D739" s="78"/>
    </row>
    <row r="740" spans="1:4" ht="15.75" hidden="1" outlineLevel="1" x14ac:dyDescent="0.2">
      <c r="A740" s="20" t="s">
        <v>52</v>
      </c>
      <c r="B740" s="21" t="s">
        <v>785</v>
      </c>
      <c r="C740" s="20">
        <v>5.18</v>
      </c>
      <c r="D740" s="78"/>
    </row>
    <row r="741" spans="1:4" ht="15.75" hidden="1" outlineLevel="1" x14ac:dyDescent="0.2">
      <c r="A741" s="20" t="s">
        <v>52</v>
      </c>
      <c r="B741" s="21" t="s">
        <v>786</v>
      </c>
      <c r="C741" s="20">
        <v>5.23</v>
      </c>
      <c r="D741" s="78"/>
    </row>
    <row r="742" spans="1:4" ht="15.75" hidden="1" outlineLevel="1" x14ac:dyDescent="0.2">
      <c r="A742" s="20" t="s">
        <v>52</v>
      </c>
      <c r="B742" s="21" t="s">
        <v>1</v>
      </c>
      <c r="C742" s="20">
        <v>5.26</v>
      </c>
      <c r="D742" s="78"/>
    </row>
    <row r="743" spans="1:4" ht="15.75" hidden="1" outlineLevel="1" x14ac:dyDescent="0.2">
      <c r="A743" s="20" t="s">
        <v>52</v>
      </c>
      <c r="B743" s="21" t="s">
        <v>604</v>
      </c>
      <c r="C743" s="20">
        <v>5.27</v>
      </c>
      <c r="D743" s="78"/>
    </row>
    <row r="744" spans="1:4" ht="15.75" hidden="1" outlineLevel="1" x14ac:dyDescent="0.2">
      <c r="A744" s="20" t="s">
        <v>52</v>
      </c>
      <c r="B744" s="21" t="s">
        <v>605</v>
      </c>
      <c r="C744" s="20">
        <v>5.28</v>
      </c>
      <c r="D744" s="78"/>
    </row>
    <row r="745" spans="1:4" ht="15.75" hidden="1" outlineLevel="1" x14ac:dyDescent="0.2">
      <c r="A745" s="20" t="s">
        <v>52</v>
      </c>
      <c r="B745" s="21" t="s">
        <v>606</v>
      </c>
      <c r="C745" s="20">
        <v>5.36</v>
      </c>
      <c r="D745" s="78"/>
    </row>
    <row r="746" spans="1:4" ht="15.75" hidden="1" outlineLevel="1" x14ac:dyDescent="0.2">
      <c r="A746" s="20" t="s">
        <v>52</v>
      </c>
      <c r="B746" s="21" t="s">
        <v>794</v>
      </c>
      <c r="C746" s="20">
        <v>5.44</v>
      </c>
      <c r="D746" s="78"/>
    </row>
    <row r="747" spans="1:4" ht="15.75" hidden="1" outlineLevel="1" x14ac:dyDescent="0.2">
      <c r="A747" s="20" t="s">
        <v>52</v>
      </c>
      <c r="B747" s="21" t="s">
        <v>396</v>
      </c>
      <c r="C747" s="20">
        <v>5.53</v>
      </c>
      <c r="D747" s="78"/>
    </row>
    <row r="748" spans="1:4" ht="15.75" hidden="1" outlineLevel="1" x14ac:dyDescent="0.2">
      <c r="A748" s="20" t="s">
        <v>52</v>
      </c>
      <c r="B748" s="21" t="s">
        <v>16</v>
      </c>
      <c r="C748" s="20">
        <v>5.1120000000000001</v>
      </c>
      <c r="D748" s="78"/>
    </row>
    <row r="749" spans="1:4" ht="15.75" hidden="1" outlineLevel="1" x14ac:dyDescent="0.2">
      <c r="A749" s="20" t="s">
        <v>52</v>
      </c>
      <c r="B749" s="21" t="s">
        <v>922</v>
      </c>
      <c r="C749" s="20">
        <v>5.59</v>
      </c>
      <c r="D749" s="78"/>
    </row>
    <row r="750" spans="1:4" ht="15.75" hidden="1" outlineLevel="1" x14ac:dyDescent="0.2">
      <c r="A750" s="20" t="s">
        <v>52</v>
      </c>
      <c r="B750" s="21" t="s">
        <v>11</v>
      </c>
      <c r="C750" s="20">
        <v>5.54</v>
      </c>
      <c r="D750" s="78"/>
    </row>
    <row r="751" spans="1:4" ht="15.75" hidden="1" outlineLevel="1" x14ac:dyDescent="0.2">
      <c r="A751" s="20" t="s">
        <v>52</v>
      </c>
      <c r="B751" s="21" t="s">
        <v>1153</v>
      </c>
      <c r="C751" s="20">
        <v>5.63</v>
      </c>
      <c r="D751" s="78"/>
    </row>
    <row r="752" spans="1:4" ht="15.75" hidden="1" outlineLevel="1" x14ac:dyDescent="0.2">
      <c r="A752" s="20" t="s">
        <v>52</v>
      </c>
      <c r="B752" s="21" t="s">
        <v>1154</v>
      </c>
      <c r="C752" s="20">
        <v>5.65</v>
      </c>
      <c r="D752" s="78"/>
    </row>
    <row r="753" spans="1:4" ht="15.75" hidden="1" outlineLevel="1" x14ac:dyDescent="0.2">
      <c r="A753" s="20" t="s">
        <v>52</v>
      </c>
      <c r="B753" s="21" t="s">
        <v>26</v>
      </c>
      <c r="C753" s="20">
        <v>5.68</v>
      </c>
      <c r="D753" s="78"/>
    </row>
    <row r="754" spans="1:4" ht="15.75" hidden="1" outlineLevel="1" x14ac:dyDescent="0.2">
      <c r="A754" s="20" t="s">
        <v>52</v>
      </c>
      <c r="B754" s="21" t="s">
        <v>19</v>
      </c>
      <c r="C754" s="20">
        <v>5.47</v>
      </c>
      <c r="D754" s="78"/>
    </row>
    <row r="755" spans="1:4" ht="15.75" hidden="1" outlineLevel="1" x14ac:dyDescent="0.2">
      <c r="A755" s="20" t="s">
        <v>52</v>
      </c>
      <c r="B755" s="21" t="s">
        <v>30</v>
      </c>
      <c r="C755" s="20">
        <v>5.48</v>
      </c>
      <c r="D755" s="78"/>
    </row>
    <row r="756" spans="1:4" ht="15.75" collapsed="1" x14ac:dyDescent="0.2">
      <c r="A756" s="25" t="s">
        <v>52</v>
      </c>
      <c r="B756" s="21"/>
      <c r="C756" s="20"/>
      <c r="D756" s="78"/>
    </row>
    <row r="757" spans="1:4" ht="15.75" hidden="1" outlineLevel="1" x14ac:dyDescent="0.2">
      <c r="A757" s="20" t="s">
        <v>755</v>
      </c>
      <c r="B757" s="21" t="s">
        <v>651</v>
      </c>
      <c r="C757" s="20">
        <v>5.0999999999999996</v>
      </c>
      <c r="D757" s="78"/>
    </row>
    <row r="758" spans="1:4" ht="15.75" hidden="1" outlineLevel="1" x14ac:dyDescent="0.2">
      <c r="A758" s="20" t="s">
        <v>755</v>
      </c>
      <c r="B758" s="21" t="s">
        <v>0</v>
      </c>
      <c r="C758" s="20">
        <v>5.2</v>
      </c>
      <c r="D758" s="78"/>
    </row>
    <row r="759" spans="1:4" ht="15.75" hidden="1" outlineLevel="1" x14ac:dyDescent="0.2">
      <c r="A759" s="20" t="s">
        <v>755</v>
      </c>
      <c r="B759" s="21" t="s">
        <v>725</v>
      </c>
      <c r="C759" s="20">
        <v>5.9</v>
      </c>
      <c r="D759" s="77" t="s">
        <v>935</v>
      </c>
    </row>
    <row r="760" spans="1:4" ht="15.75" hidden="1" outlineLevel="1" x14ac:dyDescent="0.2">
      <c r="A760" s="20" t="s">
        <v>755</v>
      </c>
      <c r="B760" s="21" t="s">
        <v>726</v>
      </c>
      <c r="C760" s="20">
        <v>5.13</v>
      </c>
      <c r="D760" s="78"/>
    </row>
    <row r="761" spans="1:4" ht="15.75" hidden="1" outlineLevel="1" x14ac:dyDescent="0.2">
      <c r="A761" s="20" t="s">
        <v>755</v>
      </c>
      <c r="B761" s="21" t="s">
        <v>727</v>
      </c>
      <c r="C761" s="20">
        <v>5.16</v>
      </c>
      <c r="D761" s="77" t="s">
        <v>935</v>
      </c>
    </row>
    <row r="762" spans="1:4" ht="15.75" hidden="1" outlineLevel="1" x14ac:dyDescent="0.2">
      <c r="A762" s="20" t="s">
        <v>755</v>
      </c>
      <c r="B762" s="21" t="s">
        <v>728</v>
      </c>
      <c r="C762" s="20">
        <v>5.22</v>
      </c>
      <c r="D762" s="77"/>
    </row>
    <row r="763" spans="1:4" ht="15.75" hidden="1" outlineLevel="1" x14ac:dyDescent="0.2">
      <c r="A763" s="20" t="s">
        <v>755</v>
      </c>
      <c r="B763" s="21" t="s">
        <v>733</v>
      </c>
      <c r="C763" s="20">
        <v>5.42</v>
      </c>
      <c r="D763" s="78"/>
    </row>
    <row r="764" spans="1:4" ht="15.75" hidden="1" outlineLevel="1" x14ac:dyDescent="0.2">
      <c r="A764" s="20" t="s">
        <v>755</v>
      </c>
      <c r="B764" s="21" t="s">
        <v>604</v>
      </c>
      <c r="C764" s="20">
        <v>5.27</v>
      </c>
      <c r="D764" s="78"/>
    </row>
    <row r="765" spans="1:4" ht="15.75" hidden="1" outlineLevel="1" x14ac:dyDescent="0.2">
      <c r="A765" s="20" t="s">
        <v>755</v>
      </c>
      <c r="B765" s="21" t="s">
        <v>605</v>
      </c>
      <c r="C765" s="20">
        <v>5.28</v>
      </c>
      <c r="D765" s="77" t="s">
        <v>935</v>
      </c>
    </row>
    <row r="766" spans="1:4" ht="15.75" hidden="1" outlineLevel="1" x14ac:dyDescent="0.2">
      <c r="A766" s="20" t="s">
        <v>755</v>
      </c>
      <c r="B766" s="21" t="s">
        <v>606</v>
      </c>
      <c r="C766" s="20">
        <v>5.36</v>
      </c>
      <c r="D766" s="78"/>
    </row>
    <row r="767" spans="1:4" ht="15.75" hidden="1" outlineLevel="1" x14ac:dyDescent="0.2">
      <c r="A767" s="20" t="s">
        <v>755</v>
      </c>
      <c r="B767" s="21" t="s">
        <v>6</v>
      </c>
      <c r="C767" s="20">
        <v>5.49</v>
      </c>
      <c r="D767" s="78"/>
    </row>
    <row r="768" spans="1:4" ht="15.75" hidden="1" outlineLevel="1" x14ac:dyDescent="0.2">
      <c r="A768" s="20" t="s">
        <v>755</v>
      </c>
      <c r="B768" s="21" t="s">
        <v>8</v>
      </c>
      <c r="C768" s="20">
        <v>5.51</v>
      </c>
      <c r="D768" s="78"/>
    </row>
    <row r="769" spans="1:4" ht="15.75" hidden="1" outlineLevel="1" x14ac:dyDescent="0.2">
      <c r="A769" s="20" t="s">
        <v>755</v>
      </c>
      <c r="B769" s="21" t="s">
        <v>777</v>
      </c>
      <c r="C769" s="20">
        <v>5.52</v>
      </c>
      <c r="D769" s="78"/>
    </row>
    <row r="770" spans="1:4" ht="15.75" hidden="1" outlineLevel="1" x14ac:dyDescent="0.2">
      <c r="A770" s="20" t="s">
        <v>755</v>
      </c>
      <c r="B770" s="21" t="s">
        <v>396</v>
      </c>
      <c r="C770" s="20">
        <v>5.53</v>
      </c>
      <c r="D770" s="78"/>
    </row>
    <row r="771" spans="1:4" ht="15.75" hidden="1" outlineLevel="1" x14ac:dyDescent="0.2">
      <c r="A771" s="20" t="s">
        <v>755</v>
      </c>
      <c r="B771" s="21" t="s">
        <v>11</v>
      </c>
      <c r="C771" s="20">
        <v>5.54</v>
      </c>
      <c r="D771" s="78"/>
    </row>
    <row r="772" spans="1:4" ht="15.75" hidden="1" outlineLevel="1" x14ac:dyDescent="0.2">
      <c r="A772" s="20" t="s">
        <v>755</v>
      </c>
      <c r="B772" s="21" t="s">
        <v>14</v>
      </c>
      <c r="C772" s="22">
        <v>5.7</v>
      </c>
      <c r="D772" s="78"/>
    </row>
    <row r="773" spans="1:4" ht="15.75" hidden="1" outlineLevel="1" x14ac:dyDescent="0.2">
      <c r="A773" s="20" t="s">
        <v>755</v>
      </c>
      <c r="B773" s="21" t="s">
        <v>440</v>
      </c>
      <c r="C773" s="20">
        <v>5.71</v>
      </c>
      <c r="D773" s="78"/>
    </row>
    <row r="774" spans="1:4" ht="15.75" hidden="1" outlineLevel="1" x14ac:dyDescent="0.2">
      <c r="A774" s="20" t="s">
        <v>755</v>
      </c>
      <c r="B774" s="21" t="s">
        <v>796</v>
      </c>
      <c r="C774" s="22">
        <v>5.9</v>
      </c>
      <c r="D774" s="78"/>
    </row>
    <row r="775" spans="1:4" ht="15.75" hidden="1" outlineLevel="1" x14ac:dyDescent="0.2">
      <c r="A775" s="20" t="s">
        <v>755</v>
      </c>
      <c r="B775" s="21" t="s">
        <v>1157</v>
      </c>
      <c r="C775" s="20">
        <v>5.91</v>
      </c>
      <c r="D775" s="78"/>
    </row>
    <row r="776" spans="1:4" ht="15.75" hidden="1" outlineLevel="1" x14ac:dyDescent="0.2">
      <c r="A776" s="20" t="s">
        <v>755</v>
      </c>
      <c r="B776" s="21" t="s">
        <v>748</v>
      </c>
      <c r="C776" s="20">
        <v>5.97</v>
      </c>
      <c r="D776" s="78"/>
    </row>
    <row r="777" spans="1:4" ht="15.75" collapsed="1" x14ac:dyDescent="0.2">
      <c r="A777" s="25" t="s">
        <v>755</v>
      </c>
      <c r="B777" s="21"/>
      <c r="C777" s="20"/>
      <c r="D777" s="78"/>
    </row>
    <row r="778" spans="1:4" ht="15.75" hidden="1" outlineLevel="1" x14ac:dyDescent="0.2">
      <c r="A778" s="20" t="s">
        <v>774</v>
      </c>
      <c r="B778" s="21" t="s">
        <v>651</v>
      </c>
      <c r="C778" s="20">
        <v>5.0999999999999996</v>
      </c>
      <c r="D778" s="78"/>
    </row>
    <row r="779" spans="1:4" ht="15.75" hidden="1" outlineLevel="1" x14ac:dyDescent="0.2">
      <c r="A779" s="20" t="s">
        <v>774</v>
      </c>
      <c r="B779" s="21" t="s">
        <v>0</v>
      </c>
      <c r="C779" s="20">
        <v>5.2</v>
      </c>
      <c r="D779" s="78"/>
    </row>
    <row r="780" spans="1:4" ht="15.75" hidden="1" outlineLevel="1" x14ac:dyDescent="0.2">
      <c r="A780" s="20" t="s">
        <v>774</v>
      </c>
      <c r="B780" s="21" t="s">
        <v>1</v>
      </c>
      <c r="C780" s="20">
        <v>5.26</v>
      </c>
      <c r="D780" s="78"/>
    </row>
    <row r="781" spans="1:4" ht="15.75" hidden="1" outlineLevel="1" x14ac:dyDescent="0.2">
      <c r="A781" s="20" t="s">
        <v>774</v>
      </c>
      <c r="B781" s="21" t="s">
        <v>780</v>
      </c>
      <c r="C781" s="20">
        <v>5.5</v>
      </c>
      <c r="D781" s="78"/>
    </row>
    <row r="782" spans="1:4" ht="15.75" hidden="1" outlineLevel="1" x14ac:dyDescent="0.2">
      <c r="A782" s="20" t="s">
        <v>774</v>
      </c>
      <c r="B782" s="21" t="s">
        <v>793</v>
      </c>
      <c r="C782" s="20">
        <v>5.8</v>
      </c>
      <c r="D782" s="77" t="s">
        <v>935</v>
      </c>
    </row>
    <row r="783" spans="1:4" ht="15.75" hidden="1" outlineLevel="1" x14ac:dyDescent="0.2">
      <c r="A783" s="20" t="s">
        <v>774</v>
      </c>
      <c r="B783" s="21" t="s">
        <v>781</v>
      </c>
      <c r="C783" s="20">
        <v>5.12</v>
      </c>
      <c r="D783" s="20"/>
    </row>
    <row r="784" spans="1:4" ht="15.75" hidden="1" outlineLevel="1" x14ac:dyDescent="0.2">
      <c r="A784" s="20" t="s">
        <v>774</v>
      </c>
      <c r="B784" s="21" t="s">
        <v>747</v>
      </c>
      <c r="C784" s="20">
        <v>5.15</v>
      </c>
      <c r="D784" s="20"/>
    </row>
    <row r="785" spans="1:4" ht="15.75" hidden="1" outlineLevel="1" x14ac:dyDescent="0.2">
      <c r="A785" s="20" t="s">
        <v>774</v>
      </c>
      <c r="B785" s="21" t="s">
        <v>746</v>
      </c>
      <c r="C785" s="22">
        <v>5.2</v>
      </c>
      <c r="D785" s="77"/>
    </row>
    <row r="786" spans="1:4" ht="15.75" hidden="1" outlineLevel="1" x14ac:dyDescent="0.2">
      <c r="A786" s="20" t="s">
        <v>774</v>
      </c>
      <c r="B786" s="21" t="s">
        <v>751</v>
      </c>
      <c r="C786" s="20">
        <v>5.25</v>
      </c>
      <c r="D786" s="20"/>
    </row>
    <row r="787" spans="1:4" ht="15.75" hidden="1" outlineLevel="1" x14ac:dyDescent="0.2">
      <c r="A787" s="20" t="s">
        <v>774</v>
      </c>
      <c r="B787" s="21" t="s">
        <v>396</v>
      </c>
      <c r="C787" s="20">
        <v>5.53</v>
      </c>
      <c r="D787" s="20"/>
    </row>
    <row r="788" spans="1:4" ht="15.75" hidden="1" outlineLevel="1" x14ac:dyDescent="0.2">
      <c r="A788" s="20" t="s">
        <v>774</v>
      </c>
      <c r="B788" s="21" t="s">
        <v>745</v>
      </c>
      <c r="C788" s="22">
        <v>5.4</v>
      </c>
      <c r="D788" s="20"/>
    </row>
    <row r="789" spans="1:4" ht="15.75" hidden="1" outlineLevel="1" x14ac:dyDescent="0.2">
      <c r="A789" s="20" t="s">
        <v>774</v>
      </c>
      <c r="B789" s="21" t="s">
        <v>923</v>
      </c>
      <c r="C789" s="20">
        <v>5.92</v>
      </c>
      <c r="D789" s="20"/>
    </row>
    <row r="790" spans="1:4" ht="15.75" hidden="1" outlineLevel="1" x14ac:dyDescent="0.2">
      <c r="A790" s="20" t="s">
        <v>774</v>
      </c>
      <c r="B790" s="21" t="s">
        <v>1158</v>
      </c>
      <c r="C790" s="20">
        <v>5.93</v>
      </c>
      <c r="D790" s="20"/>
    </row>
    <row r="791" spans="1:4" ht="31.5" hidden="1" outlineLevel="1" x14ac:dyDescent="0.2">
      <c r="A791" s="20" t="s">
        <v>774</v>
      </c>
      <c r="B791" s="21" t="s">
        <v>924</v>
      </c>
      <c r="C791" s="20">
        <v>5.94</v>
      </c>
      <c r="D791" s="20"/>
    </row>
    <row r="792" spans="1:4" ht="15.75" hidden="1" outlineLevel="1" x14ac:dyDescent="0.2">
      <c r="A792" s="20" t="s">
        <v>774</v>
      </c>
      <c r="B792" s="21" t="s">
        <v>1159</v>
      </c>
      <c r="C792" s="20">
        <v>5.95</v>
      </c>
      <c r="D792" s="20"/>
    </row>
    <row r="793" spans="1:4" ht="15.75" hidden="1" outlineLevel="1" x14ac:dyDescent="0.2">
      <c r="A793" s="20" t="s">
        <v>774</v>
      </c>
      <c r="B793" s="21" t="s">
        <v>22</v>
      </c>
      <c r="C793" s="20">
        <v>5.98</v>
      </c>
      <c r="D793" s="20"/>
    </row>
    <row r="794" spans="1:4" ht="15.75" hidden="1" outlineLevel="1" x14ac:dyDescent="0.2">
      <c r="A794" s="20" t="s">
        <v>774</v>
      </c>
      <c r="B794" s="21" t="s">
        <v>797</v>
      </c>
      <c r="C794" s="20">
        <v>5.96</v>
      </c>
      <c r="D794" s="20"/>
    </row>
    <row r="795" spans="1:4" ht="15.75" collapsed="1" x14ac:dyDescent="0.2">
      <c r="A795" s="25" t="s">
        <v>774</v>
      </c>
      <c r="B795" s="21"/>
      <c r="C795" s="20"/>
      <c r="D795" s="20"/>
    </row>
  </sheetData>
  <autoFilter ref="A1:D795" xr:uid="{00000000-0009-0000-0000-000021000000}"/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4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14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19"/>
    </row>
    <row r="15" spans="1:2" ht="15" x14ac:dyDescent="0.25">
      <c r="A15" s="14" t="s">
        <v>513</v>
      </c>
    </row>
    <row r="16" spans="1:2" x14ac:dyDescent="0.2">
      <c r="A16" s="17" t="s">
        <v>514</v>
      </c>
    </row>
    <row r="17" spans="1:2" x14ac:dyDescent="0.2">
      <c r="A17" s="17" t="s">
        <v>515</v>
      </c>
    </row>
    <row r="18" spans="1:2" x14ac:dyDescent="0.2">
      <c r="A18" s="17" t="s">
        <v>516</v>
      </c>
    </row>
    <row r="19" spans="1:2" x14ac:dyDescent="0.2">
      <c r="A19" s="17" t="s">
        <v>517</v>
      </c>
    </row>
    <row r="21" spans="1:2" ht="15" x14ac:dyDescent="0.25">
      <c r="A21" s="18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4" t="s">
        <v>571</v>
      </c>
      <c r="B34" s="14" t="s">
        <v>429</v>
      </c>
    </row>
    <row r="35" spans="1:2" x14ac:dyDescent="0.2">
      <c r="A35" s="8" t="s">
        <v>574</v>
      </c>
      <c r="B35" s="91">
        <v>520023185</v>
      </c>
    </row>
    <row r="36" spans="1:2" x14ac:dyDescent="0.2">
      <c r="A36" t="s">
        <v>575</v>
      </c>
      <c r="B36" s="91">
        <v>520024647</v>
      </c>
    </row>
    <row r="37" spans="1:2" x14ac:dyDescent="0.2">
      <c r="A37" t="s">
        <v>578</v>
      </c>
      <c r="B37" s="91">
        <v>520004896</v>
      </c>
    </row>
    <row r="38" spans="1:2" x14ac:dyDescent="0.2">
      <c r="A38" t="s">
        <v>573</v>
      </c>
      <c r="B38" s="91">
        <v>520042540</v>
      </c>
    </row>
    <row r="39" spans="1:2" x14ac:dyDescent="0.2">
      <c r="A39" t="s">
        <v>1186</v>
      </c>
      <c r="B39" s="91">
        <v>520021916</v>
      </c>
    </row>
    <row r="40" spans="1:2" x14ac:dyDescent="0.2">
      <c r="A40" t="s">
        <v>586</v>
      </c>
      <c r="B40" s="8">
        <v>510015951</v>
      </c>
    </row>
    <row r="41" spans="1:2" x14ac:dyDescent="0.2">
      <c r="A41" t="s">
        <v>1187</v>
      </c>
      <c r="B41" s="8">
        <v>510888985</v>
      </c>
    </row>
    <row r="42" spans="1:2" x14ac:dyDescent="0.2">
      <c r="A42" t="s">
        <v>577</v>
      </c>
      <c r="B42" s="8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8">
        <v>520027848</v>
      </c>
    </row>
    <row r="47" spans="1:2" x14ac:dyDescent="0.2">
      <c r="A47" t="s">
        <v>1189</v>
      </c>
      <c r="B47" s="8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8">
        <v>512304882</v>
      </c>
    </row>
    <row r="50" spans="1:2" x14ac:dyDescent="0.2">
      <c r="A50" t="s">
        <v>1191</v>
      </c>
      <c r="B50" s="8">
        <v>512310509</v>
      </c>
    </row>
    <row r="51" spans="1:2" x14ac:dyDescent="0.2">
      <c r="A51" t="s">
        <v>1192</v>
      </c>
      <c r="B51" s="8">
        <v>512904608</v>
      </c>
    </row>
    <row r="52" spans="1:2" x14ac:dyDescent="0.2">
      <c r="A52" t="s">
        <v>1193</v>
      </c>
      <c r="B52" s="8">
        <v>500500376</v>
      </c>
    </row>
    <row r="53" spans="1:2" x14ac:dyDescent="0.2">
      <c r="A53" t="s">
        <v>581</v>
      </c>
      <c r="B53" s="8">
        <v>520044025</v>
      </c>
    </row>
    <row r="54" spans="1:2" x14ac:dyDescent="0.2">
      <c r="A54" t="s">
        <v>1194</v>
      </c>
      <c r="B54" s="8">
        <v>513136895</v>
      </c>
    </row>
    <row r="55" spans="1:2" x14ac:dyDescent="0.2">
      <c r="A55" t="s">
        <v>580</v>
      </c>
      <c r="B55" s="8">
        <v>520004078</v>
      </c>
    </row>
    <row r="56" spans="1:2" x14ac:dyDescent="0.2">
      <c r="A56" t="s">
        <v>584</v>
      </c>
      <c r="B56" s="8">
        <v>515761625</v>
      </c>
    </row>
    <row r="57" spans="1:2" x14ac:dyDescent="0.2">
      <c r="A57" t="s">
        <v>583</v>
      </c>
      <c r="B57" s="8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8">
        <v>516687407</v>
      </c>
    </row>
    <row r="60" spans="1:2" x14ac:dyDescent="0.2">
      <c r="A60" t="s">
        <v>1196</v>
      </c>
      <c r="B60" s="8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8">
        <v>520027954</v>
      </c>
    </row>
    <row r="63" spans="1:2" x14ac:dyDescent="0.2">
      <c r="A63" t="s">
        <v>536</v>
      </c>
      <c r="B63" s="8">
        <v>512362914</v>
      </c>
    </row>
    <row r="64" spans="1:2" x14ac:dyDescent="0.2">
      <c r="A64" t="s">
        <v>563</v>
      </c>
      <c r="B64" s="8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8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8">
        <v>520027715</v>
      </c>
    </row>
    <row r="70" spans="1:2" x14ac:dyDescent="0.2">
      <c r="A70" t="s">
        <v>553</v>
      </c>
      <c r="B70" s="8">
        <v>520028861</v>
      </c>
    </row>
    <row r="71" spans="1:2" x14ac:dyDescent="0.2">
      <c r="A71" t="s">
        <v>591</v>
      </c>
      <c r="B71" s="8">
        <v>520029620</v>
      </c>
    </row>
    <row r="72" spans="1:2" x14ac:dyDescent="0.2">
      <c r="A72" t="s">
        <v>520</v>
      </c>
      <c r="B72" s="8">
        <v>520030743</v>
      </c>
    </row>
    <row r="73" spans="1:2" x14ac:dyDescent="0.2">
      <c r="A73" t="s">
        <v>1198</v>
      </c>
      <c r="B73" s="8">
        <v>520030198</v>
      </c>
    </row>
    <row r="74" spans="1:2" x14ac:dyDescent="0.2">
      <c r="A74" t="s">
        <v>1199</v>
      </c>
      <c r="B74" s="8">
        <v>520042631</v>
      </c>
    </row>
    <row r="75" spans="1:2" x14ac:dyDescent="0.2">
      <c r="A75" t="s">
        <v>542</v>
      </c>
      <c r="B75" s="8">
        <v>520030941</v>
      </c>
    </row>
    <row r="76" spans="1:2" x14ac:dyDescent="0.2">
      <c r="A76" t="s">
        <v>562</v>
      </c>
      <c r="B76" s="8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8">
        <v>510927536</v>
      </c>
    </row>
    <row r="80" spans="1:2" x14ac:dyDescent="0.2">
      <c r="A80" t="s">
        <v>1200</v>
      </c>
      <c r="B80" s="8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8">
        <v>520034968</v>
      </c>
    </row>
    <row r="83" spans="1:2" x14ac:dyDescent="0.2">
      <c r="A83" t="s">
        <v>531</v>
      </c>
      <c r="B83" s="8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8">
        <v>520042615</v>
      </c>
    </row>
    <row r="86" spans="1:2" x14ac:dyDescent="0.2">
      <c r="A86" t="s">
        <v>548</v>
      </c>
      <c r="B86" s="8">
        <v>520042607</v>
      </c>
    </row>
    <row r="87" spans="1:2" x14ac:dyDescent="0.2">
      <c r="A87" t="s">
        <v>526</v>
      </c>
      <c r="B87" s="8">
        <v>520019688</v>
      </c>
    </row>
    <row r="88" spans="1:2" x14ac:dyDescent="0.2">
      <c r="A88" t="s">
        <v>564</v>
      </c>
      <c r="B88" s="8">
        <v>570014928</v>
      </c>
    </row>
    <row r="89" spans="1:2" x14ac:dyDescent="0.2">
      <c r="A89" t="s">
        <v>543</v>
      </c>
      <c r="B89" s="8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8">
        <v>570005959</v>
      </c>
    </row>
    <row r="92" spans="1:2" x14ac:dyDescent="0.2">
      <c r="A92" t="s">
        <v>540</v>
      </c>
      <c r="B92" s="8">
        <v>570002618</v>
      </c>
    </row>
    <row r="93" spans="1:2" x14ac:dyDescent="0.2">
      <c r="A93" t="s">
        <v>1201</v>
      </c>
      <c r="B93" s="8">
        <v>511789190</v>
      </c>
    </row>
    <row r="94" spans="1:2" x14ac:dyDescent="0.2">
      <c r="A94" t="s">
        <v>522</v>
      </c>
      <c r="B94" s="8">
        <v>520022518</v>
      </c>
    </row>
    <row r="95" spans="1:2" x14ac:dyDescent="0.2">
      <c r="A95" t="s">
        <v>521</v>
      </c>
      <c r="B95" s="8">
        <v>520031659</v>
      </c>
    </row>
    <row r="96" spans="1:2" x14ac:dyDescent="0.2">
      <c r="A96" t="s">
        <v>525</v>
      </c>
      <c r="B96" s="8">
        <v>570007476</v>
      </c>
    </row>
    <row r="97" spans="1:2" x14ac:dyDescent="0.2">
      <c r="A97" t="s">
        <v>527</v>
      </c>
      <c r="B97" s="8">
        <v>570009852</v>
      </c>
    </row>
    <row r="98" spans="1:2" x14ac:dyDescent="0.2">
      <c r="A98" t="s">
        <v>518</v>
      </c>
      <c r="B98" s="8">
        <v>510800402</v>
      </c>
    </row>
    <row r="99" spans="1:2" x14ac:dyDescent="0.2">
      <c r="A99" t="s">
        <v>552</v>
      </c>
      <c r="B99" s="8">
        <v>510773922</v>
      </c>
    </row>
    <row r="100" spans="1:2" x14ac:dyDescent="0.2">
      <c r="A100" t="s">
        <v>559</v>
      </c>
      <c r="B100" s="8">
        <v>512008335</v>
      </c>
    </row>
    <row r="101" spans="1:2" x14ac:dyDescent="0.2">
      <c r="A101" t="s">
        <v>570</v>
      </c>
      <c r="B101" s="8">
        <v>510142789</v>
      </c>
    </row>
    <row r="102" spans="1:2" x14ac:dyDescent="0.2">
      <c r="A102" t="s">
        <v>547</v>
      </c>
      <c r="B102" s="8">
        <v>520028556</v>
      </c>
    </row>
    <row r="103" spans="1:2" x14ac:dyDescent="0.2">
      <c r="A103" t="s">
        <v>537</v>
      </c>
      <c r="B103" s="8">
        <v>520030693</v>
      </c>
    </row>
    <row r="104" spans="1:2" x14ac:dyDescent="0.2">
      <c r="A104" t="s">
        <v>561</v>
      </c>
      <c r="B104" s="8">
        <v>520042573</v>
      </c>
    </row>
    <row r="105" spans="1:2" x14ac:dyDescent="0.2">
      <c r="A105" t="s">
        <v>565</v>
      </c>
      <c r="B105" s="8">
        <v>511423048</v>
      </c>
    </row>
    <row r="106" spans="1:2" x14ac:dyDescent="0.2">
      <c r="A106" t="s">
        <v>530</v>
      </c>
      <c r="B106" s="8">
        <v>570011767</v>
      </c>
    </row>
    <row r="107" spans="1:2" x14ac:dyDescent="0.2">
      <c r="A107" t="s">
        <v>1202</v>
      </c>
      <c r="B107" s="8">
        <v>512065202</v>
      </c>
    </row>
    <row r="108" spans="1:2" x14ac:dyDescent="0.2">
      <c r="A108" t="s">
        <v>1203</v>
      </c>
      <c r="B108" s="8">
        <v>512711409</v>
      </c>
    </row>
    <row r="109" spans="1:2" x14ac:dyDescent="0.2">
      <c r="A109" t="s">
        <v>1204</v>
      </c>
      <c r="B109" s="8">
        <v>520005497</v>
      </c>
    </row>
    <row r="110" spans="1:2" x14ac:dyDescent="0.2">
      <c r="A110" t="s">
        <v>1205</v>
      </c>
      <c r="B110" s="8">
        <v>570024109</v>
      </c>
    </row>
    <row r="111" spans="1:2" x14ac:dyDescent="0.2">
      <c r="A111" t="s">
        <v>568</v>
      </c>
      <c r="B111" s="8">
        <v>520020447</v>
      </c>
    </row>
    <row r="112" spans="1:2" x14ac:dyDescent="0.2">
      <c r="A112" t="s">
        <v>566</v>
      </c>
      <c r="B112" s="8">
        <v>520023094</v>
      </c>
    </row>
    <row r="113" spans="1:2" x14ac:dyDescent="0.2">
      <c r="A113" t="s">
        <v>569</v>
      </c>
      <c r="B113" s="8">
        <v>520028812</v>
      </c>
    </row>
    <row r="114" spans="1:2" x14ac:dyDescent="0.2">
      <c r="A114" t="s">
        <v>567</v>
      </c>
      <c r="B114" s="8">
        <v>520022963</v>
      </c>
    </row>
    <row r="115" spans="1:2" x14ac:dyDescent="0.2">
      <c r="A115" t="s">
        <v>545</v>
      </c>
      <c r="B115" s="8">
        <v>520027251</v>
      </c>
    </row>
    <row r="116" spans="1:2" x14ac:dyDescent="0.2">
      <c r="A116" t="s">
        <v>546</v>
      </c>
      <c r="B116" s="8">
        <v>520028390</v>
      </c>
    </row>
    <row r="117" spans="1:2" x14ac:dyDescent="0.2">
      <c r="A117" t="s">
        <v>1206</v>
      </c>
      <c r="B117" s="8">
        <v>513026484</v>
      </c>
    </row>
    <row r="118" spans="1:2" x14ac:dyDescent="0.2">
      <c r="A118" t="s">
        <v>533</v>
      </c>
      <c r="B118" s="8">
        <v>513173393</v>
      </c>
    </row>
    <row r="119" spans="1:2" x14ac:dyDescent="0.2">
      <c r="A119" t="s">
        <v>541</v>
      </c>
      <c r="B119" s="8">
        <v>513452003</v>
      </c>
    </row>
    <row r="120" spans="1:2" x14ac:dyDescent="0.2">
      <c r="A120" t="s">
        <v>532</v>
      </c>
      <c r="B120" s="8">
        <v>513611509</v>
      </c>
    </row>
    <row r="121" spans="1:2" x14ac:dyDescent="0.2">
      <c r="A121" t="s">
        <v>803</v>
      </c>
      <c r="B121" s="8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8">
        <v>512237744</v>
      </c>
    </row>
    <row r="124" spans="1:2" x14ac:dyDescent="0.2">
      <c r="A124" t="s">
        <v>549</v>
      </c>
      <c r="B124" s="8">
        <v>512267592</v>
      </c>
    </row>
    <row r="125" spans="1:2" x14ac:dyDescent="0.2">
      <c r="A125" t="s">
        <v>1207</v>
      </c>
      <c r="B125" s="8">
        <v>514767490</v>
      </c>
    </row>
    <row r="126" spans="1:2" x14ac:dyDescent="0.2">
      <c r="A126" t="s">
        <v>804</v>
      </c>
      <c r="B126" s="8">
        <v>514956465</v>
      </c>
    </row>
    <row r="127" spans="1:2" x14ac:dyDescent="0.2">
      <c r="A127" t="s">
        <v>538</v>
      </c>
      <c r="B127" s="8">
        <v>512245812</v>
      </c>
    </row>
    <row r="128" spans="1:2" x14ac:dyDescent="0.2">
      <c r="A128" t="s">
        <v>1208</v>
      </c>
      <c r="B128" s="8">
        <v>515447035</v>
      </c>
    </row>
    <row r="129" spans="1:2" x14ac:dyDescent="0.2">
      <c r="A129" t="s">
        <v>1209</v>
      </c>
      <c r="B129" s="8">
        <v>516463635</v>
      </c>
    </row>
    <row r="130" spans="1:2" x14ac:dyDescent="0.2">
      <c r="A130" t="s">
        <v>1210</v>
      </c>
      <c r="B130" s="8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מקרא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revital kibel</cp:lastModifiedBy>
  <dcterms:modified xsi:type="dcterms:W3CDTF">2025-11-20T07:52:48Z</dcterms:modified>
  <cp:category/>
</cp:coreProperties>
</file>