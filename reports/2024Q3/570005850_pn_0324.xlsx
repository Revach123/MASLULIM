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9.2024\שליחה שניה אותות\"/>
    </mc:Choice>
  </mc:AlternateContent>
  <xr:revisionPtr revIDLastSave="0" documentId="13_ncr:1_{CB816D11-C1FB-4EF0-9840-6177D6919CA9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 iterate="1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4" i="2" l="1"/>
  <c r="B29" i="2"/>
  <c r="B27" i="2"/>
  <c r="B19" i="2"/>
  <c r="B18" i="2"/>
  <c r="B15" i="2"/>
  <c r="B8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<sst xmlns="http://schemas.openxmlformats.org/spreadsheetml/2006/main" count="5509" uniqueCount="1433">
  <si>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</si>
  <si>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</si>
  <si>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</si>
  <si>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</si>
  <si>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</si>
  <si>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</si>
  <si>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</si>
  <si>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</si>
  <si>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</si>
  <si>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</si>
  <si>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</si>
  <si>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</si>
  <si>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</si>
  <si>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</si>
  <si>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</si>
  <si>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</si>
  <si>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</si>
  <si>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</si>
  <si>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</si>
  <si>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</si>
  <si>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</si>
  <si>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</si>
  <si>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</si>
  <si>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</si>
  <si>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</si>
  <si>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</si>
  <si>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</si>
  <si>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</si>
  <si>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</si>
  <si>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</si>
  <si>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</si>
  <si>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</si>
  <si>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</si>
  <si>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</si>
  <si>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</si>
  <si>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</si>
  <si>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</si>
  <si>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</si>
  <si>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</si>
  <si>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</si>
  <si>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</si>
  <si>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</si>
  <si>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</si>
  <si>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</si>
  <si>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</si>
  <si>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</si>
  <si>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</si>
  <si>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</si>
  <si>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</si>
  <si>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</si>
  <si>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</si>
  <si>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</si>
  <si>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</si>
  <si>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</si>
  <si>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</si>
  <si>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</si>
  <si>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</si>
  <si>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</si>
  <si>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</si>
  <si>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</si>
  <si>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</si>
  <si>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</si>
  <si>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</si>
  <si>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</si>
  <si>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</si>
  <si>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</si>
  <si>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</si>
  <si>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</si>
  <si>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</si>
  <si>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</si>
  <si>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</si>
  <si>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</si>
  <si>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</si>
  <si>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</si>
  <si>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</si>
  <si>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</si>
  <si>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</si>
  <si>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</si>
  <si>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</si>
  <si>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</si>
  <si>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</si>
  <si>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</si>
  <si>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</si>
  <si>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</si>
  <si>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</si>
  <si>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</si>
  <si>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</si>
  <si>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</si>
  <si>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</si>
  <si>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</si>
  <si>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</si>
  <si>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</si>
  <si>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</si>
  <si>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</si>
  <si>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</si>
  <si>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</si>
  <si>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</si>
  <si>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</si>
  <si>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</si>
  <si>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</si>
  <si>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</si>
  <si>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</si>
  <si>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</si>
  <si>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</si>
  <si>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</si>
  <si>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</si>
  <si>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</si>
  <si>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</si>
  <si>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</si>
  <si>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</si>
  <si>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</si>
  <si>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</si>
  <si>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</si>
  <si>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</si>
  <si>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</si>
  <si>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</si>
  <si>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</si>
  <si>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</si>
  <si>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</si>
  <si>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</si>
  <si>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</si>
  <si>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</si>
  <si>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</si>
  <si>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</si>
  <si>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</si>
  <si>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</si>
  <si>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</si>
  <si>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</si>
  <si>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</si>
  <si>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</si>
  <si>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</si>
  <si>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</si>
  <si>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</si>
  <si>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</si>
  <si>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</si>
  <si>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</si>
  <si>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</si>
  <si>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</si>
  <si>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</si>
  <si>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</si>
  <si>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</si>
  <si>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</si>
  <si>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</si>
  <si>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</si>
  <si>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</si>
  <si>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</si>
  <si>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</si>
  <si>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</si>
  <si>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</si>
  <si>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</si>
  <si>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</si>
  <si>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</si>
  <si>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</si>
  <si>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</si>
  <si>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</si>
  <si>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</si>
  <si>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</si>
  <si>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</si>
  <si>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</si>
  <si>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</si>
  <si>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</si>
  <si>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</si>
  <si>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</si>
  <si>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</si>
  <si>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</si>
  <si>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</si>
  <si>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</si>
  <si>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</si>
  <si>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</si>
  <si>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</si>
  <si>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</si>
  <si>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</si>
  <si>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</si>
  <si>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</si>
  <si>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</si>
  <si>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</si>
  <si>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</si>
  <si>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</si>
  <si>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</si>
  <si>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</si>
  <si>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</si>
  <si>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</si>
  <si>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</si>
  <si>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</si>
  <si>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</si>
  <si>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</si>
  <si>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</si>
  <si>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</si>
  <si>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</si>
  <si>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</si>
  <si>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</si>
  <si>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</si>
  <si>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</si>
  <si>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</si>
  <si>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</si>
  <si>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</si>
  <si>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</si>
  <si>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</si>
  <si>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</si>
  <si>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</si>
  <si>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</si>
  <si>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</si>
  <si>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</si>
  <si>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</si>
  <si>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</si>
  <si>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</si>
  <si>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</si>
  <si>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</si>
  <si>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</si>
  <si>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</si>
  <si>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</si>
  <si>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</si>
  <si>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</si>
  <si>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</si>
  <si>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</si>
  <si>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</si>
  <si>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</si>
  <si>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</si>
  <si>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</si>
  <si>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</si>
  <si>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</si>
  <si>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</si>
  <si>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</si>
  <si>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</si>
  <si>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</si>
  <si>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</si>
  <si>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</si>
  <si>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</si>
  <si>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</si>
  <si>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</si>
  <si>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</si>
  <si>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</si>
  <si>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</si>
  <si>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</si>
  <si>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</si>
  <si>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</si>
  <si>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</si>
  <si>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</si>
  <si>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</si>
  <si>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</si>
  <si>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</si>
  <si>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</si>
  <si>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</si>
  <si>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</si>
  <si>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</si>
  <si>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</si>
  <si>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</si>
  <si>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</si>
  <si>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</si>
  <si>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</si>
  <si>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</si>
  <si>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</si>
  <si>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</si>
  <si>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</si>
  <si>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</si>
  <si>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</si>
  <si>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</si>
  <si>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</si>
  <si>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</si>
  <si>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</si>
  <si>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</si>
  <si>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</si>
  <si>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</si>
  <si>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</si>
  <si>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</si>
  <si>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</si>
  <si>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</si>
  <si>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</si>
  <si>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</si>
  <si>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</si>
  <si>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</si>
  <si>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</si>
  <si>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</si>
  <si>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</si>
  <si>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</si>
  <si>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</si>
  <si>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</si>
  <si>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</si>
  <si>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</si>
  <si>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</si>
  <si>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</si>
  <si>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</si>
  <si>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</si>
  <si>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</si>
  <si>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</si>
  <si>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</si>
  <si>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</si>
  <si>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</si>
  <si>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</si>
  <si>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</si>
  <si>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</si>
  <si>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</si>
  <si>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</si>
  <si>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</si>
  <si>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</si>
  <si>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</si>
  <si>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</si>
  <si>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</si>
  <si>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</si>
  <si>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</si>
  <si>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</si>
  <si>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</si>
  <si>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</si>
  <si>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</si>
  <si>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</si>
  <si>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</si>
  <si>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</si>
  <si>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</si>
  <si>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</si>
  <si>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</si>
  <si>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</si>
  <si>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</si>
  <si>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</si>
  <si>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</si>
  <si>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</si>
  <si>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</si>
  <si>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</si>
  <si>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</si>
  <si>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</si>
  <si>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</si>
  <si>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</si>
  <si>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</si>
  <si>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</si>
  <si>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</si>
  <si>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</si>
  <si>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</si>
  <si>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</si>
  <si>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</si>
  <si>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</si>
  <si>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</si>
  <si>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</si>
  <si>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</si>
  <si>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</si>
  <si>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</si>
  <si>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</si>
  <si>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</si>
  <si>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</si>
  <si>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</si>
  <si>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</si>
  <si>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</si>
  <si>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</si>
  <si>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</si>
  <si>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</si>
  <si>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</si>
  <si>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</si>
  <si>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</si>
  <si>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</si>
  <si>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</si>
  <si>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</si>
  <si>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</si>
  <si>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</si>
  <si>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</si>
  <si>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</si>
  <si>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</si>
  <si>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</si>
  <si>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</si>
  <si>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</si>
  <si>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</si>
  <si>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</si>
  <si>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</si>
  <si>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</si>
  <si>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</si>
  <si>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</si>
  <si>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</si>
  <si>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</si>
  <si>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</si>
  <si>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</si>
  <si>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</si>
  <si>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</si>
  <si>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</si>
  <si>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</si>
  <si>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</si>
  <si>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</si>
  <si>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</si>
  <si>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</si>
  <si>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</si>
  <si>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</si>
  <si>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</si>
  <si>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</si>
  <si>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</si>
  <si>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</si>
  <si>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</si>
  <si>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</si>
  <si>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</si>
  <si>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</si>
  <si>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</si>
  <si>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</si>
  <si>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</si>
  <si>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</si>
  <si>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</si>
  <si>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</si>
  <si>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</si>
  <si>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</si>
  <si>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</si>
  <si>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</si>
  <si>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</si>
  <si>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</si>
  <si>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</si>
  <si>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</si>
  <si>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</si>
  <si>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</si>
  <si>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</si>
  <si>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</si>
  <si>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</si>
  <si>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</si>
  <si>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</si>
  <si>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</si>
  <si>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</si>
  <si>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</si>
  <si>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</si>
  <si>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</si>
  <si>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</si>
  <si>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</si>
  <si>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</si>
  <si>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</si>
  <si>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</si>
  <si>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</si>
  <si>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</si>
  <si>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</si>
  <si>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</si>
  <si>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</si>
  <si>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</si>
  <si>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</si>
  <si>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</si>
  <si>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</si>
  <si>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</si>
  <si>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</si>
  <si>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</si>
  <si>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</si>
  <si>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</si>
  <si>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</si>
  <si>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</si>
  <si>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</si>
  <si>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</si>
  <si>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</si>
  <si>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</si>
  <si>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</si>
  <si>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</si>
  <si>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</si>
  <si>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</si>
  <si>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</si>
  <si>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</si>
  <si>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</si>
  <si>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</si>
  <si>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</si>
  <si>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</si>
  <si>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</si>
  <si>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</si>
  <si>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</si>
  <si>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</si>
  <si>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</si>
  <si>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</si>
  <si>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</si>
  <si>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</si>
  <si>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</si>
  <si>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</si>
  <si>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</si>
  <si>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</si>
  <si>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</si>
  <si>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</si>
  <si>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</si>
  <si>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</si>
  <si>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</si>
  <si>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</si>
  <si>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</si>
  <si>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</si>
  <si>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</si>
  <si>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</si>
  <si>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</si>
  <si>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</si>
  <si>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</si>
  <si>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</si>
  <si>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</si>
  <si>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</si>
  <si>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</si>
  <si>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</si>
  <si>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</si>
  <si>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</si>
  <si>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</si>
  <si>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</si>
  <si>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</si>
  <si>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</si>
  <si>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</si>
  <si>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</si>
  <si>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</si>
  <si>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</si>
  <si>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</si>
  <si>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</si>
  <si>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</si>
  <si>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</si>
  <si>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</si>
  <si>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</si>
  <si>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</si>
  <si>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</si>
  <si>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</si>
  <si>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</si>
  <si>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</si>
  <si>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</si>
  <si>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</si>
  <si>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</si>
  <si>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</si>
  <si>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</si>
  <si>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</si>
  <si>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</si>
  <si>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</si>
  <si>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</si>
  <si>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</si>
  <si>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</si>
  <si>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</si>
  <si>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</si>
  <si>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</si>
  <si>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</si>
  <si>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</si>
  <si>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</si>
  <si>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</si>
  <si>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</si>
  <si>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</si>
  <si>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</si>
  <si>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</si>
  <si>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</si>
  <si>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</si>
  <si>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</si>
  <si>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</si>
  <si>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</si>
  <si>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</si>
  <si>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</si>
  <si>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</si>
  <si>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</si>
  <si>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</si>
  <si>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</si>
  <si>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</si>
  <si>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</si>
  <si>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</si>
  <si>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</si>
  <si>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</si>
  <si>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</si>
  <si>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</si>
  <si>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</si>
  <si>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</si>
  <si>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</si>
  <si>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</si>
  <si>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</si>
  <si>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</si>
  <si>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</si>
  <si>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</si>
  <si>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</si>
  <si>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</si>
  <si>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</si>
  <si>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</si>
  <si>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</si>
  <si>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</si>
  <si>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</si>
  <si>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</si>
  <si>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</si>
  <si>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</si>
  <si>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</si>
  <si>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</si>
  <si>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</si>
  <si>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</si>
  <si>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</si>
  <si>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</si>
  <si>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</si>
  <si>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</si>
  <si>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</si>
  <si>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</si>
  <si>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</si>
  <si>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</si>
  <si>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</si>
  <si>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</si>
  <si>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</si>
  <si>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</si>
  <si>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</si>
  <si>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</si>
  <si>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</si>
  <si>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</si>
  <si>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</si>
  <si>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</si>
  <si>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</si>
  <si>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</si>
  <si>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</si>
  <si>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</si>
  <si>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</si>
  <si>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</si>
  <si>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</si>
  <si>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</si>
  <si>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</si>
  <si>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</si>
  <si>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</si>
  <si>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</si>
  <si>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</si>
  <si>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</si>
  <si>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</si>
  <si>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</si>
  <si>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</si>
  <si>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</si>
  <si>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</si>
  <si>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</si>
  <si>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</si>
  <si>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</si>
  <si>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</si>
  <si>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</si>
  <si>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</si>
  <si>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</si>
  <si>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</si>
  <si>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</si>
  <si>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</si>
  <si>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</si>
  <si>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</si>
  <si>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</si>
  <si>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</si>
  <si>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</si>
  <si>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</si>
  <si>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</si>
  <si>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</si>
  <si>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</si>
  <si>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</si>
  <si>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</si>
  <si>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</si>
  <si>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</si>
  <si>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</si>
  <si>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</si>
  <si>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</si>
  <si>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</si>
  <si>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</si>
  <si>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</si>
  <si>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</si>
  <si>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</si>
  <si>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</si>
  <si>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</si>
  <si>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</si>
  <si>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</si>
  <si>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</si>
  <si>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</si>
  <si>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</si>
  <si>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</si>
  <si>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</si>
  <si>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</si>
  <si>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</si>
  <si>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</si>
  <si>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</si>
  <si>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</si>
  <si>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</si>
  <si>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</si>
  <si>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</si>
  <si>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</si>
  <si>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</si>
  <si>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</si>
  <si>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</si>
  <si>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</si>
  <si>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</si>
  <si>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</si>
  <si>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</si>
  <si>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</si>
  <si>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</si>
  <si>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</si>
  <si>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</si>
  <si>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</si>
  <si>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</si>
  <si>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</si>
  <si>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</si>
  <si>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</si>
  <si>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</si>
  <si>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</si>
  <si>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</si>
  <si>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</si>
  <si>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</si>
  <si>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</si>
  <si>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</si>
  <si>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</si>
  <si>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</si>
  <si>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</si>
  <si>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</si>
  <si>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</si>
  <si>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</si>
  <si>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</si>
  <si>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</si>
  <si>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</si>
  <si>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</si>
  <si>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</si>
  <si>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</si>
  <si>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</si>
  <si>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</si>
  <si>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</si>
  <si>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</si>
  <si>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</si>
  <si>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</si>
  <si>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</si>
  <si>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</si>
  <si>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</si>
  <si>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</si>
  <si>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</si>
  <si>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</si>
  <si>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</si>
  <si>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</si>
  <si>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</si>
  <si>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</si>
  <si>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</si>
  <si>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</si>
  <si>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</si>
  <si>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</si>
  <si>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</si>
  <si>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</si>
  <si>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</si>
  <si>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</si>
  <si>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</si>
  <si>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</si>
  <si>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</si>
  <si>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</si>
  <si>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</si>
  <si>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</si>
  <si>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</si>
  <si>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</si>
  <si>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</si>
  <si>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</si>
  <si>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</si>
  <si>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</si>
  <si>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</si>
  <si>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</si>
  <si>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</si>
  <si>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</si>
  <si>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</si>
  <si>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</si>
  <si>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</si>
  <si>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</si>
  <si>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</si>
  <si>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</si>
  <si>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</si>
  <si>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</si>
  <si>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</si>
  <si>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</si>
  <si>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</si>
  <si>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</si>
  <si>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</si>
  <si>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</si>
  <si>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</si>
  <si>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</si>
  <si>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</si>
  <si>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</si>
  <si>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</si>
  <si>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</si>
  <si>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</si>
  <si>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</si>
  <si>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</si>
  <si>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</si>
  <si>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</si>
  <si>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</si>
  <si>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</si>
  <si>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</si>
  <si>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</si>
  <si>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</si>
  <si>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</si>
  <si>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</si>
  <si>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</si>
  <si>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</si>
  <si>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</si>
  <si>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</si>
  <si>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</si>
  <si>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</si>
  <si>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</si>
  <si>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</si>
  <si>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</si>
  <si>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</si>
  <si>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</si>
  <si>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</si>
  <si>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</si>
  <si>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</si>
  <si>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</si>
  <si>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</si>
  <si>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</si>
  <si>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</si>
  <si>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</si>
  <si>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</si>
  <si>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</si>
  <si>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</si>
  <si>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</si>
  <si>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</si>
  <si>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</si>
  <si>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</si>
  <si>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</si>
  <si>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</si>
  <si>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</si>
  <si>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</si>
  <si>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</si>
  <si>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</si>
  <si>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</si>
  <si>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</si>
  <si>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</si>
  <si>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</si>
  <si>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</si>
  <si>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</si>
  <si>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</si>
  <si>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</si>
  <si>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</si>
  <si>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</si>
  <si>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</si>
  <si>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</si>
  <si>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</si>
  <si>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</si>
  <si>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</si>
  <si>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</si>
  <si>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</si>
  <si>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</si>
  <si>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</si>
  <si>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</si>
  <si>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</si>
  <si>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</si>
  <si>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</si>
  <si>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</si>
  <si>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</si>
  <si>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</si>
  <si>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</si>
  <si>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</si>
  <si>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</si>
  <si>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</si>
  <si>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</si>
  <si>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</si>
  <si>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</si>
  <si>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</si>
  <si>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</si>
  <si>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</si>
  <si>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</si>
  <si>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</si>
  <si>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</si>
  <si>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</si>
  <si>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</si>
  <si>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</si>
  <si>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</si>
  <si>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</si>
  <si>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</si>
  <si>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</si>
  <si>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</si>
  <si>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</si>
  <si>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</si>
  <si>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</si>
  <si>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</si>
  <si>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</si>
  <si>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</si>
  <si>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</si>
  <si>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</si>
  <si>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</si>
  <si>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</si>
  <si>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</si>
  <si>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</si>
  <si>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</si>
  <si>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</si>
  <si>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</si>
  <si>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</si>
  <si>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</si>
  <si>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</si>
  <si>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</si>
  <si>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</si>
  <si>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</si>
  <si>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</si>
  <si>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</si>
  <si>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</si>
  <si>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</si>
  <si>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</si>
  <si>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</si>
  <si>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</si>
  <si>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</si>
  <si>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</si>
  <si>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</si>
  <si>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</si>
  <si>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</si>
  <si>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</si>
  <si>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</si>
  <si>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</si>
  <si>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</si>
  <si>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</si>
  <si>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</si>
  <si>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</si>
  <si>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</si>
  <si>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</si>
  <si>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</si>
  <si>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</si>
  <si>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</si>
  <si>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</si>
  <si>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</si>
  <si>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</si>
  <si>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</si>
  <si>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</si>
  <si>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</si>
  <si>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</si>
  <si>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</si>
  <si>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</si>
  <si>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</si>
  <si>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</si>
  <si>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</si>
  <si>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</si>
  <si>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</si>
  <si>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</si>
  <si>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</si>
  <si>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</si>
  <si>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</si>
  <si>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</si>
  <si>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</si>
  <si>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</si>
  <si>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</si>
  <si>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</si>
  <si>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</si>
  <si>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</si>
  <si>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</si>
  <si>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</si>
  <si>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</si>
  <si>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</si>
  <si>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</si>
  <si>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</si>
  <si>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</si>
  <si>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</si>
  <si>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</si>
  <si>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</si>
  <si>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</si>
  <si>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</si>
  <si>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</si>
  <si>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</si>
  <si>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</si>
  <si>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</si>
  <si>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</si>
  <si>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</si>
  <si>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</si>
  <si>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</si>
  <si>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</si>
  <si>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</si>
  <si>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</si>
  <si>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</si>
  <si>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</si>
  <si>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</si>
  <si>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</si>
  <si>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</si>
  <si>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</si>
  <si>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</si>
  <si>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</si>
  <si>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</si>
  <si>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</si>
  <si>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</si>
  <si>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</si>
  <si>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</si>
  <si>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</si>
  <si>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</si>
  <si>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</si>
  <si>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</si>
  <si>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</si>
  <si>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</si>
  <si>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</si>
  <si>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</si>
  <si>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</si>
  <si>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</si>
  <si>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</si>
  <si>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</si>
  <si>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</si>
  <si>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</si>
  <si>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</si>
  <si>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</si>
  <si>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</si>
  <si>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</si>
  <si>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</si>
  <si>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</si>
  <si>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</si>
  <si>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</si>
  <si>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</si>
  <si>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</si>
  <si>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</si>
  <si>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</si>
  <si>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</si>
  <si>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</si>
  <si>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</si>
  <si>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</si>
  <si>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</si>
  <si>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</si>
  <si>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</si>
  <si>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</si>
  <si>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</si>
  <si>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</si>
  <si>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</si>
  <si>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</si>
  <si>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</si>
  <si>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</si>
  <si>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</si>
  <si>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</si>
  <si>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</si>
  <si>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</si>
  <si>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</si>
  <si>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</si>
  <si>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</si>
  <si>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</si>
  <si>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</si>
  <si>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</si>
  <si>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</si>
  <si>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</si>
  <si>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</si>
  <si>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</si>
  <si>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</si>
  <si>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</si>
  <si>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</si>
  <si>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</si>
  <si>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</si>
  <si>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</si>
  <si>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</si>
  <si>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</si>
  <si>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</si>
  <si>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</si>
  <si>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</si>
  <si>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</si>
  <si>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</si>
  <si>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</si>
  <si>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</si>
  <si>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</si>
  <si>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</si>
  <si>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</si>
  <si>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</si>
  <si>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</si>
  <si>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</si>
  <si>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</si>
  <si>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</si>
  <si>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</si>
  <si>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</si>
  <si>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</si>
  <si>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</si>
  <si>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</si>
  <si>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</si>
  <si>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</si>
  <si>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</si>
  <si>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</si>
  <si>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</si>
  <si>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</si>
  <si>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</si>
  <si>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</si>
  <si>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</si>
  <si>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</si>
  <si>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</si>
  <si>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</si>
  <si>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</si>
  <si>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</si>
  <si>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</si>
  <si>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</si>
  <si>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</si>
  <si>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</si>
  <si>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</si>
  <si>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</si>
  <si>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</si>
  <si>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</si>
  <si>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</si>
  <si>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</si>
  <si>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</si>
  <si>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</si>
  <si>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</si>
  <si>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</si>
  <si>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</si>
  <si>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</si>
  <si>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</si>
  <si>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</si>
  <si>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</si>
  <si>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</si>
  <si>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</si>
  <si>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</si>
  <si>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</si>
  <si>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</si>
  <si>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</si>
  <si>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</si>
  <si>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</si>
  <si>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</si>
  <si>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</si>
  <si>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</si>
  <si>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</si>
  <si>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</si>
  <si>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</si>
  <si>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</si>
  <si>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</si>
  <si>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</si>
  <si>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</si>
  <si>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</si>
  <si>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</si>
  <si>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</si>
  <si>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</si>
  <si>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</si>
  <si>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</si>
  <si>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</si>
  <si>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</si>
  <si>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</si>
  <si>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</si>
  <si>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</si>
  <si>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</si>
  <si>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</si>
  <si>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</si>
  <si>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</si>
  <si>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</si>
  <si>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</si>
  <si>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</si>
  <si>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</si>
  <si>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</si>
  <si>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</si>
  <si>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</si>
  <si>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</si>
  <si>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</si>
  <si>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</si>
  <si>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</si>
  <si>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</si>
  <si>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</si>
  <si>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</si>
  <si>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</si>
  <si>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</si>
  <si>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</si>
  <si>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</si>
  <si>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</si>
  <si>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</si>
  <si>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</si>
  <si>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</si>
  <si>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</si>
  <si>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</si>
  <si>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</si>
  <si>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</si>
  <si>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</si>
  <si>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</si>
  <si>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</si>
  <si>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</si>
  <si>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</si>
  <si>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</si>
  <si>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</si>
  <si>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</si>
  <si>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</si>
  <si>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</si>
  <si>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</si>
  <si>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</si>
  <si>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</si>
  <si>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</si>
  <si>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</si>
  <si>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</si>
  <si>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</si>
  <si>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</si>
  <si>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</si>
  <si>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</si>
  <si>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</si>
  <si>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</si>
  <si>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</si>
  <si>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</si>
  <si>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</si>
  <si>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</si>
  <si>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</si>
  <si>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</si>
  <si>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</si>
  <si>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</si>
  <si>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</si>
  <si>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</si>
  <si>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</si>
  <si>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</si>
  <si>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</si>
  <si>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</si>
  <si>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</si>
  <si>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</si>
  <si>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</si>
  <si>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</si>
  <si>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</si>
  <si>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</si>
  <si>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</si>
  <si>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</si>
  <si>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</si>
  <si>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</si>
  <si>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</si>
  <si>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</si>
  <si>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</si>
  <si>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</si>
  <si>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</si>
  <si>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</si>
  <si>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</si>
  <si>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</si>
  <si>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</si>
  <si>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</si>
  <si>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</si>
  <si>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</si>
  <si>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</si>
  <si>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</si>
  <si>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</si>
  <si>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</si>
  <si>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</si>
  <si>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</si>
  <si>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</si>
  <si>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</si>
  <si>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</si>
  <si>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</si>
  <si>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</si>
  <si>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</si>
  <si>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</si>
  <si>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</si>
  <si>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</si>
  <si>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</si>
  <si>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</si>
  <si>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</si>
  <si>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</si>
  <si>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</si>
  <si>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</si>
  <si>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</si>
  <si>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</si>
  <si>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</si>
  <si>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</si>
  <si>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</si>
  <si>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</si>
  <si>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</si>
  <si>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</si>
  <si>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</si>
  <si>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</si>
  <si>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</si>
  <si>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</si>
  <si>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</si>
  <si>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</si>
  <si>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</si>
  <si>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</si>
  <si>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</si>
  <si>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</si>
  <si>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</si>
  <si>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מזרחי</t>
  </si>
  <si>
    <t>20-21</t>
  </si>
  <si>
    <t>ilAAA</t>
  </si>
  <si>
    <t>USD</t>
  </si>
  <si>
    <t>יו-בנק</t>
  </si>
  <si>
    <t>26-273</t>
  </si>
  <si>
    <t>ILS</t>
  </si>
  <si>
    <t>בנק הפועלים</t>
  </si>
  <si>
    <t>12-600</t>
  </si>
  <si>
    <t>בנק לאומי</t>
  </si>
  <si>
    <t>10-800</t>
  </si>
  <si>
    <t>EUR</t>
  </si>
  <si>
    <t>ממשלת ישראל</t>
  </si>
  <si>
    <t>ממשלתי 0327</t>
  </si>
  <si>
    <t>IL0011393449</t>
  </si>
  <si>
    <t>ilRF</t>
  </si>
  <si>
    <t>ממשל צמודה 1131</t>
  </si>
  <si>
    <t>IL0011722209</t>
  </si>
  <si>
    <t>ממשלתי שקלי 142</t>
  </si>
  <si>
    <t>IL0011254005</t>
  </si>
  <si>
    <t>ממשל שקלית 425</t>
  </si>
  <si>
    <t>IL0011626681</t>
  </si>
  <si>
    <t>ממשלתי שקלי 1152</t>
  </si>
  <si>
    <t>IL0011840761</t>
  </si>
  <si>
    <t>ממשלתי צמוד  1151</t>
  </si>
  <si>
    <t>IL0011683013</t>
  </si>
  <si>
    <t>ממשל שקלית 0330</t>
  </si>
  <si>
    <t>IL0011609851</t>
  </si>
  <si>
    <t>ממשלתי 0928</t>
  </si>
  <si>
    <t>IL0011508798</t>
  </si>
  <si>
    <t>ממשלתי משתנה 0526</t>
  </si>
  <si>
    <t>IL0011417958</t>
  </si>
  <si>
    <t>ממשלתי צמוד 0545</t>
  </si>
  <si>
    <t>IL0011348658</t>
  </si>
  <si>
    <t>ממשלתי שקלי 347</t>
  </si>
  <si>
    <t>IL0011401937</t>
  </si>
  <si>
    <t>ממשלתי  צמוד 0841</t>
  </si>
  <si>
    <t>IL0011205833</t>
  </si>
  <si>
    <t>ממשלתי צמוד 0536</t>
  </si>
  <si>
    <t>IL0010977085</t>
  </si>
  <si>
    <t>מזרחי טפחות הנפקות</t>
  </si>
  <si>
    <t>מזרחי  טפחות הנפקות  52</t>
  </si>
  <si>
    <t>IL0023103810</t>
  </si>
  <si>
    <t>מימון ישיר</t>
  </si>
  <si>
    <t>הפחתה בגין קניה בהנפקה מימון ישיר ו 12.9.23</t>
  </si>
  <si>
    <t>IL0011916595</t>
  </si>
  <si>
    <t>A1.il</t>
  </si>
  <si>
    <t>חברת החשמל לישראל בע"מ</t>
  </si>
  <si>
    <t>חשמל 31</t>
  </si>
  <si>
    <t>IL0060002859</t>
  </si>
  <si>
    <t>AA</t>
  </si>
  <si>
    <t>לאומי</t>
  </si>
  <si>
    <t>לאומי אגח 182</t>
  </si>
  <si>
    <t>IL0060405391</t>
  </si>
  <si>
    <t>קבוצת עזריאלי בע"מ</t>
  </si>
  <si>
    <t>עזריאלי   אגח ד</t>
  </si>
  <si>
    <t>IL0011386500</t>
  </si>
  <si>
    <t>Aa1.il</t>
  </si>
  <si>
    <t>מזרחי טפחות הנפקות 46</t>
  </si>
  <si>
    <t>IL0023102259</t>
  </si>
  <si>
    <t>מז טפ הנ אגח 66</t>
  </si>
  <si>
    <t>IL0011916678</t>
  </si>
  <si>
    <t>בינלאומי הנפקות</t>
  </si>
  <si>
    <t>בינל הנפק אגח י</t>
  </si>
  <si>
    <t>IL0011602906</t>
  </si>
  <si>
    <t>לאומי 183</t>
  </si>
  <si>
    <t>IL0060405474</t>
  </si>
  <si>
    <t>עזריאלי אגח ה</t>
  </si>
  <si>
    <t>IL0011566036</t>
  </si>
  <si>
    <t>פועלים אגח 203</t>
  </si>
  <si>
    <t>IL0011998684</t>
  </si>
  <si>
    <t>מקורות חברת מים בע"מ</t>
  </si>
  <si>
    <t>מקורות סדרה 11</t>
  </si>
  <si>
    <t>IL0011584765</t>
  </si>
  <si>
    <t>דיסקונט מנפיקים בע"מ</t>
  </si>
  <si>
    <t>דיסקונט מנפיקים אגח טו</t>
  </si>
  <si>
    <t>IL0074803045</t>
  </si>
  <si>
    <t>נתיבי הגז הטבעי לישראל בע"מ</t>
  </si>
  <si>
    <t>נתיבי גז אגח ד</t>
  </si>
  <si>
    <t>IL0011475030</t>
  </si>
  <si>
    <t>פועלים התח נד ז</t>
  </si>
  <si>
    <t>IL0011913295</t>
  </si>
  <si>
    <t>ilAA-</t>
  </si>
  <si>
    <t>מימון ישיר קבוצה ו</t>
  </si>
  <si>
    <t>מזרחי טפחות הנפקות אגח 62</t>
  </si>
  <si>
    <t>IL0023104982</t>
  </si>
  <si>
    <t>חשמל אגח 33</t>
  </si>
  <si>
    <t>IL0060003923</t>
  </si>
  <si>
    <t>בזק החברה הישראלית לתקשורת בע"מ</t>
  </si>
  <si>
    <t>בזק 9</t>
  </si>
  <si>
    <t>IL0023001766</t>
  </si>
  <si>
    <t>Aa2.il</t>
  </si>
  <si>
    <t>מזרחי טפ הנ אגח 68</t>
  </si>
  <si>
    <t>IL0012021429</t>
  </si>
  <si>
    <t>מזרחי  טפחות הנפקות 64</t>
  </si>
  <si>
    <t>IL0023105559</t>
  </si>
  <si>
    <t>פועלים אגח 201</t>
  </si>
  <si>
    <t>IL0011913451</t>
  </si>
  <si>
    <t>לאומי 186</t>
  </si>
  <si>
    <t>IL0012018391</t>
  </si>
  <si>
    <t>חשמל אגח 27</t>
  </si>
  <si>
    <t>IL0060002107</t>
  </si>
  <si>
    <t>פועלים 200</t>
  </si>
  <si>
    <t>IL0066204962</t>
  </si>
  <si>
    <t>מימון ישיר אגח ד</t>
  </si>
  <si>
    <t>IL0011756603</t>
  </si>
  <si>
    <t>אי.בי.אי - קרנות נאמנות בע"מ</t>
  </si>
  <si>
    <t>אי.בי.אי. (פסגות לשעבר) ETF תלבונד 40</t>
  </si>
  <si>
    <t>IL0011479743</t>
  </si>
  <si>
    <t>מיטב תכלית קרנות נאמנות בע"מ</t>
  </si>
  <si>
    <t>תכלית סל תלבונד 60</t>
  </si>
  <si>
    <t>IL0011451015</t>
  </si>
  <si>
    <t>מגדל קרנות נאמנות בע"מ</t>
  </si>
  <si>
    <t>MTF סל (4A) ת"א 35</t>
  </si>
  <si>
    <t>IL0011501843</t>
  </si>
  <si>
    <t>קסם קרנות נאמנות בע"מ</t>
  </si>
  <si>
    <t>קסם ETF תלבונד 20</t>
  </si>
  <si>
    <t>IL0011459604</t>
  </si>
  <si>
    <t>קסם ETF תא 35</t>
  </si>
  <si>
    <t>IL0011465700</t>
  </si>
  <si>
    <t>MTF סל תל בונד 60</t>
  </si>
  <si>
    <t>IL0011499964</t>
  </si>
  <si>
    <t>הראל קרנות נאמנות בע"מ</t>
  </si>
  <si>
    <t>הראל סל תלבונד 20</t>
  </si>
  <si>
    <t>IL0011504409</t>
  </si>
  <si>
    <t>הראל סל תא 35</t>
  </si>
  <si>
    <t>IL0011489072</t>
  </si>
  <si>
    <t>הראל סל תלבונד 40</t>
  </si>
  <si>
    <t>IL0011504995</t>
  </si>
  <si>
    <t>הראל סל תלבונד 60</t>
  </si>
  <si>
    <t>IL0011504730</t>
  </si>
  <si>
    <t>MTF סל תל בונד שקלי 50</t>
  </si>
  <si>
    <t>IL0011501686</t>
  </si>
  <si>
    <t>MTF סל (00) תל בונד 20</t>
  </si>
  <si>
    <t>IL0011499881</t>
  </si>
  <si>
    <t>קסם ETF תלבונד 60</t>
  </si>
  <si>
    <t>IL0011462327</t>
  </si>
  <si>
    <t>קסם תל בונד שקלי 50</t>
  </si>
  <si>
    <t>IL0011507626</t>
  </si>
  <si>
    <t>תכלית סל תא 35</t>
  </si>
  <si>
    <t>IL0011437006</t>
  </si>
  <si>
    <t>תכלית סל (00) תל בונד 40</t>
  </si>
  <si>
    <t>IL0011450934</t>
  </si>
  <si>
    <t>אי.בי.אי (פסגות לשעבר) ETF תלבונד 60</t>
  </si>
  <si>
    <t>IL0011480063</t>
  </si>
  <si>
    <t>קסם ETF תלבונד 40</t>
  </si>
  <si>
    <t>IL0011462160</t>
  </si>
  <si>
    <t>DWS</t>
  </si>
  <si>
    <t>7LTWFZYICNSX8D621K86</t>
  </si>
  <si>
    <t>XDWD LN DB MSCI World</t>
  </si>
  <si>
    <t>IE00BJ0KDQ92</t>
  </si>
  <si>
    <t>State Street</t>
  </si>
  <si>
    <t>549300ZFEEJ2IP5VME73</t>
  </si>
  <si>
    <t>SWRD LN  MSCI World SPDR</t>
  </si>
  <si>
    <t>IE00BFY0GT14</t>
  </si>
  <si>
    <t>AMUNDI INVT SOLUTIONS</t>
  </si>
  <si>
    <t>549300FMBJ5S1PXQ2305</t>
  </si>
  <si>
    <t>AUEM FP AMUNDI MSCI EME</t>
  </si>
  <si>
    <t>LU1681045453</t>
  </si>
  <si>
    <t>U127 Amundi MSCI EM</t>
  </si>
  <si>
    <t>LU2573966905</t>
  </si>
  <si>
    <t>ISHARES</t>
  </si>
  <si>
    <t>549300LRIF3NWCU26A80</t>
  </si>
  <si>
    <t>IWDA LN iShares MSCI World</t>
  </si>
  <si>
    <t>IE00B4L5Y983</t>
  </si>
  <si>
    <t>ערד 8774 02.01.26 4.8%</t>
  </si>
  <si>
    <t>ערד 8808 01.11.28 4.8%</t>
  </si>
  <si>
    <t>ערד 8822 1.1.30 4.8%</t>
  </si>
  <si>
    <t>ערד 8898 01.06.36 4.8%</t>
  </si>
  <si>
    <t>ערד 8859 01.02.33 4.8%</t>
  </si>
  <si>
    <t>ערד 8850 2.5.32 4.8%</t>
  </si>
  <si>
    <t>ערד 8799 01.02.28 4.8%</t>
  </si>
  <si>
    <t>ערד 8798 01.01.28 4.8%</t>
  </si>
  <si>
    <t>ערד 8894 01.02.36 4.8%</t>
  </si>
  <si>
    <t>ערד 8814 01.5.29 4.8%</t>
  </si>
  <si>
    <t>ערד 8847 1.2.32 4.8%</t>
  </si>
  <si>
    <t>ערד 8811 02.2.29 4.8%</t>
  </si>
  <si>
    <t>ערד 8860 01.03.33 4.8%</t>
  </si>
  <si>
    <t>ערד 8810 01.1.29 4.8%</t>
  </si>
  <si>
    <t>ערד 8897 02.05.36 4.8%</t>
  </si>
  <si>
    <t>מקורות סדרה ו</t>
  </si>
  <si>
    <t>מקורות 8 4.1% 2048</t>
  </si>
  <si>
    <t>נתיבי גז ג</t>
  </si>
  <si>
    <t>קופת פועלים פלחים</t>
  </si>
  <si>
    <t>שקום פועלי בנין חברה בע"מ</t>
  </si>
  <si>
    <t>שקום פועלי בנין - מניות יסוד</t>
  </si>
  <si>
    <t>שקום פועלי בנין -מר</t>
  </si>
  <si>
    <t>חברת קרן באר שבע בע"מ</t>
  </si>
  <si>
    <t>חברת קרן באר שבע - מנית יסוד</t>
  </si>
  <si>
    <t>חברת קרן באר שבע בעמ - מ</t>
  </si>
  <si>
    <t>עובדי בנין (ק.פ.ב) בע"מ</t>
  </si>
  <si>
    <t>עובדי בנין (ק.פ.ב.) בעמ -</t>
  </si>
  <si>
    <t>בניני האומה</t>
  </si>
  <si>
    <t>בניני האומה מר</t>
  </si>
  <si>
    <t>ק השקעות מר</t>
  </si>
  <si>
    <t>ק.השק מר א'</t>
  </si>
  <si>
    <t>קרן השקעות</t>
  </si>
  <si>
    <t>ק.השק -בכ'ב</t>
  </si>
  <si>
    <t>ניר למושבה</t>
  </si>
  <si>
    <t>ניר למושבה מר</t>
  </si>
  <si>
    <t>אשקלון -נעילה ג./ח.001469-00</t>
  </si>
  <si>
    <t>מדרום שכונת גבעת הפרחים,ממזרח מעבר לכביש 4_x000D_</t>
  </si>
  <si>
    <t>ג'רמלה - פרדס</t>
  </si>
  <si>
    <t>דרום מערב ממחלף קסם ומצפון למסילת הרכבת_x000D_</t>
  </si>
  <si>
    <t>לוד -פרדס</t>
  </si>
  <si>
    <t>ממערב למושב חדיד ומדרום למושב כפר טרומן_x000D_</t>
  </si>
  <si>
    <t>מחלף שפירים -פרדס</t>
  </si>
  <si>
    <t>ממזרח למחלף שפירים ומצפון לכביש ארצי מס' 1_x000D_</t>
  </si>
  <si>
    <t>מחנה ישראל -פרדס</t>
  </si>
  <si>
    <t>מ.א. חבל מודיעין-מצפון לקרית המדע._x000D_</t>
  </si>
  <si>
    <t>אשקלון -פרדס מסמיה</t>
  </si>
  <si>
    <t>בצמוד וממערב לכביש 40 ומדרום לצומת מסמיה_x000D_</t>
  </si>
  <si>
    <t>מתחם גן-הירקון -פרדס</t>
  </si>
  <si>
    <t>בקטע שבין צומת גהה  לבין צומת מורשה_x000D_</t>
  </si>
  <si>
    <t>נס-ציונה - תחנת דלק</t>
  </si>
  <si>
    <t>רחוב עמק השושנים פינת דרך רבין,נס ציונה_x000D_</t>
  </si>
  <si>
    <t>הוד-השרון -פרדס סקו נטושים</t>
  </si>
  <si>
    <t>נטושים-גבול צפון דר השרון,סאקו-מזרחי להוד השרון_x000D_</t>
  </si>
  <si>
    <t>רחובות -פרדס קובבה</t>
  </si>
  <si>
    <t>ממערב לשכונת גבירול,רחובות, מצפון למושב גאליה_x000D_</t>
  </si>
  <si>
    <t>ראש-העין -פרדס</t>
  </si>
  <si>
    <t>צפונית לכביש 5 בתחום הוועדה המקומית דרום השרון_x000D_</t>
  </si>
  <si>
    <t>בניין ס.מ.ישיר 30.06.24</t>
  </si>
  <si>
    <t>570005850_pn_p_0324.xlsx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</si>
</sst>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4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8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43" fontId="0" fillId="0" borderId="0" xfId="0" applyNumberFormat="1" applyFont="1" applyAlignment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A28" sqref="A28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3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1193</v>
      </c>
    </row>
    <row r="12" spans="1:8" ht="14.25" customHeight="1"/>
    <row r="13" spans="1:8" ht="14.25" customHeight="1">
      <c r="A13" s="3" t="s">
        <v>6</v>
      </c>
      <c r="D13" s="4">
        <v>570005850</v>
      </c>
    </row>
    <row r="14" spans="1:8" ht="14.25" customHeight="1"/>
    <row r="15" spans="1:8" ht="14.25" customHeight="1">
      <c r="A15" s="6" t="s">
        <v>7</v>
      </c>
      <c r="D15" s="133" t="s">
        <v>1432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A35" sqref="A35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84268.528299999991</v>
      </c>
      <c r="C3" s="114"/>
      <c r="D3" s="115"/>
      <c r="E3" s="112">
        <f>IFERROR(B3/$B$30,0)</f>
        <v>2.5613831290036304E-2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412343.07494000002</v>
      </c>
      <c r="C4" s="114"/>
      <c r="D4" s="115"/>
      <c r="E4" s="112">
        <f t="shared" ref="E4:E29" si="0">IFERROR(B4/$B$30,0)</f>
        <v>0.12533369418210141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/>
      <c r="C5" s="114"/>
      <c r="D5" s="115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70458.953810000006</v>
      </c>
      <c r="C6" s="114"/>
      <c r="D6" s="115"/>
      <c r="E6" s="112">
        <f t="shared" si="0"/>
        <v>2.1416343588402279E-2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/>
      <c r="C7" s="114"/>
      <c r="D7" s="115"/>
      <c r="E7" s="112">
        <f t="shared" si="0"/>
        <v>0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663873.62890000001</v>
      </c>
      <c r="C8" s="114"/>
      <c r="D8" s="115"/>
      <c r="E8" s="112">
        <f t="shared" si="0"/>
        <v>0.20178763616248857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/>
      <c r="C9" s="114"/>
      <c r="D9" s="115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/>
      <c r="C10" s="114"/>
      <c r="D10" s="115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/>
      <c r="C11" s="114"/>
      <c r="D11" s="115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/>
      <c r="C12" s="114"/>
      <c r="D12" s="115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/>
      <c r="C13" s="114"/>
      <c r="D13" s="115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/>
      <c r="C14" s="114"/>
      <c r="D14" s="115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>
        <f>SUM('לא סחיר איגרות חוב מיועדות'!N:N)</f>
        <v>755603.01240000012</v>
      </c>
      <c r="C15" s="114"/>
      <c r="D15" s="115"/>
      <c r="E15" s="112">
        <f t="shared" si="0"/>
        <v>0.22966923087770141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/>
      <c r="C16" s="114"/>
      <c r="D16" s="115"/>
      <c r="E16" s="112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/>
      <c r="C17" s="114"/>
      <c r="D17" s="115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>
        <f>SUM('לא סחיר איגרות חוב'!AG:AG)</f>
        <v>6209.4878399999998</v>
      </c>
      <c r="C18" s="114"/>
      <c r="D18" s="115"/>
      <c r="E18" s="112">
        <f t="shared" si="0"/>
        <v>1.8874041963219139E-3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>
        <f>SUM('לא סחיר מניות מבכ ויהש'!X:X)</f>
        <v>15563.245296000001</v>
      </c>
      <c r="C19" s="114"/>
      <c r="D19" s="115"/>
      <c r="E19" s="112">
        <f t="shared" si="0"/>
        <v>4.7305245194034697E-3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/>
      <c r="C20" s="114"/>
      <c r="D20" s="115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/>
      <c r="C21" s="114"/>
      <c r="D21" s="115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/>
      <c r="C22" s="114"/>
      <c r="D22" s="115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/>
      <c r="C23" s="114"/>
      <c r="D23" s="115"/>
      <c r="E23" s="112">
        <f t="shared" si="0"/>
        <v>0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>
        <f>SUM(הלוואות!AT:AT)</f>
        <v>0</v>
      </c>
      <c r="C24" s="114"/>
      <c r="D24" s="115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/>
      <c r="C25" s="114"/>
      <c r="D25" s="115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/>
      <c r="C26" s="114"/>
      <c r="D26" s="115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>
        <f>SUM('זכויות מקרקעין'!S:S)</f>
        <v>40612.074999999997</v>
      </c>
      <c r="C27" s="114"/>
      <c r="D27" s="115"/>
      <c r="E27" s="112">
        <f t="shared" si="0"/>
        <v>1.2344238808645495E-2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/>
      <c r="C28" s="114"/>
      <c r="D28" s="115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>
        <f>SUM('נכסים אחרים'!N:N)</f>
        <v>1241029.8639499999</v>
      </c>
      <c r="C29" s="114"/>
      <c r="D29" s="115"/>
      <c r="E29" s="112">
        <f t="shared" si="0"/>
        <v>0.37721709637489909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7">
        <f t="shared" ref="B30:E30" si="1">SUM(B3:B29)</f>
        <v>3289961.8704360002</v>
      </c>
      <c r="C30" s="116"/>
      <c r="D30" s="116"/>
      <c r="E30" s="113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3"/>
  <sheetViews>
    <sheetView rightToLeft="1" workbookViewId="0">
      <selection activeCell="I16" sqref="I1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360</v>
      </c>
      <c r="B2" s="119">
        <v>360</v>
      </c>
      <c r="C2" s="118" t="s">
        <v>1209</v>
      </c>
      <c r="D2" s="118" t="s">
        <v>1210</v>
      </c>
      <c r="E2" s="118" t="s">
        <v>314</v>
      </c>
      <c r="F2" s="118" t="s">
        <v>937</v>
      </c>
      <c r="G2" s="118" t="s">
        <v>203</v>
      </c>
      <c r="H2" s="118" t="s">
        <v>338</v>
      </c>
      <c r="I2" s="118" t="s">
        <v>1211</v>
      </c>
      <c r="J2" s="118" t="s">
        <v>412</v>
      </c>
      <c r="K2" s="118" t="s">
        <v>1212</v>
      </c>
      <c r="L2" s="120">
        <v>122.81218</v>
      </c>
      <c r="M2" s="120">
        <v>3.71</v>
      </c>
      <c r="N2" s="121"/>
      <c r="O2" s="120">
        <v>455.63319000000001</v>
      </c>
      <c r="P2" s="121">
        <v>5.4060000000000002E-3</v>
      </c>
      <c r="Q2" s="121">
        <v>1.3799999999999999E-4</v>
      </c>
    </row>
    <row r="3" spans="1:26" ht="15" customHeight="1">
      <c r="A3" s="119">
        <v>360</v>
      </c>
      <c r="B3" s="119">
        <v>360</v>
      </c>
      <c r="C3" s="118" t="s">
        <v>1213</v>
      </c>
      <c r="D3" s="118" t="s">
        <v>1214</v>
      </c>
      <c r="E3" s="118" t="s">
        <v>314</v>
      </c>
      <c r="F3" s="118" t="s">
        <v>935</v>
      </c>
      <c r="G3" s="118" t="s">
        <v>203</v>
      </c>
      <c r="H3" s="118" t="s">
        <v>338</v>
      </c>
      <c r="I3" s="118" t="s">
        <v>1211</v>
      </c>
      <c r="J3" s="118" t="s">
        <v>412</v>
      </c>
      <c r="K3" s="118" t="s">
        <v>1215</v>
      </c>
      <c r="L3" s="120">
        <v>594.22841000000005</v>
      </c>
      <c r="M3" s="120">
        <v>1</v>
      </c>
      <c r="N3" s="121"/>
      <c r="O3" s="120">
        <v>594.22841000000005</v>
      </c>
      <c r="P3" s="121">
        <v>7.051E-3</v>
      </c>
      <c r="Q3" s="121">
        <v>1.8000000000000001E-4</v>
      </c>
    </row>
    <row r="4" spans="1:26" ht="15" customHeight="1">
      <c r="A4" s="119">
        <v>360</v>
      </c>
      <c r="B4" s="119">
        <v>360</v>
      </c>
      <c r="C4" s="118" t="s">
        <v>1216</v>
      </c>
      <c r="D4" s="118" t="s">
        <v>1217</v>
      </c>
      <c r="E4" s="118" t="s">
        <v>314</v>
      </c>
      <c r="F4" s="118" t="s">
        <v>935</v>
      </c>
      <c r="G4" s="118" t="s">
        <v>203</v>
      </c>
      <c r="H4" s="118" t="s">
        <v>338</v>
      </c>
      <c r="I4" s="118" t="s">
        <v>1211</v>
      </c>
      <c r="J4" s="118" t="s">
        <v>412</v>
      </c>
      <c r="K4" s="118" t="s">
        <v>1215</v>
      </c>
      <c r="L4" s="120">
        <v>23653.1306</v>
      </c>
      <c r="M4" s="120">
        <v>1</v>
      </c>
      <c r="N4" s="121"/>
      <c r="O4" s="120">
        <v>23653.1306</v>
      </c>
      <c r="P4" s="121">
        <v>0.28068700000000002</v>
      </c>
      <c r="Q4" s="121">
        <v>7.1890000000000001E-3</v>
      </c>
    </row>
    <row r="5" spans="1:26" ht="15" customHeight="1">
      <c r="A5" s="119">
        <v>360</v>
      </c>
      <c r="B5" s="119">
        <v>360</v>
      </c>
      <c r="C5" s="118" t="s">
        <v>1216</v>
      </c>
      <c r="D5" s="118" t="s">
        <v>1217</v>
      </c>
      <c r="E5" s="118" t="s">
        <v>314</v>
      </c>
      <c r="F5" s="118" t="s">
        <v>938</v>
      </c>
      <c r="G5" s="118" t="s">
        <v>203</v>
      </c>
      <c r="H5" s="118" t="s">
        <v>338</v>
      </c>
      <c r="I5" s="118" t="s">
        <v>1211</v>
      </c>
      <c r="J5" s="118" t="s">
        <v>412</v>
      </c>
      <c r="K5" s="118" t="s">
        <v>1215</v>
      </c>
      <c r="L5" s="120">
        <v>0.50882000000000005</v>
      </c>
      <c r="M5" s="120">
        <v>1</v>
      </c>
      <c r="N5" s="121"/>
      <c r="O5" s="120">
        <v>0.50882000000000005</v>
      </c>
      <c r="P5" s="121">
        <v>6.0000000000000002E-6</v>
      </c>
      <c r="Q5" s="121">
        <v>0</v>
      </c>
    </row>
    <row r="6" spans="1:26" ht="15" customHeight="1">
      <c r="A6" s="119">
        <v>360</v>
      </c>
      <c r="B6" s="119">
        <v>360</v>
      </c>
      <c r="C6" s="118" t="s">
        <v>1209</v>
      </c>
      <c r="D6" s="118" t="s">
        <v>1210</v>
      </c>
      <c r="E6" s="118" t="s">
        <v>314</v>
      </c>
      <c r="F6" s="118" t="s">
        <v>938</v>
      </c>
      <c r="G6" s="118" t="s">
        <v>203</v>
      </c>
      <c r="H6" s="118" t="s">
        <v>338</v>
      </c>
      <c r="I6" s="118" t="s">
        <v>1211</v>
      </c>
      <c r="J6" s="118" t="s">
        <v>412</v>
      </c>
      <c r="K6" s="118" t="s">
        <v>1215</v>
      </c>
      <c r="L6" s="120">
        <v>18720.149099999999</v>
      </c>
      <c r="M6" s="120">
        <v>1</v>
      </c>
      <c r="N6" s="121"/>
      <c r="O6" s="120">
        <v>18720.149099999999</v>
      </c>
      <c r="P6" s="121">
        <v>0.22214800000000001</v>
      </c>
      <c r="Q6" s="121">
        <v>5.6899999999999997E-3</v>
      </c>
    </row>
    <row r="7" spans="1:26" ht="15" customHeight="1">
      <c r="A7" s="119">
        <v>360</v>
      </c>
      <c r="B7" s="119">
        <v>360</v>
      </c>
      <c r="C7" s="118" t="s">
        <v>1209</v>
      </c>
      <c r="D7" s="118" t="s">
        <v>1210</v>
      </c>
      <c r="E7" s="118" t="s">
        <v>314</v>
      </c>
      <c r="F7" s="118" t="s">
        <v>935</v>
      </c>
      <c r="G7" s="118" t="s">
        <v>203</v>
      </c>
      <c r="H7" s="118" t="s">
        <v>338</v>
      </c>
      <c r="I7" s="118" t="s">
        <v>1211</v>
      </c>
      <c r="J7" s="118" t="s">
        <v>412</v>
      </c>
      <c r="K7" s="118" t="s">
        <v>1215</v>
      </c>
      <c r="L7" s="120">
        <v>3.0440999999999998</v>
      </c>
      <c r="M7" s="120">
        <v>1</v>
      </c>
      <c r="N7" s="121"/>
      <c r="O7" s="120">
        <v>3.0440999999999998</v>
      </c>
      <c r="P7" s="121">
        <v>3.6000000000000001E-5</v>
      </c>
      <c r="Q7" s="121">
        <v>0</v>
      </c>
    </row>
    <row r="8" spans="1:26" ht="15" customHeight="1">
      <c r="A8" s="119">
        <v>360</v>
      </c>
      <c r="B8" s="119">
        <v>360</v>
      </c>
      <c r="C8" s="118" t="s">
        <v>1218</v>
      </c>
      <c r="D8" s="118" t="s">
        <v>1219</v>
      </c>
      <c r="E8" s="118" t="s">
        <v>314</v>
      </c>
      <c r="F8" s="118" t="s">
        <v>935</v>
      </c>
      <c r="G8" s="118" t="s">
        <v>203</v>
      </c>
      <c r="H8" s="118" t="s">
        <v>338</v>
      </c>
      <c r="I8" s="118" t="s">
        <v>1211</v>
      </c>
      <c r="J8" s="118" t="s">
        <v>412</v>
      </c>
      <c r="K8" s="118" t="s">
        <v>1215</v>
      </c>
      <c r="L8" s="120">
        <v>1830.2693999999999</v>
      </c>
      <c r="M8" s="120">
        <v>1</v>
      </c>
      <c r="N8" s="121"/>
      <c r="O8" s="120">
        <v>1830.2693999999999</v>
      </c>
      <c r="P8" s="121">
        <v>2.1718999999999999E-2</v>
      </c>
      <c r="Q8" s="121">
        <v>5.5599999999999996E-4</v>
      </c>
    </row>
    <row r="9" spans="1:26" ht="15" customHeight="1">
      <c r="A9" s="119">
        <v>360</v>
      </c>
      <c r="B9" s="119">
        <v>360</v>
      </c>
      <c r="C9" s="118" t="s">
        <v>1213</v>
      </c>
      <c r="D9" s="118" t="s">
        <v>1214</v>
      </c>
      <c r="E9" s="118" t="s">
        <v>314</v>
      </c>
      <c r="F9" s="118" t="s">
        <v>939</v>
      </c>
      <c r="G9" s="118" t="s">
        <v>203</v>
      </c>
      <c r="H9" s="118" t="s">
        <v>338</v>
      </c>
      <c r="I9" s="118" t="s">
        <v>1211</v>
      </c>
      <c r="J9" s="118" t="s">
        <v>412</v>
      </c>
      <c r="K9" s="118" t="s">
        <v>1215</v>
      </c>
      <c r="L9" s="120">
        <v>0.54400999999999999</v>
      </c>
      <c r="M9" s="120">
        <v>1</v>
      </c>
      <c r="N9" s="121"/>
      <c r="O9" s="120">
        <v>0.54400999999999999</v>
      </c>
      <c r="P9" s="121">
        <v>6.0000000000000002E-6</v>
      </c>
      <c r="Q9" s="121">
        <v>0</v>
      </c>
    </row>
    <row r="10" spans="1:26" ht="15" customHeight="1">
      <c r="A10" s="119">
        <v>360</v>
      </c>
      <c r="B10" s="119">
        <v>360</v>
      </c>
      <c r="C10" s="118" t="s">
        <v>1218</v>
      </c>
      <c r="D10" s="118" t="s">
        <v>1219</v>
      </c>
      <c r="E10" s="118" t="s">
        <v>314</v>
      </c>
      <c r="F10" s="118" t="s">
        <v>939</v>
      </c>
      <c r="G10" s="118" t="s">
        <v>203</v>
      </c>
      <c r="H10" s="118" t="s">
        <v>338</v>
      </c>
      <c r="I10" s="118" t="s">
        <v>1211</v>
      </c>
      <c r="J10" s="118" t="s">
        <v>412</v>
      </c>
      <c r="K10" s="118" t="s">
        <v>1215</v>
      </c>
      <c r="L10" s="120">
        <v>1.0116000000000001</v>
      </c>
      <c r="M10" s="120">
        <v>1</v>
      </c>
      <c r="N10" s="121"/>
      <c r="O10" s="120">
        <v>1.0116000000000001</v>
      </c>
      <c r="P10" s="121">
        <v>1.1E-5</v>
      </c>
      <c r="Q10" s="121">
        <v>0</v>
      </c>
    </row>
    <row r="11" spans="1:26" ht="15" customHeight="1">
      <c r="A11" s="119">
        <v>360</v>
      </c>
      <c r="B11" s="119">
        <v>360</v>
      </c>
      <c r="C11" s="118" t="s">
        <v>1218</v>
      </c>
      <c r="D11" s="118" t="s">
        <v>1219</v>
      </c>
      <c r="E11" s="118" t="s">
        <v>314</v>
      </c>
      <c r="F11" s="118" t="s">
        <v>937</v>
      </c>
      <c r="G11" s="118" t="s">
        <v>203</v>
      </c>
      <c r="H11" s="118" t="s">
        <v>338</v>
      </c>
      <c r="I11" s="118" t="s">
        <v>1211</v>
      </c>
      <c r="J11" s="118" t="s">
        <v>412</v>
      </c>
      <c r="K11" s="118" t="s">
        <v>1212</v>
      </c>
      <c r="L11" s="120">
        <v>488.16588999999999</v>
      </c>
      <c r="M11" s="120">
        <v>3.71</v>
      </c>
      <c r="N11" s="121"/>
      <c r="O11" s="120">
        <v>1811.09545</v>
      </c>
      <c r="P11" s="121">
        <v>2.1491E-2</v>
      </c>
      <c r="Q11" s="121">
        <v>5.5000000000000003E-4</v>
      </c>
    </row>
    <row r="12" spans="1:26" ht="15" customHeight="1">
      <c r="A12" s="119">
        <v>360</v>
      </c>
      <c r="B12" s="119">
        <v>360</v>
      </c>
      <c r="C12" s="118" t="s">
        <v>1213</v>
      </c>
      <c r="D12" s="118" t="s">
        <v>1214</v>
      </c>
      <c r="E12" s="118" t="s">
        <v>314</v>
      </c>
      <c r="F12" s="118" t="s">
        <v>939</v>
      </c>
      <c r="G12" s="118" t="s">
        <v>203</v>
      </c>
      <c r="H12" s="118" t="s">
        <v>338</v>
      </c>
      <c r="I12" s="118" t="s">
        <v>1211</v>
      </c>
      <c r="J12" s="118" t="s">
        <v>412</v>
      </c>
      <c r="K12" s="118" t="s">
        <v>1215</v>
      </c>
      <c r="L12" s="120">
        <v>37018.05517</v>
      </c>
      <c r="M12" s="120">
        <v>1</v>
      </c>
      <c r="N12" s="121"/>
      <c r="O12" s="120">
        <v>37018.05517</v>
      </c>
      <c r="P12" s="121">
        <v>0.43928600000000001</v>
      </c>
      <c r="Q12" s="121">
        <v>1.1251000000000001E-2</v>
      </c>
    </row>
    <row r="13" spans="1:26" ht="15" customHeight="1">
      <c r="A13" s="119">
        <v>360</v>
      </c>
      <c r="B13" s="119">
        <v>360</v>
      </c>
      <c r="C13" s="118" t="s">
        <v>1218</v>
      </c>
      <c r="D13" s="118" t="s">
        <v>1219</v>
      </c>
      <c r="E13" s="118" t="s">
        <v>314</v>
      </c>
      <c r="F13" s="118" t="s">
        <v>937</v>
      </c>
      <c r="G13" s="118" t="s">
        <v>203</v>
      </c>
      <c r="H13" s="118" t="s">
        <v>338</v>
      </c>
      <c r="I13" s="118" t="s">
        <v>1211</v>
      </c>
      <c r="J13" s="118" t="s">
        <v>412</v>
      </c>
      <c r="K13" s="118" t="s">
        <v>1220</v>
      </c>
      <c r="L13" s="120">
        <v>43.555160000000001</v>
      </c>
      <c r="M13" s="120">
        <v>4.1524000000000001</v>
      </c>
      <c r="N13" s="118"/>
      <c r="O13" s="120">
        <v>180.85845</v>
      </c>
      <c r="P13" s="121">
        <v>2.1459999999999999E-3</v>
      </c>
      <c r="Q13" s="121">
        <v>5.3999999999999998E-5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4"/>
  <sheetViews>
    <sheetView rightToLeft="1" topLeftCell="G1" workbookViewId="0">
      <selection activeCell="AA22" sqref="AA2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7.5" bestFit="1" customWidth="1"/>
    <col min="5" max="5" width="12.2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3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3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19">
        <v>360</v>
      </c>
      <c r="B2" s="119">
        <v>360</v>
      </c>
      <c r="C2" s="118" t="s">
        <v>1221</v>
      </c>
      <c r="D2" s="118" t="s">
        <v>1222</v>
      </c>
      <c r="E2" s="119" t="s">
        <v>1223</v>
      </c>
      <c r="F2" s="118" t="s">
        <v>946</v>
      </c>
      <c r="G2" s="118" t="s">
        <v>203</v>
      </c>
      <c r="H2" s="118" t="s">
        <v>203</v>
      </c>
      <c r="I2" s="118" t="s">
        <v>339</v>
      </c>
      <c r="J2" s="118" t="s">
        <v>1224</v>
      </c>
      <c r="K2" s="118" t="s">
        <v>412</v>
      </c>
      <c r="L2" s="118" t="s">
        <v>1215</v>
      </c>
      <c r="M2" s="120">
        <v>2.44</v>
      </c>
      <c r="N2" s="122">
        <v>46477</v>
      </c>
      <c r="O2" s="121">
        <v>0.02</v>
      </c>
      <c r="P2" s="121">
        <v>4.3999999999999997E-2</v>
      </c>
      <c r="Q2" s="120"/>
      <c r="R2" s="120">
        <v>36568698</v>
      </c>
      <c r="S2" s="120">
        <v>1</v>
      </c>
      <c r="T2" s="120">
        <v>95.44</v>
      </c>
      <c r="U2" s="120">
        <v>34901.165370000002</v>
      </c>
      <c r="V2" s="120"/>
      <c r="W2" s="118"/>
      <c r="X2" s="121">
        <v>1.415E-3</v>
      </c>
      <c r="Y2" s="121">
        <v>8.4640999999999994E-2</v>
      </c>
      <c r="Z2" s="121">
        <v>1.0607999999999999E-2</v>
      </c>
    </row>
    <row r="3" spans="1:26" ht="15" customHeight="1">
      <c r="A3" s="119">
        <v>360</v>
      </c>
      <c r="B3" s="119">
        <v>360</v>
      </c>
      <c r="C3" s="118" t="s">
        <v>1221</v>
      </c>
      <c r="D3" s="118" t="s">
        <v>1225</v>
      </c>
      <c r="E3" s="119" t="s">
        <v>1226</v>
      </c>
      <c r="F3" s="118" t="s">
        <v>944</v>
      </c>
      <c r="G3" s="118" t="s">
        <v>203</v>
      </c>
      <c r="H3" s="118" t="s">
        <v>203</v>
      </c>
      <c r="I3" s="118" t="s">
        <v>339</v>
      </c>
      <c r="J3" s="118" t="s">
        <v>1224</v>
      </c>
      <c r="K3" s="118" t="s">
        <v>412</v>
      </c>
      <c r="L3" s="118" t="s">
        <v>1215</v>
      </c>
      <c r="M3" s="120">
        <v>7.14</v>
      </c>
      <c r="N3" s="122">
        <v>48182</v>
      </c>
      <c r="O3" s="121">
        <v>1E-3</v>
      </c>
      <c r="P3" s="121">
        <v>1.9900000000000001E-2</v>
      </c>
      <c r="Q3" s="118"/>
      <c r="R3" s="120">
        <v>67746627</v>
      </c>
      <c r="S3" s="120">
        <v>1</v>
      </c>
      <c r="T3" s="120">
        <v>101.1</v>
      </c>
      <c r="U3" s="120">
        <v>68491.839900000006</v>
      </c>
      <c r="V3" s="118"/>
      <c r="W3" s="118"/>
      <c r="X3" s="121">
        <v>2.2060000000000001E-3</v>
      </c>
      <c r="Y3" s="121">
        <v>0.166104</v>
      </c>
      <c r="Z3" s="121">
        <v>2.0818E-2</v>
      </c>
    </row>
    <row r="4" spans="1:26" ht="15" customHeight="1">
      <c r="A4" s="119">
        <v>360</v>
      </c>
      <c r="B4" s="119">
        <v>360</v>
      </c>
      <c r="C4" s="118" t="s">
        <v>1221</v>
      </c>
      <c r="D4" s="118" t="s">
        <v>1227</v>
      </c>
      <c r="E4" s="119" t="s">
        <v>1228</v>
      </c>
      <c r="F4" s="118" t="s">
        <v>946</v>
      </c>
      <c r="G4" s="118" t="s">
        <v>203</v>
      </c>
      <c r="H4" s="118" t="s">
        <v>203</v>
      </c>
      <c r="I4" s="118" t="s">
        <v>339</v>
      </c>
      <c r="J4" s="118" t="s">
        <v>1224</v>
      </c>
      <c r="K4" s="118" t="s">
        <v>412</v>
      </c>
      <c r="L4" s="118" t="s">
        <v>1215</v>
      </c>
      <c r="M4" s="120">
        <v>11.32</v>
      </c>
      <c r="N4" s="122">
        <v>51897</v>
      </c>
      <c r="O4" s="121">
        <v>5.5E-2</v>
      </c>
      <c r="P4" s="121">
        <v>5.1700000000000003E-2</v>
      </c>
      <c r="Q4" s="118"/>
      <c r="R4" s="120">
        <v>21850004</v>
      </c>
      <c r="S4" s="120">
        <v>1</v>
      </c>
      <c r="T4" s="120">
        <v>107.34</v>
      </c>
      <c r="U4" s="120">
        <v>23453.794290000002</v>
      </c>
      <c r="V4" s="118"/>
      <c r="W4" s="118"/>
      <c r="X4" s="121">
        <v>9.8799999999999995E-4</v>
      </c>
      <c r="Y4" s="121">
        <v>5.6878999999999999E-2</v>
      </c>
      <c r="Z4" s="121">
        <v>7.1279999999999998E-3</v>
      </c>
    </row>
    <row r="5" spans="1:26" ht="15" customHeight="1">
      <c r="A5" s="119">
        <v>360</v>
      </c>
      <c r="B5" s="119">
        <v>360</v>
      </c>
      <c r="C5" s="118" t="s">
        <v>1221</v>
      </c>
      <c r="D5" s="118" t="s">
        <v>1229</v>
      </c>
      <c r="E5" s="119" t="s">
        <v>1230</v>
      </c>
      <c r="F5" s="118" t="s">
        <v>946</v>
      </c>
      <c r="G5" s="118" t="s">
        <v>203</v>
      </c>
      <c r="H5" s="118" t="s">
        <v>203</v>
      </c>
      <c r="I5" s="118" t="s">
        <v>339</v>
      </c>
      <c r="J5" s="118" t="s">
        <v>1224</v>
      </c>
      <c r="K5" s="118" t="s">
        <v>412</v>
      </c>
      <c r="L5" s="118" t="s">
        <v>1215</v>
      </c>
      <c r="M5" s="120">
        <v>0.57999999999999996</v>
      </c>
      <c r="N5" s="122">
        <v>45777</v>
      </c>
      <c r="O5" s="121">
        <v>5.0000000000000001E-3</v>
      </c>
      <c r="P5" s="121">
        <v>3.9600000000000003E-2</v>
      </c>
      <c r="Q5" s="118"/>
      <c r="R5" s="120">
        <v>124265</v>
      </c>
      <c r="S5" s="120">
        <v>1</v>
      </c>
      <c r="T5" s="120">
        <v>98.27</v>
      </c>
      <c r="U5" s="120">
        <v>122.11521999999999</v>
      </c>
      <c r="V5" s="118"/>
      <c r="W5" s="118"/>
      <c r="X5" s="121">
        <v>6.9999999999999999E-6</v>
      </c>
      <c r="Y5" s="121">
        <v>2.9599999999999998E-4</v>
      </c>
      <c r="Z5" s="121">
        <v>3.6999999999999998E-5</v>
      </c>
    </row>
    <row r="6" spans="1:26" ht="15" customHeight="1">
      <c r="A6" s="119">
        <v>360</v>
      </c>
      <c r="B6" s="119">
        <v>360</v>
      </c>
      <c r="C6" s="118" t="s">
        <v>1221</v>
      </c>
      <c r="D6" s="118" t="s">
        <v>1231</v>
      </c>
      <c r="E6" s="119" t="s">
        <v>1232</v>
      </c>
      <c r="F6" s="118" t="s">
        <v>946</v>
      </c>
      <c r="G6" s="118" t="s">
        <v>203</v>
      </c>
      <c r="H6" s="118" t="s">
        <v>203</v>
      </c>
      <c r="I6" s="118" t="s">
        <v>339</v>
      </c>
      <c r="J6" s="118" t="s">
        <v>1224</v>
      </c>
      <c r="K6" s="118" t="s">
        <v>412</v>
      </c>
      <c r="L6" s="118" t="s">
        <v>1215</v>
      </c>
      <c r="M6" s="120">
        <v>16.71</v>
      </c>
      <c r="N6" s="122">
        <v>55852</v>
      </c>
      <c r="O6" s="121">
        <v>2.8000000000000001E-2</v>
      </c>
      <c r="P6" s="121">
        <v>5.4399999999999997E-2</v>
      </c>
      <c r="Q6" s="118"/>
      <c r="R6" s="120">
        <v>21576084</v>
      </c>
      <c r="S6" s="120">
        <v>1</v>
      </c>
      <c r="T6" s="120">
        <v>64.7</v>
      </c>
      <c r="U6" s="120">
        <v>13959.726350000001</v>
      </c>
      <c r="V6" s="118"/>
      <c r="W6" s="118"/>
      <c r="X6" s="121">
        <v>1.2149999999999999E-3</v>
      </c>
      <c r="Y6" s="121">
        <v>3.3854000000000002E-2</v>
      </c>
      <c r="Z6" s="121">
        <v>4.2430000000000002E-3</v>
      </c>
    </row>
    <row r="7" spans="1:26" ht="15" customHeight="1">
      <c r="A7" s="119">
        <v>360</v>
      </c>
      <c r="B7" s="119">
        <v>360</v>
      </c>
      <c r="C7" s="118" t="s">
        <v>1221</v>
      </c>
      <c r="D7" s="118" t="s">
        <v>1233</v>
      </c>
      <c r="E7" s="119" t="s">
        <v>1234</v>
      </c>
      <c r="F7" s="118" t="s">
        <v>944</v>
      </c>
      <c r="G7" s="118" t="s">
        <v>203</v>
      </c>
      <c r="H7" s="118" t="s">
        <v>203</v>
      </c>
      <c r="I7" s="118" t="s">
        <v>339</v>
      </c>
      <c r="J7" s="118" t="s">
        <v>1224</v>
      </c>
      <c r="K7" s="118" t="s">
        <v>412</v>
      </c>
      <c r="L7" s="118" t="s">
        <v>1215</v>
      </c>
      <c r="M7" s="120">
        <v>24.74</v>
      </c>
      <c r="N7" s="122">
        <v>55487</v>
      </c>
      <c r="O7" s="121">
        <v>5.0000000000000001E-3</v>
      </c>
      <c r="P7" s="121">
        <v>2.3400000000000001E-2</v>
      </c>
      <c r="Q7" s="118"/>
      <c r="R7" s="120">
        <v>8392681</v>
      </c>
      <c r="S7" s="120">
        <v>1</v>
      </c>
      <c r="T7" s="120">
        <v>73.53</v>
      </c>
      <c r="U7" s="120">
        <v>6171.1383400000004</v>
      </c>
      <c r="V7" s="118"/>
      <c r="W7" s="118"/>
      <c r="X7" s="121">
        <v>3.6099999999999999E-4</v>
      </c>
      <c r="Y7" s="121">
        <v>1.4966E-2</v>
      </c>
      <c r="Z7" s="121">
        <v>1.8749999999999999E-3</v>
      </c>
    </row>
    <row r="8" spans="1:26" ht="15" customHeight="1">
      <c r="A8" s="119">
        <v>360</v>
      </c>
      <c r="B8" s="119">
        <v>360</v>
      </c>
      <c r="C8" s="118" t="s">
        <v>1221</v>
      </c>
      <c r="D8" s="118" t="s">
        <v>1235</v>
      </c>
      <c r="E8" s="119" t="s">
        <v>1236</v>
      </c>
      <c r="F8" s="118" t="s">
        <v>946</v>
      </c>
      <c r="G8" s="118" t="s">
        <v>203</v>
      </c>
      <c r="H8" s="118" t="s">
        <v>203</v>
      </c>
      <c r="I8" s="118" t="s">
        <v>339</v>
      </c>
      <c r="J8" s="118" t="s">
        <v>1224</v>
      </c>
      <c r="K8" s="118" t="s">
        <v>412</v>
      </c>
      <c r="L8" s="118" t="s">
        <v>1215</v>
      </c>
      <c r="M8" s="120">
        <v>5.33</v>
      </c>
      <c r="N8" s="122">
        <v>47573</v>
      </c>
      <c r="O8" s="121">
        <v>0.01</v>
      </c>
      <c r="P8" s="121">
        <v>4.6300000000000001E-2</v>
      </c>
      <c r="Q8" s="118"/>
      <c r="R8" s="120">
        <v>389569</v>
      </c>
      <c r="S8" s="120">
        <v>1</v>
      </c>
      <c r="T8" s="120">
        <v>83.24</v>
      </c>
      <c r="U8" s="120">
        <v>324.27724000000001</v>
      </c>
      <c r="V8" s="118"/>
      <c r="W8" s="118"/>
      <c r="X8" s="121">
        <v>1.0000000000000001E-5</v>
      </c>
      <c r="Y8" s="121">
        <v>7.8600000000000002E-4</v>
      </c>
      <c r="Z8" s="121">
        <v>9.7999999999999997E-5</v>
      </c>
    </row>
    <row r="9" spans="1:26" ht="15" customHeight="1">
      <c r="A9" s="119">
        <v>360</v>
      </c>
      <c r="B9" s="119">
        <v>360</v>
      </c>
      <c r="C9" s="118" t="s">
        <v>1221</v>
      </c>
      <c r="D9" s="118" t="s">
        <v>1237</v>
      </c>
      <c r="E9" s="119" t="s">
        <v>1238</v>
      </c>
      <c r="F9" s="118" t="s">
        <v>946</v>
      </c>
      <c r="G9" s="118" t="s">
        <v>203</v>
      </c>
      <c r="H9" s="118" t="s">
        <v>203</v>
      </c>
      <c r="I9" s="118" t="s">
        <v>339</v>
      </c>
      <c r="J9" s="118" t="s">
        <v>1224</v>
      </c>
      <c r="K9" s="118" t="s">
        <v>412</v>
      </c>
      <c r="L9" s="118" t="s">
        <v>1215</v>
      </c>
      <c r="M9" s="120">
        <v>3.86</v>
      </c>
      <c r="N9" s="122">
        <v>47024</v>
      </c>
      <c r="O9" s="121">
        <v>2.2499999999999999E-2</v>
      </c>
      <c r="P9" s="121">
        <v>4.5100000000000001E-2</v>
      </c>
      <c r="Q9" s="118"/>
      <c r="R9" s="120">
        <v>526992</v>
      </c>
      <c r="S9" s="120">
        <v>1</v>
      </c>
      <c r="T9" s="120">
        <v>91.9</v>
      </c>
      <c r="U9" s="120">
        <v>484.30565000000001</v>
      </c>
      <c r="V9" s="118"/>
      <c r="W9" s="118"/>
      <c r="X9" s="121">
        <v>1.5E-5</v>
      </c>
      <c r="Y9" s="121">
        <v>1.1739999999999999E-3</v>
      </c>
      <c r="Z9" s="121">
        <v>1.47E-4</v>
      </c>
    </row>
    <row r="10" spans="1:26" ht="15" customHeight="1">
      <c r="A10" s="119">
        <v>360</v>
      </c>
      <c r="B10" s="119">
        <v>360</v>
      </c>
      <c r="C10" s="118" t="s">
        <v>1221</v>
      </c>
      <c r="D10" s="118" t="s">
        <v>1239</v>
      </c>
      <c r="E10" s="119" t="s">
        <v>1240</v>
      </c>
      <c r="F10" s="118" t="s">
        <v>947</v>
      </c>
      <c r="G10" s="118" t="s">
        <v>203</v>
      </c>
      <c r="H10" s="118" t="s">
        <v>203</v>
      </c>
      <c r="I10" s="118" t="s">
        <v>339</v>
      </c>
      <c r="J10" s="118" t="s">
        <v>1224</v>
      </c>
      <c r="K10" s="118" t="s">
        <v>412</v>
      </c>
      <c r="L10" s="118" t="s">
        <v>1215</v>
      </c>
      <c r="M10" s="120">
        <v>1</v>
      </c>
      <c r="N10" s="122">
        <v>46173</v>
      </c>
      <c r="O10" s="121">
        <v>0</v>
      </c>
      <c r="P10" s="121">
        <v>4.6199999999999998E-2</v>
      </c>
      <c r="Q10" s="118"/>
      <c r="R10" s="120">
        <v>295473</v>
      </c>
      <c r="S10" s="120">
        <v>1</v>
      </c>
      <c r="T10" s="120">
        <v>99.82</v>
      </c>
      <c r="U10" s="120">
        <v>294.94114999999999</v>
      </c>
      <c r="V10" s="118"/>
      <c r="W10" s="118"/>
      <c r="X10" s="121">
        <v>1.2999999999999999E-5</v>
      </c>
      <c r="Y10" s="121">
        <v>7.1500000000000003E-4</v>
      </c>
      <c r="Z10" s="121">
        <v>8.8999999999999995E-5</v>
      </c>
    </row>
    <row r="11" spans="1:26" ht="15" customHeight="1">
      <c r="A11" s="119">
        <v>360</v>
      </c>
      <c r="B11" s="119">
        <v>360</v>
      </c>
      <c r="C11" s="118" t="s">
        <v>1221</v>
      </c>
      <c r="D11" s="118" t="s">
        <v>1241</v>
      </c>
      <c r="E11" s="119" t="s">
        <v>1242</v>
      </c>
      <c r="F11" s="118" t="s">
        <v>944</v>
      </c>
      <c r="G11" s="118" t="s">
        <v>203</v>
      </c>
      <c r="H11" s="118" t="s">
        <v>203</v>
      </c>
      <c r="I11" s="118" t="s">
        <v>339</v>
      </c>
      <c r="J11" s="118" t="s">
        <v>1224</v>
      </c>
      <c r="K11" s="118" t="s">
        <v>412</v>
      </c>
      <c r="L11" s="118" t="s">
        <v>1215</v>
      </c>
      <c r="M11" s="120">
        <v>18.41</v>
      </c>
      <c r="N11" s="122">
        <v>53113</v>
      </c>
      <c r="O11" s="121">
        <v>0.01</v>
      </c>
      <c r="P11" s="121">
        <v>2.2700000000000001E-2</v>
      </c>
      <c r="Q11" s="118"/>
      <c r="R11" s="120">
        <v>22429757</v>
      </c>
      <c r="S11" s="120">
        <v>1</v>
      </c>
      <c r="T11" s="120">
        <v>92.5</v>
      </c>
      <c r="U11" s="120">
        <v>20747.525229999999</v>
      </c>
      <c r="V11" s="118"/>
      <c r="W11" s="118"/>
      <c r="X11" s="121">
        <v>1.157E-3</v>
      </c>
      <c r="Y11" s="121">
        <v>5.0316E-2</v>
      </c>
      <c r="Z11" s="121">
        <v>6.306E-3</v>
      </c>
    </row>
    <row r="12" spans="1:26" ht="15" customHeight="1">
      <c r="A12" s="119">
        <v>360</v>
      </c>
      <c r="B12" s="119">
        <v>360</v>
      </c>
      <c r="C12" s="118" t="s">
        <v>1221</v>
      </c>
      <c r="D12" s="118" t="s">
        <v>1243</v>
      </c>
      <c r="E12" s="119" t="s">
        <v>1244</v>
      </c>
      <c r="F12" s="118" t="s">
        <v>946</v>
      </c>
      <c r="G12" s="118" t="s">
        <v>203</v>
      </c>
      <c r="H12" s="118" t="s">
        <v>203</v>
      </c>
      <c r="I12" s="118" t="s">
        <v>339</v>
      </c>
      <c r="J12" s="118" t="s">
        <v>1224</v>
      </c>
      <c r="K12" s="118" t="s">
        <v>412</v>
      </c>
      <c r="L12" s="118" t="s">
        <v>1215</v>
      </c>
      <c r="M12" s="120">
        <v>14.32</v>
      </c>
      <c r="N12" s="122">
        <v>53782</v>
      </c>
      <c r="O12" s="121">
        <v>3.7499999999999999E-2</v>
      </c>
      <c r="P12" s="121">
        <v>5.33E-2</v>
      </c>
      <c r="Q12" s="118"/>
      <c r="R12" s="120">
        <v>21772085</v>
      </c>
      <c r="S12" s="120">
        <v>1</v>
      </c>
      <c r="T12" s="120">
        <v>81.36</v>
      </c>
      <c r="U12" s="120">
        <v>17713.768359999998</v>
      </c>
      <c r="V12" s="118"/>
      <c r="W12" s="118"/>
      <c r="X12" s="121">
        <v>8.2899999999999998E-4</v>
      </c>
      <c r="Y12" s="121">
        <v>4.2958000000000003E-2</v>
      </c>
      <c r="Z12" s="121">
        <v>5.3839999999999999E-3</v>
      </c>
    </row>
    <row r="13" spans="1:26" ht="15" customHeight="1">
      <c r="A13" s="119">
        <v>360</v>
      </c>
      <c r="B13" s="119">
        <v>360</v>
      </c>
      <c r="C13" s="118" t="s">
        <v>1221</v>
      </c>
      <c r="D13" s="118" t="s">
        <v>1245</v>
      </c>
      <c r="E13" s="119" t="s">
        <v>1246</v>
      </c>
      <c r="F13" s="118" t="s">
        <v>944</v>
      </c>
      <c r="G13" s="118" t="s">
        <v>203</v>
      </c>
      <c r="H13" s="118" t="s">
        <v>203</v>
      </c>
      <c r="I13" s="118" t="s">
        <v>339</v>
      </c>
      <c r="J13" s="118" t="s">
        <v>1224</v>
      </c>
      <c r="K13" s="118" t="s">
        <v>412</v>
      </c>
      <c r="L13" s="118" t="s">
        <v>1215</v>
      </c>
      <c r="M13" s="120">
        <v>13.85</v>
      </c>
      <c r="N13" s="122">
        <v>51744</v>
      </c>
      <c r="O13" s="121">
        <v>2.75E-2</v>
      </c>
      <c r="P13" s="121">
        <v>2.24E-2</v>
      </c>
      <c r="Q13" s="118"/>
      <c r="R13" s="120">
        <v>126378160</v>
      </c>
      <c r="S13" s="120">
        <v>1</v>
      </c>
      <c r="T13" s="120">
        <v>132.61000000000001</v>
      </c>
      <c r="U13" s="120">
        <v>167590.07798</v>
      </c>
      <c r="V13" s="118"/>
      <c r="W13" s="118"/>
      <c r="X13" s="121">
        <v>6.5290000000000001E-3</v>
      </c>
      <c r="Y13" s="121">
        <v>0.40643299999999999</v>
      </c>
      <c r="Z13" s="121">
        <v>5.0938999999999998E-2</v>
      </c>
    </row>
    <row r="14" spans="1:26" ht="15" customHeight="1">
      <c r="A14" s="119">
        <v>360</v>
      </c>
      <c r="B14" s="119">
        <v>360</v>
      </c>
      <c r="C14" s="118" t="s">
        <v>1221</v>
      </c>
      <c r="D14" s="118" t="s">
        <v>1247</v>
      </c>
      <c r="E14" s="119" t="s">
        <v>1248</v>
      </c>
      <c r="F14" s="118" t="s">
        <v>944</v>
      </c>
      <c r="G14" s="118" t="s">
        <v>203</v>
      </c>
      <c r="H14" s="118" t="s">
        <v>203</v>
      </c>
      <c r="I14" s="118" t="s">
        <v>339</v>
      </c>
      <c r="J14" s="118" t="s">
        <v>1224</v>
      </c>
      <c r="K14" s="118" t="s">
        <v>412</v>
      </c>
      <c r="L14" s="118" t="s">
        <v>1215</v>
      </c>
      <c r="M14" s="120">
        <v>9.65</v>
      </c>
      <c r="N14" s="122">
        <v>49825</v>
      </c>
      <c r="O14" s="121">
        <v>0.04</v>
      </c>
      <c r="P14" s="121">
        <v>2.1700000000000001E-2</v>
      </c>
      <c r="Q14" s="118"/>
      <c r="R14" s="120">
        <v>35284213</v>
      </c>
      <c r="S14" s="120">
        <v>1</v>
      </c>
      <c r="T14" s="120">
        <v>164.63</v>
      </c>
      <c r="U14" s="120">
        <v>58088.399859999998</v>
      </c>
      <c r="V14" s="118"/>
      <c r="W14" s="118"/>
      <c r="X14" s="121">
        <v>2.2139999999999998E-3</v>
      </c>
      <c r="Y14" s="121">
        <v>0.140873</v>
      </c>
      <c r="Z14" s="121">
        <v>1.7656000000000002E-2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85</v>
      </c>
      <c r="U1" s="125" t="s">
        <v>73</v>
      </c>
      <c r="V1" s="126" t="s">
        <v>62</v>
      </c>
      <c r="W1" s="126" t="s">
        <v>74</v>
      </c>
      <c r="X1" s="25" t="s">
        <v>86</v>
      </c>
      <c r="Y1" s="25" t="s">
        <v>87</v>
      </c>
      <c r="Z1" s="123" t="s">
        <v>76</v>
      </c>
      <c r="AA1" s="123" t="s">
        <v>61</v>
      </c>
      <c r="AB1" s="123" t="s">
        <v>77</v>
      </c>
      <c r="AC1" s="123" t="s">
        <v>75</v>
      </c>
      <c r="AD1" s="123" t="s">
        <v>63</v>
      </c>
      <c r="AE1" s="123" t="s">
        <v>78</v>
      </c>
      <c r="AF1" s="123" t="s">
        <v>88</v>
      </c>
      <c r="AG1" s="25" t="s">
        <v>17</v>
      </c>
      <c r="AH1" s="126" t="s">
        <v>79</v>
      </c>
      <c r="AI1" s="126" t="s">
        <v>64</v>
      </c>
      <c r="AJ1" s="126" t="s">
        <v>65</v>
      </c>
    </row>
    <row r="2" spans="1:3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20"/>
      <c r="T2" s="118"/>
      <c r="U2" s="122"/>
      <c r="V2" s="121"/>
      <c r="W2" s="121"/>
      <c r="X2" s="118"/>
      <c r="Y2" s="118"/>
      <c r="Z2" s="120"/>
      <c r="AA2" s="120"/>
      <c r="AB2" s="120"/>
      <c r="AC2" s="120"/>
      <c r="AD2" s="120"/>
      <c r="AE2" s="120"/>
      <c r="AF2" s="120"/>
      <c r="AG2" s="118"/>
      <c r="AH2" s="121"/>
      <c r="AI2" s="121"/>
      <c r="AJ2" s="121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27"/>
  <sheetViews>
    <sheetView rightToLeft="1" topLeftCell="G1" workbookViewId="0">
      <selection activeCell="N28" sqref="N2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9.875" bestFit="1" customWidth="1"/>
    <col min="5" max="5" width="9.125" bestFit="1" customWidth="1"/>
    <col min="6" max="6" width="35" bestFit="1" customWidth="1"/>
    <col min="7" max="7" width="12.2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4.5" bestFit="1" customWidth="1"/>
    <col min="27" max="27" width="8.625" bestFit="1" customWidth="1"/>
    <col min="28" max="28" width="11" bestFit="1" customWidth="1"/>
    <col min="29" max="29" width="8.5" bestFit="1" customWidth="1"/>
    <col min="30" max="30" width="10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3" t="s">
        <v>78</v>
      </c>
      <c r="AF1" s="123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19">
        <v>360</v>
      </c>
      <c r="B2" s="119">
        <v>360</v>
      </c>
      <c r="C2" s="118" t="s">
        <v>1249</v>
      </c>
      <c r="D2" s="119">
        <v>520032046</v>
      </c>
      <c r="E2" s="118" t="s">
        <v>308</v>
      </c>
      <c r="F2" s="118" t="s">
        <v>1250</v>
      </c>
      <c r="G2" s="119" t="s">
        <v>1251</v>
      </c>
      <c r="H2" s="118" t="s">
        <v>320</v>
      </c>
      <c r="I2" s="118" t="s">
        <v>753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447</v>
      </c>
      <c r="O2" s="118" t="s">
        <v>338</v>
      </c>
      <c r="P2" s="118" t="s">
        <v>1211</v>
      </c>
      <c r="Q2" s="118" t="s">
        <v>412</v>
      </c>
      <c r="R2" s="118" t="s">
        <v>406</v>
      </c>
      <c r="S2" s="118" t="s">
        <v>1215</v>
      </c>
      <c r="T2" s="120">
        <v>5.72</v>
      </c>
      <c r="U2" s="122">
        <v>47665</v>
      </c>
      <c r="V2" s="121">
        <v>2E-3</v>
      </c>
      <c r="W2" s="121">
        <v>2.6200000000000001E-2</v>
      </c>
      <c r="X2" s="118" t="s">
        <v>411</v>
      </c>
      <c r="Y2" s="118"/>
      <c r="Z2" s="120">
        <v>4320500</v>
      </c>
      <c r="AA2" s="120">
        <v>1</v>
      </c>
      <c r="AB2" s="120">
        <v>100.79</v>
      </c>
      <c r="AC2" s="120"/>
      <c r="AD2" s="120">
        <v>4354.63195</v>
      </c>
      <c r="AE2" s="120"/>
      <c r="AF2" s="120"/>
      <c r="AG2" s="118"/>
      <c r="AH2" s="121">
        <v>4.5069999999999997E-3</v>
      </c>
      <c r="AI2" s="121">
        <v>6.1802999999999997E-2</v>
      </c>
      <c r="AJ2" s="121">
        <v>1.323E-3</v>
      </c>
    </row>
    <row r="3" spans="1:36" ht="15" customHeight="1">
      <c r="A3" s="119">
        <v>360</v>
      </c>
      <c r="B3" s="119">
        <v>360</v>
      </c>
      <c r="C3" s="118" t="s">
        <v>1252</v>
      </c>
      <c r="D3" s="119">
        <v>513893123</v>
      </c>
      <c r="E3" s="118" t="s">
        <v>308</v>
      </c>
      <c r="F3" s="118" t="s">
        <v>1253</v>
      </c>
      <c r="G3" s="119" t="s">
        <v>1254</v>
      </c>
      <c r="H3" s="118" t="s">
        <v>320</v>
      </c>
      <c r="I3" s="118" t="s">
        <v>753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442</v>
      </c>
      <c r="O3" s="118" t="s">
        <v>338</v>
      </c>
      <c r="P3" s="118" t="s">
        <v>1255</v>
      </c>
      <c r="Q3" s="118" t="s">
        <v>414</v>
      </c>
      <c r="R3" s="118" t="s">
        <v>406</v>
      </c>
      <c r="S3" s="118" t="s">
        <v>1215</v>
      </c>
      <c r="T3" s="120">
        <v>1.64</v>
      </c>
      <c r="U3" s="122">
        <v>46477</v>
      </c>
      <c r="V3" s="121">
        <v>3.5400000000000001E-2</v>
      </c>
      <c r="W3" s="121">
        <v>7.9600000000000004E-2</v>
      </c>
      <c r="X3" s="118" t="s">
        <v>411</v>
      </c>
      <c r="Y3" s="118"/>
      <c r="Z3" s="120">
        <v>-3080</v>
      </c>
      <c r="AA3" s="120">
        <v>1</v>
      </c>
      <c r="AB3" s="120">
        <v>100</v>
      </c>
      <c r="AC3" s="120"/>
      <c r="AD3" s="120">
        <v>-3.08</v>
      </c>
      <c r="AE3" s="118"/>
      <c r="AF3" s="118"/>
      <c r="AG3" s="118"/>
      <c r="AH3" s="121">
        <v>-1.9999999999999999E-6</v>
      </c>
      <c r="AI3" s="121">
        <v>-4.3000000000000002E-5</v>
      </c>
      <c r="AJ3" s="121">
        <v>0</v>
      </c>
    </row>
    <row r="4" spans="1:36" ht="15" customHeight="1">
      <c r="A4" s="119">
        <v>360</v>
      </c>
      <c r="B4" s="119">
        <v>360</v>
      </c>
      <c r="C4" s="118" t="s">
        <v>1256</v>
      </c>
      <c r="D4" s="119">
        <v>520000472</v>
      </c>
      <c r="E4" s="118" t="s">
        <v>308</v>
      </c>
      <c r="F4" s="118" t="s">
        <v>1257</v>
      </c>
      <c r="G4" s="119" t="s">
        <v>1258</v>
      </c>
      <c r="H4" s="118" t="s">
        <v>320</v>
      </c>
      <c r="I4" s="118" t="s">
        <v>753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439</v>
      </c>
      <c r="O4" s="118" t="s">
        <v>338</v>
      </c>
      <c r="P4" s="118" t="s">
        <v>1259</v>
      </c>
      <c r="Q4" s="118" t="s">
        <v>311</v>
      </c>
      <c r="R4" s="118" t="s">
        <v>406</v>
      </c>
      <c r="S4" s="118" t="s">
        <v>1215</v>
      </c>
      <c r="T4" s="120">
        <v>5.8</v>
      </c>
      <c r="U4" s="122">
        <v>48112</v>
      </c>
      <c r="V4" s="121">
        <v>2.3900000000000001E-2</v>
      </c>
      <c r="W4" s="121">
        <v>2.92E-2</v>
      </c>
      <c r="X4" s="118" t="s">
        <v>411</v>
      </c>
      <c r="Y4" s="118"/>
      <c r="Z4" s="120">
        <v>3995121</v>
      </c>
      <c r="AA4" s="120">
        <v>1</v>
      </c>
      <c r="AB4" s="120">
        <v>111.74</v>
      </c>
      <c r="AC4" s="120"/>
      <c r="AD4" s="120">
        <v>4464.1482100000003</v>
      </c>
      <c r="AE4" s="118"/>
      <c r="AF4" s="118"/>
      <c r="AG4" s="118"/>
      <c r="AH4" s="121">
        <v>1.0269999999999999E-3</v>
      </c>
      <c r="AI4" s="121">
        <v>6.3357999999999998E-2</v>
      </c>
      <c r="AJ4" s="121">
        <v>1.356E-3</v>
      </c>
    </row>
    <row r="5" spans="1:36" ht="15" customHeight="1">
      <c r="A5" s="119">
        <v>360</v>
      </c>
      <c r="B5" s="119">
        <v>360</v>
      </c>
      <c r="C5" s="118" t="s">
        <v>1260</v>
      </c>
      <c r="D5" s="119">
        <v>520018078</v>
      </c>
      <c r="E5" s="118" t="s">
        <v>308</v>
      </c>
      <c r="F5" s="118" t="s">
        <v>1261</v>
      </c>
      <c r="G5" s="119" t="s">
        <v>1262</v>
      </c>
      <c r="H5" s="118" t="s">
        <v>320</v>
      </c>
      <c r="I5" s="118" t="s">
        <v>753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447</v>
      </c>
      <c r="O5" s="118" t="s">
        <v>338</v>
      </c>
      <c r="P5" s="118" t="s">
        <v>1211</v>
      </c>
      <c r="Q5" s="118" t="s">
        <v>412</v>
      </c>
      <c r="R5" s="118" t="s">
        <v>406</v>
      </c>
      <c r="S5" s="118" t="s">
        <v>1215</v>
      </c>
      <c r="T5" s="120">
        <v>3.14</v>
      </c>
      <c r="U5" s="122">
        <v>46716</v>
      </c>
      <c r="V5" s="121">
        <v>1E-3</v>
      </c>
      <c r="W5" s="121">
        <v>2.3099999999999999E-2</v>
      </c>
      <c r="X5" s="118" t="s">
        <v>411</v>
      </c>
      <c r="Y5" s="118"/>
      <c r="Z5" s="120">
        <v>2588000</v>
      </c>
      <c r="AA5" s="120">
        <v>1</v>
      </c>
      <c r="AB5" s="120">
        <v>105.15</v>
      </c>
      <c r="AC5" s="120"/>
      <c r="AD5" s="120">
        <v>2721.2820000000002</v>
      </c>
      <c r="AE5" s="118"/>
      <c r="AF5" s="118"/>
      <c r="AG5" s="118"/>
      <c r="AH5" s="121">
        <v>8.2399999999999997E-4</v>
      </c>
      <c r="AI5" s="121">
        <v>3.8621999999999997E-2</v>
      </c>
      <c r="AJ5" s="121">
        <v>8.2700000000000004E-4</v>
      </c>
    </row>
    <row r="6" spans="1:36" ht="15" customHeight="1">
      <c r="A6" s="119">
        <v>360</v>
      </c>
      <c r="B6" s="119">
        <v>360</v>
      </c>
      <c r="C6" s="118" t="s">
        <v>1263</v>
      </c>
      <c r="D6" s="119">
        <v>510960719</v>
      </c>
      <c r="E6" s="118" t="s">
        <v>308</v>
      </c>
      <c r="F6" s="118" t="s">
        <v>1264</v>
      </c>
      <c r="G6" s="119" t="s">
        <v>1265</v>
      </c>
      <c r="H6" s="118" t="s">
        <v>320</v>
      </c>
      <c r="I6" s="118" t="s">
        <v>753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463</v>
      </c>
      <c r="O6" s="118" t="s">
        <v>338</v>
      </c>
      <c r="P6" s="118" t="s">
        <v>1266</v>
      </c>
      <c r="Q6" s="118" t="s">
        <v>414</v>
      </c>
      <c r="R6" s="118" t="s">
        <v>406</v>
      </c>
      <c r="S6" s="118" t="s">
        <v>1215</v>
      </c>
      <c r="T6" s="120">
        <v>2.89</v>
      </c>
      <c r="U6" s="122">
        <v>47669</v>
      </c>
      <c r="V6" s="121">
        <v>1.34E-2</v>
      </c>
      <c r="W6" s="121">
        <v>2.8199999999999999E-2</v>
      </c>
      <c r="X6" s="118" t="s">
        <v>411</v>
      </c>
      <c r="Y6" s="118"/>
      <c r="Z6" s="120">
        <v>14280.55</v>
      </c>
      <c r="AA6" s="120">
        <v>1</v>
      </c>
      <c r="AB6" s="120">
        <v>112.38</v>
      </c>
      <c r="AC6" s="120"/>
      <c r="AD6" s="120">
        <v>16.048480000000001</v>
      </c>
      <c r="AE6" s="118"/>
      <c r="AF6" s="118"/>
      <c r="AG6" s="118"/>
      <c r="AH6" s="121">
        <v>5.0000000000000004E-6</v>
      </c>
      <c r="AI6" s="121">
        <v>2.2699999999999999E-4</v>
      </c>
      <c r="AJ6" s="121">
        <v>3.9999999999999998E-6</v>
      </c>
    </row>
    <row r="7" spans="1:36" ht="15" customHeight="1">
      <c r="A7" s="119">
        <v>360</v>
      </c>
      <c r="B7" s="119">
        <v>360</v>
      </c>
      <c r="C7" s="118" t="s">
        <v>1249</v>
      </c>
      <c r="D7" s="119">
        <v>520032046</v>
      </c>
      <c r="E7" s="118" t="s">
        <v>308</v>
      </c>
      <c r="F7" s="118" t="s">
        <v>1267</v>
      </c>
      <c r="G7" s="119" t="s">
        <v>1268</v>
      </c>
      <c r="H7" s="118" t="s">
        <v>320</v>
      </c>
      <c r="I7" s="118" t="s">
        <v>753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447</v>
      </c>
      <c r="O7" s="118" t="s">
        <v>338</v>
      </c>
      <c r="P7" s="118" t="s">
        <v>1211</v>
      </c>
      <c r="Q7" s="118" t="s">
        <v>412</v>
      </c>
      <c r="R7" s="118" t="s">
        <v>406</v>
      </c>
      <c r="S7" s="118" t="s">
        <v>1215</v>
      </c>
      <c r="T7" s="120">
        <v>2.96</v>
      </c>
      <c r="U7" s="122">
        <v>46658</v>
      </c>
      <c r="V7" s="121">
        <v>1.2200000000000001E-2</v>
      </c>
      <c r="W7" s="121">
        <v>2.2599999999999999E-2</v>
      </c>
      <c r="X7" s="118" t="s">
        <v>411</v>
      </c>
      <c r="Y7" s="118"/>
      <c r="Z7" s="120">
        <v>3146677</v>
      </c>
      <c r="AA7" s="120">
        <v>1</v>
      </c>
      <c r="AB7" s="120">
        <v>113.04</v>
      </c>
      <c r="AC7" s="120"/>
      <c r="AD7" s="120">
        <v>3557.0036799999998</v>
      </c>
      <c r="AE7" s="118"/>
      <c r="AF7" s="118"/>
      <c r="AG7" s="118"/>
      <c r="AH7" s="121">
        <v>1.0430000000000001E-3</v>
      </c>
      <c r="AI7" s="121">
        <v>5.0483E-2</v>
      </c>
      <c r="AJ7" s="121">
        <v>1.0809999999999999E-3</v>
      </c>
    </row>
    <row r="8" spans="1:36" ht="15" customHeight="1">
      <c r="A8" s="119">
        <v>360</v>
      </c>
      <c r="B8" s="119">
        <v>360</v>
      </c>
      <c r="C8" s="118" t="s">
        <v>1249</v>
      </c>
      <c r="D8" s="119">
        <v>520032046</v>
      </c>
      <c r="E8" s="118" t="s">
        <v>308</v>
      </c>
      <c r="F8" s="118" t="s">
        <v>1269</v>
      </c>
      <c r="G8" s="119" t="s">
        <v>1270</v>
      </c>
      <c r="H8" s="118" t="s">
        <v>320</v>
      </c>
      <c r="I8" s="118" t="s">
        <v>753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447</v>
      </c>
      <c r="O8" s="118" t="s">
        <v>338</v>
      </c>
      <c r="P8" s="118" t="s">
        <v>1211</v>
      </c>
      <c r="Q8" s="118" t="s">
        <v>412</v>
      </c>
      <c r="R8" s="118" t="s">
        <v>406</v>
      </c>
      <c r="S8" s="118" t="s">
        <v>1215</v>
      </c>
      <c r="T8" s="120">
        <v>3.48</v>
      </c>
      <c r="U8" s="122">
        <v>48190</v>
      </c>
      <c r="V8" s="121">
        <v>1.6400000000000001E-2</v>
      </c>
      <c r="W8" s="121">
        <v>2.4500000000000001E-2</v>
      </c>
      <c r="X8" s="118" t="s">
        <v>411</v>
      </c>
      <c r="Y8" s="118"/>
      <c r="Z8" s="120">
        <v>1280016</v>
      </c>
      <c r="AA8" s="120">
        <v>1</v>
      </c>
      <c r="AB8" s="120">
        <v>105.53</v>
      </c>
      <c r="AC8" s="120"/>
      <c r="AD8" s="120">
        <v>1350.80088</v>
      </c>
      <c r="AE8" s="118"/>
      <c r="AF8" s="118"/>
      <c r="AG8" s="118"/>
      <c r="AH8" s="121">
        <v>1.1900000000000001E-3</v>
      </c>
      <c r="AI8" s="121">
        <v>1.9171000000000001E-2</v>
      </c>
      <c r="AJ8" s="121">
        <v>4.0999999999999999E-4</v>
      </c>
    </row>
    <row r="9" spans="1:36" ht="15" customHeight="1">
      <c r="A9" s="119">
        <v>360</v>
      </c>
      <c r="B9" s="119">
        <v>360</v>
      </c>
      <c r="C9" s="118" t="s">
        <v>1271</v>
      </c>
      <c r="D9" s="119">
        <v>513141879</v>
      </c>
      <c r="E9" s="118" t="s">
        <v>308</v>
      </c>
      <c r="F9" s="118" t="s">
        <v>1272</v>
      </c>
      <c r="G9" s="119" t="s">
        <v>1273</v>
      </c>
      <c r="H9" s="118" t="s">
        <v>320</v>
      </c>
      <c r="I9" s="118" t="s">
        <v>753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447</v>
      </c>
      <c r="O9" s="118" t="s">
        <v>338</v>
      </c>
      <c r="P9" s="118" t="s">
        <v>1211</v>
      </c>
      <c r="Q9" s="118" t="s">
        <v>412</v>
      </c>
      <c r="R9" s="118" t="s">
        <v>406</v>
      </c>
      <c r="S9" s="118" t="s">
        <v>1215</v>
      </c>
      <c r="T9" s="120">
        <v>0.94</v>
      </c>
      <c r="U9" s="122">
        <v>45910</v>
      </c>
      <c r="V9" s="121">
        <v>1E-3</v>
      </c>
      <c r="W9" s="121">
        <v>1.9699999999999999E-2</v>
      </c>
      <c r="X9" s="118" t="s">
        <v>411</v>
      </c>
      <c r="Y9" s="118"/>
      <c r="Z9" s="120">
        <v>717000</v>
      </c>
      <c r="AA9" s="120">
        <v>1</v>
      </c>
      <c r="AB9" s="120">
        <v>112.67</v>
      </c>
      <c r="AC9" s="120"/>
      <c r="AD9" s="120">
        <v>807.84389999999996</v>
      </c>
      <c r="AE9" s="118"/>
      <c r="AF9" s="118"/>
      <c r="AG9" s="118"/>
      <c r="AH9" s="121">
        <v>4.7800000000000002E-4</v>
      </c>
      <c r="AI9" s="121">
        <v>1.1464999999999999E-2</v>
      </c>
      <c r="AJ9" s="121">
        <v>2.4499999999999999E-4</v>
      </c>
    </row>
    <row r="10" spans="1:36" ht="15" customHeight="1">
      <c r="A10" s="119">
        <v>360</v>
      </c>
      <c r="B10" s="119">
        <v>360</v>
      </c>
      <c r="C10" s="118" t="s">
        <v>1260</v>
      </c>
      <c r="D10" s="119">
        <v>520018078</v>
      </c>
      <c r="E10" s="118" t="s">
        <v>308</v>
      </c>
      <c r="F10" s="118" t="s">
        <v>1274</v>
      </c>
      <c r="G10" s="119" t="s">
        <v>1275</v>
      </c>
      <c r="H10" s="118" t="s">
        <v>320</v>
      </c>
      <c r="I10" s="118" t="s">
        <v>753</v>
      </c>
      <c r="J10" s="118" t="s">
        <v>203</v>
      </c>
      <c r="K10" s="118" t="s">
        <v>203</v>
      </c>
      <c r="L10" s="118" t="s">
        <v>324</v>
      </c>
      <c r="M10" s="118" t="s">
        <v>339</v>
      </c>
      <c r="N10" s="118" t="s">
        <v>447</v>
      </c>
      <c r="O10" s="118" t="s">
        <v>338</v>
      </c>
      <c r="P10" s="118" t="s">
        <v>1211</v>
      </c>
      <c r="Q10" s="118" t="s">
        <v>412</v>
      </c>
      <c r="R10" s="118" t="s">
        <v>406</v>
      </c>
      <c r="S10" s="118" t="s">
        <v>1215</v>
      </c>
      <c r="T10" s="120">
        <v>5.14</v>
      </c>
      <c r="U10" s="122">
        <v>47447</v>
      </c>
      <c r="V10" s="121">
        <v>1E-3</v>
      </c>
      <c r="W10" s="121">
        <v>2.6200000000000001E-2</v>
      </c>
      <c r="X10" s="118" t="s">
        <v>411</v>
      </c>
      <c r="Y10" s="118"/>
      <c r="Z10" s="120">
        <v>1388410</v>
      </c>
      <c r="AA10" s="120">
        <v>1</v>
      </c>
      <c r="AB10" s="120">
        <v>99.1</v>
      </c>
      <c r="AC10" s="120"/>
      <c r="AD10" s="120">
        <v>1375.9143099999999</v>
      </c>
      <c r="AE10" s="118"/>
      <c r="AF10" s="118"/>
      <c r="AG10" s="118"/>
      <c r="AH10" s="121">
        <v>5.5800000000000001E-4</v>
      </c>
      <c r="AI10" s="121">
        <v>1.9526999999999999E-2</v>
      </c>
      <c r="AJ10" s="121">
        <v>4.1800000000000002E-4</v>
      </c>
    </row>
    <row r="11" spans="1:36" ht="15" customHeight="1">
      <c r="A11" s="119">
        <v>360</v>
      </c>
      <c r="B11" s="119">
        <v>360</v>
      </c>
      <c r="C11" s="118" t="s">
        <v>1263</v>
      </c>
      <c r="D11" s="119">
        <v>510960719</v>
      </c>
      <c r="E11" s="118" t="s">
        <v>308</v>
      </c>
      <c r="F11" s="118" t="s">
        <v>1276</v>
      </c>
      <c r="G11" s="119" t="s">
        <v>1277</v>
      </c>
      <c r="H11" s="118" t="s">
        <v>320</v>
      </c>
      <c r="I11" s="118" t="s">
        <v>753</v>
      </c>
      <c r="J11" s="118" t="s">
        <v>203</v>
      </c>
      <c r="K11" s="118" t="s">
        <v>203</v>
      </c>
      <c r="L11" s="118" t="s">
        <v>324</v>
      </c>
      <c r="M11" s="118" t="s">
        <v>339</v>
      </c>
      <c r="N11" s="118" t="s">
        <v>463</v>
      </c>
      <c r="O11" s="118" t="s">
        <v>338</v>
      </c>
      <c r="P11" s="118" t="s">
        <v>1266</v>
      </c>
      <c r="Q11" s="118" t="s">
        <v>414</v>
      </c>
      <c r="R11" s="118" t="s">
        <v>406</v>
      </c>
      <c r="S11" s="118" t="s">
        <v>1215</v>
      </c>
      <c r="T11" s="120">
        <v>2.5499999999999998</v>
      </c>
      <c r="U11" s="122">
        <v>46934</v>
      </c>
      <c r="V11" s="121">
        <v>1.77E-2</v>
      </c>
      <c r="W11" s="121">
        <v>2.7099999999999999E-2</v>
      </c>
      <c r="X11" s="118" t="s">
        <v>411</v>
      </c>
      <c r="Y11" s="118"/>
      <c r="Z11" s="120">
        <v>606400</v>
      </c>
      <c r="AA11" s="120">
        <v>1</v>
      </c>
      <c r="AB11" s="120">
        <v>113.19</v>
      </c>
      <c r="AC11" s="120"/>
      <c r="AD11" s="120">
        <v>686.38415999999995</v>
      </c>
      <c r="AE11" s="118"/>
      <c r="AF11" s="118"/>
      <c r="AG11" s="118"/>
      <c r="AH11" s="121">
        <v>2.33E-4</v>
      </c>
      <c r="AI11" s="121">
        <v>9.7409999999999997E-3</v>
      </c>
      <c r="AJ11" s="121">
        <v>2.0799999999999999E-4</v>
      </c>
    </row>
    <row r="12" spans="1:36" ht="15" customHeight="1">
      <c r="A12" s="119">
        <v>360</v>
      </c>
      <c r="B12" s="119">
        <v>360</v>
      </c>
      <c r="C12" s="118" t="s">
        <v>1216</v>
      </c>
      <c r="D12" s="119">
        <v>520000118</v>
      </c>
      <c r="E12" s="118" t="s">
        <v>308</v>
      </c>
      <c r="F12" s="118" t="s">
        <v>1278</v>
      </c>
      <c r="G12" s="119" t="s">
        <v>1279</v>
      </c>
      <c r="H12" s="118" t="s">
        <v>320</v>
      </c>
      <c r="I12" s="118" t="s">
        <v>753</v>
      </c>
      <c r="J12" s="118" t="s">
        <v>203</v>
      </c>
      <c r="K12" s="118" t="s">
        <v>203</v>
      </c>
      <c r="L12" s="118" t="s">
        <v>324</v>
      </c>
      <c r="M12" s="118" t="s">
        <v>339</v>
      </c>
      <c r="N12" s="118" t="s">
        <v>447</v>
      </c>
      <c r="O12" s="118" t="s">
        <v>338</v>
      </c>
      <c r="P12" s="118" t="s">
        <v>1211</v>
      </c>
      <c r="Q12" s="118" t="s">
        <v>412</v>
      </c>
      <c r="R12" s="118" t="s">
        <v>406</v>
      </c>
      <c r="S12" s="118" t="s">
        <v>1215</v>
      </c>
      <c r="T12" s="120">
        <v>3.01</v>
      </c>
      <c r="U12" s="122">
        <v>47819</v>
      </c>
      <c r="V12" s="121">
        <v>1.7500000000000002E-2</v>
      </c>
      <c r="W12" s="121">
        <v>2.35E-2</v>
      </c>
      <c r="X12" s="118" t="s">
        <v>411</v>
      </c>
      <c r="Y12" s="118"/>
      <c r="Z12" s="120">
        <v>456020.11</v>
      </c>
      <c r="AA12" s="120">
        <v>1</v>
      </c>
      <c r="AB12" s="120">
        <v>114.28</v>
      </c>
      <c r="AC12" s="120"/>
      <c r="AD12" s="120">
        <v>521.13977999999997</v>
      </c>
      <c r="AE12" s="118"/>
      <c r="AF12" s="118"/>
      <c r="AG12" s="118"/>
      <c r="AH12" s="121">
        <v>1.75E-4</v>
      </c>
      <c r="AI12" s="121">
        <v>7.3959999999999998E-3</v>
      </c>
      <c r="AJ12" s="121">
        <v>1.5799999999999999E-4</v>
      </c>
    </row>
    <row r="13" spans="1:36" ht="15" customHeight="1">
      <c r="A13" s="119">
        <v>360</v>
      </c>
      <c r="B13" s="119">
        <v>360</v>
      </c>
      <c r="C13" s="118" t="s">
        <v>1280</v>
      </c>
      <c r="D13" s="119">
        <v>520010869</v>
      </c>
      <c r="E13" s="118" t="s">
        <v>308</v>
      </c>
      <c r="F13" s="118" t="s">
        <v>1281</v>
      </c>
      <c r="G13" s="119" t="s">
        <v>1282</v>
      </c>
      <c r="H13" s="118" t="s">
        <v>320</v>
      </c>
      <c r="I13" s="118" t="s">
        <v>753</v>
      </c>
      <c r="J13" s="118" t="s">
        <v>203</v>
      </c>
      <c r="K13" s="118" t="s">
        <v>203</v>
      </c>
      <c r="L13" s="118" t="s">
        <v>324</v>
      </c>
      <c r="M13" s="118" t="s">
        <v>339</v>
      </c>
      <c r="N13" s="118" t="s">
        <v>476</v>
      </c>
      <c r="O13" s="118" t="s">
        <v>338</v>
      </c>
      <c r="P13" s="118" t="s">
        <v>1259</v>
      </c>
      <c r="Q13" s="118" t="s">
        <v>311</v>
      </c>
      <c r="R13" s="118" t="s">
        <v>406</v>
      </c>
      <c r="S13" s="118" t="s">
        <v>1215</v>
      </c>
      <c r="T13" s="120">
        <v>11.44</v>
      </c>
      <c r="U13" s="122">
        <v>56249</v>
      </c>
      <c r="V13" s="121">
        <v>2.07E-2</v>
      </c>
      <c r="W13" s="121">
        <v>3.2899999999999999E-2</v>
      </c>
      <c r="X13" s="118" t="s">
        <v>411</v>
      </c>
      <c r="Y13" s="118"/>
      <c r="Z13" s="120">
        <v>10961766.800000001</v>
      </c>
      <c r="AA13" s="120">
        <v>1</v>
      </c>
      <c r="AB13" s="120">
        <v>99.37</v>
      </c>
      <c r="AC13" s="120"/>
      <c r="AD13" s="120">
        <v>10892.70767</v>
      </c>
      <c r="AE13" s="118"/>
      <c r="AF13" s="118"/>
      <c r="AG13" s="118"/>
      <c r="AH13" s="121">
        <v>2.4069999999999999E-3</v>
      </c>
      <c r="AI13" s="121">
        <v>0.15459600000000001</v>
      </c>
      <c r="AJ13" s="121">
        <v>3.31E-3</v>
      </c>
    </row>
    <row r="14" spans="1:36" ht="15" customHeight="1">
      <c r="A14" s="119">
        <v>360</v>
      </c>
      <c r="B14" s="119">
        <v>360</v>
      </c>
      <c r="C14" s="118" t="s">
        <v>1283</v>
      </c>
      <c r="D14" s="119">
        <v>520029935</v>
      </c>
      <c r="E14" s="118" t="s">
        <v>308</v>
      </c>
      <c r="F14" s="118" t="s">
        <v>1284</v>
      </c>
      <c r="G14" s="119" t="s">
        <v>1285</v>
      </c>
      <c r="H14" s="118" t="s">
        <v>320</v>
      </c>
      <c r="I14" s="118" t="s">
        <v>753</v>
      </c>
      <c r="J14" s="118" t="s">
        <v>203</v>
      </c>
      <c r="K14" s="118" t="s">
        <v>203</v>
      </c>
      <c r="L14" s="118" t="s">
        <v>324</v>
      </c>
      <c r="M14" s="118" t="s">
        <v>339</v>
      </c>
      <c r="N14" s="118" t="s">
        <v>447</v>
      </c>
      <c r="O14" s="118" t="s">
        <v>338</v>
      </c>
      <c r="P14" s="118" t="s">
        <v>1211</v>
      </c>
      <c r="Q14" s="118" t="s">
        <v>412</v>
      </c>
      <c r="R14" s="118" t="s">
        <v>406</v>
      </c>
      <c r="S14" s="118" t="s">
        <v>1215</v>
      </c>
      <c r="T14" s="120">
        <v>3.98</v>
      </c>
      <c r="U14" s="122">
        <v>48441</v>
      </c>
      <c r="V14" s="121">
        <v>2E-3</v>
      </c>
      <c r="W14" s="121">
        <v>2.52E-2</v>
      </c>
      <c r="X14" s="118" t="s">
        <v>411</v>
      </c>
      <c r="Y14" s="118"/>
      <c r="Z14" s="120">
        <v>1841997.48</v>
      </c>
      <c r="AA14" s="120">
        <v>1</v>
      </c>
      <c r="AB14" s="120">
        <v>102.6</v>
      </c>
      <c r="AC14" s="120"/>
      <c r="AD14" s="120">
        <v>1889.88941</v>
      </c>
      <c r="AE14" s="118"/>
      <c r="AF14" s="118"/>
      <c r="AG14" s="118"/>
      <c r="AH14" s="121">
        <v>5.0600000000000005E-4</v>
      </c>
      <c r="AI14" s="121">
        <v>2.6821999999999999E-2</v>
      </c>
      <c r="AJ14" s="121">
        <v>5.7399999999999997E-4</v>
      </c>
    </row>
    <row r="15" spans="1:36" ht="15" customHeight="1">
      <c r="A15" s="119">
        <v>360</v>
      </c>
      <c r="B15" s="119">
        <v>360</v>
      </c>
      <c r="C15" s="118" t="s">
        <v>1286</v>
      </c>
      <c r="D15" s="119">
        <v>513436394</v>
      </c>
      <c r="E15" s="118" t="s">
        <v>308</v>
      </c>
      <c r="F15" s="118" t="s">
        <v>1287</v>
      </c>
      <c r="G15" s="119" t="s">
        <v>1288</v>
      </c>
      <c r="H15" s="118" t="s">
        <v>320</v>
      </c>
      <c r="I15" s="118" t="s">
        <v>753</v>
      </c>
      <c r="J15" s="118" t="s">
        <v>203</v>
      </c>
      <c r="K15" s="118" t="s">
        <v>203</v>
      </c>
      <c r="L15" s="118" t="s">
        <v>324</v>
      </c>
      <c r="M15" s="118" t="s">
        <v>339</v>
      </c>
      <c r="N15" s="118" t="s">
        <v>476</v>
      </c>
      <c r="O15" s="118" t="s">
        <v>338</v>
      </c>
      <c r="P15" s="118" t="s">
        <v>1266</v>
      </c>
      <c r="Q15" s="118" t="s">
        <v>414</v>
      </c>
      <c r="R15" s="118" t="s">
        <v>406</v>
      </c>
      <c r="S15" s="118" t="s">
        <v>1215</v>
      </c>
      <c r="T15" s="120">
        <v>5.47</v>
      </c>
      <c r="U15" s="122">
        <v>48760</v>
      </c>
      <c r="V15" s="121">
        <v>2.9499999999999998E-2</v>
      </c>
      <c r="W15" s="121">
        <v>2.7400000000000001E-2</v>
      </c>
      <c r="X15" s="118" t="s">
        <v>411</v>
      </c>
      <c r="Y15" s="118"/>
      <c r="Z15" s="120">
        <v>3302578.49</v>
      </c>
      <c r="AA15" s="120">
        <v>1</v>
      </c>
      <c r="AB15" s="120">
        <v>116.33</v>
      </c>
      <c r="AC15" s="120"/>
      <c r="AD15" s="120">
        <v>3841.8895600000001</v>
      </c>
      <c r="AE15" s="118"/>
      <c r="AF15" s="118"/>
      <c r="AG15" s="118"/>
      <c r="AH15" s="121">
        <v>2.2439999999999999E-3</v>
      </c>
      <c r="AI15" s="121">
        <v>5.4525999999999998E-2</v>
      </c>
      <c r="AJ15" s="121">
        <v>1.1670000000000001E-3</v>
      </c>
    </row>
    <row r="16" spans="1:36" ht="15" customHeight="1">
      <c r="A16" s="119">
        <v>360</v>
      </c>
      <c r="B16" s="119">
        <v>360</v>
      </c>
      <c r="C16" s="118" t="s">
        <v>1216</v>
      </c>
      <c r="D16" s="119">
        <v>520000118</v>
      </c>
      <c r="E16" s="118" t="s">
        <v>308</v>
      </c>
      <c r="F16" s="118" t="s">
        <v>1289</v>
      </c>
      <c r="G16" s="119" t="s">
        <v>1290</v>
      </c>
      <c r="H16" s="118" t="s">
        <v>320</v>
      </c>
      <c r="I16" s="118" t="s">
        <v>753</v>
      </c>
      <c r="J16" s="118" t="s">
        <v>203</v>
      </c>
      <c r="K16" s="118" t="s">
        <v>203</v>
      </c>
      <c r="L16" s="118" t="s">
        <v>324</v>
      </c>
      <c r="M16" s="118" t="s">
        <v>339</v>
      </c>
      <c r="N16" s="118" t="s">
        <v>447</v>
      </c>
      <c r="O16" s="118" t="s">
        <v>338</v>
      </c>
      <c r="P16" s="118" t="s">
        <v>1291</v>
      </c>
      <c r="Q16" s="118" t="s">
        <v>412</v>
      </c>
      <c r="R16" s="118" t="s">
        <v>406</v>
      </c>
      <c r="S16" s="118" t="s">
        <v>1215</v>
      </c>
      <c r="T16" s="120">
        <v>3.87</v>
      </c>
      <c r="U16" s="122">
        <v>47086</v>
      </c>
      <c r="V16" s="121">
        <v>3.09E-2</v>
      </c>
      <c r="W16" s="121">
        <v>3.0499999999999999E-2</v>
      </c>
      <c r="X16" s="118" t="s">
        <v>410</v>
      </c>
      <c r="Y16" s="118"/>
      <c r="Z16" s="120">
        <v>450000</v>
      </c>
      <c r="AA16" s="120">
        <v>1</v>
      </c>
      <c r="AB16" s="120">
        <v>110.02</v>
      </c>
      <c r="AC16" s="120"/>
      <c r="AD16" s="120">
        <v>495.09</v>
      </c>
      <c r="AE16" s="118"/>
      <c r="AF16" s="118"/>
      <c r="AG16" s="118"/>
      <c r="AH16" s="121">
        <v>4.73E-4</v>
      </c>
      <c r="AI16" s="121">
        <v>7.0260000000000001E-3</v>
      </c>
      <c r="AJ16" s="121">
        <v>1.4999999999999999E-4</v>
      </c>
    </row>
    <row r="17" spans="1:36" ht="15" customHeight="1">
      <c r="A17" s="119">
        <v>360</v>
      </c>
      <c r="B17" s="119">
        <v>360</v>
      </c>
      <c r="C17" s="118" t="s">
        <v>1252</v>
      </c>
      <c r="D17" s="119">
        <v>513893123</v>
      </c>
      <c r="E17" s="118" t="s">
        <v>308</v>
      </c>
      <c r="F17" s="118" t="s">
        <v>1292</v>
      </c>
      <c r="G17" s="119" t="s">
        <v>1254</v>
      </c>
      <c r="H17" s="118" t="s">
        <v>320</v>
      </c>
      <c r="I17" s="118" t="s">
        <v>753</v>
      </c>
      <c r="J17" s="118" t="s">
        <v>203</v>
      </c>
      <c r="K17" s="118" t="s">
        <v>203</v>
      </c>
      <c r="L17" s="118" t="s">
        <v>324</v>
      </c>
      <c r="M17" s="118" t="s">
        <v>339</v>
      </c>
      <c r="N17" s="118" t="s">
        <v>442</v>
      </c>
      <c r="O17" s="118" t="s">
        <v>338</v>
      </c>
      <c r="P17" s="118" t="s">
        <v>1255</v>
      </c>
      <c r="Q17" s="118" t="s">
        <v>414</v>
      </c>
      <c r="R17" s="118" t="s">
        <v>406</v>
      </c>
      <c r="S17" s="118" t="s">
        <v>1215</v>
      </c>
      <c r="T17" s="120">
        <v>1.66</v>
      </c>
      <c r="U17" s="122">
        <v>46477</v>
      </c>
      <c r="V17" s="121">
        <v>3.5400000000000001E-2</v>
      </c>
      <c r="W17" s="121">
        <v>3.2199999999999999E-2</v>
      </c>
      <c r="X17" s="118" t="s">
        <v>411</v>
      </c>
      <c r="Y17" s="118"/>
      <c r="Z17" s="120">
        <v>878347</v>
      </c>
      <c r="AA17" s="120">
        <v>1</v>
      </c>
      <c r="AB17" s="120">
        <v>107.7</v>
      </c>
      <c r="AC17" s="120"/>
      <c r="AD17" s="120">
        <v>945.97972000000004</v>
      </c>
      <c r="AE17" s="118"/>
      <c r="AF17" s="118"/>
      <c r="AG17" s="118"/>
      <c r="AH17" s="121">
        <v>7.8600000000000002E-4</v>
      </c>
      <c r="AI17" s="121">
        <v>1.3424999999999999E-2</v>
      </c>
      <c r="AJ17" s="121">
        <v>2.8699999999999998E-4</v>
      </c>
    </row>
    <row r="18" spans="1:36" ht="15" customHeight="1">
      <c r="A18" s="119">
        <v>360</v>
      </c>
      <c r="B18" s="119">
        <v>360</v>
      </c>
      <c r="C18" s="118" t="s">
        <v>1249</v>
      </c>
      <c r="D18" s="119">
        <v>520032046</v>
      </c>
      <c r="E18" s="118" t="s">
        <v>308</v>
      </c>
      <c r="F18" s="118" t="s">
        <v>1293</v>
      </c>
      <c r="G18" s="119" t="s">
        <v>1294</v>
      </c>
      <c r="H18" s="118" t="s">
        <v>320</v>
      </c>
      <c r="I18" s="118" t="s">
        <v>753</v>
      </c>
      <c r="J18" s="118" t="s">
        <v>203</v>
      </c>
      <c r="K18" s="118" t="s">
        <v>203</v>
      </c>
      <c r="L18" s="118" t="s">
        <v>324</v>
      </c>
      <c r="M18" s="118" t="s">
        <v>339</v>
      </c>
      <c r="N18" s="118" t="s">
        <v>447</v>
      </c>
      <c r="O18" s="118" t="s">
        <v>338</v>
      </c>
      <c r="P18" s="118" t="s">
        <v>1211</v>
      </c>
      <c r="Q18" s="118" t="s">
        <v>412</v>
      </c>
      <c r="R18" s="118" t="s">
        <v>406</v>
      </c>
      <c r="S18" s="118" t="s">
        <v>1215</v>
      </c>
      <c r="T18" s="120">
        <v>4.05</v>
      </c>
      <c r="U18" s="122">
        <v>47048</v>
      </c>
      <c r="V18" s="121">
        <v>1E-3</v>
      </c>
      <c r="W18" s="121">
        <v>2.5000000000000001E-2</v>
      </c>
      <c r="X18" s="118" t="s">
        <v>411</v>
      </c>
      <c r="Y18" s="118"/>
      <c r="Z18" s="120">
        <v>3835619</v>
      </c>
      <c r="AA18" s="120">
        <v>1</v>
      </c>
      <c r="AB18" s="120">
        <v>102.41</v>
      </c>
      <c r="AC18" s="120"/>
      <c r="AD18" s="120">
        <v>3928.0574200000001</v>
      </c>
      <c r="AE18" s="118"/>
      <c r="AF18" s="118"/>
      <c r="AG18" s="118"/>
      <c r="AH18" s="121">
        <v>1.1349999999999999E-3</v>
      </c>
      <c r="AI18" s="121">
        <v>5.5749E-2</v>
      </c>
      <c r="AJ18" s="121">
        <v>1.193E-3</v>
      </c>
    </row>
    <row r="19" spans="1:36" ht="15" customHeight="1">
      <c r="A19" s="119">
        <v>360</v>
      </c>
      <c r="B19" s="119">
        <v>360</v>
      </c>
      <c r="C19" s="118" t="s">
        <v>1256</v>
      </c>
      <c r="D19" s="119">
        <v>520000472</v>
      </c>
      <c r="E19" s="118" t="s">
        <v>308</v>
      </c>
      <c r="F19" s="118" t="s">
        <v>1295</v>
      </c>
      <c r="G19" s="119" t="s">
        <v>1296</v>
      </c>
      <c r="H19" s="118" t="s">
        <v>320</v>
      </c>
      <c r="I19" s="118" t="s">
        <v>753</v>
      </c>
      <c r="J19" s="118" t="s">
        <v>203</v>
      </c>
      <c r="K19" s="118" t="s">
        <v>203</v>
      </c>
      <c r="L19" s="118" t="s">
        <v>324</v>
      </c>
      <c r="M19" s="118" t="s">
        <v>339</v>
      </c>
      <c r="N19" s="118" t="s">
        <v>439</v>
      </c>
      <c r="O19" s="118" t="s">
        <v>338</v>
      </c>
      <c r="P19" s="118" t="s">
        <v>1259</v>
      </c>
      <c r="Q19" s="118" t="s">
        <v>311</v>
      </c>
      <c r="R19" s="118" t="s">
        <v>406</v>
      </c>
      <c r="S19" s="118" t="s">
        <v>1215</v>
      </c>
      <c r="T19" s="120">
        <v>10.76</v>
      </c>
      <c r="U19" s="122">
        <v>49825</v>
      </c>
      <c r="V19" s="121">
        <v>1.2500000000000001E-2</v>
      </c>
      <c r="W19" s="121">
        <v>3.49E-2</v>
      </c>
      <c r="X19" s="118" t="s">
        <v>411</v>
      </c>
      <c r="Y19" s="118"/>
      <c r="Z19" s="120">
        <v>1034400</v>
      </c>
      <c r="AA19" s="120">
        <v>1</v>
      </c>
      <c r="AB19" s="120">
        <v>90</v>
      </c>
      <c r="AC19" s="120"/>
      <c r="AD19" s="120">
        <v>930.96</v>
      </c>
      <c r="AE19" s="118"/>
      <c r="AF19" s="118"/>
      <c r="AG19" s="118"/>
      <c r="AH19" s="121">
        <v>2.41E-4</v>
      </c>
      <c r="AI19" s="121">
        <v>1.3212E-2</v>
      </c>
      <c r="AJ19" s="121">
        <v>2.8200000000000002E-4</v>
      </c>
    </row>
    <row r="20" spans="1:36" ht="15" customHeight="1">
      <c r="A20" s="119">
        <v>360</v>
      </c>
      <c r="B20" s="119">
        <v>360</v>
      </c>
      <c r="C20" s="118" t="s">
        <v>1297</v>
      </c>
      <c r="D20" s="119">
        <v>520031931</v>
      </c>
      <c r="E20" s="118" t="s">
        <v>308</v>
      </c>
      <c r="F20" s="118" t="s">
        <v>1298</v>
      </c>
      <c r="G20" s="119" t="s">
        <v>1299</v>
      </c>
      <c r="H20" s="118" t="s">
        <v>320</v>
      </c>
      <c r="I20" s="118" t="s">
        <v>952</v>
      </c>
      <c r="J20" s="118" t="s">
        <v>203</v>
      </c>
      <c r="K20" s="118" t="s">
        <v>203</v>
      </c>
      <c r="L20" s="118" t="s">
        <v>324</v>
      </c>
      <c r="M20" s="118" t="s">
        <v>339</v>
      </c>
      <c r="N20" s="118" t="s">
        <v>483</v>
      </c>
      <c r="O20" s="118" t="s">
        <v>338</v>
      </c>
      <c r="P20" s="118" t="s">
        <v>1300</v>
      </c>
      <c r="Q20" s="118" t="s">
        <v>414</v>
      </c>
      <c r="R20" s="118" t="s">
        <v>406</v>
      </c>
      <c r="S20" s="118" t="s">
        <v>1215</v>
      </c>
      <c r="T20" s="120">
        <v>0.65</v>
      </c>
      <c r="U20" s="122">
        <v>45992</v>
      </c>
      <c r="V20" s="121">
        <v>3.6499999999999998E-2</v>
      </c>
      <c r="W20" s="121">
        <v>5.0500000000000003E-2</v>
      </c>
      <c r="X20" s="118" t="s">
        <v>411</v>
      </c>
      <c r="Y20" s="118"/>
      <c r="Z20" s="120">
        <v>172696.8</v>
      </c>
      <c r="AA20" s="120">
        <v>1</v>
      </c>
      <c r="AB20" s="120">
        <v>100.35</v>
      </c>
      <c r="AC20" s="120"/>
      <c r="AD20" s="120">
        <v>173.30124000000001</v>
      </c>
      <c r="AE20" s="118"/>
      <c r="AF20" s="118"/>
      <c r="AG20" s="118"/>
      <c r="AH20" s="121">
        <v>1.6200000000000001E-4</v>
      </c>
      <c r="AI20" s="121">
        <v>2.4589999999999998E-3</v>
      </c>
      <c r="AJ20" s="121">
        <v>5.1999999999999997E-5</v>
      </c>
    </row>
    <row r="21" spans="1:36" ht="15" customHeight="1">
      <c r="A21" s="119">
        <v>360</v>
      </c>
      <c r="B21" s="119">
        <v>360</v>
      </c>
      <c r="C21" s="118" t="s">
        <v>1249</v>
      </c>
      <c r="D21" s="119">
        <v>520032046</v>
      </c>
      <c r="E21" s="118" t="s">
        <v>308</v>
      </c>
      <c r="F21" s="118" t="s">
        <v>1301</v>
      </c>
      <c r="G21" s="119" t="s">
        <v>1302</v>
      </c>
      <c r="H21" s="118" t="s">
        <v>320</v>
      </c>
      <c r="I21" s="118" t="s">
        <v>753</v>
      </c>
      <c r="J21" s="118" t="s">
        <v>203</v>
      </c>
      <c r="K21" s="118" t="s">
        <v>203</v>
      </c>
      <c r="L21" s="118" t="s">
        <v>324</v>
      </c>
      <c r="M21" s="118" t="s">
        <v>339</v>
      </c>
      <c r="N21" s="118" t="s">
        <v>447</v>
      </c>
      <c r="O21" s="118" t="s">
        <v>338</v>
      </c>
      <c r="P21" s="118" t="s">
        <v>1211</v>
      </c>
      <c r="Q21" s="118" t="s">
        <v>412</v>
      </c>
      <c r="R21" s="118" t="s">
        <v>406</v>
      </c>
      <c r="S21" s="118" t="s">
        <v>1215</v>
      </c>
      <c r="T21" s="120">
        <v>4.38</v>
      </c>
      <c r="U21" s="122">
        <v>48938</v>
      </c>
      <c r="V21" s="121">
        <v>1.9900000000000001E-2</v>
      </c>
      <c r="W21" s="121">
        <v>2.5700000000000001E-2</v>
      </c>
      <c r="X21" s="118" t="s">
        <v>411</v>
      </c>
      <c r="Y21" s="118"/>
      <c r="Z21" s="120">
        <v>10200000</v>
      </c>
      <c r="AA21" s="120">
        <v>1</v>
      </c>
      <c r="AB21" s="120">
        <v>102.5</v>
      </c>
      <c r="AC21" s="120"/>
      <c r="AD21" s="120">
        <v>10455</v>
      </c>
      <c r="AE21" s="118"/>
      <c r="AF21" s="118"/>
      <c r="AG21" s="118"/>
      <c r="AH21" s="121">
        <v>3.777E-3</v>
      </c>
      <c r="AI21" s="121">
        <v>0.14838399999999999</v>
      </c>
      <c r="AJ21" s="121">
        <v>3.1770000000000001E-3</v>
      </c>
    </row>
    <row r="22" spans="1:36" ht="15" customHeight="1">
      <c r="A22" s="119">
        <v>360</v>
      </c>
      <c r="B22" s="119">
        <v>360</v>
      </c>
      <c r="C22" s="118" t="s">
        <v>1249</v>
      </c>
      <c r="D22" s="119">
        <v>520032046</v>
      </c>
      <c r="E22" s="118" t="s">
        <v>308</v>
      </c>
      <c r="F22" s="118" t="s">
        <v>1303</v>
      </c>
      <c r="G22" s="119" t="s">
        <v>1304</v>
      </c>
      <c r="H22" s="118" t="s">
        <v>320</v>
      </c>
      <c r="I22" s="118" t="s">
        <v>753</v>
      </c>
      <c r="J22" s="118" t="s">
        <v>203</v>
      </c>
      <c r="K22" s="118" t="s">
        <v>203</v>
      </c>
      <c r="L22" s="118" t="s">
        <v>324</v>
      </c>
      <c r="M22" s="118" t="s">
        <v>339</v>
      </c>
      <c r="N22" s="118" t="s">
        <v>447</v>
      </c>
      <c r="O22" s="118" t="s">
        <v>338</v>
      </c>
      <c r="P22" s="118" t="s">
        <v>1211</v>
      </c>
      <c r="Q22" s="118" t="s">
        <v>412</v>
      </c>
      <c r="R22" s="118" t="s">
        <v>406</v>
      </c>
      <c r="S22" s="118" t="s">
        <v>1215</v>
      </c>
      <c r="T22" s="120">
        <v>3.43</v>
      </c>
      <c r="U22" s="122">
        <v>47950</v>
      </c>
      <c r="V22" s="121">
        <v>1E-3</v>
      </c>
      <c r="W22" s="121">
        <v>2.4799999999999999E-2</v>
      </c>
      <c r="X22" s="118" t="s">
        <v>411</v>
      </c>
      <c r="Y22" s="118"/>
      <c r="Z22" s="120">
        <v>544460</v>
      </c>
      <c r="AA22" s="120">
        <v>1</v>
      </c>
      <c r="AB22" s="120">
        <v>102.63</v>
      </c>
      <c r="AC22" s="120"/>
      <c r="AD22" s="120">
        <v>558.77930000000003</v>
      </c>
      <c r="AE22" s="118"/>
      <c r="AF22" s="118"/>
      <c r="AG22" s="118"/>
      <c r="AH22" s="121">
        <v>2.0900000000000001E-4</v>
      </c>
      <c r="AI22" s="121">
        <v>7.9299999999999995E-3</v>
      </c>
      <c r="AJ22" s="121">
        <v>1.6899999999999999E-4</v>
      </c>
    </row>
    <row r="23" spans="1:36" ht="15" customHeight="1">
      <c r="A23" s="119">
        <v>360</v>
      </c>
      <c r="B23" s="119">
        <v>360</v>
      </c>
      <c r="C23" s="118" t="s">
        <v>1216</v>
      </c>
      <c r="D23" s="119">
        <v>520000118</v>
      </c>
      <c r="E23" s="118" t="s">
        <v>308</v>
      </c>
      <c r="F23" s="118" t="s">
        <v>1305</v>
      </c>
      <c r="G23" s="119" t="s">
        <v>1306</v>
      </c>
      <c r="H23" s="118" t="s">
        <v>320</v>
      </c>
      <c r="I23" s="118" t="s">
        <v>753</v>
      </c>
      <c r="J23" s="118" t="s">
        <v>203</v>
      </c>
      <c r="K23" s="118" t="s">
        <v>203</v>
      </c>
      <c r="L23" s="118" t="s">
        <v>324</v>
      </c>
      <c r="M23" s="118" t="s">
        <v>339</v>
      </c>
      <c r="N23" s="118" t="s">
        <v>447</v>
      </c>
      <c r="O23" s="118" t="s">
        <v>338</v>
      </c>
      <c r="P23" s="118" t="s">
        <v>1211</v>
      </c>
      <c r="Q23" s="118" t="s">
        <v>412</v>
      </c>
      <c r="R23" s="118" t="s">
        <v>406</v>
      </c>
      <c r="S23" s="118" t="s">
        <v>1215</v>
      </c>
      <c r="T23" s="120">
        <v>3.91</v>
      </c>
      <c r="U23" s="122">
        <v>48547</v>
      </c>
      <c r="V23" s="121">
        <v>1.3899999999999999E-2</v>
      </c>
      <c r="W23" s="121">
        <v>2.4799999999999999E-2</v>
      </c>
      <c r="X23" s="118" t="s">
        <v>411</v>
      </c>
      <c r="Y23" s="118"/>
      <c r="Z23" s="120">
        <v>346500</v>
      </c>
      <c r="AA23" s="120">
        <v>1</v>
      </c>
      <c r="AB23" s="120">
        <v>103.84</v>
      </c>
      <c r="AC23" s="120"/>
      <c r="AD23" s="120">
        <v>359.80560000000003</v>
      </c>
      <c r="AE23" s="118"/>
      <c r="AF23" s="118"/>
      <c r="AG23" s="118"/>
      <c r="AH23" s="121">
        <v>1.92E-4</v>
      </c>
      <c r="AI23" s="121">
        <v>5.1060000000000003E-3</v>
      </c>
      <c r="AJ23" s="121">
        <v>1.0900000000000001E-4</v>
      </c>
    </row>
    <row r="24" spans="1:36" ht="15" customHeight="1">
      <c r="A24" s="119">
        <v>360</v>
      </c>
      <c r="B24" s="119">
        <v>360</v>
      </c>
      <c r="C24" s="118" t="s">
        <v>1260</v>
      </c>
      <c r="D24" s="119">
        <v>520018078</v>
      </c>
      <c r="E24" s="118" t="s">
        <v>308</v>
      </c>
      <c r="F24" s="118" t="s">
        <v>1307</v>
      </c>
      <c r="G24" s="119" t="s">
        <v>1308</v>
      </c>
      <c r="H24" s="118" t="s">
        <v>320</v>
      </c>
      <c r="I24" s="118" t="s">
        <v>753</v>
      </c>
      <c r="J24" s="118" t="s">
        <v>203</v>
      </c>
      <c r="K24" s="118" t="s">
        <v>203</v>
      </c>
      <c r="L24" s="118" t="s">
        <v>324</v>
      </c>
      <c r="M24" s="118" t="s">
        <v>339</v>
      </c>
      <c r="N24" s="118" t="s">
        <v>447</v>
      </c>
      <c r="O24" s="118" t="s">
        <v>338</v>
      </c>
      <c r="P24" s="118" t="s">
        <v>1211</v>
      </c>
      <c r="Q24" s="118" t="s">
        <v>412</v>
      </c>
      <c r="R24" s="118" t="s">
        <v>406</v>
      </c>
      <c r="S24" s="118" t="s">
        <v>1215</v>
      </c>
      <c r="T24" s="120">
        <v>5.04</v>
      </c>
      <c r="U24" s="122">
        <v>48913</v>
      </c>
      <c r="V24" s="121">
        <v>2.0199999999999999E-2</v>
      </c>
      <c r="W24" s="121">
        <v>2.5899999999999999E-2</v>
      </c>
      <c r="X24" s="118" t="s">
        <v>411</v>
      </c>
      <c r="Y24" s="118"/>
      <c r="Z24" s="120">
        <v>10200000</v>
      </c>
      <c r="AA24" s="120">
        <v>1</v>
      </c>
      <c r="AB24" s="120">
        <v>101.35</v>
      </c>
      <c r="AC24" s="120"/>
      <c r="AD24" s="120">
        <v>10337.700000000001</v>
      </c>
      <c r="AE24" s="118"/>
      <c r="AF24" s="118"/>
      <c r="AG24" s="118"/>
      <c r="AH24" s="121">
        <v>2.8579999999999999E-3</v>
      </c>
      <c r="AI24" s="121">
        <v>0.14671899999999999</v>
      </c>
      <c r="AJ24" s="121">
        <v>3.1419999999999998E-3</v>
      </c>
    </row>
    <row r="25" spans="1:36" ht="15" customHeight="1">
      <c r="A25" s="119">
        <v>360</v>
      </c>
      <c r="B25" s="119">
        <v>360</v>
      </c>
      <c r="C25" s="118" t="s">
        <v>1256</v>
      </c>
      <c r="D25" s="119">
        <v>520000472</v>
      </c>
      <c r="E25" s="118" t="s">
        <v>308</v>
      </c>
      <c r="F25" s="118" t="s">
        <v>1309</v>
      </c>
      <c r="G25" s="119" t="s">
        <v>1310</v>
      </c>
      <c r="H25" s="118" t="s">
        <v>320</v>
      </c>
      <c r="I25" s="118" t="s">
        <v>753</v>
      </c>
      <c r="J25" s="118" t="s">
        <v>203</v>
      </c>
      <c r="K25" s="118" t="s">
        <v>203</v>
      </c>
      <c r="L25" s="118" t="s">
        <v>324</v>
      </c>
      <c r="M25" s="118" t="s">
        <v>339</v>
      </c>
      <c r="N25" s="118" t="s">
        <v>439</v>
      </c>
      <c r="O25" s="118" t="s">
        <v>338</v>
      </c>
      <c r="P25" s="118" t="s">
        <v>1259</v>
      </c>
      <c r="Q25" s="118" t="s">
        <v>311</v>
      </c>
      <c r="R25" s="118" t="s">
        <v>406</v>
      </c>
      <c r="S25" s="118" t="s">
        <v>1215</v>
      </c>
      <c r="T25" s="120">
        <v>3.44</v>
      </c>
      <c r="U25" s="122">
        <v>47220</v>
      </c>
      <c r="V25" s="121">
        <v>3.85E-2</v>
      </c>
      <c r="W25" s="121">
        <v>2.5700000000000001E-2</v>
      </c>
      <c r="X25" s="118" t="s">
        <v>411</v>
      </c>
      <c r="Y25" s="118"/>
      <c r="Z25" s="120">
        <v>1122125.25</v>
      </c>
      <c r="AA25" s="120">
        <v>1</v>
      </c>
      <c r="AB25" s="120">
        <v>121.2</v>
      </c>
      <c r="AC25" s="120">
        <v>25.08587</v>
      </c>
      <c r="AD25" s="120">
        <v>1385.10167</v>
      </c>
      <c r="AE25" s="118"/>
      <c r="AF25" s="118"/>
      <c r="AG25" s="118"/>
      <c r="AH25" s="121">
        <v>4.3899999999999999E-4</v>
      </c>
      <c r="AI25" s="121">
        <v>1.9657999999999998E-2</v>
      </c>
      <c r="AJ25" s="121">
        <v>4.2000000000000002E-4</v>
      </c>
    </row>
    <row r="26" spans="1:36" ht="15" customHeight="1">
      <c r="A26" s="119">
        <v>360</v>
      </c>
      <c r="B26" s="119">
        <v>360</v>
      </c>
      <c r="C26" s="118" t="s">
        <v>1216</v>
      </c>
      <c r="D26" s="119">
        <v>520000118</v>
      </c>
      <c r="E26" s="118" t="s">
        <v>308</v>
      </c>
      <c r="F26" s="118" t="s">
        <v>1311</v>
      </c>
      <c r="G26" s="119" t="s">
        <v>1312</v>
      </c>
      <c r="H26" s="118" t="s">
        <v>320</v>
      </c>
      <c r="I26" s="118" t="s">
        <v>753</v>
      </c>
      <c r="J26" s="118" t="s">
        <v>203</v>
      </c>
      <c r="K26" s="118" t="s">
        <v>203</v>
      </c>
      <c r="L26" s="118" t="s">
        <v>324</v>
      </c>
      <c r="M26" s="118" t="s">
        <v>339</v>
      </c>
      <c r="N26" s="118" t="s">
        <v>447</v>
      </c>
      <c r="O26" s="118" t="s">
        <v>338</v>
      </c>
      <c r="P26" s="118" t="s">
        <v>1211</v>
      </c>
      <c r="Q26" s="118" t="s">
        <v>412</v>
      </c>
      <c r="R26" s="118" t="s">
        <v>406</v>
      </c>
      <c r="S26" s="118" t="s">
        <v>1215</v>
      </c>
      <c r="T26" s="120">
        <v>3.56</v>
      </c>
      <c r="U26" s="122">
        <v>48191</v>
      </c>
      <c r="V26" s="121">
        <v>1E-3</v>
      </c>
      <c r="W26" s="121">
        <v>2.4E-2</v>
      </c>
      <c r="X26" s="118" t="s">
        <v>411</v>
      </c>
      <c r="Y26" s="118"/>
      <c r="Z26" s="120">
        <v>3907942.22</v>
      </c>
      <c r="AA26" s="120">
        <v>1</v>
      </c>
      <c r="AB26" s="120">
        <v>103.73</v>
      </c>
      <c r="AC26" s="118"/>
      <c r="AD26" s="120">
        <v>4053.7084599999998</v>
      </c>
      <c r="AE26" s="118"/>
      <c r="AF26" s="118"/>
      <c r="AG26" s="118"/>
      <c r="AH26" s="121">
        <v>3.4740000000000001E-3</v>
      </c>
      <c r="AI26" s="121">
        <v>5.7532E-2</v>
      </c>
      <c r="AJ26" s="121">
        <v>1.232E-3</v>
      </c>
    </row>
    <row r="27" spans="1:36" ht="15" customHeight="1">
      <c r="A27" s="119">
        <v>360</v>
      </c>
      <c r="B27" s="119">
        <v>360</v>
      </c>
      <c r="C27" s="118" t="s">
        <v>1252</v>
      </c>
      <c r="D27" s="119">
        <v>513893123</v>
      </c>
      <c r="E27" s="118" t="s">
        <v>308</v>
      </c>
      <c r="F27" s="118" t="s">
        <v>1313</v>
      </c>
      <c r="G27" s="119" t="s">
        <v>1314</v>
      </c>
      <c r="H27" s="118" t="s">
        <v>320</v>
      </c>
      <c r="I27" s="118" t="s">
        <v>753</v>
      </c>
      <c r="J27" s="118" t="s">
        <v>203</v>
      </c>
      <c r="K27" s="118" t="s">
        <v>203</v>
      </c>
      <c r="L27" s="118" t="s">
        <v>324</v>
      </c>
      <c r="M27" s="118" t="s">
        <v>339</v>
      </c>
      <c r="N27" s="118" t="s">
        <v>442</v>
      </c>
      <c r="O27" s="118" t="s">
        <v>338</v>
      </c>
      <c r="P27" s="118" t="s">
        <v>1255</v>
      </c>
      <c r="Q27" s="118" t="s">
        <v>414</v>
      </c>
      <c r="R27" s="118" t="s">
        <v>406</v>
      </c>
      <c r="S27" s="118" t="s">
        <v>1215</v>
      </c>
      <c r="T27" s="120">
        <v>0.66</v>
      </c>
      <c r="U27" s="122">
        <v>46054</v>
      </c>
      <c r="V27" s="121">
        <v>0.01</v>
      </c>
      <c r="W27" s="121">
        <v>2.7099999999999999E-2</v>
      </c>
      <c r="X27" s="118" t="s">
        <v>411</v>
      </c>
      <c r="Y27" s="118"/>
      <c r="Z27" s="120">
        <v>317244</v>
      </c>
      <c r="AA27" s="120">
        <v>1</v>
      </c>
      <c r="AB27" s="120">
        <v>113.12</v>
      </c>
      <c r="AC27" s="118"/>
      <c r="AD27" s="120">
        <v>358.86640999999997</v>
      </c>
      <c r="AE27" s="118"/>
      <c r="AF27" s="118"/>
      <c r="AG27" s="118"/>
      <c r="AH27" s="121">
        <v>1.042E-3</v>
      </c>
      <c r="AI27" s="121">
        <v>5.0930000000000003E-3</v>
      </c>
      <c r="AJ27" s="121">
        <v>1.0900000000000001E-4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75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75</v>
      </c>
      <c r="U1" s="123" t="s">
        <v>63</v>
      </c>
      <c r="V1" s="126" t="s">
        <v>79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0"/>
      <c r="R2" s="120"/>
      <c r="S2" s="120"/>
      <c r="T2" s="120"/>
      <c r="U2" s="120"/>
      <c r="V2" s="121"/>
      <c r="W2" s="121"/>
      <c r="X2" s="121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24"/>
  <sheetViews>
    <sheetView rightToLeft="1" workbookViewId="0">
      <selection activeCell="L25" sqref="L2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4.5" bestFit="1" customWidth="1"/>
    <col min="4" max="4" width="23.5" bestFit="1" customWidth="1"/>
    <col min="5" max="5" width="9.125" bestFit="1" customWidth="1"/>
    <col min="6" max="6" width="31.12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10.75" bestFit="1" customWidth="1"/>
    <col min="12" max="12" width="11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" bestFit="1" customWidth="1"/>
    <col min="19" max="19" width="9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4" width="12.5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3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19">
        <v>360</v>
      </c>
      <c r="B2" s="119">
        <v>360</v>
      </c>
      <c r="C2" s="118" t="s">
        <v>1315</v>
      </c>
      <c r="D2" s="119">
        <v>513765339</v>
      </c>
      <c r="E2" s="118" t="s">
        <v>308</v>
      </c>
      <c r="F2" s="118" t="s">
        <v>1316</v>
      </c>
      <c r="G2" s="119" t="s">
        <v>1317</v>
      </c>
      <c r="H2" s="118" t="s">
        <v>320</v>
      </c>
      <c r="I2" s="118" t="s">
        <v>967</v>
      </c>
      <c r="J2" s="118" t="s">
        <v>203</v>
      </c>
      <c r="K2" s="118" t="s">
        <v>203</v>
      </c>
      <c r="L2" s="118" t="s">
        <v>339</v>
      </c>
      <c r="M2" s="130" t="s">
        <v>574</v>
      </c>
      <c r="N2" s="118" t="s">
        <v>338</v>
      </c>
      <c r="O2" s="118" t="s">
        <v>1215</v>
      </c>
      <c r="P2" s="120">
        <v>1117437.6599999999</v>
      </c>
      <c r="Q2" s="120">
        <v>1</v>
      </c>
      <c r="R2" s="120">
        <v>357.69</v>
      </c>
      <c r="S2" s="120"/>
      <c r="T2" s="120">
        <v>3996.9627700000001</v>
      </c>
      <c r="U2" s="121">
        <v>1.1709999999999999E-3</v>
      </c>
      <c r="V2" s="121">
        <v>6.0200000000000002E-3</v>
      </c>
      <c r="W2" s="121">
        <v>1.214E-3</v>
      </c>
    </row>
    <row r="3" spans="1:26" ht="15" customHeight="1">
      <c r="A3" s="119">
        <v>360</v>
      </c>
      <c r="B3" s="119">
        <v>360</v>
      </c>
      <c r="C3" s="118" t="s">
        <v>1318</v>
      </c>
      <c r="D3" s="119">
        <v>513534974</v>
      </c>
      <c r="E3" s="118" t="s">
        <v>308</v>
      </c>
      <c r="F3" s="118" t="s">
        <v>1319</v>
      </c>
      <c r="G3" s="119" t="s">
        <v>1320</v>
      </c>
      <c r="H3" s="118" t="s">
        <v>320</v>
      </c>
      <c r="I3" s="118" t="s">
        <v>967</v>
      </c>
      <c r="J3" s="118" t="s">
        <v>203</v>
      </c>
      <c r="K3" s="118" t="s">
        <v>203</v>
      </c>
      <c r="L3" s="118" t="s">
        <v>339</v>
      </c>
      <c r="M3" s="130" t="s">
        <v>575</v>
      </c>
      <c r="N3" s="118" t="s">
        <v>338</v>
      </c>
      <c r="O3" s="118" t="s">
        <v>1215</v>
      </c>
      <c r="P3" s="120">
        <v>1683814</v>
      </c>
      <c r="Q3" s="120">
        <v>1</v>
      </c>
      <c r="R3" s="120">
        <v>365.33</v>
      </c>
      <c r="S3" s="118"/>
      <c r="T3" s="120">
        <v>6151.4776899999997</v>
      </c>
      <c r="U3" s="121">
        <v>1.2359999999999999E-3</v>
      </c>
      <c r="V3" s="121">
        <v>9.2659999999999999E-3</v>
      </c>
      <c r="W3" s="121">
        <v>1.869E-3</v>
      </c>
    </row>
    <row r="4" spans="1:26" ht="15" customHeight="1">
      <c r="A4" s="119">
        <v>360</v>
      </c>
      <c r="B4" s="119">
        <v>360</v>
      </c>
      <c r="C4" s="118" t="s">
        <v>1321</v>
      </c>
      <c r="D4" s="119">
        <v>511303661</v>
      </c>
      <c r="E4" s="118" t="s">
        <v>308</v>
      </c>
      <c r="F4" s="118" t="s">
        <v>1322</v>
      </c>
      <c r="G4" s="119" t="s">
        <v>1323</v>
      </c>
      <c r="H4" s="118" t="s">
        <v>320</v>
      </c>
      <c r="I4" s="118" t="s">
        <v>965</v>
      </c>
      <c r="J4" s="118" t="s">
        <v>203</v>
      </c>
      <c r="K4" s="118" t="s">
        <v>203</v>
      </c>
      <c r="L4" s="118" t="s">
        <v>339</v>
      </c>
      <c r="M4" s="130" t="s">
        <v>573</v>
      </c>
      <c r="N4" s="118" t="s">
        <v>338</v>
      </c>
      <c r="O4" s="118" t="s">
        <v>1215</v>
      </c>
      <c r="P4" s="120">
        <v>1020763</v>
      </c>
      <c r="Q4" s="120">
        <v>1</v>
      </c>
      <c r="R4" s="120">
        <v>2849</v>
      </c>
      <c r="S4" s="118"/>
      <c r="T4" s="120">
        <v>29081.53787</v>
      </c>
      <c r="U4" s="121">
        <v>1.4581999999999999E-2</v>
      </c>
      <c r="V4" s="121">
        <v>4.3804999999999997E-2</v>
      </c>
      <c r="W4" s="121">
        <v>8.8389999999999996E-3</v>
      </c>
    </row>
    <row r="5" spans="1:26" ht="15" customHeight="1">
      <c r="A5" s="119">
        <v>360</v>
      </c>
      <c r="B5" s="119">
        <v>360</v>
      </c>
      <c r="C5" s="118" t="s">
        <v>1324</v>
      </c>
      <c r="D5" s="119">
        <v>510938608</v>
      </c>
      <c r="E5" s="118" t="s">
        <v>308</v>
      </c>
      <c r="F5" s="118" t="s">
        <v>1325</v>
      </c>
      <c r="G5" s="119" t="s">
        <v>1326</v>
      </c>
      <c r="H5" s="118" t="s">
        <v>320</v>
      </c>
      <c r="I5" s="118" t="s">
        <v>967</v>
      </c>
      <c r="J5" s="118" t="s">
        <v>203</v>
      </c>
      <c r="K5" s="118" t="s">
        <v>203</v>
      </c>
      <c r="L5" s="118" t="s">
        <v>339</v>
      </c>
      <c r="M5" s="130" t="s">
        <v>572</v>
      </c>
      <c r="N5" s="118" t="s">
        <v>338</v>
      </c>
      <c r="O5" s="118" t="s">
        <v>1215</v>
      </c>
      <c r="P5" s="120">
        <v>201211.21</v>
      </c>
      <c r="Q5" s="120">
        <v>1</v>
      </c>
      <c r="R5" s="120">
        <v>3695.59</v>
      </c>
      <c r="S5" s="118"/>
      <c r="T5" s="120">
        <v>7435.9413599999998</v>
      </c>
      <c r="U5" s="121">
        <v>2.5490000000000001E-3</v>
      </c>
      <c r="V5" s="121">
        <v>1.12E-2</v>
      </c>
      <c r="W5" s="121">
        <v>2.2599999999999999E-3</v>
      </c>
    </row>
    <row r="6" spans="1:26" ht="15" customHeight="1">
      <c r="A6" s="119">
        <v>360</v>
      </c>
      <c r="B6" s="119">
        <v>360</v>
      </c>
      <c r="C6" s="118" t="s">
        <v>1324</v>
      </c>
      <c r="D6" s="119">
        <v>510938608</v>
      </c>
      <c r="E6" s="118" t="s">
        <v>308</v>
      </c>
      <c r="F6" s="118" t="s">
        <v>1327</v>
      </c>
      <c r="G6" s="119" t="s">
        <v>1328</v>
      </c>
      <c r="H6" s="118" t="s">
        <v>320</v>
      </c>
      <c r="I6" s="118" t="s">
        <v>965</v>
      </c>
      <c r="J6" s="118" t="s">
        <v>203</v>
      </c>
      <c r="K6" s="118" t="s">
        <v>203</v>
      </c>
      <c r="L6" s="118" t="s">
        <v>339</v>
      </c>
      <c r="M6" s="130" t="s">
        <v>573</v>
      </c>
      <c r="N6" s="118" t="s">
        <v>338</v>
      </c>
      <c r="O6" s="118" t="s">
        <v>1215</v>
      </c>
      <c r="P6" s="120">
        <v>180945.3</v>
      </c>
      <c r="Q6" s="120">
        <v>1</v>
      </c>
      <c r="R6" s="120">
        <v>20810</v>
      </c>
      <c r="S6" s="118"/>
      <c r="T6" s="120">
        <v>37654.716930000002</v>
      </c>
      <c r="U6" s="121">
        <v>5.6620000000000004E-3</v>
      </c>
      <c r="V6" s="121">
        <v>5.6718999999999999E-2</v>
      </c>
      <c r="W6" s="121">
        <v>1.1445E-2</v>
      </c>
    </row>
    <row r="7" spans="1:26" ht="15" customHeight="1">
      <c r="A7" s="119">
        <v>360</v>
      </c>
      <c r="B7" s="119">
        <v>360</v>
      </c>
      <c r="C7" s="118" t="s">
        <v>1321</v>
      </c>
      <c r="D7" s="119">
        <v>511303661</v>
      </c>
      <c r="E7" s="118" t="s">
        <v>308</v>
      </c>
      <c r="F7" s="118" t="s">
        <v>1329</v>
      </c>
      <c r="G7" s="119" t="s">
        <v>1330</v>
      </c>
      <c r="H7" s="118" t="s">
        <v>320</v>
      </c>
      <c r="I7" s="118" t="s">
        <v>967</v>
      </c>
      <c r="J7" s="118" t="s">
        <v>203</v>
      </c>
      <c r="K7" s="118" t="s">
        <v>203</v>
      </c>
      <c r="L7" s="118" t="s">
        <v>339</v>
      </c>
      <c r="M7" s="130" t="s">
        <v>575</v>
      </c>
      <c r="N7" s="118" t="s">
        <v>338</v>
      </c>
      <c r="O7" s="118" t="s">
        <v>1215</v>
      </c>
      <c r="P7" s="120">
        <v>2320032</v>
      </c>
      <c r="Q7" s="120">
        <v>1</v>
      </c>
      <c r="R7" s="120">
        <v>465.93</v>
      </c>
      <c r="S7" s="118"/>
      <c r="T7" s="120">
        <v>10809.7251</v>
      </c>
      <c r="U7" s="121">
        <v>1.6017E-2</v>
      </c>
      <c r="V7" s="121">
        <v>1.6282000000000001E-2</v>
      </c>
      <c r="W7" s="121">
        <v>3.2850000000000002E-3</v>
      </c>
    </row>
    <row r="8" spans="1:26" ht="15" customHeight="1">
      <c r="A8" s="119">
        <v>360</v>
      </c>
      <c r="B8" s="119">
        <v>360</v>
      </c>
      <c r="C8" s="118" t="s">
        <v>1331</v>
      </c>
      <c r="D8" s="119">
        <v>511776783</v>
      </c>
      <c r="E8" s="118" t="s">
        <v>308</v>
      </c>
      <c r="F8" s="118" t="s">
        <v>1332</v>
      </c>
      <c r="G8" s="119" t="s">
        <v>1333</v>
      </c>
      <c r="H8" s="118" t="s">
        <v>320</v>
      </c>
      <c r="I8" s="118" t="s">
        <v>967</v>
      </c>
      <c r="J8" s="118" t="s">
        <v>203</v>
      </c>
      <c r="K8" s="118" t="s">
        <v>203</v>
      </c>
      <c r="L8" s="118" t="s">
        <v>339</v>
      </c>
      <c r="M8" s="130" t="s">
        <v>572</v>
      </c>
      <c r="N8" s="118" t="s">
        <v>338</v>
      </c>
      <c r="O8" s="118" t="s">
        <v>1215</v>
      </c>
      <c r="P8" s="120">
        <v>1375400</v>
      </c>
      <c r="Q8" s="120">
        <v>1</v>
      </c>
      <c r="R8" s="120">
        <v>373.22</v>
      </c>
      <c r="S8" s="118"/>
      <c r="T8" s="120">
        <v>5133.2678800000003</v>
      </c>
      <c r="U8" s="121">
        <v>5.6410000000000002E-3</v>
      </c>
      <c r="V8" s="121">
        <v>7.7320000000000002E-3</v>
      </c>
      <c r="W8" s="121">
        <v>1.56E-3</v>
      </c>
    </row>
    <row r="9" spans="1:26" ht="15" customHeight="1">
      <c r="A9" s="119">
        <v>360</v>
      </c>
      <c r="B9" s="119">
        <v>360</v>
      </c>
      <c r="C9" s="118" t="s">
        <v>1331</v>
      </c>
      <c r="D9" s="119">
        <v>511776783</v>
      </c>
      <c r="E9" s="118" t="s">
        <v>308</v>
      </c>
      <c r="F9" s="118" t="s">
        <v>1334</v>
      </c>
      <c r="G9" s="119" t="s">
        <v>1335</v>
      </c>
      <c r="H9" s="118" t="s">
        <v>320</v>
      </c>
      <c r="I9" s="118" t="s">
        <v>965</v>
      </c>
      <c r="J9" s="118" t="s">
        <v>203</v>
      </c>
      <c r="K9" s="118" t="s">
        <v>203</v>
      </c>
      <c r="L9" s="118" t="s">
        <v>339</v>
      </c>
      <c r="M9" s="130" t="s">
        <v>573</v>
      </c>
      <c r="N9" s="118" t="s">
        <v>338</v>
      </c>
      <c r="O9" s="118" t="s">
        <v>1215</v>
      </c>
      <c r="P9" s="120">
        <v>504180</v>
      </c>
      <c r="Q9" s="120">
        <v>1</v>
      </c>
      <c r="R9" s="120">
        <v>2094</v>
      </c>
      <c r="S9" s="118"/>
      <c r="T9" s="120">
        <v>10557.529200000001</v>
      </c>
      <c r="U9" s="121">
        <v>5.9179999999999996E-3</v>
      </c>
      <c r="V9" s="121">
        <v>1.5901999999999999E-2</v>
      </c>
      <c r="W9" s="121">
        <v>3.209E-3</v>
      </c>
    </row>
    <row r="10" spans="1:26" ht="15" customHeight="1">
      <c r="A10" s="119">
        <v>360</v>
      </c>
      <c r="B10" s="119">
        <v>360</v>
      </c>
      <c r="C10" s="118" t="s">
        <v>1331</v>
      </c>
      <c r="D10" s="119">
        <v>511776783</v>
      </c>
      <c r="E10" s="118" t="s">
        <v>308</v>
      </c>
      <c r="F10" s="118" t="s">
        <v>1336</v>
      </c>
      <c r="G10" s="119" t="s">
        <v>1337</v>
      </c>
      <c r="H10" s="118" t="s">
        <v>320</v>
      </c>
      <c r="I10" s="118" t="s">
        <v>967</v>
      </c>
      <c r="J10" s="118" t="s">
        <v>203</v>
      </c>
      <c r="K10" s="118" t="s">
        <v>203</v>
      </c>
      <c r="L10" s="118" t="s">
        <v>339</v>
      </c>
      <c r="M10" s="130" t="s">
        <v>574</v>
      </c>
      <c r="N10" s="118" t="s">
        <v>338</v>
      </c>
      <c r="O10" s="118" t="s">
        <v>1215</v>
      </c>
      <c r="P10" s="120">
        <v>4572528</v>
      </c>
      <c r="Q10" s="120">
        <v>1</v>
      </c>
      <c r="R10" s="120">
        <v>355.31</v>
      </c>
      <c r="S10" s="118"/>
      <c r="T10" s="120">
        <v>16246.649240000001</v>
      </c>
      <c r="U10" s="121">
        <v>3.1557000000000002E-2</v>
      </c>
      <c r="V10" s="121">
        <v>2.4472000000000001E-2</v>
      </c>
      <c r="W10" s="121">
        <v>4.9379999999999997E-3</v>
      </c>
    </row>
    <row r="11" spans="1:26" ht="15" customHeight="1">
      <c r="A11" s="119">
        <v>360</v>
      </c>
      <c r="B11" s="119">
        <v>360</v>
      </c>
      <c r="C11" s="118" t="s">
        <v>1331</v>
      </c>
      <c r="D11" s="119">
        <v>511776783</v>
      </c>
      <c r="E11" s="118" t="s">
        <v>308</v>
      </c>
      <c r="F11" s="118" t="s">
        <v>1338</v>
      </c>
      <c r="G11" s="119" t="s">
        <v>1339</v>
      </c>
      <c r="H11" s="118" t="s">
        <v>320</v>
      </c>
      <c r="I11" s="118" t="s">
        <v>967</v>
      </c>
      <c r="J11" s="118" t="s">
        <v>203</v>
      </c>
      <c r="K11" s="118" t="s">
        <v>203</v>
      </c>
      <c r="L11" s="118" t="s">
        <v>339</v>
      </c>
      <c r="M11" s="130" t="s">
        <v>575</v>
      </c>
      <c r="N11" s="118" t="s">
        <v>338</v>
      </c>
      <c r="O11" s="118" t="s">
        <v>1215</v>
      </c>
      <c r="P11" s="120">
        <v>1287084</v>
      </c>
      <c r="Q11" s="120">
        <v>1</v>
      </c>
      <c r="R11" s="120">
        <v>364.41</v>
      </c>
      <c r="S11" s="118"/>
      <c r="T11" s="120">
        <v>4690.2628000000004</v>
      </c>
      <c r="U11" s="121">
        <v>4.1650000000000003E-3</v>
      </c>
      <c r="V11" s="121">
        <v>7.064E-3</v>
      </c>
      <c r="W11" s="121">
        <v>1.4250000000000001E-3</v>
      </c>
    </row>
    <row r="12" spans="1:26" ht="15" customHeight="1">
      <c r="A12" s="119">
        <v>360</v>
      </c>
      <c r="B12" s="119">
        <v>360</v>
      </c>
      <c r="C12" s="118" t="s">
        <v>1321</v>
      </c>
      <c r="D12" s="119">
        <v>511303661</v>
      </c>
      <c r="E12" s="118" t="s">
        <v>308</v>
      </c>
      <c r="F12" s="118" t="s">
        <v>1340</v>
      </c>
      <c r="G12" s="119" t="s">
        <v>1341</v>
      </c>
      <c r="H12" s="118" t="s">
        <v>320</v>
      </c>
      <c r="I12" s="118" t="s">
        <v>967</v>
      </c>
      <c r="J12" s="118" t="s">
        <v>203</v>
      </c>
      <c r="K12" s="118" t="s">
        <v>203</v>
      </c>
      <c r="L12" s="118" t="s">
        <v>339</v>
      </c>
      <c r="M12" s="130" t="s">
        <v>631</v>
      </c>
      <c r="N12" s="118" t="s">
        <v>338</v>
      </c>
      <c r="O12" s="118" t="s">
        <v>1215</v>
      </c>
      <c r="P12" s="120">
        <v>1884530</v>
      </c>
      <c r="Q12" s="120">
        <v>1</v>
      </c>
      <c r="R12" s="120">
        <v>312.45999999999998</v>
      </c>
      <c r="S12" s="118"/>
      <c r="T12" s="120">
        <v>5888.4024399999998</v>
      </c>
      <c r="U12" s="121">
        <v>7.5380000000000004E-3</v>
      </c>
      <c r="V12" s="121">
        <v>8.8690000000000001E-3</v>
      </c>
      <c r="W12" s="121">
        <v>1.789E-3</v>
      </c>
    </row>
    <row r="13" spans="1:26" ht="15" customHeight="1">
      <c r="A13" s="119">
        <v>360</v>
      </c>
      <c r="B13" s="119">
        <v>360</v>
      </c>
      <c r="C13" s="118" t="s">
        <v>1321</v>
      </c>
      <c r="D13" s="119">
        <v>511303661</v>
      </c>
      <c r="E13" s="118" t="s">
        <v>308</v>
      </c>
      <c r="F13" s="118" t="s">
        <v>1342</v>
      </c>
      <c r="G13" s="119" t="s">
        <v>1343</v>
      </c>
      <c r="H13" s="118" t="s">
        <v>320</v>
      </c>
      <c r="I13" s="118" t="s">
        <v>967</v>
      </c>
      <c r="J13" s="118" t="s">
        <v>203</v>
      </c>
      <c r="K13" s="118" t="s">
        <v>203</v>
      </c>
      <c r="L13" s="118" t="s">
        <v>339</v>
      </c>
      <c r="M13" s="130" t="s">
        <v>572</v>
      </c>
      <c r="N13" s="118" t="s">
        <v>338</v>
      </c>
      <c r="O13" s="118" t="s">
        <v>1215</v>
      </c>
      <c r="P13" s="120">
        <v>12000</v>
      </c>
      <c r="Q13" s="120">
        <v>1</v>
      </c>
      <c r="R13" s="120">
        <v>461.48</v>
      </c>
      <c r="S13" s="118"/>
      <c r="T13" s="120">
        <v>55.377600000000001</v>
      </c>
      <c r="U13" s="121">
        <v>5.0000000000000002E-5</v>
      </c>
      <c r="V13" s="121">
        <v>8.2999999999999998E-5</v>
      </c>
      <c r="W13" s="121">
        <v>1.5999999999999999E-5</v>
      </c>
    </row>
    <row r="14" spans="1:26" ht="15" customHeight="1">
      <c r="A14" s="119">
        <v>360</v>
      </c>
      <c r="B14" s="119">
        <v>360</v>
      </c>
      <c r="C14" s="118" t="s">
        <v>1324</v>
      </c>
      <c r="D14" s="119">
        <v>510938608</v>
      </c>
      <c r="E14" s="118" t="s">
        <v>308</v>
      </c>
      <c r="F14" s="118" t="s">
        <v>1344</v>
      </c>
      <c r="G14" s="119" t="s">
        <v>1345</v>
      </c>
      <c r="H14" s="118" t="s">
        <v>320</v>
      </c>
      <c r="I14" s="118" t="s">
        <v>967</v>
      </c>
      <c r="J14" s="118" t="s">
        <v>203</v>
      </c>
      <c r="K14" s="118" t="s">
        <v>203</v>
      </c>
      <c r="L14" s="118" t="s">
        <v>339</v>
      </c>
      <c r="M14" s="130" t="s">
        <v>575</v>
      </c>
      <c r="N14" s="118" t="s">
        <v>338</v>
      </c>
      <c r="O14" s="118" t="s">
        <v>1215</v>
      </c>
      <c r="P14" s="120">
        <v>83827</v>
      </c>
      <c r="Q14" s="120">
        <v>1</v>
      </c>
      <c r="R14" s="120">
        <v>3637.39</v>
      </c>
      <c r="S14" s="118"/>
      <c r="T14" s="120">
        <v>3049.11492</v>
      </c>
      <c r="U14" s="121">
        <v>5.9800000000000001E-4</v>
      </c>
      <c r="V14" s="121">
        <v>4.5919999999999997E-3</v>
      </c>
      <c r="W14" s="121">
        <v>9.2599999999999996E-4</v>
      </c>
    </row>
    <row r="15" spans="1:26" ht="15" customHeight="1">
      <c r="A15" s="119">
        <v>360</v>
      </c>
      <c r="B15" s="119">
        <v>360</v>
      </c>
      <c r="C15" s="118" t="s">
        <v>1324</v>
      </c>
      <c r="D15" s="119">
        <v>510938608</v>
      </c>
      <c r="E15" s="118" t="s">
        <v>308</v>
      </c>
      <c r="F15" s="118" t="s">
        <v>1346</v>
      </c>
      <c r="G15" s="119" t="s">
        <v>1347</v>
      </c>
      <c r="H15" s="118" t="s">
        <v>320</v>
      </c>
      <c r="I15" s="118" t="s">
        <v>967</v>
      </c>
      <c r="J15" s="118" t="s">
        <v>203</v>
      </c>
      <c r="K15" s="118" t="s">
        <v>203</v>
      </c>
      <c r="L15" s="118" t="s">
        <v>339</v>
      </c>
      <c r="M15" s="130" t="s">
        <v>631</v>
      </c>
      <c r="N15" s="118" t="s">
        <v>338</v>
      </c>
      <c r="O15" s="118" t="s">
        <v>1215</v>
      </c>
      <c r="P15" s="120">
        <v>420902.49</v>
      </c>
      <c r="Q15" s="120">
        <v>1</v>
      </c>
      <c r="R15" s="120">
        <v>3902.52</v>
      </c>
      <c r="S15" s="118"/>
      <c r="T15" s="120">
        <v>16425.80385</v>
      </c>
      <c r="U15" s="121">
        <v>1.0787E-2</v>
      </c>
      <c r="V15" s="121">
        <v>2.4742E-2</v>
      </c>
      <c r="W15" s="121">
        <v>4.9919999999999999E-3</v>
      </c>
    </row>
    <row r="16" spans="1:26" ht="15" customHeight="1">
      <c r="A16" s="119">
        <v>360</v>
      </c>
      <c r="B16" s="119">
        <v>360</v>
      </c>
      <c r="C16" s="118" t="s">
        <v>1318</v>
      </c>
      <c r="D16" s="119">
        <v>513534974</v>
      </c>
      <c r="E16" s="118" t="s">
        <v>308</v>
      </c>
      <c r="F16" s="118" t="s">
        <v>1348</v>
      </c>
      <c r="G16" s="119" t="s">
        <v>1349</v>
      </c>
      <c r="H16" s="118" t="s">
        <v>320</v>
      </c>
      <c r="I16" s="118" t="s">
        <v>965</v>
      </c>
      <c r="J16" s="118" t="s">
        <v>203</v>
      </c>
      <c r="K16" s="118" t="s">
        <v>203</v>
      </c>
      <c r="L16" s="118" t="s">
        <v>339</v>
      </c>
      <c r="M16" s="130" t="s">
        <v>573</v>
      </c>
      <c r="N16" s="118" t="s">
        <v>338</v>
      </c>
      <c r="O16" s="118" t="s">
        <v>1215</v>
      </c>
      <c r="P16" s="120">
        <v>1684774</v>
      </c>
      <c r="Q16" s="120">
        <v>1</v>
      </c>
      <c r="R16" s="120">
        <v>2092</v>
      </c>
      <c r="S16" s="118"/>
      <c r="T16" s="120">
        <v>35245.47208</v>
      </c>
      <c r="U16" s="121">
        <v>6.5700000000000003E-3</v>
      </c>
      <c r="V16" s="121">
        <v>5.3089999999999998E-2</v>
      </c>
      <c r="W16" s="121">
        <v>1.0713E-2</v>
      </c>
    </row>
    <row r="17" spans="1:24" ht="15" customHeight="1">
      <c r="A17" s="119">
        <v>360</v>
      </c>
      <c r="B17" s="119">
        <v>360</v>
      </c>
      <c r="C17" s="118" t="s">
        <v>1318</v>
      </c>
      <c r="D17" s="119">
        <v>513534974</v>
      </c>
      <c r="E17" s="118" t="s">
        <v>308</v>
      </c>
      <c r="F17" s="118" t="s">
        <v>1350</v>
      </c>
      <c r="G17" s="119" t="s">
        <v>1351</v>
      </c>
      <c r="H17" s="118" t="s">
        <v>320</v>
      </c>
      <c r="I17" s="118" t="s">
        <v>967</v>
      </c>
      <c r="J17" s="118" t="s">
        <v>203</v>
      </c>
      <c r="K17" s="118" t="s">
        <v>203</v>
      </c>
      <c r="L17" s="118" t="s">
        <v>339</v>
      </c>
      <c r="M17" s="130" t="s">
        <v>574</v>
      </c>
      <c r="N17" s="118" t="s">
        <v>338</v>
      </c>
      <c r="O17" s="118" t="s">
        <v>1215</v>
      </c>
      <c r="P17" s="120">
        <v>340832</v>
      </c>
      <c r="Q17" s="120">
        <v>1</v>
      </c>
      <c r="R17" s="120">
        <v>356.82</v>
      </c>
      <c r="S17" s="118"/>
      <c r="T17" s="120">
        <v>1216.1567399999999</v>
      </c>
      <c r="U17" s="121">
        <v>5.9299999999999999E-4</v>
      </c>
      <c r="V17" s="121">
        <v>1.8309999999999999E-3</v>
      </c>
      <c r="W17" s="121">
        <v>3.6900000000000002E-4</v>
      </c>
    </row>
    <row r="18" spans="1:24" ht="15" customHeight="1">
      <c r="A18" s="119">
        <v>360</v>
      </c>
      <c r="B18" s="119">
        <v>360</v>
      </c>
      <c r="C18" s="118" t="s">
        <v>1315</v>
      </c>
      <c r="D18" s="119">
        <v>513765339</v>
      </c>
      <c r="E18" s="118" t="s">
        <v>308</v>
      </c>
      <c r="F18" s="118" t="s">
        <v>1352</v>
      </c>
      <c r="G18" s="119" t="s">
        <v>1353</v>
      </c>
      <c r="H18" s="118" t="s">
        <v>320</v>
      </c>
      <c r="I18" s="118" t="s">
        <v>967</v>
      </c>
      <c r="J18" s="118" t="s">
        <v>203</v>
      </c>
      <c r="K18" s="118" t="s">
        <v>203</v>
      </c>
      <c r="L18" s="118" t="s">
        <v>339</v>
      </c>
      <c r="M18" s="130" t="s">
        <v>575</v>
      </c>
      <c r="N18" s="118" t="s">
        <v>338</v>
      </c>
      <c r="O18" s="118" t="s">
        <v>1215</v>
      </c>
      <c r="P18" s="120">
        <v>914129.6</v>
      </c>
      <c r="Q18" s="120">
        <v>1</v>
      </c>
      <c r="R18" s="120">
        <v>365.93</v>
      </c>
      <c r="S18" s="118"/>
      <c r="T18" s="120">
        <v>3345.0744500000001</v>
      </c>
      <c r="U18" s="121">
        <v>6.6399999999999999E-4</v>
      </c>
      <c r="V18" s="121">
        <v>5.0379999999999999E-3</v>
      </c>
      <c r="W18" s="121">
        <v>1.016E-3</v>
      </c>
    </row>
    <row r="19" spans="1:24" ht="15" customHeight="1">
      <c r="A19" s="119">
        <v>360</v>
      </c>
      <c r="B19" s="119">
        <v>360</v>
      </c>
      <c r="C19" s="118" t="s">
        <v>1324</v>
      </c>
      <c r="D19" s="119">
        <v>510938608</v>
      </c>
      <c r="E19" s="118" t="s">
        <v>308</v>
      </c>
      <c r="F19" s="118" t="s">
        <v>1354</v>
      </c>
      <c r="G19" s="119" t="s">
        <v>1355</v>
      </c>
      <c r="H19" s="118" t="s">
        <v>320</v>
      </c>
      <c r="I19" s="118" t="s">
        <v>967</v>
      </c>
      <c r="J19" s="118" t="s">
        <v>203</v>
      </c>
      <c r="K19" s="118" t="s">
        <v>203</v>
      </c>
      <c r="L19" s="118" t="s">
        <v>339</v>
      </c>
      <c r="M19" s="130" t="s">
        <v>574</v>
      </c>
      <c r="N19" s="118" t="s">
        <v>338</v>
      </c>
      <c r="O19" s="118" t="s">
        <v>1215</v>
      </c>
      <c r="P19" s="120">
        <v>60632</v>
      </c>
      <c r="Q19" s="120">
        <v>1</v>
      </c>
      <c r="R19" s="120">
        <v>3548.42</v>
      </c>
      <c r="S19" s="118"/>
      <c r="T19" s="120">
        <v>2151.4780099999998</v>
      </c>
      <c r="U19" s="121">
        <v>2.7550000000000001E-3</v>
      </c>
      <c r="V19" s="121">
        <v>3.2399999999999998E-3</v>
      </c>
      <c r="W19" s="121">
        <v>6.5300000000000004E-4</v>
      </c>
    </row>
    <row r="20" spans="1:24" ht="15" customHeight="1">
      <c r="A20" s="119">
        <v>360</v>
      </c>
      <c r="B20" s="119">
        <v>360</v>
      </c>
      <c r="C20" s="118" t="s">
        <v>1356</v>
      </c>
      <c r="D20" s="119" t="s">
        <v>1357</v>
      </c>
      <c r="E20" s="118" t="s">
        <v>312</v>
      </c>
      <c r="F20" s="118" t="s">
        <v>1358</v>
      </c>
      <c r="G20" s="119" t="s">
        <v>1359</v>
      </c>
      <c r="H20" s="118" t="s">
        <v>320</v>
      </c>
      <c r="I20" s="118" t="s">
        <v>966</v>
      </c>
      <c r="J20" s="118" t="s">
        <v>204</v>
      </c>
      <c r="K20" s="118" t="s">
        <v>288</v>
      </c>
      <c r="L20" s="118" t="s">
        <v>379</v>
      </c>
      <c r="M20" s="130" t="s">
        <v>734</v>
      </c>
      <c r="N20" s="118" t="s">
        <v>338</v>
      </c>
      <c r="O20" s="118" t="s">
        <v>1212</v>
      </c>
      <c r="P20" s="120">
        <v>354969</v>
      </c>
      <c r="Q20" s="120">
        <v>3.71</v>
      </c>
      <c r="R20" s="120">
        <v>11762</v>
      </c>
      <c r="S20" s="118"/>
      <c r="T20" s="120">
        <v>154897.89352000001</v>
      </c>
      <c r="U20" s="121">
        <v>3.1459999999999999E-3</v>
      </c>
      <c r="V20" s="121">
        <v>0.233324</v>
      </c>
      <c r="W20" s="121">
        <v>4.7080999999999998E-2</v>
      </c>
      <c r="X20" s="132"/>
    </row>
    <row r="21" spans="1:24" ht="15" customHeight="1">
      <c r="A21" s="119">
        <v>360</v>
      </c>
      <c r="B21" s="119">
        <v>360</v>
      </c>
      <c r="C21" s="118" t="s">
        <v>1360</v>
      </c>
      <c r="D21" s="119" t="s">
        <v>1361</v>
      </c>
      <c r="E21" s="118" t="s">
        <v>312</v>
      </c>
      <c r="F21" s="118" t="s">
        <v>1362</v>
      </c>
      <c r="G21" s="119" t="s">
        <v>1363</v>
      </c>
      <c r="H21" s="118" t="s">
        <v>320</v>
      </c>
      <c r="I21" s="118" t="s">
        <v>966</v>
      </c>
      <c r="J21" s="118" t="s">
        <v>204</v>
      </c>
      <c r="K21" s="118" t="s">
        <v>288</v>
      </c>
      <c r="L21" s="118" t="s">
        <v>379</v>
      </c>
      <c r="M21" s="130" t="s">
        <v>734</v>
      </c>
      <c r="N21" s="118" t="s">
        <v>338</v>
      </c>
      <c r="O21" s="118" t="s">
        <v>1212</v>
      </c>
      <c r="P21" s="120">
        <v>82333</v>
      </c>
      <c r="Q21" s="120">
        <v>3.71</v>
      </c>
      <c r="R21" s="120">
        <v>3923</v>
      </c>
      <c r="S21" s="118"/>
      <c r="T21" s="120">
        <v>11983.016519999999</v>
      </c>
      <c r="U21" s="121">
        <v>3.6299999999999999E-4</v>
      </c>
      <c r="V21" s="121">
        <v>1.805E-2</v>
      </c>
      <c r="W21" s="121">
        <v>3.6419999999999998E-3</v>
      </c>
      <c r="X21" s="132"/>
    </row>
    <row r="22" spans="1:24" ht="15" customHeight="1">
      <c r="A22" s="119">
        <v>360</v>
      </c>
      <c r="B22" s="119">
        <v>360</v>
      </c>
      <c r="C22" s="118" t="s">
        <v>1364</v>
      </c>
      <c r="D22" s="119" t="s">
        <v>1365</v>
      </c>
      <c r="E22" s="118" t="s">
        <v>312</v>
      </c>
      <c r="F22" s="118" t="s">
        <v>1366</v>
      </c>
      <c r="G22" s="119" t="s">
        <v>1367</v>
      </c>
      <c r="H22" s="118" t="s">
        <v>320</v>
      </c>
      <c r="I22" s="118" t="s">
        <v>966</v>
      </c>
      <c r="J22" s="118" t="s">
        <v>204</v>
      </c>
      <c r="K22" s="118" t="s">
        <v>295</v>
      </c>
      <c r="L22" s="118" t="s">
        <v>363</v>
      </c>
      <c r="M22" s="130" t="s">
        <v>734</v>
      </c>
      <c r="N22" s="118" t="s">
        <v>338</v>
      </c>
      <c r="O22" s="118" t="s">
        <v>1212</v>
      </c>
      <c r="P22" s="120">
        <v>1045452</v>
      </c>
      <c r="Q22" s="120">
        <v>3.71</v>
      </c>
      <c r="R22" s="120">
        <v>583.55999999999995</v>
      </c>
      <c r="S22" s="118"/>
      <c r="T22" s="120">
        <v>22634.115249999999</v>
      </c>
      <c r="U22" s="121">
        <v>6.0460000000000002E-3</v>
      </c>
      <c r="V22" s="121">
        <v>3.4093999999999999E-2</v>
      </c>
      <c r="W22" s="121">
        <v>6.8789999999999997E-3</v>
      </c>
      <c r="X22" s="132"/>
    </row>
    <row r="23" spans="1:24" ht="15" customHeight="1">
      <c r="A23" s="119">
        <v>360</v>
      </c>
      <c r="B23" s="119">
        <v>360</v>
      </c>
      <c r="C23" s="118" t="s">
        <v>1364</v>
      </c>
      <c r="D23" s="119" t="s">
        <v>1365</v>
      </c>
      <c r="E23" s="118" t="s">
        <v>312</v>
      </c>
      <c r="F23" s="118" t="s">
        <v>1368</v>
      </c>
      <c r="G23" s="119" t="s">
        <v>1369</v>
      </c>
      <c r="H23" s="118" t="s">
        <v>320</v>
      </c>
      <c r="I23" s="118" t="s">
        <v>966</v>
      </c>
      <c r="J23" s="118" t="s">
        <v>204</v>
      </c>
      <c r="K23" s="118" t="s">
        <v>295</v>
      </c>
      <c r="L23" s="118" t="s">
        <v>379</v>
      </c>
      <c r="M23" s="130" t="s">
        <v>734</v>
      </c>
      <c r="N23" s="118" t="s">
        <v>338</v>
      </c>
      <c r="O23" s="118" t="s">
        <v>1212</v>
      </c>
      <c r="P23" s="120">
        <v>154390</v>
      </c>
      <c r="Q23" s="120">
        <v>3.71</v>
      </c>
      <c r="R23" s="120">
        <v>5240</v>
      </c>
      <c r="S23" s="118"/>
      <c r="T23" s="120">
        <v>30014.03356</v>
      </c>
      <c r="U23" s="121">
        <v>3.3990000000000001E-3</v>
      </c>
      <c r="V23" s="121">
        <v>4.521E-2</v>
      </c>
      <c r="W23" s="121">
        <v>9.1219999999999999E-3</v>
      </c>
      <c r="X23" s="132"/>
    </row>
    <row r="24" spans="1:24" ht="15" customHeight="1">
      <c r="A24" s="119">
        <v>360</v>
      </c>
      <c r="B24" s="119">
        <v>360</v>
      </c>
      <c r="C24" s="118" t="s">
        <v>1370</v>
      </c>
      <c r="D24" s="119" t="s">
        <v>1371</v>
      </c>
      <c r="E24" s="118" t="s">
        <v>312</v>
      </c>
      <c r="F24" s="118" t="s">
        <v>1372</v>
      </c>
      <c r="G24" s="119" t="s">
        <v>1373</v>
      </c>
      <c r="H24" s="118" t="s">
        <v>320</v>
      </c>
      <c r="I24" s="118" t="s">
        <v>966</v>
      </c>
      <c r="J24" s="118" t="s">
        <v>204</v>
      </c>
      <c r="K24" s="118" t="s">
        <v>288</v>
      </c>
      <c r="L24" s="118" t="s">
        <v>379</v>
      </c>
      <c r="M24" s="130" t="s">
        <v>734</v>
      </c>
      <c r="N24" s="118" t="s">
        <v>338</v>
      </c>
      <c r="O24" s="118" t="s">
        <v>1212</v>
      </c>
      <c r="P24" s="120">
        <v>615288</v>
      </c>
      <c r="Q24" s="120">
        <v>3.71</v>
      </c>
      <c r="R24" s="120">
        <v>10742</v>
      </c>
      <c r="S24" s="118"/>
      <c r="T24" s="120">
        <v>245209.61911999999</v>
      </c>
      <c r="U24" s="121">
        <v>7.7700000000000002E-4</v>
      </c>
      <c r="V24" s="121">
        <v>0.36936099999999999</v>
      </c>
      <c r="W24" s="121">
        <v>7.4532000000000001E-2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N1" sqref="N1:N104857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3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91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63</v>
      </c>
      <c r="U1" s="126" t="s">
        <v>79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30"/>
      <c r="O2" s="118"/>
      <c r="P2" s="118"/>
      <c r="Q2" s="120"/>
      <c r="R2" s="120"/>
      <c r="S2" s="120"/>
      <c r="T2" s="120"/>
      <c r="U2" s="121"/>
      <c r="V2" s="121"/>
      <c r="W2" s="121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95</v>
      </c>
      <c r="T1" s="123" t="s">
        <v>76</v>
      </c>
      <c r="U1" s="123" t="s">
        <v>61</v>
      </c>
      <c r="V1" s="123" t="s">
        <v>77</v>
      </c>
      <c r="W1" s="123" t="s">
        <v>63</v>
      </c>
      <c r="X1" s="126" t="s">
        <v>64</v>
      </c>
      <c r="Y1" s="126" t="s">
        <v>65</v>
      </c>
      <c r="Z1" s="11"/>
    </row>
    <row r="2" spans="1:2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0"/>
      <c r="X2" s="121"/>
      <c r="Y2" s="121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76</v>
      </c>
      <c r="T1" s="123" t="s">
        <v>61</v>
      </c>
      <c r="U1" s="123" t="s">
        <v>77</v>
      </c>
      <c r="V1" s="123" t="s">
        <v>63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1"/>
      <c r="X2" s="121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3" t="s">
        <v>76</v>
      </c>
      <c r="P1" s="123" t="s">
        <v>61</v>
      </c>
      <c r="Q1" s="123" t="s">
        <v>77</v>
      </c>
      <c r="R1" s="123" t="s">
        <v>63</v>
      </c>
      <c r="S1" s="126" t="s">
        <v>64</v>
      </c>
      <c r="T1" s="126" t="s">
        <v>65</v>
      </c>
      <c r="U1" s="11"/>
      <c r="V1" s="11"/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0"/>
      <c r="P2" s="120"/>
      <c r="Q2" s="120"/>
      <c r="R2" s="120"/>
      <c r="S2" s="121"/>
      <c r="T2" s="121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3" t="s">
        <v>72</v>
      </c>
      <c r="Q1" s="126" t="s">
        <v>62</v>
      </c>
      <c r="R1" s="126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3" t="s">
        <v>76</v>
      </c>
      <c r="X1" s="123" t="s">
        <v>61</v>
      </c>
      <c r="Y1" s="123" t="s">
        <v>77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0"/>
      <c r="Q2" s="121"/>
      <c r="R2" s="121"/>
      <c r="S2" s="118"/>
      <c r="T2" s="118"/>
      <c r="U2" s="118"/>
      <c r="V2" s="118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4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5" t="s">
        <v>97</v>
      </c>
      <c r="K1" s="25" t="s">
        <v>71</v>
      </c>
      <c r="L1" s="25" t="s">
        <v>58</v>
      </c>
      <c r="M1" s="25" t="s">
        <v>59</v>
      </c>
      <c r="N1" s="123" t="s">
        <v>72</v>
      </c>
      <c r="O1" s="125" t="s">
        <v>73</v>
      </c>
      <c r="P1" s="126" t="s">
        <v>62</v>
      </c>
      <c r="Q1" s="126" t="s">
        <v>74</v>
      </c>
      <c r="R1" s="123" t="s">
        <v>76</v>
      </c>
      <c r="S1" s="123" t="s">
        <v>61</v>
      </c>
      <c r="T1" s="123" t="s">
        <v>77</v>
      </c>
      <c r="U1" s="123" t="s">
        <v>63</v>
      </c>
      <c r="V1" s="123" t="s">
        <v>78</v>
      </c>
      <c r="W1" s="25" t="s">
        <v>17</v>
      </c>
      <c r="X1" s="126" t="s">
        <v>64</v>
      </c>
      <c r="Y1" s="126" t="s">
        <v>65</v>
      </c>
    </row>
    <row r="2" spans="1:25" ht="15" customHeight="1">
      <c r="A2" s="119">
        <v>360</v>
      </c>
      <c r="B2" s="119">
        <v>360</v>
      </c>
      <c r="C2" s="118"/>
      <c r="D2" s="118"/>
      <c r="E2" s="119"/>
      <c r="F2" s="118"/>
      <c r="G2" s="118"/>
      <c r="H2" s="118"/>
      <c r="I2" s="118"/>
      <c r="J2" s="122"/>
      <c r="K2" s="118"/>
      <c r="L2" s="118"/>
      <c r="M2" s="118"/>
      <c r="N2" s="120"/>
      <c r="O2" s="122"/>
      <c r="P2" s="121"/>
      <c r="Q2" s="121"/>
      <c r="R2" s="120"/>
      <c r="S2" s="120"/>
      <c r="T2" s="120"/>
      <c r="U2" s="120"/>
      <c r="V2" s="120"/>
      <c r="W2" s="118"/>
      <c r="X2" s="121"/>
      <c r="Y2" s="121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16"/>
  <sheetViews>
    <sheetView rightToLeft="1" workbookViewId="0">
      <selection activeCell="A19" sqref="A19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5.5" bestFit="1" customWidth="1"/>
    <col min="13" max="13" width="11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3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8" t="s">
        <v>984</v>
      </c>
      <c r="D2" s="118" t="s">
        <v>1374</v>
      </c>
      <c r="E2" s="119">
        <v>8287740</v>
      </c>
      <c r="F2" s="122">
        <v>40545</v>
      </c>
      <c r="G2" s="120">
        <v>1.22</v>
      </c>
      <c r="H2" s="118" t="s">
        <v>753</v>
      </c>
      <c r="I2" s="122">
        <v>46024</v>
      </c>
      <c r="J2" s="121">
        <v>4.8000000000000001E-2</v>
      </c>
      <c r="K2" s="121">
        <v>1.38E-2</v>
      </c>
      <c r="L2" s="120">
        <v>175714000</v>
      </c>
      <c r="M2" s="120">
        <v>128.75579999999999</v>
      </c>
      <c r="N2" s="120">
        <v>226242.02807</v>
      </c>
      <c r="O2" s="120"/>
      <c r="P2" s="118"/>
      <c r="Q2" s="121">
        <v>0.29941899999999999</v>
      </c>
      <c r="R2" s="121">
        <v>6.8766999999999995E-2</v>
      </c>
    </row>
    <row r="3" spans="1:26" ht="15" customHeight="1">
      <c r="A3" s="119">
        <v>360</v>
      </c>
      <c r="B3" s="119">
        <v>360</v>
      </c>
      <c r="C3" s="118" t="s">
        <v>984</v>
      </c>
      <c r="D3" s="118" t="s">
        <v>1375</v>
      </c>
      <c r="E3" s="119">
        <v>8288086</v>
      </c>
      <c r="F3" s="122">
        <v>41579</v>
      </c>
      <c r="G3" s="120">
        <v>3.72</v>
      </c>
      <c r="H3" s="118" t="s">
        <v>753</v>
      </c>
      <c r="I3" s="122">
        <v>47058</v>
      </c>
      <c r="J3" s="121">
        <v>4.8000000000000001E-2</v>
      </c>
      <c r="K3" s="121">
        <v>1.7500000000000002E-2</v>
      </c>
      <c r="L3" s="120">
        <v>8063000</v>
      </c>
      <c r="M3" s="120">
        <v>131.19909999999999</v>
      </c>
      <c r="N3" s="120">
        <v>10578.58574</v>
      </c>
      <c r="O3" s="118"/>
      <c r="P3" s="118"/>
      <c r="Q3" s="121">
        <v>1.4E-2</v>
      </c>
      <c r="R3" s="121">
        <v>3.215E-3</v>
      </c>
    </row>
    <row r="4" spans="1:26" ht="15" customHeight="1">
      <c r="A4" s="119">
        <v>360</v>
      </c>
      <c r="B4" s="119">
        <v>360</v>
      </c>
      <c r="C4" s="118" t="s">
        <v>984</v>
      </c>
      <c r="D4" s="118" t="s">
        <v>1376</v>
      </c>
      <c r="E4" s="119">
        <v>8288227</v>
      </c>
      <c r="F4" s="122">
        <v>42005</v>
      </c>
      <c r="G4" s="120">
        <v>4.71</v>
      </c>
      <c r="H4" s="118" t="s">
        <v>753</v>
      </c>
      <c r="I4" s="122">
        <v>47484</v>
      </c>
      <c r="J4" s="121">
        <v>4.8000000000000001E-2</v>
      </c>
      <c r="K4" s="121">
        <v>1.8499999999999999E-2</v>
      </c>
      <c r="L4" s="120">
        <v>14468000</v>
      </c>
      <c r="M4" s="120">
        <v>133.68049999999999</v>
      </c>
      <c r="N4" s="120">
        <v>19340.890599999999</v>
      </c>
      <c r="O4" s="118"/>
      <c r="P4" s="118"/>
      <c r="Q4" s="121">
        <v>2.5596000000000001E-2</v>
      </c>
      <c r="R4" s="121">
        <v>5.8780000000000004E-3</v>
      </c>
    </row>
    <row r="5" spans="1:26" ht="15" customHeight="1">
      <c r="A5" s="119">
        <v>360</v>
      </c>
      <c r="B5" s="119">
        <v>360</v>
      </c>
      <c r="C5" s="118" t="s">
        <v>984</v>
      </c>
      <c r="D5" s="118" t="s">
        <v>1377</v>
      </c>
      <c r="E5" s="119">
        <v>8288987</v>
      </c>
      <c r="F5" s="122">
        <v>44348</v>
      </c>
      <c r="G5" s="120">
        <v>9.3000000000000007</v>
      </c>
      <c r="H5" s="118" t="s">
        <v>753</v>
      </c>
      <c r="I5" s="122">
        <v>49827</v>
      </c>
      <c r="J5" s="121">
        <v>4.8000000000000001E-2</v>
      </c>
      <c r="K5" s="121">
        <v>2.1499999999999998E-2</v>
      </c>
      <c r="L5" s="120">
        <v>41974000</v>
      </c>
      <c r="M5" s="120">
        <v>147.1901</v>
      </c>
      <c r="N5" s="120">
        <v>61781.585939999997</v>
      </c>
      <c r="O5" s="118"/>
      <c r="P5" s="118"/>
      <c r="Q5" s="121">
        <v>8.1764000000000003E-2</v>
      </c>
      <c r="R5" s="121">
        <v>1.8778E-2</v>
      </c>
    </row>
    <row r="6" spans="1:26" ht="15" customHeight="1">
      <c r="A6" s="119">
        <v>360</v>
      </c>
      <c r="B6" s="119">
        <v>360</v>
      </c>
      <c r="C6" s="118" t="s">
        <v>984</v>
      </c>
      <c r="D6" s="118" t="s">
        <v>1378</v>
      </c>
      <c r="E6" s="119">
        <v>8288599</v>
      </c>
      <c r="F6" s="122">
        <v>43132</v>
      </c>
      <c r="G6" s="120">
        <v>7.08</v>
      </c>
      <c r="H6" s="118" t="s">
        <v>753</v>
      </c>
      <c r="I6" s="122">
        <v>48611</v>
      </c>
      <c r="J6" s="121">
        <v>4.8000000000000001E-2</v>
      </c>
      <c r="K6" s="121">
        <v>2.0199999999999999E-2</v>
      </c>
      <c r="L6" s="120">
        <v>12484000</v>
      </c>
      <c r="M6" s="120">
        <v>141.91390000000001</v>
      </c>
      <c r="N6" s="120">
        <v>17716.530309999998</v>
      </c>
      <c r="O6" s="118"/>
      <c r="P6" s="118"/>
      <c r="Q6" s="121">
        <v>2.3446000000000002E-2</v>
      </c>
      <c r="R6" s="121">
        <v>5.385E-3</v>
      </c>
    </row>
    <row r="7" spans="1:26" ht="15" customHeight="1">
      <c r="A7" s="119">
        <v>360</v>
      </c>
      <c r="B7" s="119">
        <v>360</v>
      </c>
      <c r="C7" s="118" t="s">
        <v>984</v>
      </c>
      <c r="D7" s="118" t="s">
        <v>1379</v>
      </c>
      <c r="E7" s="119">
        <v>8288508</v>
      </c>
      <c r="F7" s="122">
        <v>42856</v>
      </c>
      <c r="G7" s="120">
        <v>6.46</v>
      </c>
      <c r="H7" s="118" t="s">
        <v>753</v>
      </c>
      <c r="I7" s="122">
        <v>48336</v>
      </c>
      <c r="J7" s="121">
        <v>4.8000000000000001E-2</v>
      </c>
      <c r="K7" s="121">
        <v>1.9900000000000001E-2</v>
      </c>
      <c r="L7" s="120">
        <v>13650000</v>
      </c>
      <c r="M7" s="120">
        <v>142.01779999999999</v>
      </c>
      <c r="N7" s="120">
        <v>19385.434290000001</v>
      </c>
      <c r="O7" s="118"/>
      <c r="P7" s="118"/>
      <c r="Q7" s="121">
        <v>2.5655000000000001E-2</v>
      </c>
      <c r="R7" s="121">
        <v>5.8919999999999997E-3</v>
      </c>
    </row>
    <row r="8" spans="1:26" ht="15" customHeight="1">
      <c r="A8" s="119">
        <v>360</v>
      </c>
      <c r="B8" s="119">
        <v>360</v>
      </c>
      <c r="C8" s="118" t="s">
        <v>984</v>
      </c>
      <c r="D8" s="118" t="s">
        <v>1380</v>
      </c>
      <c r="E8" s="119">
        <v>8287997</v>
      </c>
      <c r="F8" s="122">
        <v>41306</v>
      </c>
      <c r="G8" s="120">
        <v>3.12</v>
      </c>
      <c r="H8" s="118" t="s">
        <v>753</v>
      </c>
      <c r="I8" s="122">
        <v>46784</v>
      </c>
      <c r="J8" s="121">
        <v>4.8000000000000001E-2</v>
      </c>
      <c r="K8" s="121">
        <v>1.6799999999999999E-2</v>
      </c>
      <c r="L8" s="120">
        <v>92507000</v>
      </c>
      <c r="M8" s="120">
        <v>129.9418</v>
      </c>
      <c r="N8" s="120">
        <v>120205.28393000001</v>
      </c>
      <c r="O8" s="118"/>
      <c r="P8" s="118"/>
      <c r="Q8" s="121">
        <v>0.159085</v>
      </c>
      <c r="R8" s="121">
        <v>3.6535999999999999E-2</v>
      </c>
    </row>
    <row r="9" spans="1:26" ht="15" customHeight="1">
      <c r="A9" s="119">
        <v>360</v>
      </c>
      <c r="B9" s="119">
        <v>360</v>
      </c>
      <c r="C9" s="118" t="s">
        <v>984</v>
      </c>
      <c r="D9" s="118" t="s">
        <v>1381</v>
      </c>
      <c r="E9" s="119">
        <v>8287989</v>
      </c>
      <c r="F9" s="122">
        <v>41275</v>
      </c>
      <c r="G9" s="120">
        <v>3.03</v>
      </c>
      <c r="H9" s="118" t="s">
        <v>753</v>
      </c>
      <c r="I9" s="122">
        <v>46754</v>
      </c>
      <c r="J9" s="121">
        <v>4.8000000000000001E-2</v>
      </c>
      <c r="K9" s="121">
        <v>1.6799999999999999E-2</v>
      </c>
      <c r="L9" s="120">
        <v>10016000</v>
      </c>
      <c r="M9" s="120">
        <v>130.38050000000001</v>
      </c>
      <c r="N9" s="120">
        <v>13058.908949999999</v>
      </c>
      <c r="O9" s="118"/>
      <c r="P9" s="118"/>
      <c r="Q9" s="121">
        <v>1.7281999999999999E-2</v>
      </c>
      <c r="R9" s="121">
        <v>3.9690000000000003E-3</v>
      </c>
    </row>
    <row r="10" spans="1:26" ht="15" customHeight="1">
      <c r="A10" s="119">
        <v>360</v>
      </c>
      <c r="B10" s="119">
        <v>360</v>
      </c>
      <c r="C10" s="118" t="s">
        <v>984</v>
      </c>
      <c r="D10" s="118" t="s">
        <v>1382</v>
      </c>
      <c r="E10" s="119">
        <v>8288946</v>
      </c>
      <c r="F10" s="122">
        <v>44228</v>
      </c>
      <c r="G10" s="120">
        <v>9.15</v>
      </c>
      <c r="H10" s="118" t="s">
        <v>753</v>
      </c>
      <c r="I10" s="122">
        <v>49706</v>
      </c>
      <c r="J10" s="121">
        <v>4.8000000000000001E-2</v>
      </c>
      <c r="K10" s="121">
        <v>2.1399999999999999E-2</v>
      </c>
      <c r="L10" s="120">
        <v>21877000</v>
      </c>
      <c r="M10" s="120">
        <v>147.2687</v>
      </c>
      <c r="N10" s="120">
        <v>32217.979309999999</v>
      </c>
      <c r="O10" s="118"/>
      <c r="P10" s="118"/>
      <c r="Q10" s="121">
        <v>4.2638000000000002E-2</v>
      </c>
      <c r="R10" s="121">
        <v>9.7920000000000004E-3</v>
      </c>
    </row>
    <row r="11" spans="1:26" ht="15" customHeight="1">
      <c r="A11" s="119">
        <v>360</v>
      </c>
      <c r="B11" s="119">
        <v>360</v>
      </c>
      <c r="C11" s="118" t="s">
        <v>984</v>
      </c>
      <c r="D11" s="118" t="s">
        <v>1383</v>
      </c>
      <c r="E11" s="119">
        <v>8288144</v>
      </c>
      <c r="F11" s="122">
        <v>41760</v>
      </c>
      <c r="G11" s="120">
        <v>4.13</v>
      </c>
      <c r="H11" s="118" t="s">
        <v>753</v>
      </c>
      <c r="I11" s="122">
        <v>47239</v>
      </c>
      <c r="J11" s="121">
        <v>4.8000000000000001E-2</v>
      </c>
      <c r="K11" s="121">
        <v>1.7899999999999999E-2</v>
      </c>
      <c r="L11" s="120">
        <v>36875000</v>
      </c>
      <c r="M11" s="120">
        <v>133.25700000000001</v>
      </c>
      <c r="N11" s="120">
        <v>49138.519359999998</v>
      </c>
      <c r="O11" s="118"/>
      <c r="P11" s="118"/>
      <c r="Q11" s="121">
        <v>6.5032000000000006E-2</v>
      </c>
      <c r="R11" s="121">
        <v>1.4935E-2</v>
      </c>
    </row>
    <row r="12" spans="1:26" ht="15" customHeight="1">
      <c r="A12" s="119">
        <v>360</v>
      </c>
      <c r="B12" s="119">
        <v>360</v>
      </c>
      <c r="C12" s="118" t="s">
        <v>984</v>
      </c>
      <c r="D12" s="118" t="s">
        <v>1384</v>
      </c>
      <c r="E12" s="119">
        <v>8288474</v>
      </c>
      <c r="F12" s="122">
        <v>42767</v>
      </c>
      <c r="G12" s="120">
        <v>6.34</v>
      </c>
      <c r="H12" s="118" t="s">
        <v>753</v>
      </c>
      <c r="I12" s="122">
        <v>48245</v>
      </c>
      <c r="J12" s="121">
        <v>4.8000000000000001E-2</v>
      </c>
      <c r="K12" s="121">
        <v>1.9699999999999999E-2</v>
      </c>
      <c r="L12" s="120">
        <v>3577000</v>
      </c>
      <c r="M12" s="120">
        <v>140.14619999999999</v>
      </c>
      <c r="N12" s="120">
        <v>5013.0302700000002</v>
      </c>
      <c r="O12" s="118"/>
      <c r="P12" s="118"/>
      <c r="Q12" s="121">
        <v>6.6340000000000001E-3</v>
      </c>
      <c r="R12" s="121">
        <v>1.523E-3</v>
      </c>
    </row>
    <row r="13" spans="1:26" ht="15" customHeight="1">
      <c r="A13" s="119">
        <v>360</v>
      </c>
      <c r="B13" s="119">
        <v>360</v>
      </c>
      <c r="C13" s="118" t="s">
        <v>984</v>
      </c>
      <c r="D13" s="118" t="s">
        <v>1385</v>
      </c>
      <c r="E13" s="119">
        <v>8288110</v>
      </c>
      <c r="F13" s="122">
        <v>41672</v>
      </c>
      <c r="G13" s="120">
        <v>3.97</v>
      </c>
      <c r="H13" s="118" t="s">
        <v>753</v>
      </c>
      <c r="I13" s="122">
        <v>47151</v>
      </c>
      <c r="J13" s="121">
        <v>4.8000000000000001E-2</v>
      </c>
      <c r="K13" s="121">
        <v>1.77E-2</v>
      </c>
      <c r="L13" s="120">
        <v>90698000</v>
      </c>
      <c r="M13" s="120">
        <v>130.5121</v>
      </c>
      <c r="N13" s="120">
        <v>118371.88655</v>
      </c>
      <c r="O13" s="118"/>
      <c r="P13" s="118"/>
      <c r="Q13" s="121">
        <v>0.15665799999999999</v>
      </c>
      <c r="R13" s="121">
        <v>3.5978999999999997E-2</v>
      </c>
    </row>
    <row r="14" spans="1:26" ht="15" customHeight="1">
      <c r="A14" s="119">
        <v>360</v>
      </c>
      <c r="B14" s="119">
        <v>360</v>
      </c>
      <c r="C14" s="118" t="s">
        <v>984</v>
      </c>
      <c r="D14" s="118" t="s">
        <v>1386</v>
      </c>
      <c r="E14" s="119">
        <v>8288607</v>
      </c>
      <c r="F14" s="122">
        <v>43161</v>
      </c>
      <c r="G14" s="120">
        <v>7.16</v>
      </c>
      <c r="H14" s="118" t="s">
        <v>753</v>
      </c>
      <c r="I14" s="122">
        <v>48640</v>
      </c>
      <c r="J14" s="121">
        <v>4.8000000000000001E-2</v>
      </c>
      <c r="K14" s="121">
        <v>2.0299999999999999E-2</v>
      </c>
      <c r="L14" s="120">
        <v>1643000</v>
      </c>
      <c r="M14" s="120">
        <v>142.2611</v>
      </c>
      <c r="N14" s="120">
        <v>2337.35068</v>
      </c>
      <c r="O14" s="118"/>
      <c r="P14" s="118"/>
      <c r="Q14" s="121">
        <v>3.0929999999999998E-3</v>
      </c>
      <c r="R14" s="121">
        <v>7.1000000000000002E-4</v>
      </c>
    </row>
    <row r="15" spans="1:26" ht="15" customHeight="1">
      <c r="A15" s="119">
        <v>360</v>
      </c>
      <c r="B15" s="119">
        <v>360</v>
      </c>
      <c r="C15" s="118" t="s">
        <v>984</v>
      </c>
      <c r="D15" s="118" t="s">
        <v>1387</v>
      </c>
      <c r="E15" s="119">
        <v>8288102</v>
      </c>
      <c r="F15" s="122">
        <v>41640</v>
      </c>
      <c r="G15" s="120">
        <v>3.89</v>
      </c>
      <c r="H15" s="118" t="s">
        <v>753</v>
      </c>
      <c r="I15" s="122">
        <v>47119</v>
      </c>
      <c r="J15" s="121">
        <v>4.8000000000000001E-2</v>
      </c>
      <c r="K15" s="121">
        <v>1.77E-2</v>
      </c>
      <c r="L15" s="120">
        <v>28306000</v>
      </c>
      <c r="M15" s="120">
        <v>130.83709999999999</v>
      </c>
      <c r="N15" s="120">
        <v>37034.752769999999</v>
      </c>
      <c r="O15" s="118"/>
      <c r="P15" s="118"/>
      <c r="Q15" s="121">
        <v>4.9013000000000001E-2</v>
      </c>
      <c r="R15" s="121">
        <v>1.1256E-2</v>
      </c>
    </row>
    <row r="16" spans="1:26" ht="15" customHeight="1">
      <c r="A16" s="119">
        <v>360</v>
      </c>
      <c r="B16" s="119">
        <v>360</v>
      </c>
      <c r="C16" s="118" t="s">
        <v>984</v>
      </c>
      <c r="D16" s="118" t="s">
        <v>1388</v>
      </c>
      <c r="E16" s="119">
        <v>8288979</v>
      </c>
      <c r="F16" s="122">
        <v>44318</v>
      </c>
      <c r="G16" s="120">
        <v>9.2200000000000006</v>
      </c>
      <c r="H16" s="118" t="s">
        <v>753</v>
      </c>
      <c r="I16" s="122">
        <v>49797</v>
      </c>
      <c r="J16" s="121">
        <v>4.8000000000000001E-2</v>
      </c>
      <c r="K16" s="121">
        <v>2.1499999999999998E-2</v>
      </c>
      <c r="L16" s="120">
        <v>15664000</v>
      </c>
      <c r="M16" s="120">
        <v>147.98419999999999</v>
      </c>
      <c r="N16" s="120">
        <v>23180.245630000001</v>
      </c>
      <c r="O16" s="118"/>
      <c r="P16" s="118"/>
      <c r="Q16" s="121">
        <v>3.0676999999999999E-2</v>
      </c>
      <c r="R16" s="121">
        <v>7.045E-3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5" t="s">
        <v>100</v>
      </c>
      <c r="E1" s="125" t="s">
        <v>101</v>
      </c>
      <c r="F1" s="123" t="s">
        <v>102</v>
      </c>
      <c r="G1" s="126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8"/>
      <c r="D2" s="122"/>
      <c r="E2" s="122"/>
      <c r="F2" s="120"/>
      <c r="G2" s="121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98</v>
      </c>
      <c r="U1" s="25" t="s">
        <v>85</v>
      </c>
      <c r="V1" s="125" t="s">
        <v>73</v>
      </c>
      <c r="W1" s="126" t="s">
        <v>62</v>
      </c>
      <c r="X1" s="126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5" t="s">
        <v>106</v>
      </c>
      <c r="AE1" s="125" t="s">
        <v>107</v>
      </c>
      <c r="AF1" s="123" t="s">
        <v>76</v>
      </c>
      <c r="AG1" s="123" t="s">
        <v>61</v>
      </c>
      <c r="AH1" s="123" t="s">
        <v>77</v>
      </c>
      <c r="AI1" s="123" t="s">
        <v>63</v>
      </c>
      <c r="AJ1" s="123" t="s">
        <v>78</v>
      </c>
      <c r="AK1" s="123" t="s">
        <v>88</v>
      </c>
      <c r="AL1" s="25" t="s">
        <v>17</v>
      </c>
      <c r="AM1" s="126" t="s">
        <v>64</v>
      </c>
      <c r="AN1" s="126" t="s">
        <v>65</v>
      </c>
    </row>
    <row r="2" spans="1:40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18"/>
      <c r="U2" s="118"/>
      <c r="V2" s="122"/>
      <c r="W2" s="121"/>
      <c r="X2" s="121"/>
      <c r="Y2" s="118"/>
      <c r="Z2" s="118"/>
      <c r="AA2" s="118"/>
      <c r="AB2" s="118"/>
      <c r="AC2" s="118"/>
      <c r="AD2" s="122"/>
      <c r="AE2" s="122"/>
      <c r="AF2" s="120"/>
      <c r="AG2" s="120"/>
      <c r="AH2" s="120"/>
      <c r="AI2" s="120"/>
      <c r="AJ2" s="120"/>
      <c r="AK2" s="120"/>
      <c r="AL2" s="118"/>
      <c r="AM2" s="121"/>
      <c r="AN2" s="121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4"/>
  <sheetViews>
    <sheetView rightToLeft="1" topLeftCell="E1" workbookViewId="0">
      <selection activeCell="T6" sqref="T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16.75" bestFit="1" customWidth="1"/>
    <col min="7" max="7" width="10.87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9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5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3" t="s">
        <v>78</v>
      </c>
      <c r="AI1" s="123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19">
        <v>360</v>
      </c>
      <c r="B2" s="119">
        <v>360</v>
      </c>
      <c r="C2" s="118" t="s">
        <v>1280</v>
      </c>
      <c r="D2" s="119">
        <v>520010869</v>
      </c>
      <c r="E2" s="118" t="s">
        <v>308</v>
      </c>
      <c r="F2" s="118" t="s">
        <v>1389</v>
      </c>
      <c r="G2" s="119">
        <v>1100908</v>
      </c>
      <c r="H2" s="118" t="s">
        <v>311</v>
      </c>
      <c r="I2" s="118" t="s">
        <v>753</v>
      </c>
      <c r="J2" s="118" t="s">
        <v>203</v>
      </c>
      <c r="K2" s="118" t="s">
        <v>203</v>
      </c>
      <c r="L2" s="118" t="s">
        <v>325</v>
      </c>
      <c r="M2" s="118" t="s">
        <v>476</v>
      </c>
      <c r="N2" s="118" t="s">
        <v>338</v>
      </c>
      <c r="O2" s="122">
        <v>39076</v>
      </c>
      <c r="P2" s="118" t="s">
        <v>1259</v>
      </c>
      <c r="Q2" s="118" t="s">
        <v>311</v>
      </c>
      <c r="R2" s="118" t="s">
        <v>406</v>
      </c>
      <c r="S2" s="118" t="s">
        <v>1215</v>
      </c>
      <c r="T2" s="120">
        <v>5.32</v>
      </c>
      <c r="U2" s="122">
        <v>50034</v>
      </c>
      <c r="V2" s="121">
        <v>3.0700000000000002E-2</v>
      </c>
      <c r="W2" s="121">
        <v>4.9000000000000002E-2</v>
      </c>
      <c r="X2" s="118" t="s">
        <v>411</v>
      </c>
      <c r="Y2" s="118"/>
      <c r="Z2" s="118" t="s">
        <v>887</v>
      </c>
      <c r="AA2" s="118" t="s">
        <v>890</v>
      </c>
      <c r="AB2" s="122">
        <v>45565</v>
      </c>
      <c r="AC2" s="122"/>
      <c r="AD2" s="120">
        <v>124800.02</v>
      </c>
      <c r="AE2" s="120">
        <v>1</v>
      </c>
      <c r="AF2" s="120">
        <v>158.33000000000001</v>
      </c>
      <c r="AG2" s="120">
        <v>197.59586999999999</v>
      </c>
      <c r="AH2" s="120"/>
      <c r="AI2" s="120"/>
      <c r="AJ2" s="118"/>
      <c r="AK2" s="121">
        <v>3.1821000000000002E-2</v>
      </c>
      <c r="AL2" s="121">
        <v>6.0000000000000002E-5</v>
      </c>
    </row>
    <row r="3" spans="1:38" ht="15" customHeight="1">
      <c r="A3" s="119">
        <v>360</v>
      </c>
      <c r="B3" s="119">
        <v>360</v>
      </c>
      <c r="C3" s="118" t="s">
        <v>1280</v>
      </c>
      <c r="D3" s="119">
        <v>520010869</v>
      </c>
      <c r="E3" s="118" t="s">
        <v>308</v>
      </c>
      <c r="F3" s="118" t="s">
        <v>1390</v>
      </c>
      <c r="G3" s="119">
        <v>1124346</v>
      </c>
      <c r="H3" s="118" t="s">
        <v>311</v>
      </c>
      <c r="I3" s="118" t="s">
        <v>753</v>
      </c>
      <c r="J3" s="118" t="s">
        <v>203</v>
      </c>
      <c r="K3" s="118" t="s">
        <v>203</v>
      </c>
      <c r="L3" s="118" t="s">
        <v>325</v>
      </c>
      <c r="M3" s="118" t="s">
        <v>476</v>
      </c>
      <c r="N3" s="118" t="s">
        <v>338</v>
      </c>
      <c r="O3" s="122">
        <v>40738</v>
      </c>
      <c r="P3" s="118" t="s">
        <v>1259</v>
      </c>
      <c r="Q3" s="118" t="s">
        <v>311</v>
      </c>
      <c r="R3" s="118" t="s">
        <v>406</v>
      </c>
      <c r="S3" s="118" t="s">
        <v>1215</v>
      </c>
      <c r="T3" s="120">
        <v>9.51</v>
      </c>
      <c r="U3" s="122">
        <v>54253</v>
      </c>
      <c r="V3" s="121">
        <v>3.3700000000000001E-2</v>
      </c>
      <c r="W3" s="121">
        <v>4.1000000000000002E-2</v>
      </c>
      <c r="X3" s="118" t="s">
        <v>411</v>
      </c>
      <c r="Y3" s="118"/>
      <c r="Z3" s="118" t="s">
        <v>887</v>
      </c>
      <c r="AA3" s="118" t="s">
        <v>890</v>
      </c>
      <c r="AB3" s="122">
        <v>45565</v>
      </c>
      <c r="AC3" s="118"/>
      <c r="AD3" s="120">
        <v>3784615.79</v>
      </c>
      <c r="AE3" s="120">
        <v>1</v>
      </c>
      <c r="AF3" s="120">
        <v>128.75</v>
      </c>
      <c r="AG3" s="120">
        <v>4872.69283</v>
      </c>
      <c r="AH3" s="118"/>
      <c r="AI3" s="118"/>
      <c r="AJ3" s="118"/>
      <c r="AK3" s="121">
        <v>0.784717</v>
      </c>
      <c r="AL3" s="121">
        <v>1.4809999999999999E-3</v>
      </c>
    </row>
    <row r="4" spans="1:38" ht="15" customHeight="1">
      <c r="A4" s="119">
        <v>360</v>
      </c>
      <c r="B4" s="119">
        <v>360</v>
      </c>
      <c r="C4" s="118" t="s">
        <v>1286</v>
      </c>
      <c r="D4" s="119">
        <v>513436394</v>
      </c>
      <c r="E4" s="118" t="s">
        <v>308</v>
      </c>
      <c r="F4" s="118" t="s">
        <v>1391</v>
      </c>
      <c r="G4" s="119">
        <v>1125509</v>
      </c>
      <c r="H4" s="118" t="s">
        <v>311</v>
      </c>
      <c r="I4" s="118" t="s">
        <v>753</v>
      </c>
      <c r="J4" s="118" t="s">
        <v>203</v>
      </c>
      <c r="K4" s="118" t="s">
        <v>203</v>
      </c>
      <c r="L4" s="118" t="s">
        <v>325</v>
      </c>
      <c r="M4" s="118" t="s">
        <v>476</v>
      </c>
      <c r="N4" s="118" t="s">
        <v>338</v>
      </c>
      <c r="O4" s="122">
        <v>40910</v>
      </c>
      <c r="P4" s="118" t="s">
        <v>1266</v>
      </c>
      <c r="Q4" s="118" t="s">
        <v>414</v>
      </c>
      <c r="R4" s="118" t="s">
        <v>406</v>
      </c>
      <c r="S4" s="118" t="s">
        <v>1215</v>
      </c>
      <c r="T4" s="120">
        <v>3.74</v>
      </c>
      <c r="U4" s="122">
        <v>48213</v>
      </c>
      <c r="V4" s="121">
        <v>2.8000000000000001E-2</v>
      </c>
      <c r="W4" s="121">
        <v>4.8000000000000001E-2</v>
      </c>
      <c r="X4" s="118" t="s">
        <v>411</v>
      </c>
      <c r="Y4" s="118"/>
      <c r="Z4" s="118" t="s">
        <v>887</v>
      </c>
      <c r="AA4" s="118" t="s">
        <v>890</v>
      </c>
      <c r="AB4" s="122">
        <v>45565</v>
      </c>
      <c r="AC4" s="118"/>
      <c r="AD4" s="120">
        <v>878130.84</v>
      </c>
      <c r="AE4" s="120">
        <v>1</v>
      </c>
      <c r="AF4" s="120">
        <v>129.72999999999999</v>
      </c>
      <c r="AG4" s="120">
        <v>1139.1991399999999</v>
      </c>
      <c r="AH4" s="118"/>
      <c r="AI4" s="118"/>
      <c r="AJ4" s="118"/>
      <c r="AK4" s="121">
        <v>0.18346100000000001</v>
      </c>
      <c r="AL4" s="121">
        <v>3.4600000000000001E-4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11"/>
  <sheetViews>
    <sheetView rightToLeft="1" workbookViewId="0">
      <selection activeCell="A34" sqref="A3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0.875" bestFit="1" customWidth="1"/>
    <col min="4" max="4" width="9.875" bestFit="1" customWidth="1"/>
    <col min="5" max="5" width="9.125" bestFit="1" customWidth="1"/>
    <col min="6" max="6" width="24.12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2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1.875" bestFit="1" customWidth="1"/>
    <col min="22" max="22" width="8.625" bestFit="1" customWidth="1"/>
    <col min="23" max="23" width="15.5" bestFit="1" customWidth="1"/>
    <col min="24" max="24" width="9.87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5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19">
        <v>360</v>
      </c>
      <c r="B2" s="119">
        <v>360</v>
      </c>
      <c r="C2" s="118" t="s">
        <v>1392</v>
      </c>
      <c r="D2" s="119">
        <v>520017484</v>
      </c>
      <c r="E2" s="118" t="s">
        <v>308</v>
      </c>
      <c r="F2" s="118" t="s">
        <v>1392</v>
      </c>
      <c r="G2" s="119">
        <v>23267</v>
      </c>
      <c r="H2" s="118" t="s">
        <v>311</v>
      </c>
      <c r="I2" s="118" t="s">
        <v>764</v>
      </c>
      <c r="J2" s="118" t="s">
        <v>203</v>
      </c>
      <c r="K2" s="118" t="s">
        <v>203</v>
      </c>
      <c r="L2" s="118" t="s">
        <v>325</v>
      </c>
      <c r="M2" s="118" t="s">
        <v>450</v>
      </c>
      <c r="N2" s="118" t="s">
        <v>338</v>
      </c>
      <c r="O2" s="122">
        <v>21218</v>
      </c>
      <c r="P2" s="118" t="s">
        <v>1215</v>
      </c>
      <c r="Q2" s="118" t="s">
        <v>313</v>
      </c>
      <c r="R2" s="118" t="s">
        <v>890</v>
      </c>
      <c r="S2" s="122">
        <v>45291</v>
      </c>
      <c r="T2" s="122"/>
      <c r="U2" s="120">
        <v>2</v>
      </c>
      <c r="V2" s="120">
        <v>1</v>
      </c>
      <c r="W2" s="120">
        <v>0.01</v>
      </c>
      <c r="X2" s="120">
        <v>9.9999999999999995E-7</v>
      </c>
      <c r="Y2" s="121">
        <v>0</v>
      </c>
      <c r="Z2" s="121">
        <v>0</v>
      </c>
    </row>
    <row r="3" spans="1:26" ht="15" customHeight="1">
      <c r="A3" s="119">
        <v>360</v>
      </c>
      <c r="B3" s="119">
        <v>360</v>
      </c>
      <c r="C3" s="118" t="s">
        <v>1393</v>
      </c>
      <c r="D3" s="119">
        <v>510203110</v>
      </c>
      <c r="E3" s="118" t="s">
        <v>308</v>
      </c>
      <c r="F3" s="118" t="s">
        <v>1394</v>
      </c>
      <c r="G3" s="119">
        <v>31000128</v>
      </c>
      <c r="H3" s="118" t="s">
        <v>311</v>
      </c>
      <c r="I3" s="118" t="s">
        <v>764</v>
      </c>
      <c r="J3" s="118" t="s">
        <v>203</v>
      </c>
      <c r="K3" s="118" t="s">
        <v>203</v>
      </c>
      <c r="L3" s="118" t="s">
        <v>325</v>
      </c>
      <c r="M3" s="118" t="s">
        <v>313</v>
      </c>
      <c r="N3" s="118" t="s">
        <v>337</v>
      </c>
      <c r="O3" s="122">
        <v>36219</v>
      </c>
      <c r="P3" s="118" t="s">
        <v>1215</v>
      </c>
      <c r="Q3" s="118" t="s">
        <v>313</v>
      </c>
      <c r="R3" s="118" t="s">
        <v>890</v>
      </c>
      <c r="S3" s="122">
        <v>45291</v>
      </c>
      <c r="T3" s="118"/>
      <c r="U3" s="120">
        <v>1</v>
      </c>
      <c r="V3" s="120">
        <v>1</v>
      </c>
      <c r="W3" s="120">
        <v>9.9999999999999995E-7</v>
      </c>
      <c r="X3" s="120">
        <v>9.9999999999999995E-7</v>
      </c>
      <c r="Y3" s="121">
        <v>0</v>
      </c>
      <c r="Z3" s="121">
        <v>0</v>
      </c>
    </row>
    <row r="4" spans="1:26" ht="15" customHeight="1">
      <c r="A4" s="119">
        <v>360</v>
      </c>
      <c r="B4" s="119">
        <v>360</v>
      </c>
      <c r="C4" s="118" t="s">
        <v>1393</v>
      </c>
      <c r="D4" s="119">
        <v>510203110</v>
      </c>
      <c r="E4" s="118" t="s">
        <v>308</v>
      </c>
      <c r="F4" s="118" t="s">
        <v>1395</v>
      </c>
      <c r="G4" s="119">
        <v>31000136</v>
      </c>
      <c r="H4" s="118" t="s">
        <v>311</v>
      </c>
      <c r="I4" s="118" t="s">
        <v>764</v>
      </c>
      <c r="J4" s="118" t="s">
        <v>203</v>
      </c>
      <c r="K4" s="118" t="s">
        <v>203</v>
      </c>
      <c r="L4" s="118" t="s">
        <v>325</v>
      </c>
      <c r="M4" s="118" t="s">
        <v>313</v>
      </c>
      <c r="N4" s="118" t="s">
        <v>337</v>
      </c>
      <c r="O4" s="122">
        <v>36219</v>
      </c>
      <c r="P4" s="118" t="s">
        <v>1215</v>
      </c>
      <c r="Q4" s="118" t="s">
        <v>313</v>
      </c>
      <c r="R4" s="118" t="s">
        <v>890</v>
      </c>
      <c r="S4" s="122">
        <v>45291</v>
      </c>
      <c r="T4" s="118"/>
      <c r="U4" s="120">
        <v>360002</v>
      </c>
      <c r="V4" s="120">
        <v>1</v>
      </c>
      <c r="W4" s="120">
        <v>2637.7822999999999</v>
      </c>
      <c r="X4" s="120">
        <v>9496.0691200000001</v>
      </c>
      <c r="Y4" s="121">
        <v>0.61015900000000001</v>
      </c>
      <c r="Z4" s="121">
        <v>2.8860000000000001E-3</v>
      </c>
    </row>
    <row r="5" spans="1:26" ht="15" customHeight="1">
      <c r="A5" s="119">
        <v>360</v>
      </c>
      <c r="B5" s="119">
        <v>360</v>
      </c>
      <c r="C5" s="118" t="s">
        <v>1396</v>
      </c>
      <c r="D5" s="119">
        <v>510154636</v>
      </c>
      <c r="E5" s="118" t="s">
        <v>308</v>
      </c>
      <c r="F5" s="118" t="s">
        <v>1397</v>
      </c>
      <c r="G5" s="119">
        <v>31000185</v>
      </c>
      <c r="H5" s="118" t="s">
        <v>311</v>
      </c>
      <c r="I5" s="118" t="s">
        <v>764</v>
      </c>
      <c r="J5" s="118" t="s">
        <v>203</v>
      </c>
      <c r="K5" s="118" t="s">
        <v>203</v>
      </c>
      <c r="L5" s="118" t="s">
        <v>325</v>
      </c>
      <c r="M5" s="118" t="s">
        <v>313</v>
      </c>
      <c r="N5" s="118" t="s">
        <v>337</v>
      </c>
      <c r="O5" s="122">
        <v>21916</v>
      </c>
      <c r="P5" s="118" t="s">
        <v>1215</v>
      </c>
      <c r="Q5" s="118" t="s">
        <v>313</v>
      </c>
      <c r="R5" s="118" t="s">
        <v>890</v>
      </c>
      <c r="S5" s="122">
        <v>45291</v>
      </c>
      <c r="T5" s="118"/>
      <c r="U5" s="120">
        <v>1</v>
      </c>
      <c r="V5" s="120">
        <v>1</v>
      </c>
      <c r="W5" s="120">
        <v>9.9999999999999995E-7</v>
      </c>
      <c r="X5" s="120">
        <v>9.9999999999999995E-7</v>
      </c>
      <c r="Y5" s="121">
        <v>0</v>
      </c>
      <c r="Z5" s="121">
        <v>0</v>
      </c>
    </row>
    <row r="6" spans="1:26" ht="15" customHeight="1">
      <c r="A6" s="119">
        <v>360</v>
      </c>
      <c r="B6" s="119">
        <v>360</v>
      </c>
      <c r="C6" s="118" t="s">
        <v>1396</v>
      </c>
      <c r="D6" s="119">
        <v>510154636</v>
      </c>
      <c r="E6" s="118" t="s">
        <v>308</v>
      </c>
      <c r="F6" s="118" t="s">
        <v>1398</v>
      </c>
      <c r="G6" s="119">
        <v>31000193</v>
      </c>
      <c r="H6" s="118" t="s">
        <v>311</v>
      </c>
      <c r="I6" s="118" t="s">
        <v>764</v>
      </c>
      <c r="J6" s="118" t="s">
        <v>203</v>
      </c>
      <c r="K6" s="118" t="s">
        <v>203</v>
      </c>
      <c r="L6" s="118" t="s">
        <v>325</v>
      </c>
      <c r="M6" s="118" t="s">
        <v>313</v>
      </c>
      <c r="N6" s="118" t="s">
        <v>337</v>
      </c>
      <c r="O6" s="122">
        <v>21916</v>
      </c>
      <c r="P6" s="118" t="s">
        <v>1215</v>
      </c>
      <c r="Q6" s="118" t="s">
        <v>313</v>
      </c>
      <c r="R6" s="118" t="s">
        <v>890</v>
      </c>
      <c r="S6" s="122">
        <v>45291</v>
      </c>
      <c r="T6" s="118"/>
      <c r="U6" s="120">
        <v>1</v>
      </c>
      <c r="V6" s="120">
        <v>1</v>
      </c>
      <c r="W6" s="120">
        <v>604171400</v>
      </c>
      <c r="X6" s="120">
        <v>6041.7139999999999</v>
      </c>
      <c r="Y6" s="121">
        <v>0.38820300000000002</v>
      </c>
      <c r="Z6" s="121">
        <v>1.836E-3</v>
      </c>
    </row>
    <row r="7" spans="1:26" ht="15" customHeight="1">
      <c r="A7" s="119">
        <v>360</v>
      </c>
      <c r="B7" s="119">
        <v>360</v>
      </c>
      <c r="C7" s="118" t="s">
        <v>1399</v>
      </c>
      <c r="D7" s="119">
        <v>511871048</v>
      </c>
      <c r="E7" s="118" t="s">
        <v>308</v>
      </c>
      <c r="F7" s="118" t="s">
        <v>1400</v>
      </c>
      <c r="G7" s="119">
        <v>31000243</v>
      </c>
      <c r="H7" s="118" t="s">
        <v>311</v>
      </c>
      <c r="I7" s="118" t="s">
        <v>764</v>
      </c>
      <c r="J7" s="118" t="s">
        <v>203</v>
      </c>
      <c r="K7" s="118" t="s">
        <v>203</v>
      </c>
      <c r="L7" s="118" t="s">
        <v>325</v>
      </c>
      <c r="M7" s="118" t="s">
        <v>313</v>
      </c>
      <c r="N7" s="118" t="s">
        <v>337</v>
      </c>
      <c r="O7" s="122">
        <v>34700</v>
      </c>
      <c r="P7" s="118" t="s">
        <v>1215</v>
      </c>
      <c r="Q7" s="118" t="s">
        <v>313</v>
      </c>
      <c r="R7" s="118" t="s">
        <v>890</v>
      </c>
      <c r="S7" s="122">
        <v>45291</v>
      </c>
      <c r="T7" s="118"/>
      <c r="U7" s="120">
        <v>20</v>
      </c>
      <c r="V7" s="120">
        <v>1</v>
      </c>
      <c r="W7" s="120">
        <v>127310.7843</v>
      </c>
      <c r="X7" s="120">
        <v>25.462160000000001</v>
      </c>
      <c r="Y7" s="121">
        <v>1.6360000000000001E-3</v>
      </c>
      <c r="Z7" s="121">
        <v>6.9999999999999999E-6</v>
      </c>
    </row>
    <row r="8" spans="1:26" ht="15" customHeight="1">
      <c r="A8" s="119">
        <v>360</v>
      </c>
      <c r="B8" s="119">
        <v>360</v>
      </c>
      <c r="C8" s="118" t="s">
        <v>1401</v>
      </c>
      <c r="D8" s="119">
        <v>520017708</v>
      </c>
      <c r="E8" s="118" t="s">
        <v>308</v>
      </c>
      <c r="F8" s="118" t="s">
        <v>1402</v>
      </c>
      <c r="G8" s="119">
        <v>44024</v>
      </c>
      <c r="H8" s="118" t="s">
        <v>311</v>
      </c>
      <c r="I8" s="118" t="s">
        <v>764</v>
      </c>
      <c r="J8" s="118" t="s">
        <v>203</v>
      </c>
      <c r="K8" s="118" t="s">
        <v>203</v>
      </c>
      <c r="L8" s="118" t="s">
        <v>325</v>
      </c>
      <c r="M8" s="118" t="s">
        <v>313</v>
      </c>
      <c r="N8" s="118" t="s">
        <v>338</v>
      </c>
      <c r="O8" s="122">
        <v>18811</v>
      </c>
      <c r="P8" s="118" t="s">
        <v>1215</v>
      </c>
      <c r="Q8" s="118" t="s">
        <v>313</v>
      </c>
      <c r="R8" s="118" t="s">
        <v>890</v>
      </c>
      <c r="S8" s="122">
        <v>45291</v>
      </c>
      <c r="T8" s="118"/>
      <c r="U8" s="120">
        <v>50</v>
      </c>
      <c r="V8" s="120">
        <v>1</v>
      </c>
      <c r="W8" s="120">
        <v>0.01</v>
      </c>
      <c r="X8" s="120">
        <v>1.0000000000000001E-5</v>
      </c>
      <c r="Y8" s="121">
        <v>0</v>
      </c>
      <c r="Z8" s="121">
        <v>0</v>
      </c>
    </row>
    <row r="9" spans="1:26" ht="15" customHeight="1">
      <c r="A9" s="119">
        <v>360</v>
      </c>
      <c r="B9" s="119">
        <v>360</v>
      </c>
      <c r="C9" s="118" t="s">
        <v>1403</v>
      </c>
      <c r="D9" s="119">
        <v>520025495</v>
      </c>
      <c r="E9" s="118" t="s">
        <v>308</v>
      </c>
      <c r="F9" s="118" t="s">
        <v>1404</v>
      </c>
      <c r="G9" s="119">
        <v>729715</v>
      </c>
      <c r="H9" s="118" t="s">
        <v>311</v>
      </c>
      <c r="I9" s="118" t="s">
        <v>764</v>
      </c>
      <c r="J9" s="118" t="s">
        <v>203</v>
      </c>
      <c r="K9" s="118" t="s">
        <v>203</v>
      </c>
      <c r="L9" s="118" t="s">
        <v>325</v>
      </c>
      <c r="M9" s="118" t="s">
        <v>313</v>
      </c>
      <c r="N9" s="118" t="s">
        <v>338</v>
      </c>
      <c r="O9" s="122">
        <v>24473</v>
      </c>
      <c r="P9" s="118" t="s">
        <v>1215</v>
      </c>
      <c r="Q9" s="118" t="s">
        <v>313</v>
      </c>
      <c r="R9" s="118" t="s">
        <v>890</v>
      </c>
      <c r="S9" s="122">
        <v>45291</v>
      </c>
      <c r="T9" s="118"/>
      <c r="U9" s="120">
        <v>1.1599999999999999</v>
      </c>
      <c r="V9" s="120">
        <v>1</v>
      </c>
      <c r="W9" s="120">
        <v>0.01</v>
      </c>
      <c r="X9" s="120">
        <v>9.9999999999999995E-7</v>
      </c>
      <c r="Y9" s="121">
        <v>0</v>
      </c>
      <c r="Z9" s="121">
        <v>0</v>
      </c>
    </row>
    <row r="10" spans="1:26" ht="15" customHeight="1">
      <c r="A10" s="119">
        <v>360</v>
      </c>
      <c r="B10" s="119">
        <v>360</v>
      </c>
      <c r="C10" s="118" t="s">
        <v>1405</v>
      </c>
      <c r="D10" s="119">
        <v>520025495</v>
      </c>
      <c r="E10" s="118" t="s">
        <v>308</v>
      </c>
      <c r="F10" s="118" t="s">
        <v>1406</v>
      </c>
      <c r="G10" s="119">
        <v>729996</v>
      </c>
      <c r="H10" s="118" t="s">
        <v>311</v>
      </c>
      <c r="I10" s="118" t="s">
        <v>764</v>
      </c>
      <c r="J10" s="118" t="s">
        <v>203</v>
      </c>
      <c r="K10" s="118" t="s">
        <v>203</v>
      </c>
      <c r="L10" s="118" t="s">
        <v>325</v>
      </c>
      <c r="M10" s="118" t="s">
        <v>313</v>
      </c>
      <c r="N10" s="118" t="s">
        <v>338</v>
      </c>
      <c r="O10" s="122">
        <v>24473</v>
      </c>
      <c r="P10" s="118" t="s">
        <v>1215</v>
      </c>
      <c r="Q10" s="118" t="s">
        <v>313</v>
      </c>
      <c r="R10" s="118" t="s">
        <v>890</v>
      </c>
      <c r="S10" s="122">
        <v>45291</v>
      </c>
      <c r="T10" s="118"/>
      <c r="U10" s="120">
        <v>735</v>
      </c>
      <c r="V10" s="120">
        <v>1</v>
      </c>
      <c r="W10" s="120">
        <v>9.9999999999999995E-7</v>
      </c>
      <c r="X10" s="120">
        <v>9.9999999999999995E-7</v>
      </c>
      <c r="Y10" s="121">
        <v>0</v>
      </c>
      <c r="Z10" s="121">
        <v>0</v>
      </c>
    </row>
    <row r="11" spans="1:26" ht="15" customHeight="1">
      <c r="A11" s="119">
        <v>360</v>
      </c>
      <c r="B11" s="119">
        <v>360</v>
      </c>
      <c r="C11" s="118" t="s">
        <v>1407</v>
      </c>
      <c r="D11" s="119">
        <v>520020579</v>
      </c>
      <c r="E11" s="118" t="s">
        <v>308</v>
      </c>
      <c r="F11" s="118" t="s">
        <v>1408</v>
      </c>
      <c r="G11" s="119">
        <v>797027</v>
      </c>
      <c r="H11" s="118" t="s">
        <v>311</v>
      </c>
      <c r="I11" s="118" t="s">
        <v>764</v>
      </c>
      <c r="J11" s="118" t="s">
        <v>203</v>
      </c>
      <c r="K11" s="118" t="s">
        <v>203</v>
      </c>
      <c r="L11" s="118" t="s">
        <v>325</v>
      </c>
      <c r="M11" s="118" t="s">
        <v>313</v>
      </c>
      <c r="N11" s="118" t="s">
        <v>338</v>
      </c>
      <c r="O11" s="122">
        <v>24965</v>
      </c>
      <c r="P11" s="118" t="s">
        <v>1215</v>
      </c>
      <c r="Q11" s="118" t="s">
        <v>313</v>
      </c>
      <c r="R11" s="118" t="s">
        <v>890</v>
      </c>
      <c r="S11" s="122">
        <v>45291</v>
      </c>
      <c r="T11" s="118"/>
      <c r="U11" s="120">
        <v>2.5</v>
      </c>
      <c r="V11" s="120">
        <v>1</v>
      </c>
      <c r="W11" s="120">
        <v>0.01</v>
      </c>
      <c r="X11" s="120">
        <v>9.9999999999999995E-7</v>
      </c>
      <c r="Y11" s="121">
        <v>0</v>
      </c>
      <c r="Z11" s="121">
        <v>0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37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4" t="s">
        <v>109</v>
      </c>
      <c r="E1" s="25" t="s">
        <v>110</v>
      </c>
      <c r="F1" s="25" t="s">
        <v>111</v>
      </c>
      <c r="G1" s="124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61</v>
      </c>
      <c r="V1" s="128" t="s">
        <v>117</v>
      </c>
      <c r="W1" s="123" t="s">
        <v>63</v>
      </c>
      <c r="X1" s="126" t="s">
        <v>118</v>
      </c>
      <c r="Y1" s="126" t="s">
        <v>64</v>
      </c>
      <c r="Z1" s="126" t="s">
        <v>65</v>
      </c>
      <c r="AA1" s="11"/>
    </row>
    <row r="2" spans="1:27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2"/>
      <c r="Q2" s="118"/>
      <c r="R2" s="118"/>
      <c r="S2" s="118"/>
      <c r="T2" s="122"/>
      <c r="U2" s="120"/>
      <c r="V2" s="120"/>
      <c r="W2" s="120"/>
      <c r="X2" s="121"/>
      <c r="Y2" s="121"/>
      <c r="Z2" s="121"/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>
      <selection activeCell="A3" sqref="A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25" t="s">
        <v>119</v>
      </c>
      <c r="AA1" s="126" t="s">
        <v>64</v>
      </c>
      <c r="AB1" s="126" t="s">
        <v>65</v>
      </c>
    </row>
    <row r="2" spans="1:28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18"/>
      <c r="AA2" s="121"/>
      <c r="AB2" s="12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2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4" width="9.625" bestFit="1" customWidth="1"/>
    <col min="5" max="5" width="10.375" bestFit="1" customWidth="1"/>
    <col min="6" max="6" width="9.125" bestFit="1" customWidth="1"/>
    <col min="7" max="7" width="11.375" bestFit="1" customWidth="1"/>
    <col min="8" max="8" width="11" bestFit="1" customWidth="1"/>
    <col min="9" max="9" width="11.5" bestFit="1" customWidth="1"/>
    <col min="10" max="10" width="10.875" bestFit="1" customWidth="1"/>
    <col min="11" max="11" width="9.625" bestFit="1" customWidth="1"/>
    <col min="12" max="12" width="10.375" bestFit="1" customWidth="1"/>
    <col min="13" max="13" width="8.625" bestFit="1" customWidth="1"/>
    <col min="14" max="14" width="11.375" bestFit="1" customWidth="1"/>
    <col min="15" max="15" width="11" bestFit="1" customWidth="1"/>
    <col min="16" max="16" width="10.875" bestFit="1" customWidth="1"/>
    <col min="17" max="18" width="11.5" bestFit="1" customWidth="1"/>
    <col min="19" max="19" width="8.75" bestFit="1" customWidth="1"/>
    <col min="20" max="20" width="10.75" bestFit="1" customWidth="1"/>
    <col min="21" max="21" width="7" bestFit="1" customWidth="1"/>
    <col min="22" max="22" width="9.375" bestFit="1" customWidth="1"/>
    <col min="23" max="23" width="8.875" bestFit="1" customWidth="1"/>
    <col min="24" max="24" width="4.25" bestFit="1" customWidth="1"/>
    <col min="25" max="25" width="9.625" bestFit="1" customWidth="1"/>
    <col min="26" max="26" width="9.25" bestFit="1" customWidth="1"/>
    <col min="27" max="28" width="10.75" bestFit="1" customWidth="1"/>
    <col min="29" max="29" width="8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124" t="s">
        <v>120</v>
      </c>
      <c r="E1" s="25" t="s">
        <v>121</v>
      </c>
      <c r="F1" s="123" t="s">
        <v>61</v>
      </c>
      <c r="G1" s="123" t="s">
        <v>122</v>
      </c>
      <c r="H1" s="123" t="s">
        <v>123</v>
      </c>
      <c r="I1" s="126" t="s">
        <v>124</v>
      </c>
      <c r="J1" s="126" t="s">
        <v>125</v>
      </c>
      <c r="K1" s="124" t="s">
        <v>126</v>
      </c>
      <c r="L1" s="25" t="s">
        <v>127</v>
      </c>
      <c r="M1" s="25" t="s">
        <v>61</v>
      </c>
      <c r="N1" s="123" t="s">
        <v>128</v>
      </c>
      <c r="O1" s="123" t="s">
        <v>129</v>
      </c>
      <c r="P1" s="126" t="s">
        <v>130</v>
      </c>
      <c r="Q1" s="126" t="s">
        <v>131</v>
      </c>
      <c r="R1" s="123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125" t="s">
        <v>137</v>
      </c>
      <c r="AA1" s="1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126" t="s">
        <v>144</v>
      </c>
      <c r="AI1" s="123" t="s">
        <v>145</v>
      </c>
      <c r="AJ1" s="123" t="s">
        <v>146</v>
      </c>
      <c r="AK1" s="25" t="s">
        <v>147</v>
      </c>
      <c r="AL1" s="126" t="s">
        <v>148</v>
      </c>
      <c r="AM1" s="25" t="s">
        <v>149</v>
      </c>
      <c r="AN1" s="126" t="s">
        <v>64</v>
      </c>
      <c r="AO1" s="126" t="s">
        <v>65</v>
      </c>
    </row>
    <row r="2" spans="1:41" ht="15" customHeight="1">
      <c r="A2" s="119">
        <v>360</v>
      </c>
      <c r="B2" s="119">
        <v>360</v>
      </c>
      <c r="C2" s="118"/>
      <c r="D2" s="119"/>
      <c r="E2" s="118"/>
      <c r="F2" s="120"/>
      <c r="G2" s="120"/>
      <c r="H2" s="120"/>
      <c r="I2" s="121"/>
      <c r="J2" s="121"/>
      <c r="K2" s="119"/>
      <c r="L2" s="118"/>
      <c r="M2" s="118"/>
      <c r="N2" s="120"/>
      <c r="O2" s="120"/>
      <c r="P2" s="121"/>
      <c r="Q2" s="121"/>
      <c r="R2" s="120"/>
      <c r="S2" s="118"/>
      <c r="T2" s="118"/>
      <c r="U2" s="118"/>
      <c r="V2" s="118"/>
      <c r="W2" s="118"/>
      <c r="X2" s="118"/>
      <c r="Y2" s="118"/>
      <c r="Z2" s="122"/>
      <c r="AA2" s="122"/>
      <c r="AB2" s="118"/>
      <c r="AC2" s="118"/>
      <c r="AD2" s="118"/>
      <c r="AE2" s="118"/>
      <c r="AF2" s="118"/>
      <c r="AG2" s="118"/>
      <c r="AH2" s="121"/>
      <c r="AI2" s="120"/>
      <c r="AJ2" s="120"/>
      <c r="AK2" s="118"/>
      <c r="AL2" s="121"/>
      <c r="AM2" s="118"/>
      <c r="AN2" s="121"/>
      <c r="AO2" s="121"/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6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8" bestFit="1" customWidth="1"/>
    <col min="5" max="5" width="24.62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14.12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6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8" bestFit="1" customWidth="1"/>
    <col min="30" max="30" width="10.7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5.125" bestFit="1" customWidth="1"/>
    <col min="44" max="44" width="9.125" bestFit="1" customWidth="1"/>
    <col min="45" max="45" width="8.625" bestFit="1" customWidth="1"/>
    <col min="46" max="47" width="11.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7.875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4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25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126" t="s">
        <v>163</v>
      </c>
      <c r="AF1" s="1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5" t="s">
        <v>107</v>
      </c>
      <c r="AP1" s="126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123" t="s">
        <v>78</v>
      </c>
      <c r="AW1" s="123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19">
        <v>360</v>
      </c>
      <c r="B2" s="119">
        <v>360</v>
      </c>
      <c r="C2" s="119"/>
      <c r="D2" s="118"/>
      <c r="E2" s="118"/>
      <c r="F2" s="119"/>
      <c r="G2" s="118"/>
      <c r="H2" s="118"/>
      <c r="I2" s="118"/>
      <c r="J2" s="118"/>
      <c r="K2" s="118"/>
      <c r="L2" s="118"/>
      <c r="M2" s="118"/>
      <c r="N2" s="119"/>
      <c r="O2" s="122"/>
      <c r="P2" s="118"/>
      <c r="Q2" s="118"/>
      <c r="R2" s="118"/>
      <c r="S2" s="118"/>
      <c r="T2" s="120"/>
      <c r="U2" s="118"/>
      <c r="V2" s="121"/>
      <c r="W2" s="118"/>
      <c r="X2" s="118"/>
      <c r="Y2" s="121"/>
      <c r="Z2" s="121"/>
      <c r="AA2" s="122"/>
      <c r="AB2" s="118"/>
      <c r="AC2" s="118"/>
      <c r="AD2" s="120"/>
      <c r="AE2" s="121"/>
      <c r="AF2" s="122"/>
      <c r="AG2" s="118"/>
      <c r="AH2" s="118"/>
      <c r="AI2" s="118"/>
      <c r="AJ2" s="118"/>
      <c r="AK2" s="118"/>
      <c r="AL2" s="118"/>
      <c r="AM2" s="118"/>
      <c r="AN2" s="122"/>
      <c r="AO2" s="122"/>
      <c r="AP2" s="121"/>
      <c r="AQ2" s="120"/>
      <c r="AR2" s="120"/>
      <c r="AS2" s="120"/>
      <c r="AT2" s="120"/>
      <c r="AU2" s="120"/>
      <c r="AV2" s="120"/>
      <c r="AW2" s="120"/>
      <c r="AX2" s="118"/>
      <c r="AY2" s="118"/>
      <c r="AZ2" s="121"/>
      <c r="BA2" s="121"/>
    </row>
    <row r="3" spans="1:53" ht="15" customHeight="1">
      <c r="A3" s="119"/>
      <c r="B3" s="119"/>
      <c r="C3" s="119"/>
      <c r="D3" s="118"/>
      <c r="E3" s="118"/>
      <c r="F3" s="119"/>
      <c r="G3" s="118"/>
      <c r="H3" s="118"/>
      <c r="I3" s="118"/>
      <c r="J3" s="118"/>
      <c r="K3" s="118"/>
      <c r="L3" s="118"/>
      <c r="M3" s="118"/>
      <c r="N3" s="118"/>
      <c r="O3" s="122"/>
      <c r="P3" s="118"/>
      <c r="Q3" s="118"/>
      <c r="R3" s="118"/>
      <c r="S3" s="118"/>
      <c r="T3" s="120"/>
      <c r="U3" s="118"/>
      <c r="V3" s="121"/>
      <c r="W3" s="118"/>
      <c r="X3" s="118"/>
      <c r="Y3" s="121"/>
      <c r="Z3" s="121"/>
      <c r="AA3" s="122"/>
      <c r="AB3" s="118"/>
      <c r="AC3" s="118"/>
      <c r="AD3" s="120"/>
      <c r="AE3" s="118"/>
      <c r="AF3" s="118"/>
      <c r="AG3" s="118"/>
      <c r="AH3" s="118"/>
      <c r="AI3" s="118"/>
      <c r="AJ3" s="118"/>
      <c r="AK3" s="118"/>
      <c r="AL3" s="118"/>
      <c r="AM3" s="118"/>
      <c r="AN3" s="122"/>
      <c r="AO3" s="118"/>
      <c r="AP3" s="118"/>
      <c r="AQ3" s="120"/>
      <c r="AR3" s="120"/>
      <c r="AS3" s="120"/>
      <c r="AT3" s="120"/>
      <c r="AU3" s="120"/>
      <c r="AV3" s="118"/>
      <c r="AW3" s="118"/>
      <c r="AX3" s="118"/>
      <c r="AY3" s="118"/>
      <c r="AZ3" s="121"/>
      <c r="BA3" s="121"/>
    </row>
    <row r="4" spans="1:53" ht="15" customHeight="1">
      <c r="A4" s="119"/>
      <c r="B4" s="119"/>
      <c r="C4" s="119"/>
      <c r="D4" s="118"/>
      <c r="E4" s="118"/>
      <c r="F4" s="119"/>
      <c r="G4" s="118"/>
      <c r="H4" s="118"/>
      <c r="I4" s="118"/>
      <c r="J4" s="118"/>
      <c r="K4" s="118"/>
      <c r="L4" s="118"/>
      <c r="M4" s="118"/>
      <c r="N4" s="118"/>
      <c r="O4" s="122"/>
      <c r="P4" s="118"/>
      <c r="Q4" s="118"/>
      <c r="R4" s="118"/>
      <c r="S4" s="118"/>
      <c r="T4" s="120"/>
      <c r="U4" s="118"/>
      <c r="V4" s="121"/>
      <c r="W4" s="118"/>
      <c r="X4" s="118"/>
      <c r="Y4" s="121"/>
      <c r="Z4" s="121"/>
      <c r="AA4" s="122"/>
      <c r="AB4" s="118"/>
      <c r="AC4" s="118"/>
      <c r="AD4" s="120"/>
      <c r="AE4" s="118"/>
      <c r="AF4" s="118"/>
      <c r="AG4" s="118"/>
      <c r="AH4" s="118"/>
      <c r="AI4" s="118"/>
      <c r="AJ4" s="118"/>
      <c r="AK4" s="118"/>
      <c r="AL4" s="118"/>
      <c r="AM4" s="118"/>
      <c r="AN4" s="122"/>
      <c r="AO4" s="118"/>
      <c r="AP4" s="118"/>
      <c r="AQ4" s="120"/>
      <c r="AR4" s="120"/>
      <c r="AS4" s="120"/>
      <c r="AT4" s="120"/>
      <c r="AU4" s="120"/>
      <c r="AV4" s="118"/>
      <c r="AW4" s="118"/>
      <c r="AX4" s="118"/>
      <c r="AY4" s="118"/>
      <c r="AZ4" s="121"/>
      <c r="BA4" s="121"/>
    </row>
    <row r="5" spans="1:53" ht="15" customHeight="1">
      <c r="A5" s="119"/>
      <c r="B5" s="119"/>
      <c r="C5" s="119"/>
      <c r="D5" s="118"/>
      <c r="E5" s="118"/>
      <c r="F5" s="119"/>
      <c r="G5" s="118"/>
      <c r="H5" s="118"/>
      <c r="I5" s="118"/>
      <c r="J5" s="118"/>
      <c r="K5" s="118"/>
      <c r="L5" s="118"/>
      <c r="M5" s="118"/>
      <c r="N5" s="118"/>
      <c r="O5" s="122"/>
      <c r="P5" s="118"/>
      <c r="Q5" s="118"/>
      <c r="R5" s="118"/>
      <c r="S5" s="118"/>
      <c r="T5" s="120"/>
      <c r="U5" s="118"/>
      <c r="V5" s="121"/>
      <c r="W5" s="118"/>
      <c r="X5" s="118"/>
      <c r="Y5" s="121"/>
      <c r="Z5" s="121"/>
      <c r="AA5" s="122"/>
      <c r="AB5" s="118"/>
      <c r="AC5" s="118"/>
      <c r="AD5" s="120"/>
      <c r="AE5" s="118"/>
      <c r="AF5" s="118"/>
      <c r="AG5" s="118"/>
      <c r="AH5" s="118"/>
      <c r="AI5" s="118"/>
      <c r="AJ5" s="118"/>
      <c r="AK5" s="118"/>
      <c r="AL5" s="118"/>
      <c r="AM5" s="118"/>
      <c r="AN5" s="122"/>
      <c r="AO5" s="118"/>
      <c r="AP5" s="118"/>
      <c r="AQ5" s="120"/>
      <c r="AR5" s="120"/>
      <c r="AS5" s="120"/>
      <c r="AT5" s="120"/>
      <c r="AU5" s="120"/>
      <c r="AV5" s="118"/>
      <c r="AW5" s="118"/>
      <c r="AX5" s="118"/>
      <c r="AY5" s="118"/>
      <c r="AZ5" s="121"/>
      <c r="BA5" s="121"/>
    </row>
    <row r="6" spans="1:53" ht="15" customHeight="1">
      <c r="A6" s="119"/>
      <c r="B6" s="119"/>
      <c r="C6" s="119"/>
      <c r="D6" s="118"/>
      <c r="E6" s="118"/>
      <c r="F6" s="119"/>
      <c r="G6" s="118"/>
      <c r="H6" s="118"/>
      <c r="I6" s="118"/>
      <c r="J6" s="118"/>
      <c r="K6" s="118"/>
      <c r="L6" s="118"/>
      <c r="M6" s="118"/>
      <c r="N6" s="118"/>
      <c r="O6" s="122"/>
      <c r="P6" s="118"/>
      <c r="Q6" s="118"/>
      <c r="R6" s="118"/>
      <c r="S6" s="118"/>
      <c r="T6" s="120"/>
      <c r="U6" s="118"/>
      <c r="V6" s="121"/>
      <c r="W6" s="118"/>
      <c r="X6" s="118"/>
      <c r="Y6" s="121"/>
      <c r="Z6" s="121"/>
      <c r="AA6" s="122"/>
      <c r="AB6" s="118"/>
      <c r="AC6" s="118"/>
      <c r="AD6" s="120"/>
      <c r="AE6" s="118"/>
      <c r="AF6" s="118"/>
      <c r="AG6" s="118"/>
      <c r="AH6" s="118"/>
      <c r="AI6" s="118"/>
      <c r="AJ6" s="118"/>
      <c r="AK6" s="118"/>
      <c r="AL6" s="118"/>
      <c r="AM6" s="118"/>
      <c r="AN6" s="122"/>
      <c r="AO6" s="118"/>
      <c r="AP6" s="118"/>
      <c r="AQ6" s="120"/>
      <c r="AR6" s="120"/>
      <c r="AS6" s="120"/>
      <c r="AT6" s="120"/>
      <c r="AU6" s="120"/>
      <c r="AV6" s="118"/>
      <c r="AW6" s="118"/>
      <c r="AX6" s="118"/>
      <c r="AY6" s="118"/>
      <c r="AZ6" s="121"/>
      <c r="BA6" s="121"/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126" t="s">
        <v>62</v>
      </c>
      <c r="U1" s="126" t="s">
        <v>74</v>
      </c>
      <c r="V1" s="25" t="s">
        <v>103</v>
      </c>
      <c r="W1" s="25" t="s">
        <v>104</v>
      </c>
      <c r="X1" s="125" t="s">
        <v>106</v>
      </c>
      <c r="Y1" s="123" t="s">
        <v>76</v>
      </c>
      <c r="Z1" s="123" t="s">
        <v>61</v>
      </c>
      <c r="AA1" s="123" t="s">
        <v>77</v>
      </c>
      <c r="AB1" s="123" t="s">
        <v>63</v>
      </c>
      <c r="AC1" s="126" t="s">
        <v>64</v>
      </c>
      <c r="AD1" s="126" t="s">
        <v>65</v>
      </c>
    </row>
    <row r="2" spans="1:30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21"/>
      <c r="U2" s="121"/>
      <c r="V2" s="118"/>
      <c r="W2" s="118"/>
      <c r="X2" s="122"/>
      <c r="Y2" s="120"/>
      <c r="Z2" s="120"/>
      <c r="AA2" s="120"/>
      <c r="AB2" s="120"/>
      <c r="AC2" s="121"/>
      <c r="AD2" s="121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3" t="s">
        <v>72</v>
      </c>
      <c r="O1" s="126" t="s">
        <v>62</v>
      </c>
      <c r="P1" s="126" t="s">
        <v>74</v>
      </c>
      <c r="Q1" s="123" t="s">
        <v>60</v>
      </c>
      <c r="R1" s="123" t="s">
        <v>61</v>
      </c>
      <c r="S1" s="123" t="s">
        <v>174</v>
      </c>
      <c r="T1" s="123" t="s">
        <v>63</v>
      </c>
      <c r="U1" s="126" t="s">
        <v>64</v>
      </c>
      <c r="V1" s="126" t="s">
        <v>65</v>
      </c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8"/>
      <c r="D2" s="118"/>
      <c r="E2" s="118"/>
      <c r="F2" s="118"/>
      <c r="G2" s="122"/>
      <c r="H2" s="118"/>
      <c r="I2" s="118"/>
      <c r="J2" s="118"/>
      <c r="K2" s="118"/>
      <c r="L2" s="118"/>
      <c r="M2" s="118"/>
      <c r="N2" s="120"/>
      <c r="O2" s="121"/>
      <c r="P2" s="121"/>
      <c r="Q2" s="120"/>
      <c r="R2" s="120"/>
      <c r="S2" s="120"/>
      <c r="T2" s="120"/>
      <c r="U2" s="121"/>
      <c r="V2" s="121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12"/>
  <sheetViews>
    <sheetView rightToLeft="1" workbookViewId="0">
      <selection activeCell="K17" sqref="K17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3.75" bestFit="1" customWidth="1"/>
    <col min="4" max="4" width="9.625" bestFit="1" customWidth="1"/>
    <col min="5" max="5" width="10" bestFit="1" customWidth="1"/>
    <col min="6" max="6" width="9.625" bestFit="1" customWidth="1"/>
    <col min="7" max="7" width="10.125" bestFit="1" customWidth="1"/>
    <col min="8" max="8" width="15.875" bestFit="1" customWidth="1"/>
    <col min="9" max="9" width="11.25" bestFit="1" customWidth="1"/>
    <col min="10" max="10" width="39" bestFit="1" customWidth="1"/>
    <col min="11" max="11" width="10.75" bestFit="1" customWidth="1"/>
    <col min="12" max="12" width="12.25" bestFit="1" customWidth="1"/>
    <col min="13" max="13" width="13.25" bestFit="1" customWidth="1"/>
    <col min="14" max="14" width="18.875" bestFit="1" customWidth="1"/>
    <col min="15" max="15" width="10.875" bestFit="1" customWidth="1"/>
    <col min="16" max="16" width="10.625" bestFit="1" customWidth="1"/>
    <col min="17" max="17" width="9.875" bestFit="1" customWidth="1"/>
    <col min="18" max="19" width="10.87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25" t="s">
        <v>97</v>
      </c>
      <c r="H1" s="25" t="s">
        <v>177</v>
      </c>
      <c r="I1" s="25" t="s">
        <v>178</v>
      </c>
      <c r="J1" s="25" t="s">
        <v>179</v>
      </c>
      <c r="K1" s="25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25" t="s">
        <v>106</v>
      </c>
      <c r="Q1" s="25" t="s">
        <v>59</v>
      </c>
      <c r="R1" s="25" t="s">
        <v>172</v>
      </c>
      <c r="S1" s="25" t="s">
        <v>63</v>
      </c>
      <c r="T1" s="123" t="s">
        <v>78</v>
      </c>
      <c r="U1" s="123" t="s">
        <v>88</v>
      </c>
      <c r="V1" s="25" t="s">
        <v>17</v>
      </c>
      <c r="W1" s="25" t="s">
        <v>64</v>
      </c>
      <c r="X1" s="25" t="s">
        <v>65</v>
      </c>
      <c r="Y1" s="11"/>
      <c r="Z1" s="11"/>
    </row>
    <row r="2" spans="1:26" ht="15" customHeight="1">
      <c r="A2" s="119">
        <v>360</v>
      </c>
      <c r="B2" s="119">
        <v>360</v>
      </c>
      <c r="C2" s="118" t="s">
        <v>1409</v>
      </c>
      <c r="D2" s="118" t="s">
        <v>1031</v>
      </c>
      <c r="E2" s="118" t="s">
        <v>203</v>
      </c>
      <c r="F2" s="118" t="s">
        <v>338</v>
      </c>
      <c r="G2" s="122">
        <v>21976</v>
      </c>
      <c r="H2" s="118" t="s">
        <v>859</v>
      </c>
      <c r="I2" s="118" t="s">
        <v>868</v>
      </c>
      <c r="J2" s="118" t="s">
        <v>1410</v>
      </c>
      <c r="K2" s="121">
        <v>0</v>
      </c>
      <c r="L2" s="118"/>
      <c r="M2" s="118" t="s">
        <v>888</v>
      </c>
      <c r="N2" s="118"/>
      <c r="O2" s="118" t="s">
        <v>890</v>
      </c>
      <c r="P2" s="122">
        <v>45291</v>
      </c>
      <c r="Q2" s="118" t="s">
        <v>1215</v>
      </c>
      <c r="R2" s="120">
        <v>2140</v>
      </c>
      <c r="S2" s="120">
        <v>2140</v>
      </c>
      <c r="T2" s="120"/>
      <c r="U2" s="120"/>
      <c r="V2" s="118"/>
      <c r="W2" s="121">
        <v>5.2692999999999997E-2</v>
      </c>
      <c r="X2" s="121">
        <v>6.4999999999999997E-4</v>
      </c>
    </row>
    <row r="3" spans="1:26" ht="15" customHeight="1">
      <c r="A3" s="119">
        <v>360</v>
      </c>
      <c r="B3" s="119">
        <v>360</v>
      </c>
      <c r="C3" s="118" t="s">
        <v>1411</v>
      </c>
      <c r="D3" s="118" t="s">
        <v>1031</v>
      </c>
      <c r="E3" s="118" t="s">
        <v>203</v>
      </c>
      <c r="F3" s="118" t="s">
        <v>338</v>
      </c>
      <c r="G3" s="122">
        <v>21976</v>
      </c>
      <c r="H3" s="118" t="s">
        <v>859</v>
      </c>
      <c r="I3" s="118" t="s">
        <v>868</v>
      </c>
      <c r="J3" s="118" t="s">
        <v>1412</v>
      </c>
      <c r="K3" s="121">
        <v>0</v>
      </c>
      <c r="L3" s="118"/>
      <c r="M3" s="118" t="s">
        <v>888</v>
      </c>
      <c r="N3" s="118"/>
      <c r="O3" s="118" t="s">
        <v>890</v>
      </c>
      <c r="P3" s="122">
        <v>45291</v>
      </c>
      <c r="Q3" s="118" t="s">
        <v>1215</v>
      </c>
      <c r="R3" s="120">
        <v>1520</v>
      </c>
      <c r="S3" s="120">
        <v>1520</v>
      </c>
      <c r="T3" s="118"/>
      <c r="U3" s="118"/>
      <c r="V3" s="118"/>
      <c r="W3" s="121">
        <v>3.7427000000000002E-2</v>
      </c>
      <c r="X3" s="121">
        <v>4.6200000000000001E-4</v>
      </c>
    </row>
    <row r="4" spans="1:26" ht="15" customHeight="1">
      <c r="A4" s="119">
        <v>360</v>
      </c>
      <c r="B4" s="119">
        <v>360</v>
      </c>
      <c r="C4" s="118" t="s">
        <v>1413</v>
      </c>
      <c r="D4" s="118" t="s">
        <v>1031</v>
      </c>
      <c r="E4" s="118" t="s">
        <v>203</v>
      </c>
      <c r="F4" s="118" t="s">
        <v>338</v>
      </c>
      <c r="G4" s="122">
        <v>21976</v>
      </c>
      <c r="H4" s="118" t="s">
        <v>859</v>
      </c>
      <c r="I4" s="118" t="s">
        <v>868</v>
      </c>
      <c r="J4" s="118" t="s">
        <v>1414</v>
      </c>
      <c r="K4" s="121">
        <v>0</v>
      </c>
      <c r="L4" s="118"/>
      <c r="M4" s="118" t="s">
        <v>888</v>
      </c>
      <c r="N4" s="118"/>
      <c r="O4" s="118" t="s">
        <v>890</v>
      </c>
      <c r="P4" s="122">
        <v>45291</v>
      </c>
      <c r="Q4" s="118" t="s">
        <v>1215</v>
      </c>
      <c r="R4" s="120">
        <v>8155</v>
      </c>
      <c r="S4" s="120">
        <v>8155</v>
      </c>
      <c r="T4" s="118"/>
      <c r="U4" s="118"/>
      <c r="V4" s="118"/>
      <c r="W4" s="121">
        <v>0.20080200000000001</v>
      </c>
      <c r="X4" s="121">
        <v>2.4780000000000002E-3</v>
      </c>
    </row>
    <row r="5" spans="1:26" ht="15" customHeight="1">
      <c r="A5" s="119">
        <v>360</v>
      </c>
      <c r="B5" s="119">
        <v>360</v>
      </c>
      <c r="C5" s="118" t="s">
        <v>1415</v>
      </c>
      <c r="D5" s="118" t="s">
        <v>1031</v>
      </c>
      <c r="E5" s="118" t="s">
        <v>203</v>
      </c>
      <c r="F5" s="118" t="s">
        <v>338</v>
      </c>
      <c r="G5" s="122">
        <v>21976</v>
      </c>
      <c r="H5" s="118" t="s">
        <v>859</v>
      </c>
      <c r="I5" s="118" t="s">
        <v>868</v>
      </c>
      <c r="J5" s="118" t="s">
        <v>1416</v>
      </c>
      <c r="K5" s="121">
        <v>0</v>
      </c>
      <c r="L5" s="118"/>
      <c r="M5" s="118" t="s">
        <v>888</v>
      </c>
      <c r="N5" s="118"/>
      <c r="O5" s="118" t="s">
        <v>890</v>
      </c>
      <c r="P5" s="122">
        <v>45291</v>
      </c>
      <c r="Q5" s="118" t="s">
        <v>1215</v>
      </c>
      <c r="R5" s="120">
        <v>3262</v>
      </c>
      <c r="S5" s="120">
        <v>3262</v>
      </c>
      <c r="T5" s="118"/>
      <c r="U5" s="118"/>
      <c r="V5" s="118"/>
      <c r="W5" s="121">
        <v>8.0320000000000003E-2</v>
      </c>
      <c r="X5" s="121">
        <v>9.9099999999999991E-4</v>
      </c>
    </row>
    <row r="6" spans="1:26" ht="15" customHeight="1">
      <c r="A6" s="119">
        <v>360</v>
      </c>
      <c r="B6" s="119">
        <v>360</v>
      </c>
      <c r="C6" s="118" t="s">
        <v>1417</v>
      </c>
      <c r="D6" s="118" t="s">
        <v>1031</v>
      </c>
      <c r="E6" s="118" t="s">
        <v>203</v>
      </c>
      <c r="F6" s="118" t="s">
        <v>338</v>
      </c>
      <c r="G6" s="122">
        <v>21976</v>
      </c>
      <c r="H6" s="118" t="s">
        <v>859</v>
      </c>
      <c r="I6" s="118" t="s">
        <v>868</v>
      </c>
      <c r="J6" s="118" t="s">
        <v>1418</v>
      </c>
      <c r="K6" s="121">
        <v>0</v>
      </c>
      <c r="L6" s="118"/>
      <c r="M6" s="118" t="s">
        <v>888</v>
      </c>
      <c r="N6" s="118"/>
      <c r="O6" s="118" t="s">
        <v>890</v>
      </c>
      <c r="P6" s="122">
        <v>45291</v>
      </c>
      <c r="Q6" s="118" t="s">
        <v>1215</v>
      </c>
      <c r="R6" s="120">
        <v>1215</v>
      </c>
      <c r="S6" s="120">
        <v>1215</v>
      </c>
      <c r="T6" s="118"/>
      <c r="U6" s="118"/>
      <c r="V6" s="118"/>
      <c r="W6" s="121">
        <v>2.9916999999999999E-2</v>
      </c>
      <c r="X6" s="121">
        <v>3.6900000000000002E-4</v>
      </c>
    </row>
    <row r="7" spans="1:26" ht="15" customHeight="1">
      <c r="A7" s="119">
        <v>360</v>
      </c>
      <c r="B7" s="119">
        <v>360</v>
      </c>
      <c r="C7" s="118" t="s">
        <v>1419</v>
      </c>
      <c r="D7" s="118" t="s">
        <v>1031</v>
      </c>
      <c r="E7" s="118" t="s">
        <v>203</v>
      </c>
      <c r="F7" s="118" t="s">
        <v>338</v>
      </c>
      <c r="G7" s="122">
        <v>21976</v>
      </c>
      <c r="H7" s="118" t="s">
        <v>859</v>
      </c>
      <c r="I7" s="118" t="s">
        <v>868</v>
      </c>
      <c r="J7" s="118" t="s">
        <v>1420</v>
      </c>
      <c r="K7" s="121">
        <v>0</v>
      </c>
      <c r="L7" s="118"/>
      <c r="M7" s="118" t="s">
        <v>888</v>
      </c>
      <c r="N7" s="118"/>
      <c r="O7" s="118" t="s">
        <v>890</v>
      </c>
      <c r="P7" s="122">
        <v>45291</v>
      </c>
      <c r="Q7" s="118" t="s">
        <v>1215</v>
      </c>
      <c r="R7" s="120">
        <v>192</v>
      </c>
      <c r="S7" s="120">
        <v>192</v>
      </c>
      <c r="T7" s="118"/>
      <c r="U7" s="118"/>
      <c r="V7" s="118"/>
      <c r="W7" s="121">
        <v>4.7270000000000003E-3</v>
      </c>
      <c r="X7" s="121">
        <v>5.8E-5</v>
      </c>
    </row>
    <row r="8" spans="1:26" ht="15" customHeight="1">
      <c r="A8" s="119">
        <v>360</v>
      </c>
      <c r="B8" s="119">
        <v>360</v>
      </c>
      <c r="C8" s="118" t="s">
        <v>1421</v>
      </c>
      <c r="D8" s="118" t="s">
        <v>1031</v>
      </c>
      <c r="E8" s="118" t="s">
        <v>203</v>
      </c>
      <c r="F8" s="118" t="s">
        <v>338</v>
      </c>
      <c r="G8" s="122">
        <v>21976</v>
      </c>
      <c r="H8" s="118" t="s">
        <v>859</v>
      </c>
      <c r="I8" s="118" t="s">
        <v>868</v>
      </c>
      <c r="J8" s="118" t="s">
        <v>1422</v>
      </c>
      <c r="K8" s="121">
        <v>0</v>
      </c>
      <c r="L8" s="118"/>
      <c r="M8" s="118" t="s">
        <v>888</v>
      </c>
      <c r="N8" s="118"/>
      <c r="O8" s="118" t="s">
        <v>890</v>
      </c>
      <c r="P8" s="122">
        <v>45291</v>
      </c>
      <c r="Q8" s="118" t="s">
        <v>1215</v>
      </c>
      <c r="R8" s="120">
        <v>10987.14</v>
      </c>
      <c r="S8" s="120">
        <v>10987.14</v>
      </c>
      <c r="T8" s="118"/>
      <c r="U8" s="118"/>
      <c r="V8" s="118"/>
      <c r="W8" s="121">
        <v>0.270538</v>
      </c>
      <c r="X8" s="121">
        <v>3.339E-3</v>
      </c>
    </row>
    <row r="9" spans="1:26" ht="15" customHeight="1">
      <c r="A9" s="119">
        <v>360</v>
      </c>
      <c r="B9" s="119">
        <v>360</v>
      </c>
      <c r="C9" s="118" t="s">
        <v>1423</v>
      </c>
      <c r="D9" s="118" t="s">
        <v>1031</v>
      </c>
      <c r="E9" s="118" t="s">
        <v>203</v>
      </c>
      <c r="F9" s="118" t="s">
        <v>338</v>
      </c>
      <c r="G9" s="122">
        <v>21976</v>
      </c>
      <c r="H9" s="118" t="s">
        <v>859</v>
      </c>
      <c r="I9" s="118" t="s">
        <v>868</v>
      </c>
      <c r="J9" s="118" t="s">
        <v>1424</v>
      </c>
      <c r="K9" s="121">
        <v>0</v>
      </c>
      <c r="L9" s="118"/>
      <c r="M9" s="118" t="s">
        <v>888</v>
      </c>
      <c r="N9" s="118"/>
      <c r="O9" s="118" t="s">
        <v>890</v>
      </c>
      <c r="P9" s="122">
        <v>45291</v>
      </c>
      <c r="Q9" s="118" t="s">
        <v>1215</v>
      </c>
      <c r="R9" s="120">
        <v>5796</v>
      </c>
      <c r="S9" s="120">
        <v>5796</v>
      </c>
      <c r="T9" s="118"/>
      <c r="U9" s="118"/>
      <c r="V9" s="118"/>
      <c r="W9" s="121">
        <v>0.14271600000000001</v>
      </c>
      <c r="X9" s="121">
        <v>1.761E-3</v>
      </c>
    </row>
    <row r="10" spans="1:26" ht="15" customHeight="1">
      <c r="A10" s="119">
        <v>360</v>
      </c>
      <c r="B10" s="119">
        <v>360</v>
      </c>
      <c r="C10" s="118" t="s">
        <v>1425</v>
      </c>
      <c r="D10" s="118" t="s">
        <v>1031</v>
      </c>
      <c r="E10" s="118" t="s">
        <v>203</v>
      </c>
      <c r="F10" s="118" t="s">
        <v>338</v>
      </c>
      <c r="G10" s="122">
        <v>21976</v>
      </c>
      <c r="H10" s="118" t="s">
        <v>859</v>
      </c>
      <c r="I10" s="118" t="s">
        <v>868</v>
      </c>
      <c r="J10" s="118" t="s">
        <v>1426</v>
      </c>
      <c r="K10" s="121">
        <v>0</v>
      </c>
      <c r="L10" s="118"/>
      <c r="M10" s="118" t="s">
        <v>888</v>
      </c>
      <c r="N10" s="118"/>
      <c r="O10" s="118" t="s">
        <v>890</v>
      </c>
      <c r="P10" s="122">
        <v>45291</v>
      </c>
      <c r="Q10" s="118" t="s">
        <v>1215</v>
      </c>
      <c r="R10" s="120">
        <v>1370.9349999999999</v>
      </c>
      <c r="S10" s="120">
        <v>1370.9349999999999</v>
      </c>
      <c r="T10" s="118"/>
      <c r="U10" s="118"/>
      <c r="V10" s="118"/>
      <c r="W10" s="121">
        <v>3.3756000000000001E-2</v>
      </c>
      <c r="X10" s="121">
        <v>4.1599999999999997E-4</v>
      </c>
    </row>
    <row r="11" spans="1:26" ht="15" customHeight="1">
      <c r="A11" s="119">
        <v>360</v>
      </c>
      <c r="B11" s="119">
        <v>360</v>
      </c>
      <c r="C11" s="118" t="s">
        <v>1427</v>
      </c>
      <c r="D11" s="118" t="s">
        <v>1031</v>
      </c>
      <c r="E11" s="118" t="s">
        <v>203</v>
      </c>
      <c r="F11" s="118" t="s">
        <v>338</v>
      </c>
      <c r="G11" s="122">
        <v>21976</v>
      </c>
      <c r="H11" s="118" t="s">
        <v>859</v>
      </c>
      <c r="I11" s="118" t="s">
        <v>868</v>
      </c>
      <c r="J11" s="118" t="s">
        <v>1428</v>
      </c>
      <c r="K11" s="121">
        <v>0</v>
      </c>
      <c r="L11" s="118"/>
      <c r="M11" s="118" t="s">
        <v>888</v>
      </c>
      <c r="N11" s="118"/>
      <c r="O11" s="118" t="s">
        <v>890</v>
      </c>
      <c r="P11" s="122">
        <v>45291</v>
      </c>
      <c r="Q11" s="118" t="s">
        <v>1215</v>
      </c>
      <c r="R11" s="120">
        <v>5349</v>
      </c>
      <c r="S11" s="120">
        <v>5349</v>
      </c>
      <c r="T11" s="118"/>
      <c r="U11" s="118"/>
      <c r="V11" s="118"/>
      <c r="W11" s="121">
        <v>0.13170899999999999</v>
      </c>
      <c r="X11" s="121">
        <v>1.6249999999999999E-3</v>
      </c>
    </row>
    <row r="12" spans="1:26" ht="15" customHeight="1">
      <c r="A12" s="119">
        <v>360</v>
      </c>
      <c r="B12" s="119">
        <v>360</v>
      </c>
      <c r="C12" s="118" t="s">
        <v>1429</v>
      </c>
      <c r="D12" s="118" t="s">
        <v>1031</v>
      </c>
      <c r="E12" s="118" t="s">
        <v>203</v>
      </c>
      <c r="F12" s="118" t="s">
        <v>338</v>
      </c>
      <c r="G12" s="122">
        <v>21976</v>
      </c>
      <c r="H12" s="118" t="s">
        <v>859</v>
      </c>
      <c r="I12" s="118" t="s">
        <v>868</v>
      </c>
      <c r="J12" s="118" t="s">
        <v>1430</v>
      </c>
      <c r="K12" s="121">
        <v>0</v>
      </c>
      <c r="L12" s="118"/>
      <c r="M12" s="118" t="s">
        <v>888</v>
      </c>
      <c r="N12" s="118"/>
      <c r="O12" s="118" t="s">
        <v>890</v>
      </c>
      <c r="P12" s="122">
        <v>45291</v>
      </c>
      <c r="Q12" s="118" t="s">
        <v>1215</v>
      </c>
      <c r="R12" s="120">
        <v>625</v>
      </c>
      <c r="S12" s="120">
        <v>625</v>
      </c>
      <c r="T12" s="118"/>
      <c r="U12" s="118"/>
      <c r="V12" s="118"/>
      <c r="W12" s="121">
        <v>1.5389E-2</v>
      </c>
      <c r="X12" s="121">
        <v>1.8900000000000001E-4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5" t="s">
        <v>106</v>
      </c>
      <c r="R1" s="125" t="s">
        <v>107</v>
      </c>
      <c r="S1" s="126" t="s">
        <v>182</v>
      </c>
      <c r="T1" s="123" t="s">
        <v>183</v>
      </c>
      <c r="U1" s="123" t="s">
        <v>63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2"/>
      <c r="R2" s="122"/>
      <c r="S2" s="121"/>
      <c r="T2" s="120"/>
      <c r="U2" s="120"/>
      <c r="V2" s="121"/>
      <c r="W2" s="121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2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8.125" bestFit="1" customWidth="1"/>
    <col min="4" max="4" width="9.125" bestFit="1" customWidth="1"/>
    <col min="5" max="5" width="10.25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3.5" bestFit="1" customWidth="1"/>
    <col min="13" max="13" width="8.625" bestFit="1" customWidth="1"/>
    <col min="14" max="14" width="13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3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8" t="s">
        <v>1431</v>
      </c>
      <c r="D2" s="119">
        <v>7893834</v>
      </c>
      <c r="E2" s="118" t="s">
        <v>1034</v>
      </c>
      <c r="F2" s="118" t="s">
        <v>203</v>
      </c>
      <c r="G2" s="118" t="s">
        <v>203</v>
      </c>
      <c r="H2" s="118" t="s">
        <v>338</v>
      </c>
      <c r="I2" s="122">
        <v>37668</v>
      </c>
      <c r="J2" s="118" t="s">
        <v>1215</v>
      </c>
      <c r="K2" s="122">
        <v>45565</v>
      </c>
      <c r="L2" s="120">
        <v>1241029.8639499999</v>
      </c>
      <c r="M2" s="120">
        <v>1</v>
      </c>
      <c r="N2" s="120">
        <v>1241029.8639499999</v>
      </c>
      <c r="O2" s="120"/>
      <c r="P2" s="118"/>
      <c r="Q2" s="121">
        <v>1</v>
      </c>
      <c r="R2" s="121">
        <v>0.37721700000000002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1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3" t="s">
        <v>61</v>
      </c>
      <c r="P1" s="126" t="s">
        <v>62</v>
      </c>
      <c r="Q1" s="25" t="s">
        <v>159</v>
      </c>
      <c r="R1" s="123" t="s">
        <v>188</v>
      </c>
      <c r="S1" s="123" t="s">
        <v>189</v>
      </c>
      <c r="T1" s="126" t="s">
        <v>190</v>
      </c>
      <c r="U1" s="11"/>
      <c r="V1" s="11"/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9"/>
      <c r="D2" s="118"/>
      <c r="E2" s="118"/>
      <c r="F2" s="119"/>
      <c r="G2" s="122"/>
      <c r="H2" s="118"/>
      <c r="I2" s="118"/>
      <c r="J2" s="118"/>
      <c r="K2" s="118"/>
      <c r="L2" s="118"/>
      <c r="M2" s="118"/>
      <c r="N2" s="118"/>
      <c r="O2" s="120"/>
      <c r="P2" s="121"/>
      <c r="Q2" s="118"/>
      <c r="R2" s="120"/>
      <c r="S2" s="120"/>
      <c r="T2" s="121"/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4" t="s">
        <v>109</v>
      </c>
      <c r="F1" s="25" t="s">
        <v>110</v>
      </c>
      <c r="G1" s="25" t="s">
        <v>111</v>
      </c>
      <c r="H1" s="124" t="s">
        <v>112</v>
      </c>
      <c r="I1" s="25" t="s">
        <v>113</v>
      </c>
      <c r="J1" s="25" t="s">
        <v>59</v>
      </c>
      <c r="K1" s="125" t="s">
        <v>191</v>
      </c>
      <c r="L1" s="123" t="s">
        <v>192</v>
      </c>
      <c r="M1" s="123" t="s">
        <v>193</v>
      </c>
      <c r="N1" s="123" t="s">
        <v>194</v>
      </c>
      <c r="O1" s="123" t="s">
        <v>195</v>
      </c>
      <c r="P1" s="126" t="s">
        <v>196</v>
      </c>
      <c r="Q1" s="1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8"/>
      <c r="D2" s="118"/>
      <c r="E2" s="119"/>
      <c r="F2" s="118"/>
      <c r="G2" s="118"/>
      <c r="H2" s="119"/>
      <c r="I2" s="118"/>
      <c r="J2" s="118"/>
      <c r="K2" s="122"/>
      <c r="L2" s="120"/>
      <c r="M2" s="120"/>
      <c r="N2" s="120"/>
      <c r="O2" s="120"/>
      <c r="P2" s="121"/>
      <c r="Q2" s="122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2024-11-05T05:33:17Z</dcterms:modified>
</cp:coreProperties>
</file>