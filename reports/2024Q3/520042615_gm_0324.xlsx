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Hamahar_gemel\"/>
    </mc:Choice>
  </mc:AlternateContent>
  <xr:revisionPtr revIDLastSave="0" documentId="13_ncr:1_{A661F50E-BC46-4FE8-9BA5-E3B5124C4478}" xr6:coauthVersionLast="36" xr6:coauthVersionMax="36" xr10:uidLastSave="{00000000-0000-0000-0000-000000000000}"/>
  <bookViews>
    <workbookView xWindow="-120" yWindow="-120" windowWidth="29040" windowHeight="15720" tabRatio="840" firstSheet="25" activeTab="3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30" hidden="1">'יתרות התחייבות להשקעה'!$A$1:$V$74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7" hidden="1">'קרנות סל'!$A$1:$X$1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D28" i="2"/>
  <c r="B28" i="2"/>
  <c r="B27" i="2"/>
  <c r="D27" i="2" s="1"/>
  <c r="D26" i="2"/>
  <c r="B26" i="2"/>
  <c r="B25" i="2"/>
  <c r="D25" i="2" s="1"/>
  <c r="D24" i="2"/>
  <c r="B24" i="2"/>
  <c r="B23" i="2"/>
  <c r="D23" i="2" s="1"/>
  <c r="D22" i="2"/>
  <c r="B22" i="2"/>
  <c r="B21" i="2"/>
  <c r="D21" i="2" s="1"/>
  <c r="D20" i="2"/>
  <c r="B20" i="2"/>
  <c r="B19" i="2"/>
  <c r="D19" i="2" s="1"/>
  <c r="D18" i="2"/>
  <c r="B18" i="2"/>
  <c r="B17" i="2"/>
  <c r="D17" i="2" s="1"/>
  <c r="D16" i="2"/>
  <c r="B16" i="2"/>
  <c r="B15" i="2"/>
  <c r="D15" i="2" s="1"/>
  <c r="D14" i="2"/>
  <c r="B14" i="2"/>
  <c r="B13" i="2"/>
  <c r="D13" i="2" s="1"/>
  <c r="D12" i="2"/>
  <c r="B12" i="2"/>
  <c r="B11" i="2"/>
  <c r="D11" i="2" s="1"/>
  <c r="D10" i="2"/>
  <c r="B10" i="2"/>
  <c r="B9" i="2"/>
  <c r="D9" i="2" s="1"/>
  <c r="D8" i="2"/>
  <c r="B8" i="2"/>
  <c r="B7" i="2"/>
  <c r="D7" i="2" s="1"/>
  <c r="D6" i="2"/>
  <c r="B6" i="2"/>
  <c r="B5" i="2"/>
  <c r="D5" i="2" s="1"/>
  <c r="D4" i="2"/>
  <c r="B4" i="2"/>
  <c r="B3" i="2"/>
  <c r="B30" i="2" s="1"/>
  <c r="D15" i="38"/>
  <c r="D13" i="38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D3" i="2"/>
  <c r="D30" i="2" s="1"/>
  <c r="E30" i="2" l="1"/>
</calcChain>
</file>

<file path=xl/sharedStrings.xml><?xml version="1.0" encoding="utf-8"?>
<sst xmlns="http://schemas.openxmlformats.org/spreadsheetml/2006/main" count="21419" uniqueCount="2820">
  <si>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</si>
  <si>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</si>
  <si>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</si>
  <si>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</si>
  <si>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</si>
  <si>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</si>
  <si>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</si>
  <si>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</si>
  <si>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</si>
  <si>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</si>
  <si>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</si>
  <si>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</si>
  <si>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</si>
  <si>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</si>
  <si>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</si>
  <si>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</si>
  <si>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</si>
  <si>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</si>
  <si>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</si>
  <si>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</si>
  <si>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</si>
  <si>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</si>
  <si>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</si>
  <si>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</si>
  <si>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</si>
  <si>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</si>
  <si>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</si>
  <si>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2 7/8 03/16/26</t>
  </si>
  <si>
    <t>US46513CXR23</t>
  </si>
  <si>
    <t>צמוד מט"ח בריבית קבועה</t>
  </si>
  <si>
    <t>ישראל</t>
  </si>
  <si>
    <t>אחר</t>
  </si>
  <si>
    <t>A+</t>
  </si>
  <si>
    <t>Moodys</t>
  </si>
  <si>
    <t>USD</t>
  </si>
  <si>
    <t>16/03/2026</t>
  </si>
  <si>
    <t>שווי הוגן</t>
  </si>
  <si>
    <t>בנק ישראל- מק"מ</t>
  </si>
  <si>
    <t>מ.ק.מ. 315</t>
  </si>
  <si>
    <t>IL0082503181</t>
  </si>
  <si>
    <t>מק"מ קצר משנים עשר חודשים</t>
  </si>
  <si>
    <t>TASE </t>
  </si>
  <si>
    <t>RF</t>
  </si>
  <si>
    <t>פנימי</t>
  </si>
  <si>
    <t>ILS</t>
  </si>
  <si>
    <t>05/03/2025</t>
  </si>
  <si>
    <t>מ.ק.מ. 415</t>
  </si>
  <si>
    <t>IL0082504171</t>
  </si>
  <si>
    <t>02/04/2025</t>
  </si>
  <si>
    <t>מלווה קצר מועד 515</t>
  </si>
  <si>
    <t>IL0082505160</t>
  </si>
  <si>
    <t>07/05/2025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</si>
  <si>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</si>
  <si>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</si>
  <si>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</si>
  <si>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</si>
  <si>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</si>
  <si>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</si>
  <si>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</si>
  <si>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</si>
  <si>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</si>
  <si>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</si>
  <si>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</si>
  <si>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</si>
  <si>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</si>
  <si>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</si>
  <si>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</si>
  <si>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</si>
  <si>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</si>
  <si>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</si>
  <si>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</si>
  <si>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</si>
  <si>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</si>
  <si>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</si>
  <si>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</si>
  <si>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</si>
  <si>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</si>
  <si>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</si>
  <si>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</si>
  <si>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</si>
  <si>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</si>
  <si>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</si>
  <si>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</si>
  <si>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</si>
  <si>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</si>
  <si>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</si>
  <si>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</si>
  <si>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</si>
  <si>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</si>
  <si>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</si>
  <si>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</si>
  <si>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</si>
  <si>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</si>
  <si>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מלווה קצר מועד 215</t>
  </si>
  <si>
    <t>IL0082502191</t>
  </si>
  <si>
    <t>05/02/2025</t>
  </si>
  <si>
    <t>ISRAEL 5 1/2 03/12/34</t>
  </si>
  <si>
    <t>US46514BRL35</t>
  </si>
  <si>
    <t>A</t>
  </si>
  <si>
    <t>12/03/2034</t>
  </si>
  <si>
    <t>ממשל שקלית 0229</t>
  </si>
  <si>
    <t>IL0011948028</t>
  </si>
  <si>
    <t>28/02/2029</t>
  </si>
  <si>
    <t>Treasury Bill</t>
  </si>
  <si>
    <t>B 31/10/24</t>
  </si>
  <si>
    <t>US912797HE00</t>
  </si>
  <si>
    <t>חו"ל</t>
  </si>
  <si>
    <t>ארה"ב</t>
  </si>
  <si>
    <t>FOREIGN_GOV_SEC</t>
  </si>
  <si>
    <t>AAA</t>
  </si>
  <si>
    <t>מידרוג Moodys</t>
  </si>
  <si>
    <t>31/10/2024</t>
  </si>
  <si>
    <t>US TREASURY N/B</t>
  </si>
  <si>
    <t>T 3 7/8 08/15/33</t>
  </si>
  <si>
    <t>US91282CHT18</t>
  </si>
  <si>
    <t>15/08/2033</t>
  </si>
  <si>
    <t>מלווה קצר מועד 1214</t>
  </si>
  <si>
    <t>IL0082412185</t>
  </si>
  <si>
    <t>04/12/2024</t>
  </si>
  <si>
    <t>ממשלתי שקלי  1026</t>
  </si>
  <si>
    <t>IL0010994569</t>
  </si>
  <si>
    <t>30/10/2026</t>
  </si>
  <si>
    <t>T-3 3/8 15/05/33</t>
  </si>
  <si>
    <t>US91282CHC82</t>
  </si>
  <si>
    <t>15/05/2033</t>
  </si>
  <si>
    <t>מ.ק.מ. 915</t>
  </si>
  <si>
    <t>IL0082509121</t>
  </si>
  <si>
    <t>03/09/2025</t>
  </si>
  <si>
    <t>מלווה קצר מועד 1114</t>
  </si>
  <si>
    <t>IL0082411195</t>
  </si>
  <si>
    <t>06/11/2024</t>
  </si>
  <si>
    <t>מלווה קצר מועד 125</t>
  </si>
  <si>
    <t>IL0082501284</t>
  </si>
  <si>
    <t>08/01/2025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</si>
  <si>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</si>
  <si>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</si>
  <si>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</si>
  <si>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</si>
  <si>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</si>
  <si>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</si>
  <si>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</si>
  <si>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</si>
  <si>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</si>
  <si>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</si>
  <si>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</si>
  <si>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</si>
  <si>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</si>
  <si>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</si>
  <si>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</si>
  <si>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</si>
  <si>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</si>
  <si>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</si>
  <si>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</si>
  <si>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</si>
  <si>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</si>
  <si>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</si>
  <si>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זכאים מס עמיתים</t>
  </si>
  <si>
    <t>28200000</t>
  </si>
  <si>
    <t>חייבים וזכאים מס</t>
  </si>
  <si>
    <t>חייבים</t>
  </si>
  <si>
    <t>27960000</t>
  </si>
  <si>
    <t>אגרקסו אגח א'-חש 04/2012</t>
  </si>
  <si>
    <t>11267701</t>
  </si>
  <si>
    <t xml:space="preserve">חייבים בגין תקבולים </t>
  </si>
  <si>
    <t>31/12/2013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</si>
  <si>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</si>
  <si>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</si>
  <si>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</si>
  <si>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</si>
  <si>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</si>
  <si>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</si>
  <si>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</si>
  <si>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</si>
  <si>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</si>
  <si>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</si>
  <si>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</si>
  <si>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</si>
  <si>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</si>
  <si>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</si>
  <si>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</si>
  <si>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</si>
  <si>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</si>
  <si>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</si>
  <si>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</si>
  <si>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</si>
  <si>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</si>
  <si>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</si>
  <si>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</si>
  <si>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</si>
  <si>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</si>
  <si>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</si>
  <si>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</si>
  <si>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</si>
  <si>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</si>
  <si>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</si>
  <si>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</si>
  <si>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</si>
  <si>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</si>
  <si>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</si>
  <si>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</si>
  <si>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</si>
  <si>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</si>
  <si>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</si>
  <si>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</si>
  <si>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</si>
  <si>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</si>
  <si>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</si>
  <si>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</si>
  <si>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</si>
  <si>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</si>
  <si>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</si>
  <si>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</si>
  <si>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</si>
  <si>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</si>
  <si>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</si>
  <si>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</si>
  <si>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</si>
  <si>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</si>
  <si>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</si>
  <si>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</si>
  <si>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</si>
  <si>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</si>
  <si>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</si>
  <si>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</si>
  <si>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</si>
  <si>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</si>
  <si>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</si>
  <si>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</si>
  <si>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</si>
  <si>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</si>
  <si>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</si>
  <si>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</si>
  <si>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</si>
  <si>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</si>
  <si>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</si>
  <si>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</si>
  <si>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</si>
  <si>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</si>
  <si>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</si>
  <si>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</si>
  <si>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</si>
  <si>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</si>
  <si>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</si>
  <si>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</si>
  <si>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</si>
  <si>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</si>
  <si>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</si>
  <si>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</si>
  <si>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</si>
  <si>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</si>
  <si>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</si>
  <si>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</si>
  <si>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</si>
  <si>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</si>
  <si>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</si>
  <si>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</si>
  <si>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</si>
  <si>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</si>
  <si>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</si>
  <si>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</si>
  <si>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</si>
  <si>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</si>
  <si>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</si>
  <si>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</si>
  <si>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</si>
  <si>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</si>
  <si>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</si>
  <si>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</si>
  <si>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</si>
  <si>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</si>
  <si>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</si>
  <si>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</si>
  <si>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</si>
  <si>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</si>
  <si>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</si>
  <si>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</si>
  <si>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</si>
  <si>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</si>
  <si>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</si>
  <si>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</si>
  <si>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</si>
  <si>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</si>
  <si>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</si>
  <si>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</si>
  <si>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</si>
  <si>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</si>
  <si>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</si>
  <si>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</si>
  <si>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</si>
  <si>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</si>
  <si>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</si>
  <si>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</si>
  <si>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</si>
  <si>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</si>
  <si>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</si>
  <si>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</si>
  <si>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</si>
  <si>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</si>
  <si>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</si>
  <si>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</si>
  <si>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</si>
  <si>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</si>
  <si>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</si>
  <si>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</si>
  <si>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</si>
  <si>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</si>
  <si>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</si>
  <si>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</si>
  <si>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</si>
  <si>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</si>
  <si>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</si>
  <si>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</si>
  <si>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</si>
  <si>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</si>
  <si>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</si>
  <si>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</si>
  <si>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</si>
  <si>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</si>
  <si>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</si>
  <si>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</si>
  <si>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</si>
  <si>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</si>
  <si>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</si>
  <si>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</si>
  <si>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</si>
  <si>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</si>
  <si>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</si>
  <si>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</si>
  <si>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</si>
  <si>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</si>
  <si>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</si>
  <si>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</si>
  <si>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</si>
  <si>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</si>
  <si>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</si>
  <si>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</si>
  <si>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</si>
  <si>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</si>
  <si>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</si>
  <si>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</si>
  <si>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</si>
  <si>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</si>
  <si>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</si>
  <si>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</si>
  <si>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</si>
  <si>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</si>
  <si>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</si>
  <si>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</si>
  <si>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</si>
  <si>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</si>
  <si>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</si>
  <si>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</si>
  <si>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</si>
  <si>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</si>
  <si>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</si>
  <si>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</si>
  <si>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</si>
  <si>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</si>
  <si>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</si>
  <si>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</si>
  <si>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</si>
  <si>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</si>
  <si>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</si>
  <si>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</si>
  <si>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</si>
  <si>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</si>
  <si>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</si>
  <si>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</si>
  <si>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</si>
  <si>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</si>
  <si>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</si>
  <si>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</si>
  <si>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</si>
  <si>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</si>
  <si>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</si>
  <si>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</si>
  <si>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</si>
  <si>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</si>
  <si>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</si>
  <si>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</si>
  <si>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</si>
  <si>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</si>
  <si>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</si>
  <si>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</si>
  <si>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</si>
  <si>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</si>
  <si>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</si>
  <si>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</si>
  <si>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</si>
  <si>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</si>
  <si>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</si>
  <si>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</si>
  <si>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</si>
  <si>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</si>
  <si>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</si>
  <si>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</si>
  <si>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</si>
  <si>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</si>
  <si>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</si>
  <si>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</si>
  <si>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</si>
  <si>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</si>
  <si>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</si>
  <si>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</si>
  <si>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</si>
  <si>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</si>
  <si>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</si>
  <si>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</si>
  <si>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</si>
  <si>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</si>
  <si>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</si>
  <si>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</si>
  <si>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</si>
  <si>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</si>
  <si>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</si>
  <si>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</si>
  <si>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</si>
  <si>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</si>
  <si>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</si>
  <si>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</si>
  <si>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</si>
  <si>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</si>
  <si>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</si>
  <si>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</si>
  <si>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</si>
  <si>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</si>
  <si>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</si>
  <si>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</si>
  <si>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</si>
  <si>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</si>
  <si>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</si>
  <si>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</si>
  <si>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</si>
  <si>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</si>
  <si>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</si>
  <si>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</si>
  <si>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</si>
  <si>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</si>
  <si>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</si>
  <si>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</si>
  <si>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</si>
  <si>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</si>
  <si>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</si>
  <si>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</si>
  <si>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</si>
  <si>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</si>
  <si>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</si>
  <si>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</si>
  <si>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</si>
  <si>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</si>
  <si>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</si>
  <si>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</si>
  <si>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</si>
  <si>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</si>
  <si>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</si>
  <si>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</si>
  <si>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</si>
  <si>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</si>
  <si>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</si>
  <si>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</si>
  <si>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</si>
  <si>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</si>
  <si>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</si>
  <si>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</si>
  <si>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</si>
  <si>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</si>
  <si>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</si>
  <si>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</si>
  <si>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</si>
  <si>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</si>
  <si>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</si>
  <si>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</si>
  <si>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</si>
  <si>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</si>
  <si>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</si>
  <si>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</si>
  <si>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</si>
  <si>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</si>
  <si>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</si>
  <si>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</si>
  <si>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</si>
  <si>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</si>
  <si>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</si>
  <si>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</si>
  <si>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</si>
  <si>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</si>
  <si>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</si>
  <si>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</si>
  <si>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</si>
  <si>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</si>
  <si>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</si>
  <si>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</si>
  <si>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</si>
  <si>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</si>
  <si>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</si>
  <si>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</si>
  <si>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</si>
  <si>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</si>
  <si>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</si>
  <si>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</si>
  <si>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</si>
  <si>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</si>
  <si>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</si>
  <si>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</si>
  <si>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</si>
  <si>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</si>
  <si>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</si>
  <si>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</si>
  <si>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</si>
  <si>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</si>
  <si>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</si>
  <si>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</si>
  <si>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</si>
  <si>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</si>
  <si>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</si>
  <si>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</si>
  <si>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</si>
  <si>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</si>
  <si>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</si>
  <si>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</si>
  <si>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</si>
  <si>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</si>
  <si>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</si>
  <si>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</si>
  <si>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</si>
  <si>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</si>
  <si>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</si>
  <si>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</si>
  <si>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</si>
  <si>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</si>
  <si>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</si>
  <si>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</si>
  <si>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</si>
  <si>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</si>
  <si>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</si>
  <si>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</si>
  <si>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</si>
  <si>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</si>
  <si>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</si>
  <si>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</si>
  <si>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</si>
  <si>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</si>
  <si>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</si>
  <si>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</si>
  <si>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</si>
  <si>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</si>
  <si>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</si>
  <si>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</si>
  <si>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</si>
  <si>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</si>
  <si>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</si>
  <si>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</si>
  <si>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</si>
  <si>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</si>
  <si>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</si>
  <si>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</si>
  <si>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</si>
  <si>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</si>
  <si>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</si>
  <si>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</si>
  <si>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</si>
  <si>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</si>
  <si>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</si>
  <si>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</si>
  <si>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</si>
  <si>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</si>
  <si>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</si>
  <si>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</si>
  <si>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</si>
  <si>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</si>
  <si>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</si>
  <si>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</si>
  <si>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</si>
  <si>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</si>
  <si>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</si>
  <si>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</si>
  <si>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</si>
  <si>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</si>
  <si>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</si>
  <si>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</si>
  <si>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</si>
  <si>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</si>
  <si>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</si>
  <si>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</si>
  <si>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</si>
  <si>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</si>
  <si>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</si>
  <si>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</si>
  <si>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</si>
  <si>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</si>
  <si>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</si>
  <si>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</si>
  <si>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</si>
  <si>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</si>
  <si>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</si>
  <si>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</si>
  <si>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</si>
  <si>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</si>
  <si>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</si>
  <si>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</si>
  <si>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</si>
  <si>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</si>
  <si>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</si>
  <si>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</si>
  <si>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</si>
  <si>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</si>
  <si>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</si>
  <si>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</si>
  <si>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</si>
  <si>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</si>
  <si>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</si>
  <si>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</si>
  <si>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</si>
  <si>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</si>
  <si>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</si>
  <si>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</si>
  <si>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</si>
  <si>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</si>
  <si>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</si>
  <si>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</si>
  <si>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</si>
  <si>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</si>
  <si>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</si>
  <si>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</si>
  <si>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</si>
  <si>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</si>
  <si>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</si>
  <si>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</si>
  <si>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</si>
  <si>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</si>
  <si>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</si>
  <si>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</si>
  <si>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</si>
  <si>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</si>
  <si>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</si>
  <si>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</si>
  <si>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</si>
  <si>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</si>
  <si>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</si>
  <si>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</si>
  <si>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</si>
  <si>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</si>
  <si>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</si>
  <si>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</si>
  <si>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</si>
  <si>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</si>
  <si>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</si>
  <si>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</si>
  <si>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</si>
  <si>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</si>
  <si>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</si>
  <si>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</si>
  <si>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</si>
  <si>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</si>
  <si>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</si>
  <si>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</si>
  <si>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</si>
  <si>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</si>
  <si>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</si>
  <si>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</si>
  <si>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</si>
  <si>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</si>
  <si>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</si>
  <si>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</si>
  <si>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</si>
  <si>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</si>
  <si>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</si>
  <si>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</si>
  <si>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</si>
  <si>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</si>
  <si>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</si>
  <si>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</si>
  <si>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</si>
  <si>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</si>
  <si>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</si>
  <si>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</si>
  <si>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</si>
  <si>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</si>
  <si>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</si>
  <si>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</si>
  <si>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</si>
  <si>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</si>
  <si>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</si>
  <si>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</si>
  <si>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</si>
  <si>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</si>
  <si>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</si>
  <si>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</si>
  <si>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</si>
  <si>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</si>
  <si>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</si>
  <si>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</si>
  <si>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</si>
  <si>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</si>
  <si>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</si>
  <si>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</si>
  <si>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</si>
  <si>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</si>
  <si>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</si>
  <si>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</si>
  <si>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</si>
  <si>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</si>
  <si>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</si>
  <si>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</si>
  <si>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</si>
  <si>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</si>
  <si>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</si>
  <si>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</si>
  <si>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</si>
  <si>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</si>
  <si>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</si>
  <si>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</si>
  <si>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</si>
  <si>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</si>
  <si>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</si>
  <si>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</si>
  <si>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</si>
  <si>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</si>
  <si>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</si>
  <si>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</si>
  <si>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</si>
  <si>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</si>
  <si>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</si>
  <si>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</si>
  <si>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</si>
  <si>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</si>
  <si>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</si>
  <si>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</si>
  <si>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</si>
  <si>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</si>
  <si>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</si>
  <si>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</si>
  <si>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</si>
  <si>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</si>
  <si>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</si>
  <si>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</si>
  <si>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</si>
  <si>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</si>
  <si>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</si>
  <si>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</si>
  <si>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</si>
  <si>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</si>
  <si>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</si>
  <si>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</si>
  <si>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</si>
  <si>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</si>
  <si>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</si>
  <si>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</si>
  <si>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</si>
  <si>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</si>
  <si>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</si>
  <si>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</si>
  <si>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</si>
  <si>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</si>
  <si>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</si>
  <si>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</si>
  <si>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</si>
  <si>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</si>
  <si>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</si>
  <si>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</si>
  <si>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</si>
  <si>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</si>
  <si>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</si>
  <si>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</si>
  <si>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</si>
  <si>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</si>
  <si>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</si>
  <si>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</si>
  <si>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</si>
  <si>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</si>
  <si>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</si>
  <si>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</si>
  <si>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</si>
  <si>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</si>
  <si>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</si>
  <si>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</si>
  <si>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</si>
  <si>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</si>
  <si>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</si>
  <si>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</si>
  <si>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</si>
  <si>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</si>
  <si>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</si>
  <si>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</si>
  <si>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</si>
  <si>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</si>
  <si>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</si>
  <si>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</si>
  <si>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</si>
  <si>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</si>
  <si>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</si>
  <si>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</si>
  <si>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</si>
  <si>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</si>
  <si>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</si>
  <si>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</si>
  <si>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</si>
  <si>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</si>
  <si>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</si>
  <si>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</si>
  <si>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</si>
  <si>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</si>
  <si>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</si>
  <si>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</si>
  <si>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</si>
  <si>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</si>
  <si>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</si>
  <si>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</si>
  <si>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</si>
  <si>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</si>
  <si>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</si>
  <si>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</si>
  <si>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</si>
  <si>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</si>
  <si>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</si>
  <si>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</si>
  <si>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</si>
  <si>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</si>
  <si>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</si>
  <si>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</si>
  <si>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</si>
  <si>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</si>
  <si>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</si>
  <si>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</si>
  <si>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</si>
  <si>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</si>
  <si>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</si>
  <si>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</si>
  <si>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</si>
  <si>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</si>
  <si>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</si>
  <si>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</si>
  <si>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</si>
  <si>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</si>
  <si>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</si>
  <si>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</si>
  <si>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</si>
  <si>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</si>
  <si>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</si>
  <si>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</si>
  <si>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</si>
  <si>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</si>
  <si>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</si>
  <si>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</si>
  <si>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</si>
  <si>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</si>
  <si>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</si>
  <si>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</si>
  <si>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</si>
  <si>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</si>
  <si>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</si>
  <si>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</si>
  <si>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</si>
  <si>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</si>
  <si>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</si>
  <si>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</si>
  <si>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</si>
  <si>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</si>
  <si>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</si>
  <si>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</si>
  <si>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</si>
  <si>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</si>
  <si>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</si>
  <si>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</si>
  <si>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</si>
  <si>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</si>
  <si>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</si>
  <si>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</si>
  <si>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</si>
  <si>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</si>
  <si>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</si>
  <si>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</si>
  <si>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</si>
  <si>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</si>
  <si>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</si>
  <si>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</si>
  <si>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</si>
  <si>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</si>
  <si>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</si>
  <si>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</si>
  <si>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</si>
  <si>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</si>
  <si>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</si>
  <si>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</si>
  <si>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</si>
  <si>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</si>
  <si>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</si>
  <si>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</si>
  <si>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</si>
  <si>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</si>
  <si>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</si>
  <si>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</si>
  <si>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</si>
  <si>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</si>
  <si>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</si>
  <si>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</si>
  <si>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</si>
  <si>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</si>
  <si>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</si>
  <si>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</si>
  <si>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</si>
  <si>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</si>
  <si>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</si>
  <si>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</si>
  <si>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</si>
  <si>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</si>
  <si>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</si>
  <si>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</si>
  <si>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</si>
  <si>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</si>
  <si>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</si>
  <si>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</si>
  <si>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</si>
  <si>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</si>
  <si>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</si>
  <si>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</si>
  <si>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</si>
  <si>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</si>
  <si>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</si>
  <si>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</si>
  <si>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</si>
  <si>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</si>
  <si>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</si>
  <si>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</si>
  <si>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</si>
  <si>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</si>
  <si>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</si>
  <si>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</si>
  <si>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</si>
  <si>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</si>
  <si>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</si>
  <si>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</si>
  <si>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</si>
  <si>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</si>
  <si>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</si>
  <si>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</si>
  <si>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</si>
  <si>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</si>
  <si>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</si>
  <si>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</si>
  <si>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</si>
  <si>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</si>
  <si>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</si>
  <si>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</si>
  <si>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</si>
  <si>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</si>
  <si>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</si>
  <si>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</si>
  <si>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</si>
  <si>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</si>
  <si>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</si>
  <si>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</si>
  <si>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</si>
  <si>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</si>
  <si>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</si>
  <si>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</si>
  <si>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</si>
  <si>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</si>
  <si>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</si>
  <si>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</si>
  <si>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</si>
  <si>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</si>
  <si>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</si>
  <si>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</si>
  <si>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</si>
  <si>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</si>
  <si>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</si>
  <si>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</si>
  <si>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</si>
  <si>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</si>
  <si>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</si>
  <si>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</si>
  <si>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</si>
  <si>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</si>
  <si>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</si>
  <si>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</si>
  <si>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</si>
  <si>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</si>
  <si>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</si>
  <si>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</si>
  <si>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</si>
  <si>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</si>
  <si>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</si>
  <si>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</si>
  <si>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</si>
  <si>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</si>
  <si>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</si>
  <si>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</si>
  <si>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</si>
  <si>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</si>
  <si>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</si>
  <si>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</si>
  <si>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</si>
  <si>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</si>
  <si>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</si>
  <si>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</si>
  <si>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</si>
  <si>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</si>
  <si>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</si>
  <si>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</si>
  <si>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</si>
  <si>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</si>
  <si>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</si>
  <si>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</si>
  <si>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</si>
  <si>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</si>
  <si>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</si>
  <si>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</si>
  <si>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</si>
  <si>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</si>
  <si>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</si>
  <si>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</si>
  <si>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</si>
  <si>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</si>
  <si>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</si>
  <si>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</si>
  <si>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</si>
  <si>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</si>
  <si>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</si>
  <si>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</si>
  <si>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</si>
  <si>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</si>
  <si>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</si>
  <si>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</si>
  <si>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</si>
  <si>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</si>
  <si>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</si>
  <si>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</si>
  <si>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</si>
  <si>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</si>
  <si>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</si>
  <si>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</si>
  <si>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</si>
  <si>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</si>
  <si>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</si>
  <si>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</si>
  <si>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</si>
  <si>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</si>
  <si>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</si>
  <si>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</si>
  <si>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</si>
  <si>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</si>
  <si>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</si>
  <si>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</si>
  <si>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</si>
  <si>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</si>
  <si>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</si>
  <si>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</si>
  <si>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</si>
  <si>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</si>
  <si>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</si>
  <si>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</si>
  <si>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</si>
  <si>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</si>
  <si>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</si>
  <si>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</si>
  <si>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</si>
  <si>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</si>
  <si>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</si>
  <si>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</si>
  <si>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</si>
  <si>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</si>
  <si>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</si>
  <si>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</si>
  <si>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</si>
  <si>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</si>
  <si>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</si>
  <si>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</si>
  <si>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</si>
  <si>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</si>
  <si>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</si>
  <si>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</si>
  <si>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</si>
  <si>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</si>
  <si>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</si>
  <si>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</si>
  <si>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</si>
  <si>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</si>
  <si>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</si>
  <si>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</si>
  <si>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</si>
  <si>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</si>
  <si>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</si>
  <si>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</si>
  <si>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</si>
  <si>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</si>
  <si>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</si>
  <si>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</si>
  <si>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</si>
  <si>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</si>
  <si>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</si>
  <si>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</si>
  <si>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</si>
  <si>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</si>
  <si>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</si>
  <si>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</si>
  <si>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</si>
  <si>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</si>
  <si>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</si>
  <si>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</si>
  <si>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</si>
  <si>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</si>
  <si>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</si>
  <si>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</si>
  <si>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</si>
  <si>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</si>
  <si>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</si>
  <si>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</si>
  <si>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</si>
  <si>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</si>
  <si>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</si>
  <si>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</si>
  <si>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</si>
  <si>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</si>
  <si>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</si>
  <si>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</si>
  <si>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</si>
  <si>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</si>
  <si>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</si>
  <si>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</si>
  <si>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</si>
  <si>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</si>
  <si>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</si>
  <si>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</si>
  <si>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</si>
  <si>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</si>
  <si>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</si>
  <si>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</si>
  <si>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</si>
  <si>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</si>
  <si>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</si>
  <si>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</si>
  <si>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</si>
  <si>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</si>
  <si>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</si>
  <si>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</si>
  <si>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</si>
  <si>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</si>
  <si>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</si>
  <si>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</si>
  <si>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</si>
  <si>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</si>
  <si>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</si>
  <si>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</si>
  <si>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</si>
  <si>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</si>
  <si>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</si>
  <si>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</si>
  <si>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</si>
  <si>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</si>
  <si>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</si>
  <si>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</si>
  <si>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</si>
  <si>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</si>
  <si>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</si>
  <si>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</si>
  <si>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</si>
  <si>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</si>
  <si>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</si>
  <si>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</si>
  <si>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</si>
  <si>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</si>
  <si>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</si>
  <si>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</si>
  <si>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</si>
  <si>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</si>
  <si>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</si>
  <si>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</si>
  <si>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</si>
  <si>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</si>
  <si>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</si>
  <si>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</si>
  <si>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</si>
  <si>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</si>
  <si>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</si>
  <si>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</si>
  <si>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</si>
  <si>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</si>
  <si>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</si>
  <si>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</si>
  <si>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</si>
  <si>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</si>
  <si>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</si>
  <si>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</si>
  <si>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</si>
  <si>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</si>
  <si>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</si>
  <si>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</si>
  <si>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</si>
  <si>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</si>
  <si>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</si>
  <si>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</si>
  <si>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</si>
  <si>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</si>
  <si>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גמול פועלים סהר</t>
  </si>
  <si>
    <t>33-414</t>
  </si>
  <si>
    <t>בנק לאומי לישראל בע"מ</t>
  </si>
  <si>
    <t>10-800</t>
  </si>
  <si>
    <t>HKD</t>
  </si>
  <si>
    <t>EUR</t>
  </si>
  <si>
    <t>JPY</t>
  </si>
  <si>
    <t>GBP</t>
  </si>
  <si>
    <t>CHF</t>
  </si>
  <si>
    <t>SGD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</si>
  <si>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</si>
  <si>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</si>
  <si>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</si>
  <si>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</si>
  <si>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</si>
  <si>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</si>
  <si>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</si>
  <si>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</si>
  <si>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</si>
  <si>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</si>
  <si>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</si>
  <si>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</si>
  <si>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</si>
  <si>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</si>
  <si>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</si>
  <si>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</si>
  <si>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</si>
  <si>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</si>
  <si>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</si>
  <si>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</si>
  <si>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</si>
  <si>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</si>
  <si>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</si>
  <si>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</si>
  <si>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</si>
  <si>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</si>
  <si>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</si>
  <si>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</si>
  <si>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</si>
  <si>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</si>
  <si>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</si>
  <si>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</si>
  <si>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</si>
  <si>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</si>
  <si>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</si>
  <si>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</si>
  <si>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</si>
  <si>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</si>
  <si>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</si>
  <si>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</si>
  <si>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</si>
  <si>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</si>
  <si>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</si>
  <si>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</si>
  <si>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</si>
  <si>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</si>
  <si>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</si>
  <si>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</si>
  <si>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</si>
  <si>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</si>
  <si>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</si>
  <si>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</si>
  <si>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</si>
  <si>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</si>
  <si>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</si>
  <si>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</si>
  <si>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</si>
  <si>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</si>
  <si>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</si>
  <si>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</si>
  <si>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</si>
  <si>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</si>
  <si>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</si>
  <si>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</si>
  <si>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</si>
  <si>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</si>
  <si>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</si>
  <si>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</si>
  <si>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</si>
  <si>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</si>
  <si>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</si>
  <si>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</si>
  <si>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</si>
  <si>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</si>
  <si>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</si>
  <si>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</si>
  <si>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</si>
  <si>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</si>
  <si>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</si>
  <si>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</si>
  <si>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</si>
  <si>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</si>
  <si>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</si>
  <si>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</si>
  <si>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</si>
  <si>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</si>
  <si>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</si>
  <si>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</si>
  <si>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</si>
  <si>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</si>
  <si>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</si>
  <si>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</si>
  <si>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</si>
  <si>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</si>
  <si>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</si>
  <si>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</si>
  <si>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</si>
  <si>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</si>
  <si>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</si>
  <si>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</si>
  <si>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</si>
  <si>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</si>
  <si>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</si>
  <si>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</si>
  <si>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</si>
  <si>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</si>
  <si>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</si>
  <si>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</si>
  <si>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</si>
  <si>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</si>
  <si>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</si>
  <si>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</si>
  <si>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</si>
  <si>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158</t>
  </si>
  <si>
    <t>1522</t>
  </si>
  <si>
    <t>9933784</t>
  </si>
  <si>
    <t>USD ILS</t>
  </si>
  <si>
    <t>22/08/2024</t>
  </si>
  <si>
    <t>21/11/2024</t>
  </si>
  <si>
    <t>368.266</t>
  </si>
  <si>
    <t>POALILIT</t>
  </si>
  <si>
    <t>9934604</t>
  </si>
  <si>
    <t>18/09/2024</t>
  </si>
  <si>
    <t>9934605</t>
  </si>
  <si>
    <t>17/09/2025</t>
  </si>
  <si>
    <t>351.070</t>
  </si>
  <si>
    <t>9935</t>
  </si>
  <si>
    <t>9933810</t>
  </si>
  <si>
    <t>EUR ILS</t>
  </si>
  <si>
    <t>413.075</t>
  </si>
  <si>
    <t>9933805</t>
  </si>
  <si>
    <t>JPY ILS</t>
  </si>
  <si>
    <t>2.602</t>
  </si>
  <si>
    <t>9934775</t>
  </si>
  <si>
    <t>24/09/2024</t>
  </si>
  <si>
    <t>9936</t>
  </si>
  <si>
    <t>9937</t>
  </si>
  <si>
    <t>ע.י נופר אנרגי' בע"מ</t>
  </si>
  <si>
    <t>514599943</t>
  </si>
  <si>
    <t>ח.פ</t>
  </si>
  <si>
    <t>נופר אנרגי- כתבי אופציה ל.ס.</t>
  </si>
  <si>
    <t>983730193</t>
  </si>
  <si>
    <t>IL0011708778</t>
  </si>
  <si>
    <t>02/01/2025</t>
  </si>
  <si>
    <t>03/01/2024</t>
  </si>
  <si>
    <t>שגריר רכב</t>
  </si>
  <si>
    <t>515158665</t>
  </si>
  <si>
    <t>שגריר כתב אופציה ל.ס</t>
  </si>
  <si>
    <t>IL0011383796</t>
  </si>
  <si>
    <t>08/06/2025</t>
  </si>
  <si>
    <t>28/06/2022</t>
  </si>
  <si>
    <t>06/08/2024</t>
  </si>
  <si>
    <t>שווי הוגן (בש"ח)</t>
  </si>
  <si>
    <t>מגדל קרנות נאמנות בע"מ</t>
  </si>
  <si>
    <t>511303661</t>
  </si>
  <si>
    <t>MTF מח SP500 ממ</t>
  </si>
  <si>
    <t>IL0051258692</t>
  </si>
  <si>
    <t xml:space="preserve">מניות בחו"ל משולבת </t>
  </si>
  <si>
    <t>קסם קרנות נאמנות בע"מ</t>
  </si>
  <si>
    <t>510938608</t>
  </si>
  <si>
    <t>קסם 500נאףמנטרל</t>
  </si>
  <si>
    <t>IL0051229578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</si>
  <si>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</si>
  <si>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</si>
  <si>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</si>
  <si>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</si>
  <si>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</si>
  <si>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Invesco investment management limited</t>
  </si>
  <si>
    <t>549300FEA3DT84FOZ304</t>
  </si>
  <si>
    <t>IUSSENG LX Equity</t>
  </si>
  <si>
    <t>LU0564079282</t>
  </si>
  <si>
    <t>ISE </t>
  </si>
  <si>
    <t>קסם תל בונד שקלי</t>
  </si>
  <si>
    <t>IL0011464141</t>
  </si>
  <si>
    <t xml:space="preserve">אג"ח בישראל - חברות והמרה  </t>
  </si>
  <si>
    <t>Real Estate Credit Investments Pcc ltd</t>
  </si>
  <si>
    <t>07F5H7W3ET8ZLWNMFP29</t>
  </si>
  <si>
    <t>SPDR BLOOMBERG SASB US CORPORA</t>
  </si>
  <si>
    <t>IE00BLF7VX27</t>
  </si>
  <si>
    <t>Vanguard Group</t>
  </si>
  <si>
    <t>549300Y88GQ3VLJIBX57</t>
  </si>
  <si>
    <t>VANGUARD USD CORPORATE BOND UC</t>
  </si>
  <si>
    <t>IE00BGYWFK87</t>
  </si>
  <si>
    <t>ISHARES USD CROP BOND UCITS ET</t>
  </si>
  <si>
    <t>549300QQR5SNTQVNFC45</t>
  </si>
  <si>
    <t>ITB US</t>
  </si>
  <si>
    <t>US4642887529</t>
  </si>
  <si>
    <t>מניות בחו"ל חשופות מט"ח</t>
  </si>
  <si>
    <t>MTF סל תא 90</t>
  </si>
  <si>
    <t>IL0011502593</t>
  </si>
  <si>
    <t>הראל קרנות נאמנות בע"מ</t>
  </si>
  <si>
    <t>511776783</t>
  </si>
  <si>
    <t>הראל קרן סל תא 125</t>
  </si>
  <si>
    <t>IL0011488991</t>
  </si>
  <si>
    <t>מור ניהול קרנות נאמנות בע"מ</t>
  </si>
  <si>
    <t>514884485</t>
  </si>
  <si>
    <t>מור סל S&amp;P 500 ממ</t>
  </si>
  <si>
    <t>IL0011658288</t>
  </si>
  <si>
    <t>קסם קרן סל תא 125</t>
  </si>
  <si>
    <t>IL0011463564</t>
  </si>
  <si>
    <t>קסם תא נדלן</t>
  </si>
  <si>
    <t>IL0011465478</t>
  </si>
  <si>
    <t>CNDX LN Equity</t>
  </si>
  <si>
    <t>IE00B53SZB19 Equity</t>
  </si>
  <si>
    <t xml:space="preserve">BlackRock  Asset Managment </t>
  </si>
  <si>
    <t>5493004330BCAPB3GT42</t>
  </si>
  <si>
    <t>ISHARES EURO STOXX 50 DE</t>
  </si>
  <si>
    <t>DE0005933956</t>
  </si>
  <si>
    <t>Ishares Phlx Se</t>
  </si>
  <si>
    <t>US4642875235</t>
  </si>
  <si>
    <t>Powershares  QQQ NAS1</t>
  </si>
  <si>
    <t>US46090E1038</t>
  </si>
  <si>
    <t>SOURCE S&amp;P 500 UCITS EFT</t>
  </si>
  <si>
    <t>IE00B3YCGJ38</t>
  </si>
  <si>
    <t>State Street Corp</t>
  </si>
  <si>
    <t>SPDR S&amp;P 500 ETF TRUST</t>
  </si>
  <si>
    <t>US78462F1030</t>
  </si>
  <si>
    <t>S&amp;P 500</t>
  </si>
  <si>
    <t>SPDR S&amp;P 500 UCITS EFT</t>
  </si>
  <si>
    <t>IE000XZSV718</t>
  </si>
  <si>
    <t>Van Eck ETF</t>
  </si>
  <si>
    <t>549300ZLFKNTXC51ZN76</t>
  </si>
  <si>
    <t>VANECK VECTORS SEMICONDUCTOR</t>
  </si>
  <si>
    <t>US92189F6768</t>
  </si>
  <si>
    <t>VANGUARD FTSE EMERGING MARKETS</t>
  </si>
  <si>
    <t>IE00BK5BR733</t>
  </si>
  <si>
    <t>VANGUARD S&amp;P 50</t>
  </si>
  <si>
    <t>us9229083632</t>
  </si>
  <si>
    <t>WisdomTree Europe ltd</t>
  </si>
  <si>
    <t>549300SEVJBU47TE8855</t>
  </si>
  <si>
    <t>WisdomTree Japan Hedged</t>
  </si>
  <si>
    <t>US97717W8516</t>
  </si>
  <si>
    <t>הראל סל תא 90</t>
  </si>
  <si>
    <t>IL0011489312</t>
  </si>
  <si>
    <t>הראל סל תל בונד שקלי</t>
  </si>
  <si>
    <t>IL0011505232</t>
  </si>
  <si>
    <t>קסם.תלבונד ש 50</t>
  </si>
  <si>
    <t>IL0011507626</t>
  </si>
  <si>
    <t>מיטב קרנות נאמנות בע"מ</t>
  </si>
  <si>
    <t>513534974</t>
  </si>
  <si>
    <t>תכלית תל בונד שקלי סד-2</t>
  </si>
  <si>
    <t>IL0011451841</t>
  </si>
  <si>
    <t>Amundi Asset Management</t>
  </si>
  <si>
    <t>213800VZW861M5FHMD50</t>
  </si>
  <si>
    <t>AMUNDI S&amp;P 500 UCITS ETF</t>
  </si>
  <si>
    <t>LU1681049018</t>
  </si>
  <si>
    <t>IE00BYXYYJ35</t>
  </si>
  <si>
    <t>ISHARES USD SHORT DURATION COR</t>
  </si>
  <si>
    <t>IE00BYXYYP94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</si>
  <si>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</si>
  <si>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</si>
  <si>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</si>
  <si>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</si>
  <si>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</si>
  <si>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</si>
  <si>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LYXOR ETF</t>
  </si>
  <si>
    <t>Lyxor S&amp;P 500 Ucits Etf - c-eu</t>
  </si>
  <si>
    <t>LU1135865084</t>
  </si>
  <si>
    <t>NEXT FUNDS TOPIX EXCHANGE TRAD</t>
  </si>
  <si>
    <t>353800U3TPEO41XXQE39</t>
  </si>
  <si>
    <t>JP3027630007</t>
  </si>
  <si>
    <t>SPDR BLOOMBERG SASB U.S. HIGH</t>
  </si>
  <si>
    <t>IE0004TYCC17</t>
  </si>
  <si>
    <t>NYSE </t>
  </si>
  <si>
    <t>SPDR PORTFOLIO S&amp;P 500 ETF</t>
  </si>
  <si>
    <t>US78464A8541</t>
  </si>
  <si>
    <t>SXLE LN</t>
  </si>
  <si>
    <t>549300M0AUGU3NFNF319</t>
  </si>
  <si>
    <t>SPDR S&amp;P U.S. ENERGY SELECT SE</t>
  </si>
  <si>
    <t>IE00BWBXM492</t>
  </si>
  <si>
    <t>SPDR S&amp;P U.S. FINANCIALS SELEC</t>
  </si>
  <si>
    <t>IE00BWBXM500</t>
  </si>
  <si>
    <t>WISDOMTREE JAPAN EQUITY UCITS</t>
  </si>
  <si>
    <t>IE00BYQCZD50</t>
  </si>
  <si>
    <t>הראל סל 4A S&amp;P 500 מנוטרלת</t>
  </si>
  <si>
    <t>IL0011491375</t>
  </si>
  <si>
    <t>הראל סל תל בונד 60</t>
  </si>
  <si>
    <t>IL0011504730</t>
  </si>
  <si>
    <t>MTF סל תלבונד 60</t>
  </si>
  <si>
    <t>IL0011499964</t>
  </si>
  <si>
    <t>MTF500SP ממ</t>
  </si>
  <si>
    <t>IL0011505729</t>
  </si>
  <si>
    <t>קסם S&amp;P 500 (4D) ETF</t>
  </si>
  <si>
    <t>IL0011464711</t>
  </si>
  <si>
    <t>קסם קרן סל תל בונד 60</t>
  </si>
  <si>
    <t>IL0011462327</t>
  </si>
  <si>
    <t>תכלית תל בונד 60</t>
  </si>
  <si>
    <t>IL0011451015</t>
  </si>
  <si>
    <t>Cef Ishares Russell iwm</t>
  </si>
  <si>
    <t>US4642876555</t>
  </si>
  <si>
    <t>SPDR S&amp;P US TECHNOLOGY SELECT</t>
  </si>
  <si>
    <t>IE00BWBXM948</t>
  </si>
  <si>
    <t>INVESCO S&amp;P 500 UCITS ETF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</si>
  <si>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</si>
  <si>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</si>
  <si>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</si>
  <si>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</si>
  <si>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</si>
  <si>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</si>
  <si>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>ילין לפידות ניהול קרנות נאמנות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</si>
  <si>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</si>
  <si>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</si>
  <si>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</si>
  <si>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</si>
  <si>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</si>
  <si>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</si>
  <si>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</si>
  <si>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נובה מכשירי מדידה בע"מ</t>
  </si>
  <si>
    <t>511812463</t>
  </si>
  <si>
    <t>Nova measuring inst</t>
  </si>
  <si>
    <t>IL0010845571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</si>
  <si>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</si>
  <si>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</si>
  <si>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</si>
  <si>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</si>
  <si>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</si>
  <si>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</si>
  <si>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</si>
  <si>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</si>
  <si>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</si>
  <si>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</si>
  <si>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</si>
  <si>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</si>
  <si>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</si>
  <si>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</si>
  <si>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</si>
  <si>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</si>
  <si>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</si>
  <si>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</si>
  <si>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</si>
  <si>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</si>
  <si>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</si>
  <si>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</si>
  <si>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</si>
  <si>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</si>
  <si>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</si>
  <si>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</si>
  <si>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</si>
  <si>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</si>
  <si>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</si>
  <si>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</si>
  <si>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</si>
  <si>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</si>
  <si>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</si>
  <si>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</si>
  <si>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</si>
  <si>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</si>
  <si>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</si>
  <si>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</si>
  <si>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</si>
  <si>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</si>
  <si>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</si>
  <si>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</si>
  <si>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</si>
  <si>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</si>
  <si>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</si>
  <si>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</si>
  <si>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</si>
  <si>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</si>
  <si>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</si>
  <si>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</si>
  <si>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</si>
  <si>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</si>
  <si>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</si>
  <si>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</si>
  <si>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</si>
  <si>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</si>
  <si>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</si>
  <si>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</si>
  <si>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</si>
  <si>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</si>
  <si>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</si>
  <si>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</si>
  <si>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</si>
  <si>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</si>
  <si>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</si>
  <si>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</si>
  <si>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</si>
  <si>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</si>
  <si>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</si>
  <si>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</si>
  <si>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</si>
  <si>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</si>
  <si>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</si>
  <si>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</si>
  <si>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</si>
  <si>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</si>
  <si>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</si>
  <si>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</si>
  <si>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</si>
  <si>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</si>
  <si>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</si>
  <si>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</si>
  <si>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</si>
  <si>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</si>
  <si>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</si>
  <si>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</si>
  <si>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</si>
  <si>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</si>
  <si>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</si>
  <si>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</si>
  <si>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</si>
  <si>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</si>
  <si>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</si>
  <si>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</si>
  <si>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</si>
  <si>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</si>
  <si>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</si>
  <si>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</si>
  <si>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</si>
  <si>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</si>
  <si>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</si>
  <si>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</si>
  <si>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</si>
  <si>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</si>
  <si>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</si>
  <si>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</si>
  <si>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</si>
  <si>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</si>
  <si>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</si>
  <si>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</si>
  <si>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</si>
  <si>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Broadcom Inc</t>
  </si>
  <si>
    <t>549300WV6GIDOZJTV909</t>
  </si>
  <si>
    <t>BROADCOM LTD</t>
  </si>
  <si>
    <t>US11135F1012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</si>
  <si>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</si>
  <si>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</si>
  <si>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</si>
  <si>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</si>
  <si>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</si>
  <si>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</si>
  <si>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Us Class c</t>
  </si>
  <si>
    <t>US02079K1079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</si>
  <si>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</si>
  <si>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</si>
  <si>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</si>
  <si>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</si>
  <si>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</si>
  <si>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</si>
  <si>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</si>
  <si>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</si>
  <si>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</si>
  <si>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SYS ADR</t>
  </si>
  <si>
    <t>US6536561086</t>
  </si>
  <si>
    <t xml:space="preserve">אורמת טכנולגיות אינק </t>
  </si>
  <si>
    <t>880326081</t>
  </si>
  <si>
    <t>Ormat Technologies</t>
  </si>
  <si>
    <t>US6866881021</t>
  </si>
  <si>
    <t>טרמינל איקס אונליין בע"מ</t>
  </si>
  <si>
    <t>515722536</t>
  </si>
  <si>
    <t>טרמינל איקס אונליין בעמ</t>
  </si>
  <si>
    <t>IL0011787145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</si>
  <si>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</si>
  <si>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</si>
  <si>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</si>
  <si>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</si>
  <si>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</si>
  <si>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</si>
  <si>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</si>
  <si>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</si>
  <si>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אי.טי.גי. איי גרופ בע"מ</t>
  </si>
  <si>
    <t>513764399</t>
  </si>
  <si>
    <t>אי. טי. ג'י. איי</t>
  </si>
  <si>
    <t>IL0011761140</t>
  </si>
  <si>
    <t>AIRBUS GROUP</t>
  </si>
  <si>
    <t>MINO79WLOO247M1IL051</t>
  </si>
  <si>
    <t>AIRbUS</t>
  </si>
  <si>
    <t>NL0000235190</t>
  </si>
  <si>
    <t>NVIDIA CORP</t>
  </si>
  <si>
    <t>549300S4KLFTLO7GSQ80</t>
  </si>
  <si>
    <t>Nvidia corp</t>
  </si>
  <si>
    <t>US67066G1040</t>
  </si>
  <si>
    <t>Samsung Electronics co ltd</t>
  </si>
  <si>
    <t>9884007ER46L6N7EI764</t>
  </si>
  <si>
    <t>Samsung Electronics Co Lt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</si>
  <si>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</si>
  <si>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</si>
  <si>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</si>
  <si>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</si>
  <si>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</si>
  <si>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</si>
  <si>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</si>
  <si>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</si>
  <si>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</si>
  <si>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</si>
  <si>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</si>
  <si>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</si>
  <si>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MONDAY.COM LTD</t>
  </si>
  <si>
    <t>984500MDAFVD86E3B328</t>
  </si>
  <si>
    <t>DTL MOC.YADNOM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</si>
  <si>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</si>
  <si>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</si>
  <si>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</si>
  <si>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</si>
  <si>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</si>
  <si>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</si>
  <si>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</si>
  <si>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CAMTEK LTDQ</t>
  </si>
  <si>
    <t>Selina Hospitality Plc</t>
  </si>
  <si>
    <t>549300BAEIWO0QPTC061</t>
  </si>
  <si>
    <t>SELINA HOSPITALITY</t>
  </si>
  <si>
    <t>GB00BQ1MW662</t>
  </si>
  <si>
    <t>אורמת טכנולוגיות</t>
  </si>
  <si>
    <t>Google Inc</t>
  </si>
  <si>
    <t>US38259P5089</t>
  </si>
  <si>
    <t>JD.com Inc</t>
  </si>
  <si>
    <t>549300HVTWB0GJZ16V92</t>
  </si>
  <si>
    <t>JD.COM INC</t>
  </si>
  <si>
    <t>KYG8208B1014</t>
  </si>
  <si>
    <t>איירפורט סיטי בע"מ</t>
  </si>
  <si>
    <t>511659401</t>
  </si>
  <si>
    <t>איירפורט אגח ה</t>
  </si>
  <si>
    <t>IL0011334872</t>
  </si>
  <si>
    <t>AA</t>
  </si>
  <si>
    <t>אלביט מערכות ב' 1.08%</t>
  </si>
  <si>
    <t>IL0011782351</t>
  </si>
  <si>
    <t>01/07/2029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</si>
  <si>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</si>
  <si>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</si>
  <si>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</si>
  <si>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</si>
  <si>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</si>
  <si>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</si>
  <si>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</si>
  <si>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</si>
  <si>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</si>
  <si>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</si>
  <si>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</si>
  <si>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</si>
  <si>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</si>
  <si>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</si>
  <si>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</si>
  <si>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ביג מרכזי קניות (2004) בע"מ</t>
  </si>
  <si>
    <t>513623314</t>
  </si>
  <si>
    <t>ביג אגח ז</t>
  </si>
  <si>
    <t>IL0011360844</t>
  </si>
  <si>
    <t>11/05/2025</t>
  </si>
  <si>
    <t>פז בית זיקוק לנפט-אשדוד בע"מ</t>
  </si>
  <si>
    <t>513775163</t>
  </si>
  <si>
    <t>בית זיקוק אשדוד אגח 2</t>
  </si>
  <si>
    <t>IL0011994881</t>
  </si>
  <si>
    <t>A-</t>
  </si>
  <si>
    <t>30/04/2029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</si>
  <si>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</si>
  <si>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</si>
  <si>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</si>
  <si>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</si>
  <si>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</si>
  <si>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</si>
  <si>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</si>
  <si>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</si>
  <si>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</si>
  <si>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</si>
  <si>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</si>
  <si>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</si>
  <si>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</si>
  <si>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</si>
  <si>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</si>
  <si>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</si>
  <si>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</si>
  <si>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</si>
  <si>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</si>
  <si>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</si>
  <si>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</si>
  <si>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חברת החשמל לישראל בע"מ</t>
  </si>
  <si>
    <t>520000472</t>
  </si>
  <si>
    <t>חשמל אגח 27</t>
  </si>
  <si>
    <t>IL0060002107</t>
  </si>
  <si>
    <t>AA+</t>
  </si>
  <si>
    <t>12/04/2029</t>
  </si>
  <si>
    <t>חשמל אגח 31</t>
  </si>
  <si>
    <t>IL0060002859</t>
  </si>
  <si>
    <t>21/09/2031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</si>
  <si>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</si>
  <si>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</si>
  <si>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</si>
  <si>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</si>
  <si>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</si>
  <si>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</si>
  <si>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</si>
  <si>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 אגח יא</t>
  </si>
  <si>
    <t>IL0011606477</t>
  </si>
  <si>
    <t>לאומי   אגח 179</t>
  </si>
  <si>
    <t>IL0060403727</t>
  </si>
  <si>
    <t>לאומי אגח 186</t>
  </si>
  <si>
    <t>IL0012018391</t>
  </si>
  <si>
    <t>30/11/2033</t>
  </si>
  <si>
    <t>מבנה נדל"ן (כ.ד)  בע"מ</t>
  </si>
  <si>
    <t>520024126</t>
  </si>
  <si>
    <t>מבני תעשיה אגח טז</t>
  </si>
  <si>
    <t>IL0022604388</t>
  </si>
  <si>
    <t>30/06/2028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</si>
  <si>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</si>
  <si>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</si>
  <si>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</si>
  <si>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</si>
  <si>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</si>
  <si>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</si>
  <si>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</si>
  <si>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</si>
  <si>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</si>
  <si>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</si>
  <si>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</si>
  <si>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</si>
  <si>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</si>
  <si>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</si>
  <si>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</si>
  <si>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</si>
  <si>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</si>
  <si>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</si>
  <si>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 xml:space="preserve">מימון ישיר מקבוצת ישיר 2006 בע"מ </t>
  </si>
  <si>
    <t>513893123</t>
  </si>
  <si>
    <t>מימון ישיר אגח ו</t>
  </si>
  <si>
    <t>IL0011916595</t>
  </si>
  <si>
    <t>31/03/2027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</si>
  <si>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</si>
  <si>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</si>
  <si>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</si>
  <si>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</si>
  <si>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</si>
  <si>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</si>
  <si>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</si>
  <si>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</si>
  <si>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כ</t>
  </si>
  <si>
    <t>IL0032304227</t>
  </si>
  <si>
    <t>01/07/2030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</si>
  <si>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</si>
  <si>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</si>
  <si>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</si>
  <si>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</si>
  <si>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</si>
  <si>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ה</t>
  </si>
  <si>
    <t>IL0011566036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</si>
  <si>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</si>
  <si>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</si>
  <si>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</si>
  <si>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</si>
  <si>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</si>
  <si>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</si>
  <si>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</si>
  <si>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</si>
  <si>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</si>
  <si>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הפניקס גיוסי הון (2009) בע"מ</t>
  </si>
  <si>
    <t>514290345</t>
  </si>
  <si>
    <t>פניקס הון אגח טו</t>
  </si>
  <si>
    <t>IL0012019530</t>
  </si>
  <si>
    <t>30/06/2030</t>
  </si>
  <si>
    <t>שופר-סל בע"מ</t>
  </si>
  <si>
    <t>520022732</t>
  </si>
  <si>
    <t>שופרסל אגח ה</t>
  </si>
  <si>
    <t>IL0077702095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</si>
  <si>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</si>
  <si>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</si>
  <si>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</si>
  <si>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</si>
  <si>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</si>
  <si>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</si>
  <si>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</si>
  <si>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</si>
  <si>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יט</t>
  </si>
  <si>
    <t>IL0011927311</t>
  </si>
  <si>
    <t>21/12/2031</t>
  </si>
  <si>
    <t>Athene Global Funding</t>
  </si>
  <si>
    <t>549300LM1QSI4MSIL320</t>
  </si>
  <si>
    <t>ATH 1.985 08/19/28</t>
  </si>
  <si>
    <t>US04685A3C32</t>
  </si>
  <si>
    <t>21/08/2028</t>
  </si>
  <si>
    <t>לוויתן בונד בע"מ</t>
  </si>
  <si>
    <t>516223864</t>
  </si>
  <si>
    <t>LVIA 6.125% 6/25</t>
  </si>
  <si>
    <t>IL0011677742</t>
  </si>
  <si>
    <t>BB-</t>
  </si>
  <si>
    <t>30/06/2025</t>
  </si>
  <si>
    <t>אאורה השקעות בע"מ</t>
  </si>
  <si>
    <t>520038274</t>
  </si>
  <si>
    <t>אאורה אגח יז %3.85 31/01/2029</t>
  </si>
  <si>
    <t>IL0011935801</t>
  </si>
  <si>
    <t>31/01/2029</t>
  </si>
  <si>
    <t xml:space="preserve">אס.אר.אקורד בע"מ </t>
  </si>
  <si>
    <t>520038670</t>
  </si>
  <si>
    <t>אסאר אקורד אגח ב</t>
  </si>
  <si>
    <t>IL0042203724</t>
  </si>
  <si>
    <t>30/06/2027</t>
  </si>
  <si>
    <t>אקסטל לימיטד</t>
  </si>
  <si>
    <t>1811308</t>
  </si>
  <si>
    <t>אקסטל אג"ח ג</t>
  </si>
  <si>
    <t>IL0011750416</t>
  </si>
  <si>
    <t>31/03/2026</t>
  </si>
  <si>
    <t>אקסטל אגח ד- חסום עד 24/06/24</t>
  </si>
  <si>
    <t>IL0011831695</t>
  </si>
  <si>
    <t>31/12/2027</t>
  </si>
  <si>
    <t>גבאי מניבים ופיתוח בע"מ</t>
  </si>
  <si>
    <t>520032178</t>
  </si>
  <si>
    <t>גבאי מניבים אגח י עד 25.04.2024 חסום</t>
  </si>
  <si>
    <t>IL0077102395</t>
  </si>
  <si>
    <t>N/R</t>
  </si>
  <si>
    <t xml:space="preserve">קבוצת חג'ג' ייזום נדל"ן בע"מ </t>
  </si>
  <si>
    <t>520033309</t>
  </si>
  <si>
    <t>חג'ג' אגח להמרה י</t>
  </si>
  <si>
    <t>IL0082302949</t>
  </si>
  <si>
    <t>BBB+</t>
  </si>
  <si>
    <t>31/12/2024</t>
  </si>
  <si>
    <t>לאומי   אגח 180</t>
  </si>
  <si>
    <t>IL0060404220</t>
  </si>
  <si>
    <t>28/02/2025</t>
  </si>
  <si>
    <t>מזרחי הנפקות 40</t>
  </si>
  <si>
    <t>IL0023101673</t>
  </si>
  <si>
    <t>סטרוברי פילדס ריט לימיטד</t>
  </si>
  <si>
    <t>1863501</t>
  </si>
  <si>
    <t>סטרוברי אגח ד</t>
  </si>
  <si>
    <t>IL0011970295</t>
  </si>
  <si>
    <t>30/09/2026</t>
  </si>
  <si>
    <t>סיאון אינווסטמנט קורפוריישן</t>
  </si>
  <si>
    <t>14242259</t>
  </si>
  <si>
    <t>סיאון אגח א - חסום עד 05/04/24</t>
  </si>
  <si>
    <t>IL0011940181</t>
  </si>
  <si>
    <t>31/08/2026</t>
  </si>
  <si>
    <t>עמרם אברהם חברה לבנין בע"מ</t>
  </si>
  <si>
    <t>513201582</t>
  </si>
  <si>
    <t>עמרם אברהם אגח א</t>
  </si>
  <si>
    <t>IL0011880445</t>
  </si>
  <si>
    <t>פועלים אגח 101</t>
  </si>
  <si>
    <t>IL0011913378</t>
  </si>
  <si>
    <t>29/05/2025</t>
  </si>
  <si>
    <t>פסיפיק אוק אסאואר(בי וי איי) הולדינגס</t>
  </si>
  <si>
    <t>1900288</t>
  </si>
  <si>
    <t>פסיפיק אגח ג</t>
  </si>
  <si>
    <t>IL0011976805</t>
  </si>
  <si>
    <t>LUMIIT 3.275 01/29/31</t>
  </si>
  <si>
    <t>IL0060404899</t>
  </si>
  <si>
    <t>BBB-</t>
  </si>
  <si>
    <t>29/01/2031</t>
  </si>
  <si>
    <t>LVIATH 6.5 30/06/27</t>
  </si>
  <si>
    <t>IL0011677825</t>
  </si>
  <si>
    <t>MZRHIT 3.077 04/07/31</t>
  </si>
  <si>
    <t>IL0069508369</t>
  </si>
  <si>
    <t>07/04/2031</t>
  </si>
  <si>
    <t>Summit Properties Limited</t>
  </si>
  <si>
    <t>213800KLWIACHRBYR158</t>
  </si>
  <si>
    <t>SMTPLN 2 01/31/25</t>
  </si>
  <si>
    <t>XS1757821688</t>
  </si>
  <si>
    <t>BB+</t>
  </si>
  <si>
    <t>31/01/2025</t>
  </si>
  <si>
    <t>אלקטרה    אגח ד</t>
  </si>
  <si>
    <t>IL0073901493</t>
  </si>
  <si>
    <t>אנלייט אנר אגח ו</t>
  </si>
  <si>
    <t>IL0072001733</t>
  </si>
  <si>
    <t>01/09/2026</t>
  </si>
  <si>
    <t>אנרג'יקס אגח א</t>
  </si>
  <si>
    <t>IL0011617516</t>
  </si>
  <si>
    <t>01/08/2030</t>
  </si>
  <si>
    <t>בזק אגח 10</t>
  </si>
  <si>
    <t>IL0023001840</t>
  </si>
  <si>
    <t>01/12/2025</t>
  </si>
  <si>
    <t>ביג אגח יד</t>
  </si>
  <si>
    <t>IL0011615122</t>
  </si>
  <si>
    <t>30/11/2025</t>
  </si>
  <si>
    <t>חברת גב-ים לקרקעות בע"מ</t>
  </si>
  <si>
    <t>520001736</t>
  </si>
  <si>
    <t>גב ים אגח ט</t>
  </si>
  <si>
    <t>IL0075902192</t>
  </si>
  <si>
    <t>30/06/2033</t>
  </si>
  <si>
    <t>גירון פיתוח ובניה בע"מ</t>
  </si>
  <si>
    <t>520044520</t>
  </si>
  <si>
    <t>גירון אגח ו</t>
  </si>
  <si>
    <t>IL0011398497</t>
  </si>
  <si>
    <t>31/12/2025</t>
  </si>
  <si>
    <t>החברה לישראל בע"מ</t>
  </si>
  <si>
    <t>520028010</t>
  </si>
  <si>
    <t>חברה לישראל אגח 14</t>
  </si>
  <si>
    <t>IL0057603016</t>
  </si>
  <si>
    <t>חשמל     אגח 29</t>
  </si>
  <si>
    <t>IL0060002362</t>
  </si>
  <si>
    <t>01/03/2026</t>
  </si>
  <si>
    <t>חשמל אגח 33</t>
  </si>
  <si>
    <t>IL0060003923</t>
  </si>
  <si>
    <t>30/05/2036</t>
  </si>
  <si>
    <t>מבני תעש אגח כג</t>
  </si>
  <si>
    <t>IL0022605450</t>
  </si>
  <si>
    <t>מז טפ הנ אגח 62</t>
  </si>
  <si>
    <t>IL0023104982</t>
  </si>
  <si>
    <t>22/10/2028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</si>
  <si>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</si>
  <si>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</si>
  <si>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</si>
  <si>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</si>
  <si>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</si>
  <si>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</si>
  <si>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מליסרון אגח י'</t>
  </si>
  <si>
    <t>IL0032301900</t>
  </si>
  <si>
    <t>סלקום ישראל בע"מ</t>
  </si>
  <si>
    <t>511930125</t>
  </si>
  <si>
    <t>סלקום אגח ט</t>
  </si>
  <si>
    <t>IL0011328361</t>
  </si>
  <si>
    <t>06/07/2025</t>
  </si>
  <si>
    <t>עזריאלי אגח ז</t>
  </si>
  <si>
    <t>IL0011786725</t>
  </si>
  <si>
    <t>02/07/2036</t>
  </si>
  <si>
    <t>פועלים אגח 100</t>
  </si>
  <si>
    <t>IL0066204889</t>
  </si>
  <si>
    <t>פועלים אגח 203</t>
  </si>
  <si>
    <t>IL0011998684</t>
  </si>
  <si>
    <t>02/12/2030</t>
  </si>
  <si>
    <t>פז חברת הנפט בע"מ</t>
  </si>
  <si>
    <t>510216054</t>
  </si>
  <si>
    <t>פז נפט אגח ז</t>
  </si>
  <si>
    <t>IL0011425951</t>
  </si>
  <si>
    <t>01/12/2030</t>
  </si>
  <si>
    <t>חברת פרטנר תקשורת בע"מ</t>
  </si>
  <si>
    <t>520044314</t>
  </si>
  <si>
    <t>פרטנר אגח ז</t>
  </si>
  <si>
    <t>IL0011563975</t>
  </si>
  <si>
    <t>25/06/2027</t>
  </si>
  <si>
    <t>קרסו מוטורס בע"מ</t>
  </si>
  <si>
    <t>514065283</t>
  </si>
  <si>
    <t>קרסו מוטורס   אגח ג</t>
  </si>
  <si>
    <t>IL0011418295</t>
  </si>
  <si>
    <t>01/09/2027</t>
  </si>
  <si>
    <t>שופרסל אגח ד</t>
  </si>
  <si>
    <t>IL0077701915</t>
  </si>
  <si>
    <t>שיכון ובינוי בע"מ</t>
  </si>
  <si>
    <t>520036104</t>
  </si>
  <si>
    <t>שיכון ובינוי אגח 7</t>
  </si>
  <si>
    <t>IL0011297418</t>
  </si>
  <si>
    <t>01/04/2025</t>
  </si>
  <si>
    <t>תמר פטרוליום בעמ</t>
  </si>
  <si>
    <t>515334662</t>
  </si>
  <si>
    <t>תמר פטרוליום אגח א</t>
  </si>
  <si>
    <t>IL0011413320</t>
  </si>
  <si>
    <t>30/08/2028</t>
  </si>
  <si>
    <t>אאורה אגח יז חסום עד 14.05.24</t>
  </si>
  <si>
    <t>אדמה פתרונות לחקלאות בע"מ</t>
  </si>
  <si>
    <t>520043605</t>
  </si>
  <si>
    <t>אדמה אגח ב</t>
  </si>
  <si>
    <t>IL0011109159</t>
  </si>
  <si>
    <t>30/11/2036</t>
  </si>
  <si>
    <t>אנלייט אנרגיה אגח ד</t>
  </si>
  <si>
    <t>IL0072002566</t>
  </si>
  <si>
    <t>02/09/2029</t>
  </si>
  <si>
    <t>אפקון החזקות בע"מ</t>
  </si>
  <si>
    <t>520033473</t>
  </si>
  <si>
    <t>אפקון אגח ד - חסום עד 23/02/24</t>
  </si>
  <si>
    <t>IL0057801685</t>
  </si>
  <si>
    <t>31/03/2029</t>
  </si>
  <si>
    <t>ארפורט אגח ט</t>
  </si>
  <si>
    <t>IL0011609448</t>
  </si>
  <si>
    <t>30/08/2035</t>
  </si>
  <si>
    <t>ביג אגח טו</t>
  </si>
  <si>
    <t>IL0011622219</t>
  </si>
  <si>
    <t>31/01/2030</t>
  </si>
  <si>
    <t>ביג אגח יא</t>
  </si>
  <si>
    <t>IL0011511172</t>
  </si>
  <si>
    <t>20/10/2027</t>
  </si>
  <si>
    <t>גב ים סד' ו'</t>
  </si>
  <si>
    <t>IL0075901285</t>
  </si>
  <si>
    <t>גבאי מניבים אגח י</t>
  </si>
  <si>
    <t>ג'י סיטי בע"מ</t>
  </si>
  <si>
    <t>520033234</t>
  </si>
  <si>
    <t>ג'י סיטי  אגח יג</t>
  </si>
  <si>
    <t>IL0012606526</t>
  </si>
  <si>
    <t>חברת הכשרת הישוב בישראל בע"מ</t>
  </si>
  <si>
    <t>520020116</t>
  </si>
  <si>
    <t>הכשרת הישוב אגח 25</t>
  </si>
  <si>
    <t>IL0011915274</t>
  </si>
  <si>
    <t>הראל הנפ אגח יד</t>
  </si>
  <si>
    <t>IL0011431223</t>
  </si>
  <si>
    <t>31/12/2030</t>
  </si>
  <si>
    <t>יוניברסל מוטורס  ישראל בע"מ</t>
  </si>
  <si>
    <t>511809071</t>
  </si>
  <si>
    <t>יוניברסל אגח ה</t>
  </si>
  <si>
    <t>IL0011926081</t>
  </si>
  <si>
    <t>10/02/2031</t>
  </si>
  <si>
    <t>ישרס אגח טו</t>
  </si>
  <si>
    <t>IL0061302076</t>
  </si>
  <si>
    <t>16/05/2027</t>
  </si>
  <si>
    <t>ישרס אגח יח</t>
  </si>
  <si>
    <t>IL0061302803</t>
  </si>
  <si>
    <t>10/04/2030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</si>
  <si>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</si>
  <si>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</si>
  <si>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</si>
  <si>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</si>
  <si>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</si>
  <si>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</si>
  <si>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</si>
  <si>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</si>
  <si>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</si>
  <si>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</si>
  <si>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</si>
  <si>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</si>
  <si>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</si>
  <si>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</si>
  <si>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</si>
  <si>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184</t>
  </si>
  <si>
    <t>IL0060406043</t>
  </si>
  <si>
    <t>05/05/2030</t>
  </si>
  <si>
    <t>מבני תעשיה  אגח כ</t>
  </si>
  <si>
    <t>IL0022604958</t>
  </si>
  <si>
    <t>מז טפ הנפ אגח61</t>
  </si>
  <si>
    <t>IL0023104644</t>
  </si>
  <si>
    <t>04/12/2026</t>
  </si>
  <si>
    <t>מזרחי טפחות הנפק אגח 64</t>
  </si>
  <si>
    <t>IL0023105559</t>
  </si>
  <si>
    <t>13/04/2031</t>
  </si>
  <si>
    <t>מימון ישיר אגח ה</t>
  </si>
  <si>
    <t>IL0011828311</t>
  </si>
  <si>
    <t>31/07/2031</t>
  </si>
  <si>
    <t>מימון ישיר ד</t>
  </si>
  <si>
    <t>IL0011756603</t>
  </si>
  <si>
    <t>01/02/2026</t>
  </si>
  <si>
    <t>מליסרון אגח יד</t>
  </si>
  <si>
    <t>IL0032302320</t>
  </si>
  <si>
    <t>27/04/2026</t>
  </si>
  <si>
    <t>מרכנתיל הנפקות בע"מ</t>
  </si>
  <si>
    <t>513686154</t>
  </si>
  <si>
    <t>מרכנתיל 4</t>
  </si>
  <si>
    <t>IL0011713059</t>
  </si>
  <si>
    <t>30/01/2030</t>
  </si>
  <si>
    <t>חברה לנכסים ולבנין בע"מ</t>
  </si>
  <si>
    <t>520025438</t>
  </si>
  <si>
    <t>נכסים ובנין אגח י</t>
  </si>
  <si>
    <t>IL0011936304</t>
  </si>
  <si>
    <t>סלע קפיטל נדל"ן בע"מ</t>
  </si>
  <si>
    <t>513992529</t>
  </si>
  <si>
    <t>סלע נדלן אגח ג</t>
  </si>
  <si>
    <t>IL0011389736</t>
  </si>
  <si>
    <t>13/04/2029</t>
  </si>
  <si>
    <t>עזריאלי אגח ד</t>
  </si>
  <si>
    <t>IL0011386500</t>
  </si>
  <si>
    <t>05/07/2030</t>
  </si>
  <si>
    <t>עזריאלי קבוצה אגח ב סחיר</t>
  </si>
  <si>
    <t>IL0011344368</t>
  </si>
  <si>
    <t>פועלים התחייבות נדחים ו</t>
  </si>
  <si>
    <t>IL0066205530</t>
  </si>
  <si>
    <t>13/03/2028</t>
  </si>
  <si>
    <t>פתאל נכסים(אירופה)בע"מ</t>
  </si>
  <si>
    <t>515328250</t>
  </si>
  <si>
    <t>פתאל אירופה אגח ג</t>
  </si>
  <si>
    <t>IL0011418527</t>
  </si>
  <si>
    <t>ריט 1 בע"מ</t>
  </si>
  <si>
    <t>513821488</t>
  </si>
  <si>
    <t>ריט 1 אגח ד</t>
  </si>
  <si>
    <t>IL0011298994</t>
  </si>
  <si>
    <t>20/09/2024</t>
  </si>
  <si>
    <t>ריט 1 אגח ו</t>
  </si>
  <si>
    <t>IL0011385445</t>
  </si>
  <si>
    <t>תמר פטרו אגח ב</t>
  </si>
  <si>
    <t>IL0011435935</t>
  </si>
  <si>
    <t>Energean plc</t>
  </si>
  <si>
    <t>10758801</t>
  </si>
  <si>
    <t>ENOIGA 5 7/8 30/03/31</t>
  </si>
  <si>
    <t>IL0011736811</t>
  </si>
  <si>
    <t>30/03/2031</t>
  </si>
  <si>
    <t>JPMORGAN</t>
  </si>
  <si>
    <t>8I5DZWZKVSZI1NUHU748</t>
  </si>
  <si>
    <t>JPM 4.912 07/25/33</t>
  </si>
  <si>
    <t>US46647PDH64</t>
  </si>
  <si>
    <t>25/07/2033</t>
  </si>
  <si>
    <t>נאוויטס פטרוליום, שותפות מוגבלת</t>
  </si>
  <si>
    <t>550263107</t>
  </si>
  <si>
    <t>נאוויטס פטרו אגח ה חסום עד 11/07/24</t>
  </si>
  <si>
    <t>IL0011979122</t>
  </si>
  <si>
    <t>31/12/2028</t>
  </si>
  <si>
    <t>אדגר השקעות ופיתוח בע"מ</t>
  </si>
  <si>
    <t>520035171</t>
  </si>
  <si>
    <t>אדגר אגח י</t>
  </si>
  <si>
    <t>IL0018202080</t>
  </si>
  <si>
    <t>איירפורט אגח י</t>
  </si>
  <si>
    <t>IL0011959819</t>
  </si>
  <si>
    <t>אמות אגח ו</t>
  </si>
  <si>
    <t>IL0011586091</t>
  </si>
  <si>
    <t>03/10/2029</t>
  </si>
  <si>
    <t>אפי נכסים בע"מ</t>
  </si>
  <si>
    <t>510560188</t>
  </si>
  <si>
    <t>אפי נכסים אגח 8</t>
  </si>
  <si>
    <t>IL0011422313</t>
  </si>
  <si>
    <t>15/10/2026</t>
  </si>
  <si>
    <t>בתי זקוק לנפט בע"מ</t>
  </si>
  <si>
    <t>520036658</t>
  </si>
  <si>
    <t>בזן אגח יב</t>
  </si>
  <si>
    <t>IL0025905782</t>
  </si>
  <si>
    <t>25/09/2029</t>
  </si>
  <si>
    <t>דיסקונט אגח יד</t>
  </si>
  <si>
    <t>IL0074801635</t>
  </si>
  <si>
    <t>05/12/2030</t>
  </si>
  <si>
    <t>הכשרת ישוב אגח 21</t>
  </si>
  <si>
    <t>IL0061202243</t>
  </si>
  <si>
    <t>ישראמקו נגב 2 שותפות מוגבלת</t>
  </si>
  <si>
    <t>550010003</t>
  </si>
  <si>
    <t>ישראמקו נגב 2 א</t>
  </si>
  <si>
    <t>IL0023201747</t>
  </si>
  <si>
    <t>10/10/2025</t>
  </si>
  <si>
    <t>לאומי אגח סד 183</t>
  </si>
  <si>
    <t>IL0060405474</t>
  </si>
  <si>
    <t>25/11/2029</t>
  </si>
  <si>
    <t>מז טפ הנ אגח 63</t>
  </si>
  <si>
    <t>IL0023105484</t>
  </si>
  <si>
    <t>מימון ישיר אגח ג</t>
  </si>
  <si>
    <t>IL0011712143</t>
  </si>
  <si>
    <t>מנורה מבטחים גיוס הון בע"מ</t>
  </si>
  <si>
    <t>513937714</t>
  </si>
  <si>
    <t>מנורה הון התחייבות ו'2030</t>
  </si>
  <si>
    <t>IL0011602419</t>
  </si>
  <si>
    <t>נכסים ובנין ד</t>
  </si>
  <si>
    <t>IL0069901549</t>
  </si>
  <si>
    <t>סיאון אגח א</t>
  </si>
  <si>
    <t>פורמולה אג"ח ג</t>
  </si>
  <si>
    <t>IL0025602090</t>
  </si>
  <si>
    <t>01/12/2026</t>
  </si>
  <si>
    <t>קרסו מוטורס אגח ד</t>
  </si>
  <si>
    <t>IL0011735664</t>
  </si>
  <si>
    <t>01/10/2028</t>
  </si>
  <si>
    <t>רוטשטיין נדל"ן  בע"מ</t>
  </si>
  <si>
    <t>520039959</t>
  </si>
  <si>
    <t>רוטשטיין אגח ט</t>
  </si>
  <si>
    <t>IL0053902248</t>
  </si>
  <si>
    <t>14/07/2025</t>
  </si>
  <si>
    <t>ריט 1 סד ה</t>
  </si>
  <si>
    <t>IL0011367534</t>
  </si>
  <si>
    <t>20/09/2028</t>
  </si>
  <si>
    <t>קבוצת אשטרום</t>
  </si>
  <si>
    <t>510381601</t>
  </si>
  <si>
    <t>אשטרום קב אגח ג</t>
  </si>
  <si>
    <t>IL0011401028</t>
  </si>
  <si>
    <t>15/01/2029</t>
  </si>
  <si>
    <t>בזן אגח י</t>
  </si>
  <si>
    <t>IL0025905113</t>
  </si>
  <si>
    <t>25/09/2031</t>
  </si>
  <si>
    <t>הבינלאומי הראשון הנפקות בע"מ</t>
  </si>
  <si>
    <t>513141879</t>
  </si>
  <si>
    <t>בינל הנפקות אגח יב</t>
  </si>
  <si>
    <t>IL0011823858</t>
  </si>
  <si>
    <t>07/12/2027</t>
  </si>
  <si>
    <t>הכשרת ישוב אגח 22</t>
  </si>
  <si>
    <t>IL0061202409</t>
  </si>
  <si>
    <t>הפניקס אגח 5</t>
  </si>
  <si>
    <t>IL0076702849</t>
  </si>
  <si>
    <t>01/05/2030</t>
  </si>
  <si>
    <t>הראל הנפק אגח כ 31/12/2036</t>
  </si>
  <si>
    <t>IL0012079849</t>
  </si>
  <si>
    <t>31/12/2036</t>
  </si>
  <si>
    <t>וילאר אינטרנשיונל בע"מ</t>
  </si>
  <si>
    <t>520038910</t>
  </si>
  <si>
    <t>וילאר אינטרנ' ח'</t>
  </si>
  <si>
    <t>IL0041601563</t>
  </si>
  <si>
    <t>27/06/2025</t>
  </si>
  <si>
    <t>כלל ביטוח אגח א</t>
  </si>
  <si>
    <t>IL0011934812</t>
  </si>
  <si>
    <t>28/02/2028</t>
  </si>
  <si>
    <t>מז טפחות הנפ אגח57</t>
  </si>
  <si>
    <t>IL0023104230</t>
  </si>
  <si>
    <t>02/03/2025</t>
  </si>
  <si>
    <t>מיטב דש השקעות בע"מ</t>
  </si>
  <si>
    <t>520043795</t>
  </si>
  <si>
    <t>מיטב השקעות אג3</t>
  </si>
  <si>
    <t>IL0011217630</t>
  </si>
  <si>
    <t>10/12/2025</t>
  </si>
  <si>
    <t>מנורה מבטחים החזקות בע"מ</t>
  </si>
  <si>
    <t>520007469</t>
  </si>
  <si>
    <t>מנורה מב  אגח ג</t>
  </si>
  <si>
    <t>IL0056600633</t>
  </si>
  <si>
    <t>פז נפט  אגח ח</t>
  </si>
  <si>
    <t>IL0011628174</t>
  </si>
  <si>
    <t>פז נפט  ו</t>
  </si>
  <si>
    <t>IL0011395428</t>
  </si>
  <si>
    <t>30/11/2028</t>
  </si>
  <si>
    <t>פניקס הון אגח ח</t>
  </si>
  <si>
    <t>IL0011398158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</si>
  <si>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</si>
  <si>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</si>
  <si>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</si>
  <si>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</si>
  <si>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</si>
  <si>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</si>
  <si>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</si>
  <si>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שופרסל אגח ו</t>
  </si>
  <si>
    <t>IL0077702178</t>
  </si>
  <si>
    <t>08/10/2028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</si>
  <si>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</si>
  <si>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</si>
  <si>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</si>
  <si>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</si>
  <si>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</si>
  <si>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חוזים עתידיים בחול</t>
  </si>
  <si>
    <t>10527</t>
  </si>
  <si>
    <t>HWAZ4_SP500 MIC  FUTDEC24</t>
  </si>
  <si>
    <t>HWAZ4</t>
  </si>
  <si>
    <t>CME </t>
  </si>
  <si>
    <t>Stoxx Europe 600 12/24</t>
  </si>
  <si>
    <t>SXOZA</t>
  </si>
  <si>
    <t>ESZ4_S&amp;P 500 EMINI FUT DEC24</t>
  </si>
  <si>
    <t>ESZ4</t>
  </si>
  <si>
    <t>NQZ4_NASDAQ 100 E-MINI DEC24</t>
  </si>
  <si>
    <t>NQZ4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</si>
  <si>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</si>
  <si>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</si>
  <si>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</si>
  <si>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</si>
  <si>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</si>
  <si>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</si>
  <si>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בית בכפר בע"מ</t>
  </si>
  <si>
    <t>511605719</t>
  </si>
  <si>
    <t>בית בכפר   אר 1</t>
  </si>
  <si>
    <t>IL0011836645</t>
  </si>
  <si>
    <t>IL0011836561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</si>
  <si>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</si>
  <si>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</si>
  <si>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</si>
  <si>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</si>
  <si>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</si>
  <si>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</si>
  <si>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</si>
  <si>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טראקנט אנטרפרייז בע"מ</t>
  </si>
  <si>
    <t>515446474</t>
  </si>
  <si>
    <t>טרקנט אופ 1</t>
  </si>
  <si>
    <t>IL0011741019</t>
  </si>
  <si>
    <t>IL0011740938</t>
  </si>
  <si>
    <t>פיימנט טכנולוגיות</t>
  </si>
  <si>
    <t>515166544</t>
  </si>
  <si>
    <t>פיימנט אפ 1</t>
  </si>
  <si>
    <t>IL0011808842</t>
  </si>
  <si>
    <t>IL0011808768</t>
  </si>
  <si>
    <t>15/10/2024</t>
  </si>
  <si>
    <t>קונטיניואל בע"מ</t>
  </si>
  <si>
    <t>514949973</t>
  </si>
  <si>
    <t>קונטיניואל אופ</t>
  </si>
  <si>
    <t>IL0011822785</t>
  </si>
  <si>
    <t>IL0011822603</t>
  </si>
  <si>
    <t>12/12/2024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</si>
  <si>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</si>
  <si>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</si>
  <si>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</si>
  <si>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</si>
  <si>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</si>
  <si>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</si>
  <si>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</si>
  <si>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HAREL FINANCE ALTERNATIVE HAMA</t>
  </si>
  <si>
    <t>Harel Alternative Cedit Co-invest</t>
  </si>
  <si>
    <t>24/04/2023</t>
  </si>
  <si>
    <t>Klirmark</t>
  </si>
  <si>
    <t>CO-101523</t>
  </si>
  <si>
    <t>Klirmark Fund IV</t>
  </si>
  <si>
    <t>כתובת: ז'בוטינסקי 2 , רמת גן , ישראל</t>
  </si>
  <si>
    <t>19/04/2023</t>
  </si>
  <si>
    <t>22/09/2024</t>
  </si>
  <si>
    <t>SPHERA</t>
  </si>
  <si>
    <t>540305869</t>
  </si>
  <si>
    <t>קרן ספרה פארקינג</t>
  </si>
  <si>
    <t>06/12/2021</t>
  </si>
  <si>
    <t>BRIDGES ISRAEL GP GROWTH FUND 1 LIMITED PARTNERSHI</t>
  </si>
  <si>
    <t>540279460</t>
  </si>
  <si>
    <t>BRIDGES ISRAEL GROWTH INVESTMENTS 1</t>
  </si>
  <si>
    <t>28/10/2019</t>
  </si>
  <si>
    <t>12/08/2024</t>
  </si>
  <si>
    <t>Kedma Capital</t>
  </si>
  <si>
    <t>540286333</t>
  </si>
  <si>
    <t>KEDMA CAPITAL PARTNERS III LTD</t>
  </si>
  <si>
    <t>17/04/2019</t>
  </si>
  <si>
    <t>מרקסטון - קרן הון סיכון</t>
  </si>
  <si>
    <t>513473264</t>
  </si>
  <si>
    <t>MARKSTONE CAPITAL</t>
  </si>
  <si>
    <t>ג'נריישן ניהול בע"מ</t>
  </si>
  <si>
    <t>515785012</t>
  </si>
  <si>
    <t>ויולה ג'נריישן ניהול</t>
  </si>
  <si>
    <t>23/08/2018</t>
  </si>
  <si>
    <t>15/08/2024</t>
  </si>
  <si>
    <t>יסודות א נדלן שותפות מוגבלת</t>
  </si>
  <si>
    <t>550257125</t>
  </si>
  <si>
    <t>יסודות נדל"ן ג' פיתוח ושותפות P</t>
  </si>
  <si>
    <t>15/06/2021</t>
  </si>
  <si>
    <t>29/08/2024</t>
  </si>
  <si>
    <t>קרן ברוש 2234</t>
  </si>
  <si>
    <t>774636625</t>
  </si>
  <si>
    <t>קרן ברוש</t>
  </si>
  <si>
    <t>23/12/2020</t>
  </si>
  <si>
    <t>19/09/2024</t>
  </si>
  <si>
    <t>נוקד אקוויטי השקעות בע"מ</t>
  </si>
  <si>
    <t>515419356</t>
  </si>
  <si>
    <t>קרן גידור נוקד במרס</t>
  </si>
  <si>
    <t>04/05/2020</t>
  </si>
  <si>
    <t>קרן גידור-נוקד</t>
  </si>
  <si>
    <t>28/09/2017</t>
  </si>
  <si>
    <t>תשתיות ישראל  ג'י. פי. 4 שותפות מוגבלת</t>
  </si>
  <si>
    <t>550243026</t>
  </si>
  <si>
    <t>תשתיות ישראל 4 - קופות המחר</t>
  </si>
  <si>
    <t>25/08/2021</t>
  </si>
  <si>
    <t>25/08/2024</t>
  </si>
  <si>
    <t>Qumra Capital GP II, L.P</t>
  </si>
  <si>
    <t>540310885</t>
  </si>
  <si>
    <t>Qumra Opportunity fund</t>
  </si>
  <si>
    <t>18/02/2024</t>
  </si>
  <si>
    <t>איבו קרן מלונאות ש.מ.</t>
  </si>
  <si>
    <t>31/01/2023</t>
  </si>
  <si>
    <t>29/07/2024</t>
  </si>
  <si>
    <t>קוגיטו קפיטל אל.אמ.אי שותף כללי, שותפות מוגבלת</t>
  </si>
  <si>
    <t>550270912</t>
  </si>
  <si>
    <t>קוגיטו קפיטל 2</t>
  </si>
  <si>
    <t>AGILITI INC</t>
  </si>
  <si>
    <t>89987</t>
  </si>
  <si>
    <t>קרן גידור אג'יליטי</t>
  </si>
  <si>
    <t>03/04/2023</t>
  </si>
  <si>
    <t>LCN חו"לrth American Fund GP III, L.P.</t>
  </si>
  <si>
    <t>540300902</t>
  </si>
  <si>
    <t>CIP VII Cerberus</t>
  </si>
  <si>
    <t>25/08/2022</t>
  </si>
  <si>
    <t>12/09/2024</t>
  </si>
  <si>
    <t>Hamilton Lane Advisors, LLC</t>
  </si>
  <si>
    <t xml:space="preserve">98-1588386 </t>
  </si>
  <si>
    <t>HAMILTON STRATEGIC OPP 2020 VI - קופות המחר</t>
  </si>
  <si>
    <t>22/11/2021</t>
  </si>
  <si>
    <t>08/08/2024</t>
  </si>
  <si>
    <t>המילטון ליין (ישראל)</t>
  </si>
  <si>
    <t>Hamilton Strategic Opp VII</t>
  </si>
  <si>
    <t>14/06/2022</t>
  </si>
  <si>
    <t>23/09/2024</t>
  </si>
  <si>
    <t>INSIGHT VENTURE PARTNERS IX</t>
  </si>
  <si>
    <t>89445</t>
  </si>
  <si>
    <t>Insight Partners XII</t>
  </si>
  <si>
    <t>12/07/2021</t>
  </si>
  <si>
    <t>09/09/2024</t>
  </si>
  <si>
    <t>Invesco Credit Partners II</t>
  </si>
  <si>
    <t>13/07/2022</t>
  </si>
  <si>
    <t>05/09/2024</t>
  </si>
  <si>
    <t>viola credit vi</t>
  </si>
  <si>
    <t>25/10/2021</t>
  </si>
  <si>
    <t>FORTISSIMO CAPITA FUND</t>
  </si>
  <si>
    <t>530278498</t>
  </si>
  <si>
    <t>פורטיסימו 4</t>
  </si>
  <si>
    <t>23/10/2023</t>
  </si>
  <si>
    <t>invesco</t>
  </si>
  <si>
    <t>קרן Invesco Direct Lending II</t>
  </si>
  <si>
    <t>21/08/2024</t>
  </si>
  <si>
    <t>ALTO FUND</t>
  </si>
  <si>
    <t>27092</t>
  </si>
  <si>
    <t>ALTO FUND 2</t>
  </si>
  <si>
    <t>28/12/2015</t>
  </si>
  <si>
    <t>ALTO III</t>
  </si>
  <si>
    <t>23/04/2018</t>
  </si>
  <si>
    <t>bain capital senior loan fund</t>
  </si>
  <si>
    <t>27725</t>
  </si>
  <si>
    <t>BAIN CAPITAL DSS</t>
  </si>
  <si>
    <t>17/06/2020</t>
  </si>
  <si>
    <t>AP Fund III GP, LLC</t>
  </si>
  <si>
    <t>84-2057868</t>
  </si>
  <si>
    <t>BLUE ATLANTIC PARTNERS</t>
  </si>
  <si>
    <t>22/06/2017</t>
  </si>
  <si>
    <t xml:space="preserve">Direct Lending Fund III General Partner </t>
  </si>
  <si>
    <t>540298221</t>
  </si>
  <si>
    <t>COLCHIS INCOME FUND NEW</t>
  </si>
  <si>
    <t>31/07/2019</t>
  </si>
  <si>
    <t xml:space="preserve"> B216569</t>
  </si>
  <si>
    <t>Direct Lending Fund III</t>
  </si>
  <si>
    <t>08/11/2020</t>
  </si>
  <si>
    <t>אלקטרה מוצרי צריכה בע"מ</t>
  </si>
  <si>
    <t>520039967</t>
  </si>
  <si>
    <t>ELELCTRA MULTI FAMILY NADLAN II</t>
  </si>
  <si>
    <t>15/01/2019</t>
  </si>
  <si>
    <t>EQT Infrastructure V</t>
  </si>
  <si>
    <t>2020 2423 842</t>
  </si>
  <si>
    <t>30/08/2021</t>
  </si>
  <si>
    <t>ני"ע זרים בחו"ל</t>
  </si>
  <si>
    <t>549300W384M3RI3VXU42</t>
  </si>
  <si>
    <t>Forma Fund I</t>
  </si>
  <si>
    <t>09/09/2021</t>
  </si>
  <si>
    <t>FORTTISSMO V - קופות המחר</t>
  </si>
  <si>
    <t>31/08/2021</t>
  </si>
  <si>
    <t>HAMILTON LANE 4</t>
  </si>
  <si>
    <t>ECP V, LLC</t>
  </si>
  <si>
    <t>27330</t>
  </si>
  <si>
    <t>Harbourvest 2018 Global Fund L.P</t>
  </si>
  <si>
    <t>13/12/2018</t>
  </si>
  <si>
    <t>Insight Associates XI, L.P.</t>
  </si>
  <si>
    <t>981502442</t>
  </si>
  <si>
    <t>INSIGHT PARTNERS XI</t>
  </si>
  <si>
    <t>16/03/2020</t>
  </si>
  <si>
    <t xml:space="preserve">Klirmark Opportunity Fund </t>
  </si>
  <si>
    <t>KLIRMARK III</t>
  </si>
  <si>
    <t>13/11/2019</t>
  </si>
  <si>
    <t>Liquidity</t>
  </si>
  <si>
    <t>28352</t>
  </si>
  <si>
    <t>Liquidity Capital II</t>
  </si>
  <si>
    <t>17/02/2021</t>
  </si>
  <si>
    <t>LLCP VI FUNF</t>
  </si>
  <si>
    <t>27822</t>
  </si>
  <si>
    <t>LLCP VI FUND</t>
  </si>
  <si>
    <t>14/10/2018</t>
  </si>
  <si>
    <t>Moneta Capital</t>
  </si>
  <si>
    <t>540296522</t>
  </si>
  <si>
    <t>MONETA CAPITAL</t>
  </si>
  <si>
    <t>24/01/2019</t>
  </si>
  <si>
    <t>MV Senior GP S.à r.l</t>
  </si>
  <si>
    <t>2016 2429 508</t>
  </si>
  <si>
    <t>MV SENIOR II DEEDER II UL SCSP</t>
  </si>
  <si>
    <t>20/07/2020</t>
  </si>
  <si>
    <t>17/09/2024</t>
  </si>
  <si>
    <t xml:space="preserve">Pantheon Access Feeder LP </t>
  </si>
  <si>
    <t>B 201.101</t>
  </si>
  <si>
    <t>PANTHEON ACCESS</t>
  </si>
  <si>
    <t>29/06/2021</t>
  </si>
  <si>
    <t>PHOENIX CO INVEST</t>
  </si>
  <si>
    <t>13139</t>
  </si>
  <si>
    <t>19/08/2019</t>
  </si>
  <si>
    <t>09/07/2024</t>
  </si>
  <si>
    <t>Harel Hamagen L.P</t>
  </si>
  <si>
    <t>28278</t>
  </si>
  <si>
    <t>הראל המגן</t>
  </si>
  <si>
    <t>18/05/2020</t>
  </si>
  <si>
    <t>קרן פאגאיה אופורטוניטי</t>
  </si>
  <si>
    <t>31/08/2022</t>
  </si>
  <si>
    <t>Apexus Logisitcs RE Fund L.P</t>
  </si>
  <si>
    <t>89867</t>
  </si>
  <si>
    <t>Apexus</t>
  </si>
  <si>
    <t>2138005O9XJIJN4JPN90</t>
  </si>
  <si>
    <t>Arkin Bio Capital</t>
  </si>
  <si>
    <t>Oak Street Real Estate Capital Fund</t>
  </si>
  <si>
    <t>9492</t>
  </si>
  <si>
    <t>Blue Owl Real Estate Fund VI</t>
  </si>
  <si>
    <t>CIFC SEN.SEC.COR.LOAN ISRLPE</t>
  </si>
  <si>
    <t>30/07/2024</t>
  </si>
  <si>
    <t>Coller Credit Opportunities</t>
  </si>
  <si>
    <t>89525</t>
  </si>
  <si>
    <t>Crossroads European Real Estate Fund II</t>
  </si>
  <si>
    <t>3333</t>
  </si>
  <si>
    <t>25/11/2021</t>
  </si>
  <si>
    <t>ELECTRA AMERICA PRINCIPAL HOSPITALITY LP</t>
  </si>
  <si>
    <t>28654</t>
  </si>
  <si>
    <t>Electra America Principal Hospitality</t>
  </si>
  <si>
    <t>Electra capital Pm fund Lp</t>
  </si>
  <si>
    <t>08/06/2021</t>
  </si>
  <si>
    <t>hanaco growth venturres</t>
  </si>
  <si>
    <t>28364</t>
  </si>
  <si>
    <t>Hanaco growth venturres</t>
  </si>
  <si>
    <t>HANACO II L.P</t>
  </si>
  <si>
    <t>89459</t>
  </si>
  <si>
    <t>hanaco II L.P</t>
  </si>
  <si>
    <t>אי.בי.אי IBI</t>
  </si>
  <si>
    <t>550270045</t>
  </si>
  <si>
    <t>I.B.I PILLAR GOTTINGEN ASSETS</t>
  </si>
  <si>
    <t>14/09/2021</t>
  </si>
  <si>
    <t>IBI CONSUMER</t>
  </si>
  <si>
    <t>21/01/2016</t>
  </si>
  <si>
    <t>IBI NEW CCF</t>
  </si>
  <si>
    <t>29/05/2024</t>
  </si>
  <si>
    <t>LCN EUROPEAN FUND III SLP</t>
  </si>
  <si>
    <t>31/03/2021</t>
  </si>
  <si>
    <t xml:space="preserve">LCCP </t>
  </si>
  <si>
    <t>28600</t>
  </si>
  <si>
    <t>LLCP Lower Middle Market (LLM) III</t>
  </si>
  <si>
    <t xml:space="preserve">Madison Reality Capital DEBT </t>
  </si>
  <si>
    <t>30-0963117</t>
  </si>
  <si>
    <t>Madison Realty Capital Debt Fund VI LP</t>
  </si>
  <si>
    <t>OEP VIII General Partner, L.P.</t>
  </si>
  <si>
    <t>981582217</t>
  </si>
  <si>
    <t>One Equity Partners VIII, L.P</t>
  </si>
  <si>
    <t xml:space="preserve">Pagaya Smartresi F1 </t>
  </si>
  <si>
    <t>89415</t>
  </si>
  <si>
    <t>Pagaya Smatresi F1</t>
  </si>
  <si>
    <t>VERTEX ISRAEL FUND II LP</t>
  </si>
  <si>
    <t>89453</t>
  </si>
  <si>
    <t>PARTNERSHIP VERTEX VENTURES</t>
  </si>
  <si>
    <t>פרגרין ניהול קרנות (ישראל) בע"מ</t>
  </si>
  <si>
    <t>Peregrine Ventures Growth General Partner LP</t>
  </si>
  <si>
    <t>13/07/2021</t>
  </si>
  <si>
    <t>27/06/2024</t>
  </si>
  <si>
    <t>Rapyd financial network 2016 ltd</t>
  </si>
  <si>
    <t>28595</t>
  </si>
  <si>
    <t>TARGET GLOBAL -FLUORINE (RAPYD</t>
  </si>
  <si>
    <t>Target Global</t>
  </si>
  <si>
    <t>89655</t>
  </si>
  <si>
    <t>Target Global Growth Fund II</t>
  </si>
  <si>
    <t>Vertex Israel Opportunity II Fund</t>
  </si>
  <si>
    <t>Viola Credit GL II, Limited Partnership</t>
  </si>
  <si>
    <t>89968</t>
  </si>
  <si>
    <t>קרן גידור איביאי SBL</t>
  </si>
  <si>
    <t>20/06/2021</t>
  </si>
  <si>
    <t>18/05/2023</t>
  </si>
  <si>
    <t>קרן נוקד אגח 6</t>
  </si>
  <si>
    <t>31/01/2021</t>
  </si>
  <si>
    <t>וויו (veev) גרופ</t>
  </si>
  <si>
    <t>832652993</t>
  </si>
  <si>
    <t>C  וויו גרופ</t>
  </si>
  <si>
    <t>US9224741010</t>
  </si>
  <si>
    <t>08/03/2021</t>
  </si>
  <si>
    <t>28/11/2023</t>
  </si>
  <si>
    <t>PROSPECT CAPITAL CORP</t>
  </si>
  <si>
    <t>549300FSD8T39P5Q0O47</t>
  </si>
  <si>
    <t>מניות בכורה Prospect 5.5% 1025</t>
  </si>
  <si>
    <t>US74348T5083</t>
  </si>
  <si>
    <t>27/04/2021</t>
  </si>
  <si>
    <t>ג'נריישן ניהול בע"מ (מחר השתלמות)</t>
  </si>
  <si>
    <t>560930</t>
  </si>
  <si>
    <t>18/04/2021</t>
  </si>
  <si>
    <t xml:space="preserve">לוסיקס בע"מ </t>
  </si>
  <si>
    <t>515374742</t>
  </si>
  <si>
    <t>Lusix - קופות המחר</t>
  </si>
  <si>
    <t>620201930</t>
  </si>
  <si>
    <t>Utilities</t>
  </si>
  <si>
    <t>27/08/2024</t>
  </si>
  <si>
    <t>UVEYE LTD</t>
  </si>
  <si>
    <t>514234202</t>
  </si>
  <si>
    <t>62018262</t>
  </si>
  <si>
    <t>18/05/2021</t>
  </si>
  <si>
    <t>26/12/2022</t>
  </si>
  <si>
    <t>wefox</t>
  </si>
  <si>
    <t>28503</t>
  </si>
  <si>
    <t>TARGET GLOBAL-NICKEL (WEFOX)</t>
  </si>
  <si>
    <t>62018396</t>
  </si>
  <si>
    <t>03/07/2022</t>
  </si>
  <si>
    <t>Verbit Inc</t>
  </si>
  <si>
    <t>28460</t>
  </si>
  <si>
    <t>0</t>
  </si>
  <si>
    <t>20/03/2023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</si>
  <si>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</si>
  <si>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</si>
  <si>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</si>
  <si>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</si>
  <si>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</si>
  <si>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רפאל-רשות לפיתוח אמצעי לחימה בע"מ</t>
  </si>
  <si>
    <t>520042185</t>
  </si>
  <si>
    <t>רפאל אגח סדרה ה 2020/2026</t>
  </si>
  <si>
    <t>IL0011402927</t>
  </si>
  <si>
    <t>04/05/2021</t>
  </si>
  <si>
    <t>15/03/2026</t>
  </si>
  <si>
    <t>אי תלות</t>
  </si>
  <si>
    <t>אגרקסקו חברה ליצוא חקלאי בע"מ</t>
  </si>
  <si>
    <t>510155625</t>
  </si>
  <si>
    <t>אגרקסקו אגח א לס 2017</t>
  </si>
  <si>
    <t>IL0011091803</t>
  </si>
  <si>
    <t>C</t>
  </si>
  <si>
    <t>30/04/2017</t>
  </si>
  <si>
    <t>אורמת אגח 4 רמ</t>
  </si>
  <si>
    <t>IL0011672123</t>
  </si>
  <si>
    <t>01/07/2020</t>
  </si>
  <si>
    <t>20/06/2041</t>
  </si>
  <si>
    <t>אידיבי חברה לאחזקות בע"מ</t>
  </si>
  <si>
    <t>520028283</t>
  </si>
  <si>
    <t>אי די בי הסדר ח</t>
  </si>
  <si>
    <t>7360225</t>
  </si>
  <si>
    <t>17/08/2014</t>
  </si>
  <si>
    <t>אלון חברת הדלק לישראל בע"מ</t>
  </si>
  <si>
    <t>520041690</t>
  </si>
  <si>
    <t>אלון דלק אגח א` לס (Guy Fund)</t>
  </si>
  <si>
    <t>IL0011015679</t>
  </si>
  <si>
    <t>30/08/2018</t>
  </si>
  <si>
    <t>R/S</t>
  </si>
  <si>
    <t>31/08/2023</t>
  </si>
  <si>
    <t>אלון דלק אגח א` לס (Guy Fund)- נייר הפחתה</t>
  </si>
  <si>
    <t>20/03/2024</t>
  </si>
  <si>
    <t>אלון דלק אגח א` לס (Guy Fund)- ציטוט פרטני</t>
  </si>
  <si>
    <t>אליהו הנפקות בע"מ</t>
  </si>
  <si>
    <t>515703528</t>
  </si>
  <si>
    <t>אליהו הנפ אגח א לס</t>
  </si>
  <si>
    <t>IL0011420093</t>
  </si>
  <si>
    <t>19/09/2017</t>
  </si>
  <si>
    <t>18/09/2025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</si>
  <si>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</si>
  <si>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</si>
  <si>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</si>
  <si>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</si>
  <si>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</si>
  <si>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וי.אי.די. התפלת מי אשקלון</t>
  </si>
  <si>
    <t>513102384</t>
  </si>
  <si>
    <t>וי.אי.די. אג"ח מאוחד 0706</t>
  </si>
  <si>
    <t>IL0010979974</t>
  </si>
  <si>
    <t>22/10/2025</t>
  </si>
  <si>
    <t>31/03/2024</t>
  </si>
  <si>
    <t>מת"ם - מרכז תעשיות מדע חיפה בע"מ</t>
  </si>
  <si>
    <t>510687403</t>
  </si>
  <si>
    <t>מתם מרכז תעשיות מדע חיפה אגח א ר.מ</t>
  </si>
  <si>
    <t>IL0011389991</t>
  </si>
  <si>
    <t>24/08/2016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</si>
  <si>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</si>
  <si>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</si>
  <si>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</si>
  <si>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</si>
  <si>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</si>
  <si>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</si>
  <si>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קאר אנד גו 4.95% 2009</t>
  </si>
  <si>
    <t>1088210</t>
  </si>
  <si>
    <t>D</t>
  </si>
  <si>
    <t>01/11/2011</t>
  </si>
  <si>
    <t>אמפל-אמריקן ישראל קורפוריישן</t>
  </si>
  <si>
    <t>130435685</t>
  </si>
  <si>
    <t>אמפל אמריקן אגח א</t>
  </si>
  <si>
    <t>IL0011008336</t>
  </si>
  <si>
    <t>30/03/2014</t>
  </si>
  <si>
    <t>20/11/2020</t>
  </si>
  <si>
    <t>20/05/2021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</si>
  <si>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</si>
  <si>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</si>
  <si>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</si>
  <si>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</si>
  <si>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</si>
  <si>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</si>
  <si>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</si>
  <si>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</si>
  <si>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</si>
  <si>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</si>
  <si>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</si>
  <si>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</si>
  <si>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</si>
  <si>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</si>
  <si>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</si>
  <si>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</si>
  <si>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</si>
  <si>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</si>
  <si>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</si>
  <si>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עוגן-אג"ח חברתית 2 בע"מ</t>
  </si>
  <si>
    <t>516556545</t>
  </si>
  <si>
    <t>עוגן חברתית 2 אגחא-רמ</t>
  </si>
  <si>
    <t>IL0011968315</t>
  </si>
  <si>
    <t>19/06/2023</t>
  </si>
  <si>
    <t>רפאל אגח ג ר.מ.</t>
  </si>
  <si>
    <t>IL0011402760</t>
  </si>
  <si>
    <t>15/09/2034</t>
  </si>
  <si>
    <t>רפאל סד' ד 2020/2034</t>
  </si>
  <si>
    <t>IL0011402844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</si>
  <si>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</si>
  <si>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</si>
  <si>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</si>
  <si>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</si>
  <si>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</si>
  <si>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</si>
  <si>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/>
  </si>
  <si>
    <t>נדלן</t>
  </si>
  <si>
    <t>דולר</t>
  </si>
  <si>
    <t>ARKIN BIO CAPITAL, LIMITED PARTNERSHIP</t>
  </si>
  <si>
    <t>Crossroads Real Estate Partners II S.à r.l.</t>
  </si>
  <si>
    <t>B234123</t>
  </si>
  <si>
    <t>Crossroads European RE II</t>
  </si>
  <si>
    <t>יורו</t>
  </si>
  <si>
    <t>Electra America Hospitality AKA LLC</t>
  </si>
  <si>
    <t>86-3690594</t>
  </si>
  <si>
    <t>טכנולוגיה</t>
  </si>
  <si>
    <t>Hanaco II GP, L.P.</t>
  </si>
  <si>
    <t>Hanaco II</t>
  </si>
  <si>
    <t>שקל</t>
  </si>
  <si>
    <t>LCN European Fund III GP S. A. R. L</t>
  </si>
  <si>
    <t>B230610</t>
  </si>
  <si>
    <t>LCN EUROPEAN FUND III</t>
  </si>
  <si>
    <t>תעשייה ושירותים</t>
  </si>
  <si>
    <t>LLCP</t>
  </si>
  <si>
    <t>30208</t>
  </si>
  <si>
    <t>LLCP Lower Middle Market III-A</t>
  </si>
  <si>
    <t>Madison Realty Capital Debt Fund VI GP LLC</t>
  </si>
  <si>
    <t>Madison Realty Capital Debt VI</t>
  </si>
  <si>
    <t>OEP VIII General Partner L.P</t>
  </si>
  <si>
    <t>One Equity Partners VIII</t>
  </si>
  <si>
    <t>PEREGRINE VENTURES GROWTH GENERAL PARTNER, LIMITED PARTNERSHIP</t>
  </si>
  <si>
    <t>Peregrine Ventures Growth</t>
  </si>
  <si>
    <t>Target Global Growth II GP S.à r.l.</t>
  </si>
  <si>
    <t>B241115</t>
  </si>
  <si>
    <t>Vertex Venturs Partners LTD</t>
  </si>
  <si>
    <t>Vertex Israel Opportunity II</t>
  </si>
  <si>
    <t>ויולה</t>
  </si>
  <si>
    <t>30589</t>
  </si>
  <si>
    <t>Viola Credit GL II</t>
  </si>
  <si>
    <t>קומרה אופורטוניטי</t>
  </si>
  <si>
    <t>Coller Credit Opportunities I General Partner, L.P.</t>
  </si>
  <si>
    <t>Coller Credit Opportunities I</t>
  </si>
  <si>
    <t>29695</t>
  </si>
  <si>
    <t>Bridges</t>
  </si>
  <si>
    <t>Bridges Israel Growth</t>
  </si>
  <si>
    <t>EQT Infrastructure V (General Partner) S.? r.l.</t>
  </si>
  <si>
    <t>EQT Infrastructure V (יורו)</t>
  </si>
  <si>
    <t>23-2962336</t>
  </si>
  <si>
    <t>Hamilton Co-invest IV</t>
  </si>
  <si>
    <t>HarbourVest</t>
  </si>
  <si>
    <t>28993</t>
  </si>
  <si>
    <t>HarbourVest 2018 Global</t>
  </si>
  <si>
    <t>תשי</t>
  </si>
  <si>
    <t>513858407</t>
  </si>
  <si>
    <t>IIF IV  (תשי 4)</t>
  </si>
  <si>
    <t>98-1502442</t>
  </si>
  <si>
    <t>Insight Partners XI</t>
  </si>
  <si>
    <t>LLCP  VI</t>
  </si>
  <si>
    <t>Pantheon Access GP S r.l</t>
  </si>
  <si>
    <t>Pantheon Access Feeder 2017</t>
  </si>
  <si>
    <t>הפניקס קו אינווסט</t>
  </si>
  <si>
    <t>מונטה</t>
  </si>
  <si>
    <t>30283</t>
  </si>
  <si>
    <t>פורטיסימו</t>
  </si>
  <si>
    <t>5286</t>
  </si>
  <si>
    <t>פורטיסימו V</t>
  </si>
  <si>
    <t>פורמה</t>
  </si>
  <si>
    <t>30067</t>
  </si>
  <si>
    <t>קדמה</t>
  </si>
  <si>
    <t>קדמה  3</t>
  </si>
  <si>
    <t>BAIN</t>
  </si>
  <si>
    <t>30253</t>
  </si>
  <si>
    <t>Bain Capital DSS 2019</t>
  </si>
  <si>
    <t>Direct Lending</t>
  </si>
  <si>
    <t>30676</t>
  </si>
  <si>
    <t>Direct Lending III</t>
  </si>
  <si>
    <t>516014008</t>
  </si>
  <si>
    <t>Klirmark Fund III</t>
  </si>
  <si>
    <t>Liquidity Capital  II</t>
  </si>
  <si>
    <t>MV Senior GP S r.l</t>
  </si>
  <si>
    <t>MV Credit Senior II</t>
  </si>
  <si>
    <t>יסודות נדלן</t>
  </si>
  <si>
    <t>29636</t>
  </si>
  <si>
    <t>יסודות נדלן ג</t>
  </si>
  <si>
    <t>ספרה</t>
  </si>
  <si>
    <t>29109</t>
  </si>
  <si>
    <t>ספרה פארקינג</t>
  </si>
  <si>
    <t>פורטיסימו VI</t>
  </si>
  <si>
    <t>Cerberus</t>
  </si>
  <si>
    <t>30512</t>
  </si>
  <si>
    <t>Hamilton Strategic Opp 2020 VI</t>
  </si>
  <si>
    <t>הראל</t>
  </si>
  <si>
    <t>1175</t>
  </si>
  <si>
    <t>Harel Alternative Credit Co-Invest</t>
  </si>
  <si>
    <t xml:space="preserve"> Invesco Credit Partners II</t>
  </si>
  <si>
    <t>Invesco Direct Lending II</t>
  </si>
  <si>
    <t>516738689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</si>
</sst>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9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4" applyNumberFormat="1" applyFont="1" applyFill="1" applyBorder="1"/>
    <xf numFmtId="0" fontId="15" fillId="0" borderId="0" xfId="0" applyNumberFormat="1" applyFont="1" applyFill="1" applyBorder="1"/>
    <xf numFmtId="43" fontId="28" fillId="0" borderId="0" xfId="1" applyNumberFormat="1" applyFont="1" applyFill="1" applyBorder="1" applyAlignment="1">
      <alignment horizontal="center" vertical="center" wrapText="1"/>
    </xf>
    <xf numFmtId="43" fontId="9" fillId="0" borderId="0" xfId="1"/>
    <xf numFmtId="43" fontId="4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" sqref="D3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2" t="s">
        <v>193</v>
      </c>
      <c r="B1" s="33"/>
      <c r="C1" s="33"/>
      <c r="D1" s="33"/>
    </row>
    <row r="3" spans="1:8">
      <c r="A3" t="s">
        <v>194</v>
      </c>
      <c r="D3" s="101" t="s">
        <v>195</v>
      </c>
    </row>
    <row r="5" spans="1:8">
      <c r="A5" t="s">
        <v>196</v>
      </c>
      <c r="D5" s="101"/>
    </row>
    <row r="7" spans="1:8">
      <c r="A7" t="s">
        <v>197</v>
      </c>
      <c r="D7" s="101"/>
    </row>
    <row r="8" spans="1:8">
      <c r="D8" s="31"/>
      <c r="E8" s="31"/>
      <c r="F8" s="31"/>
      <c r="G8" s="31"/>
      <c r="H8" s="31"/>
    </row>
    <row r="9" spans="1:8">
      <c r="A9" t="s">
        <v>198</v>
      </c>
      <c r="D9" s="101"/>
    </row>
    <row r="11" spans="1:8">
      <c r="A11" t="s">
        <v>199</v>
      </c>
      <c r="D11" s="101"/>
    </row>
    <row r="13" spans="1:8">
      <c r="A13" t="s">
        <v>200</v>
      </c>
      <c r="D13" s="102" t="str">
        <f>IFERROR(VLOOKUP(D11,'File Name Info'!A35:B121,2,0),"תא מחושב")</f>
        <v>תא מחושב</v>
      </c>
    </row>
    <row r="15" spans="1:8" ht="15">
      <c r="A15" s="17" t="s">
        <v>201</v>
      </c>
      <c r="D15" s="10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8" ht="15">
      <c r="A16" s="17"/>
      <c r="D16" s="31"/>
      <c r="E16" s="31"/>
      <c r="F16" s="31"/>
      <c r="G16" s="31"/>
      <c r="H16" s="31"/>
    </row>
    <row r="17" spans="1:8" ht="15">
      <c r="A17" s="17" t="s">
        <v>202</v>
      </c>
      <c r="B17" s="15" t="s">
        <v>203</v>
      </c>
      <c r="C17" s="15"/>
      <c r="D17" s="103"/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204</v>
      </c>
      <c r="C19" s="15"/>
      <c r="D19" s="103"/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205</v>
      </c>
      <c r="C21" s="15"/>
      <c r="D21" s="104"/>
    </row>
    <row r="22" spans="1:8">
      <c r="A22" s="13"/>
      <c r="B22" s="14"/>
      <c r="C22" s="14"/>
    </row>
    <row r="23" spans="1:8" ht="15">
      <c r="A23" s="17" t="s">
        <v>206</v>
      </c>
      <c r="D23" t="s">
        <v>207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41"/>
  <sheetViews>
    <sheetView showGridLines="0" rightToLeft="1" workbookViewId="0">
      <selection activeCell="A23" sqref="A23"/>
    </sheetView>
  </sheetViews>
  <sheetFormatPr defaultColWidth="9" defaultRowHeight="12.75"/>
  <cols>
    <col min="1" max="1" width="42.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4"/>
      <c r="B1" s="134"/>
      <c r="C1" s="105" t="s">
        <v>1190</v>
      </c>
      <c r="D1" s="138"/>
      <c r="E1" s="139"/>
    </row>
    <row r="2" spans="1:5" ht="39.75" customHeight="1">
      <c r="A2" s="44"/>
      <c r="B2" s="134" t="s">
        <v>36</v>
      </c>
      <c r="C2" s="45" t="s">
        <v>915</v>
      </c>
      <c r="D2" s="134" t="s">
        <v>22</v>
      </c>
      <c r="E2" s="139" t="s">
        <v>1191</v>
      </c>
    </row>
    <row r="3" spans="1:5">
      <c r="A3" s="47" t="s">
        <v>968</v>
      </c>
      <c r="B3" s="135">
        <f>SUM('מזומנים ושווי מזומנים'!O:O)</f>
        <v>44328.558999999994</v>
      </c>
      <c r="C3" s="48"/>
      <c r="D3" s="135">
        <f>B3+C3</f>
        <v>44328.558999999994</v>
      </c>
      <c r="E3" s="140">
        <f>SUM('מזומנים ושווי מזומנים'!O:O)/B30</f>
        <v>3.8457706980676375E-2</v>
      </c>
    </row>
    <row r="4" spans="1:5">
      <c r="A4" s="47" t="s">
        <v>978</v>
      </c>
      <c r="B4" s="135">
        <f>SUM('איגרות חוב ממשלתיות'!U:U)</f>
        <v>197113.54200000004</v>
      </c>
      <c r="C4" s="48"/>
      <c r="D4" s="135">
        <f t="shared" ref="D4:D29" si="0">B4+C4</f>
        <v>197113.54200000004</v>
      </c>
      <c r="E4" s="140">
        <f>SUM('איגרות חוב ממשלתיות'!U:U)/B30</f>
        <v>0.17100792381180827</v>
      </c>
    </row>
    <row r="5" spans="1:5">
      <c r="A5" s="47" t="s">
        <v>983</v>
      </c>
      <c r="B5" s="135">
        <f>SUM('ניירות ערך מסחריים'!AD:AD)</f>
        <v>0</v>
      </c>
      <c r="C5" s="48"/>
      <c r="D5" s="135">
        <f t="shared" si="0"/>
        <v>0</v>
      </c>
      <c r="E5" s="140">
        <f>SUM('ניירות ערך מסחריים'!AD:AD)/B30</f>
        <v>0</v>
      </c>
    </row>
    <row r="6" spans="1:5">
      <c r="A6" s="47" t="s">
        <v>984</v>
      </c>
      <c r="B6" s="135">
        <f>SUM('איגרות חוב'!AD:AD)</f>
        <v>165392.63499999986</v>
      </c>
      <c r="C6" s="48"/>
      <c r="D6" s="135">
        <f t="shared" si="0"/>
        <v>165392.63499999986</v>
      </c>
      <c r="E6" s="140">
        <f>SUM('איגרות חוב'!AD:AD)/B30</f>
        <v>0.14348811775252959</v>
      </c>
    </row>
    <row r="7" spans="1:5">
      <c r="A7" s="47" t="s">
        <v>991</v>
      </c>
      <c r="B7" s="135">
        <f>SUM('מניות מבכ ויהש'!U:U)</f>
        <v>160735.84200000012</v>
      </c>
      <c r="C7" s="48"/>
      <c r="D7" s="135">
        <f t="shared" si="0"/>
        <v>160735.84200000012</v>
      </c>
      <c r="E7" s="140">
        <f>SUM('מניות מבכ ויהש'!U:U)/B30</f>
        <v>0.13944806807115701</v>
      </c>
    </row>
    <row r="8" spans="1:5">
      <c r="A8" s="47" t="s">
        <v>488</v>
      </c>
      <c r="B8" s="135">
        <f>SUM('קרנות סל'!T:T)</f>
        <v>323658.18500000017</v>
      </c>
      <c r="C8" s="48"/>
      <c r="D8" s="135">
        <f t="shared" si="0"/>
        <v>323658.18500000017</v>
      </c>
      <c r="E8" s="140">
        <f>SUM('קרנות סל'!T:T)/B30</f>
        <v>0.28079305805152732</v>
      </c>
    </row>
    <row r="9" spans="1:5">
      <c r="A9" s="47" t="s">
        <v>1004</v>
      </c>
      <c r="B9" s="135">
        <f>SUM('קרנות נאמנות'!T:T)</f>
        <v>13019.866999999998</v>
      </c>
      <c r="C9" s="48"/>
      <c r="D9" s="135">
        <f t="shared" si="0"/>
        <v>13019.866999999998</v>
      </c>
      <c r="E9" s="140">
        <f>SUM('קרנות נאמנות'!T:T)/B30</f>
        <v>1.1295522374489501E-2</v>
      </c>
    </row>
    <row r="10" spans="1:5">
      <c r="A10" s="47" t="s">
        <v>1135</v>
      </c>
      <c r="B10" s="135">
        <f>SUM('כתבי אופציה'!W:W)</f>
        <v>95.203999999999994</v>
      </c>
      <c r="C10" s="48"/>
      <c r="D10" s="135">
        <f t="shared" si="0"/>
        <v>95.203999999999994</v>
      </c>
      <c r="E10" s="140">
        <f>SUM('כתבי אופציה'!W:W)/B30</f>
        <v>8.2595230207873751E-5</v>
      </c>
    </row>
    <row r="11" spans="1:5">
      <c r="A11" s="47" t="s">
        <v>1007</v>
      </c>
      <c r="B11" s="135">
        <f>SUM(אופציות!V:V)</f>
        <v>0</v>
      </c>
      <c r="C11" s="48"/>
      <c r="D11" s="135">
        <f t="shared" si="0"/>
        <v>0</v>
      </c>
      <c r="E11" s="140">
        <f>SUM(אופציות!V:V)/B30</f>
        <v>0</v>
      </c>
    </row>
    <row r="12" spans="1:5">
      <c r="A12" s="47" t="s">
        <v>1140</v>
      </c>
      <c r="B12" s="135">
        <f>SUM('חוזים עתידיים'!R:R)</f>
        <v>2936.8580000000002</v>
      </c>
      <c r="C12" s="48"/>
      <c r="D12" s="135">
        <f t="shared" si="0"/>
        <v>2936.8580000000002</v>
      </c>
      <c r="E12" s="140">
        <f>SUM('חוזים עתידיים'!R:R)/B30</f>
        <v>2.5479020061954928E-3</v>
      </c>
    </row>
    <row r="13" spans="1:5">
      <c r="A13" s="47" t="s">
        <v>1012</v>
      </c>
      <c r="B13" s="135">
        <f>SUM('מוצרים מובנים'!Z:Z)</f>
        <v>980.45600000000002</v>
      </c>
      <c r="C13" s="48"/>
      <c r="D13" s="135">
        <f t="shared" si="0"/>
        <v>980.45600000000002</v>
      </c>
      <c r="E13" s="140">
        <f>SUM('מוצרים מובנים'!Z:Z)/B30</f>
        <v>8.5060490135594163E-4</v>
      </c>
    </row>
    <row r="14" spans="1:5">
      <c r="A14" s="47" t="s">
        <v>1019</v>
      </c>
      <c r="B14" s="135">
        <f>SUM('לא סחיר איגרות חוב ממשלתיות'!U:U)</f>
        <v>0</v>
      </c>
      <c r="C14" s="48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7" t="s">
        <v>1020</v>
      </c>
      <c r="B15" s="135">
        <f>SUM('לא סחיר איגרות חוב מיועדות'!N:N)</f>
        <v>0</v>
      </c>
      <c r="C15" s="48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7" t="s">
        <v>1026</v>
      </c>
      <c r="B16" s="135">
        <f>SUM('אפיק השקעה מובטח תשואה'!F:F)</f>
        <v>0</v>
      </c>
      <c r="C16" s="48"/>
      <c r="D16" s="135">
        <f t="shared" si="0"/>
        <v>0</v>
      </c>
      <c r="E16" s="140">
        <f>SUM('אפיק השקעה מובטח תשואה'!F:F)/B30</f>
        <v>0</v>
      </c>
    </row>
    <row r="17" spans="1:5">
      <c r="A17" s="47" t="s">
        <v>1030</v>
      </c>
      <c r="B17" s="135">
        <f>SUM('לא סחיר ניירות ערך מסחריים'!AI:AI)</f>
        <v>0</v>
      </c>
      <c r="C17" s="48"/>
      <c r="D17" s="135">
        <f t="shared" si="0"/>
        <v>0</v>
      </c>
      <c r="E17" s="140">
        <f>SUM('לא סחיר ניירות ערך מסחריים'!AI:AI)/B30</f>
        <v>0</v>
      </c>
    </row>
    <row r="18" spans="1:5">
      <c r="A18" s="47" t="s">
        <v>1032</v>
      </c>
      <c r="B18" s="135">
        <f>SUM('לא סחיר איגרות חוב'!AG:AG)</f>
        <v>10551.248999999996</v>
      </c>
      <c r="C18" s="48"/>
      <c r="D18" s="135">
        <f t="shared" si="0"/>
        <v>10551.248999999996</v>
      </c>
      <c r="E18" s="140">
        <f>SUM('לא סחיר איגרות חוב'!AG:AG)/B30</f>
        <v>9.1538468986134772E-3</v>
      </c>
    </row>
    <row r="19" spans="1:5">
      <c r="A19" s="47" t="s">
        <v>1035</v>
      </c>
      <c r="B19" s="135">
        <f>SUM('לא סחיר מניות מבכ ויהש'!X:X)</f>
        <v>11987.282000000001</v>
      </c>
      <c r="C19" s="48"/>
      <c r="D19" s="135">
        <f t="shared" si="0"/>
        <v>11987.282000000001</v>
      </c>
      <c r="E19" s="140">
        <f>SUM('לא סחיר מניות מבכ ויהש'!X:X)/B30</f>
        <v>1.0399692411628728E-2</v>
      </c>
    </row>
    <row r="20" spans="1:5">
      <c r="A20" s="47" t="s">
        <v>792</v>
      </c>
      <c r="B20" s="135">
        <f>SUM('קרנות השקעה'!W:W)</f>
        <v>220935.55899999998</v>
      </c>
      <c r="C20" s="48"/>
      <c r="D20" s="135">
        <f t="shared" si="0"/>
        <v>220935.55899999998</v>
      </c>
      <c r="E20" s="140">
        <f>SUM('קרנות השקעה'!W:W)/B30</f>
        <v>0.19167496488288593</v>
      </c>
    </row>
    <row r="21" spans="1:5">
      <c r="A21" s="47" t="s">
        <v>1151</v>
      </c>
      <c r="B21" s="135">
        <f>SUM('לא סחיר כתבי אופציה'!Z:Z)</f>
        <v>1.3260000000000001</v>
      </c>
      <c r="C21" s="48"/>
      <c r="D21" s="135">
        <f t="shared" si="0"/>
        <v>1.3260000000000001</v>
      </c>
      <c r="E21" s="140">
        <f>SUM('לא סחיר כתבי אופציה'!Z:Z)/B30</f>
        <v>1.1503852280958846E-6</v>
      </c>
    </row>
    <row r="22" spans="1:5">
      <c r="A22" s="47" t="s">
        <v>1050</v>
      </c>
      <c r="B22" s="135">
        <f>SUM('לא סחיר אופציות'!Z:Z)</f>
        <v>0</v>
      </c>
      <c r="C22" s="48"/>
      <c r="D22" s="135">
        <f t="shared" si="0"/>
        <v>0</v>
      </c>
      <c r="E22" s="140">
        <f>SUM('לא סחיר אופציות'!Z:Z)/B30</f>
        <v>0</v>
      </c>
    </row>
    <row r="23" spans="1:5">
      <c r="A23" s="47" t="s">
        <v>1059</v>
      </c>
      <c r="B23" s="135">
        <f>SUM('לא סחיר נגזרים אחרים'!R:R)</f>
        <v>16.939999999999976</v>
      </c>
      <c r="C23" s="48"/>
      <c r="D23" s="135">
        <f t="shared" si="0"/>
        <v>16.939999999999976</v>
      </c>
      <c r="E23" s="140">
        <f>SUM('לא סחיר נגזרים אחרים'!R:R)/B30</f>
        <v>1.4696474935101251E-5</v>
      </c>
    </row>
    <row r="24" spans="1:5">
      <c r="A24" s="47" t="s">
        <v>1052</v>
      </c>
      <c r="B24" s="135">
        <f>SUM(הלוואות!AT:AT)</f>
        <v>0</v>
      </c>
      <c r="C24" s="48"/>
      <c r="D24" s="135">
        <f t="shared" si="0"/>
        <v>0</v>
      </c>
      <c r="E24" s="140">
        <f>SUM(הלוואות!AT:AT)/B30</f>
        <v>0</v>
      </c>
    </row>
    <row r="25" spans="1:5">
      <c r="A25" s="47" t="s">
        <v>1071</v>
      </c>
      <c r="B25" s="135">
        <f>SUM('לא סחיר מוצרים מובנים'!AB:AB)</f>
        <v>0</v>
      </c>
      <c r="C25" s="48"/>
      <c r="D25" s="135">
        <f t="shared" si="0"/>
        <v>0</v>
      </c>
      <c r="E25" s="140">
        <f>SUM('לא סחיר מוצרים מובנים'!AB:AB)/B30</f>
        <v>0</v>
      </c>
    </row>
    <row r="26" spans="1:5">
      <c r="A26" s="47" t="s">
        <v>1076</v>
      </c>
      <c r="B26" s="135">
        <f>SUM('פיקדונות מעל 3 חודשים'!T:T)</f>
        <v>0</v>
      </c>
      <c r="C26" s="48"/>
      <c r="D26" s="135">
        <f t="shared" si="0"/>
        <v>0</v>
      </c>
      <c r="E26" s="140">
        <f>SUM('פיקדונות מעל 3 חודשים'!T:T)/B30</f>
        <v>0</v>
      </c>
    </row>
    <row r="27" spans="1:5">
      <c r="A27" s="47" t="s">
        <v>1079</v>
      </c>
      <c r="B27" s="135">
        <f>SUM('זכויות מקרקעין'!S:S)</f>
        <v>0</v>
      </c>
      <c r="C27" s="48"/>
      <c r="D27" s="135">
        <f t="shared" si="0"/>
        <v>0</v>
      </c>
      <c r="E27" s="140">
        <f>SUM('זכויות מקרקעין'!S:S)/B30</f>
        <v>0</v>
      </c>
    </row>
    <row r="28" spans="1:5">
      <c r="A28" s="47" t="s">
        <v>1113</v>
      </c>
      <c r="B28" s="135">
        <f>SUM('השקעה בחברות מוחזקות'!U:U)</f>
        <v>0</v>
      </c>
      <c r="C28" s="48"/>
      <c r="D28" s="135">
        <f t="shared" si="0"/>
        <v>0</v>
      </c>
      <c r="E28" s="140">
        <f>SUM('השקעה בחברות מוחזקות'!U:U)/B30</f>
        <v>0</v>
      </c>
    </row>
    <row r="29" spans="1:5">
      <c r="A29" s="47" t="s">
        <v>1082</v>
      </c>
      <c r="B29" s="135">
        <f>SUM('נכסים אחרים'!N:N)</f>
        <v>903.85600000000011</v>
      </c>
      <c r="C29" s="48"/>
      <c r="D29" s="135">
        <f t="shared" si="0"/>
        <v>903.85600000000011</v>
      </c>
      <c r="E29" s="140">
        <f>SUM('נכסים אחרים'!N:N)/B30</f>
        <v>7.8414976676156412E-4</v>
      </c>
    </row>
    <row r="30" spans="1:5">
      <c r="A30" s="46" t="s">
        <v>1192</v>
      </c>
      <c r="B30" s="136">
        <f>IF(SUM(B3:B29)=0,0.0001,SUM(B3:B29))</f>
        <v>1152657.3599999999</v>
      </c>
      <c r="C30" s="49">
        <f t="shared" ref="C30:E30" si="1">SUM(C3:C29)</f>
        <v>0</v>
      </c>
      <c r="D30" s="136">
        <f t="shared" si="1"/>
        <v>1152657.3599999999</v>
      </c>
      <c r="E30" s="141">
        <f t="shared" si="1"/>
        <v>1.0000000000000004</v>
      </c>
    </row>
    <row r="31" spans="1:5">
      <c r="A31" s="47" t="s">
        <v>1189</v>
      </c>
      <c r="B31" s="135"/>
      <c r="C31" s="48"/>
      <c r="D31" s="135"/>
      <c r="E31" s="140"/>
    </row>
    <row r="32" spans="1:5">
      <c r="A32" s="47" t="s">
        <v>1193</v>
      </c>
      <c r="B32" s="135">
        <f>SUM('יתרות התחייבות להשקעה'!O:O)</f>
        <v>47742.528611063986</v>
      </c>
      <c r="C32" s="48"/>
      <c r="D32" s="135"/>
      <c r="E32" s="140"/>
    </row>
    <row r="34" spans="1:4">
      <c r="A34" s="187"/>
      <c r="B34" s="188"/>
      <c r="D34" s="188"/>
    </row>
    <row r="41" spans="1:4">
      <c r="D41" s="188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56"/>
  <sheetViews>
    <sheetView rightToLeft="1" topLeftCell="A22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5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185</v>
      </c>
      <c r="D1" s="19" t="s">
        <v>186</v>
      </c>
      <c r="E1" s="19" t="s">
        <v>187</v>
      </c>
      <c r="F1" s="19" t="s">
        <v>5</v>
      </c>
      <c r="G1" s="19" t="s">
        <v>6</v>
      </c>
      <c r="H1" s="19" t="s">
        <v>139</v>
      </c>
      <c r="I1" s="19" t="s">
        <v>189</v>
      </c>
      <c r="J1" s="19" t="s">
        <v>10</v>
      </c>
      <c r="K1" s="19" t="s">
        <v>11</v>
      </c>
      <c r="L1" s="19" t="s">
        <v>149</v>
      </c>
      <c r="M1" s="161" t="s">
        <v>18</v>
      </c>
      <c r="N1" s="163" t="s">
        <v>14</v>
      </c>
      <c r="O1" s="19" t="s">
        <v>20</v>
      </c>
      <c r="P1" s="167" t="s">
        <v>24</v>
      </c>
      <c r="Q1" s="167" t="s">
        <v>25</v>
      </c>
    </row>
    <row r="2" spans="1:17">
      <c r="A2" s="2">
        <v>158</v>
      </c>
      <c r="B2" s="2">
        <v>1441</v>
      </c>
      <c r="C2" s="2" t="s">
        <v>1194</v>
      </c>
      <c r="D2" s="2" t="s">
        <v>1195</v>
      </c>
      <c r="E2" s="4" t="s">
        <v>332</v>
      </c>
      <c r="F2" s="2" t="s">
        <v>971</v>
      </c>
      <c r="G2" s="2" t="s">
        <v>30</v>
      </c>
      <c r="H2" s="2" t="s">
        <v>153</v>
      </c>
      <c r="I2" s="2" t="s">
        <v>109</v>
      </c>
      <c r="J2" s="2" t="s">
        <v>430</v>
      </c>
      <c r="K2" s="2" t="s">
        <v>34</v>
      </c>
      <c r="L2" s="152">
        <v>16.446999999999999</v>
      </c>
      <c r="M2" s="162">
        <v>3.71</v>
      </c>
      <c r="N2" s="164">
        <v>0</v>
      </c>
      <c r="O2" s="153">
        <v>61.018999999999998</v>
      </c>
      <c r="P2" s="168">
        <v>0.40120422985084198</v>
      </c>
      <c r="Q2" s="168">
        <v>6.2551243180968804E-3</v>
      </c>
    </row>
    <row r="3" spans="1:17">
      <c r="A3" s="2">
        <v>158</v>
      </c>
      <c r="B3" s="2">
        <v>1441</v>
      </c>
      <c r="C3" s="2" t="s">
        <v>1194</v>
      </c>
      <c r="D3" s="2" t="s">
        <v>1195</v>
      </c>
      <c r="E3" s="18" t="s">
        <v>332</v>
      </c>
      <c r="F3" s="2" t="s">
        <v>969</v>
      </c>
      <c r="G3" s="2" t="s">
        <v>30</v>
      </c>
      <c r="H3" s="2" t="s">
        <v>153</v>
      </c>
      <c r="I3" s="2" t="s">
        <v>109</v>
      </c>
      <c r="J3" s="2" t="s">
        <v>430</v>
      </c>
      <c r="K3" s="2" t="s">
        <v>44</v>
      </c>
      <c r="L3" s="153">
        <v>-1E-3</v>
      </c>
      <c r="M3" s="162">
        <v>1</v>
      </c>
      <c r="N3" s="165">
        <v>0</v>
      </c>
      <c r="O3" s="153">
        <v>-1E-3</v>
      </c>
      <c r="P3" s="168">
        <v>-4.7997926910361201E-6</v>
      </c>
      <c r="Q3" s="168">
        <v>-7.4832959748918106E-8</v>
      </c>
    </row>
    <row r="4" spans="1:17">
      <c r="A4" s="2">
        <v>158</v>
      </c>
      <c r="B4" s="2">
        <v>1441</v>
      </c>
      <c r="C4" s="2" t="s">
        <v>1194</v>
      </c>
      <c r="D4" s="2" t="s">
        <v>1195</v>
      </c>
      <c r="E4" s="18" t="s">
        <v>332</v>
      </c>
      <c r="F4" s="2" t="s">
        <v>972</v>
      </c>
      <c r="G4" s="2" t="s">
        <v>30</v>
      </c>
      <c r="H4" s="2" t="s">
        <v>153</v>
      </c>
      <c r="I4" s="2" t="s">
        <v>109</v>
      </c>
      <c r="J4" s="2" t="s">
        <v>430</v>
      </c>
      <c r="K4" s="2" t="s">
        <v>44</v>
      </c>
      <c r="L4" s="153">
        <v>96.722999999999999</v>
      </c>
      <c r="M4" s="162">
        <v>1</v>
      </c>
      <c r="N4" s="165">
        <v>0</v>
      </c>
      <c r="O4" s="153">
        <v>96.722999999999999</v>
      </c>
      <c r="P4" s="168">
        <v>0.63596049920526598</v>
      </c>
      <c r="Q4" s="168">
        <v>9.9151795717777602E-3</v>
      </c>
    </row>
    <row r="5" spans="1:17">
      <c r="A5" s="2">
        <v>158</v>
      </c>
      <c r="B5" s="2">
        <v>1441</v>
      </c>
      <c r="C5" s="2" t="s">
        <v>1196</v>
      </c>
      <c r="D5" s="2" t="s">
        <v>1197</v>
      </c>
      <c r="E5" s="18" t="s">
        <v>332</v>
      </c>
      <c r="F5" s="2" t="s">
        <v>969</v>
      </c>
      <c r="G5" s="2" t="s">
        <v>30</v>
      </c>
      <c r="H5" s="2" t="s">
        <v>153</v>
      </c>
      <c r="I5" s="2" t="s">
        <v>109</v>
      </c>
      <c r="J5" s="2" t="s">
        <v>430</v>
      </c>
      <c r="K5" s="2" t="s">
        <v>44</v>
      </c>
      <c r="L5" s="153">
        <v>-5.6520000000000001</v>
      </c>
      <c r="M5" s="162">
        <v>1</v>
      </c>
      <c r="N5" s="165">
        <v>0</v>
      </c>
      <c r="O5" s="153">
        <v>-5.6520000000000001</v>
      </c>
      <c r="P5" s="168">
        <v>-3.7159929263416797E-2</v>
      </c>
      <c r="Q5" s="168">
        <v>-5.7935574926708602E-4</v>
      </c>
    </row>
    <row r="6" spans="1:17">
      <c r="A6" s="2">
        <v>158</v>
      </c>
      <c r="B6" s="2">
        <v>1522</v>
      </c>
      <c r="C6" s="2" t="s">
        <v>1194</v>
      </c>
      <c r="D6" s="2" t="s">
        <v>1195</v>
      </c>
      <c r="E6" s="18" t="s">
        <v>332</v>
      </c>
      <c r="F6" s="2" t="s">
        <v>971</v>
      </c>
      <c r="G6" s="2" t="s">
        <v>30</v>
      </c>
      <c r="H6" s="2" t="s">
        <v>153</v>
      </c>
      <c r="I6" s="2" t="s">
        <v>109</v>
      </c>
      <c r="J6" s="2" t="s">
        <v>430</v>
      </c>
      <c r="K6" s="2" t="s">
        <v>34</v>
      </c>
      <c r="L6" s="153">
        <v>8.6059999999999999</v>
      </c>
      <c r="M6" s="162">
        <v>3.71</v>
      </c>
      <c r="N6" s="165">
        <v>0</v>
      </c>
      <c r="O6" s="153">
        <v>31.93</v>
      </c>
      <c r="P6" s="168">
        <v>0.114451136390227</v>
      </c>
      <c r="Q6" s="168">
        <v>3.1315207924414298E-3</v>
      </c>
    </row>
    <row r="7" spans="1:17">
      <c r="A7" s="2">
        <v>158</v>
      </c>
      <c r="B7" s="2">
        <v>1522</v>
      </c>
      <c r="C7" s="2" t="s">
        <v>1194</v>
      </c>
      <c r="D7" s="2" t="s">
        <v>1195</v>
      </c>
      <c r="E7" s="18" t="s">
        <v>332</v>
      </c>
      <c r="F7" s="2" t="s">
        <v>971</v>
      </c>
      <c r="G7" s="2" t="s">
        <v>30</v>
      </c>
      <c r="H7" s="2" t="s">
        <v>153</v>
      </c>
      <c r="I7" s="2" t="s">
        <v>109</v>
      </c>
      <c r="J7" s="2" t="s">
        <v>430</v>
      </c>
      <c r="K7" s="2" t="s">
        <v>1198</v>
      </c>
      <c r="L7" s="153">
        <v>2.66</v>
      </c>
      <c r="M7" s="162">
        <v>0.47660000000000002</v>
      </c>
      <c r="N7" s="165">
        <v>0</v>
      </c>
      <c r="O7" s="153">
        <v>1.268</v>
      </c>
      <c r="P7" s="168">
        <v>4.54444321598495E-3</v>
      </c>
      <c r="Q7" s="168">
        <v>1.2434143399332401E-4</v>
      </c>
    </row>
    <row r="8" spans="1:17">
      <c r="A8" s="2">
        <v>158</v>
      </c>
      <c r="B8" s="2">
        <v>1522</v>
      </c>
      <c r="C8" s="2" t="s">
        <v>1194</v>
      </c>
      <c r="D8" s="2" t="s">
        <v>1195</v>
      </c>
      <c r="E8" s="18" t="s">
        <v>332</v>
      </c>
      <c r="F8" s="2" t="s">
        <v>971</v>
      </c>
      <c r="G8" s="2" t="s">
        <v>30</v>
      </c>
      <c r="H8" s="2" t="s">
        <v>153</v>
      </c>
      <c r="I8" s="2" t="s">
        <v>109</v>
      </c>
      <c r="J8" s="2" t="s">
        <v>430</v>
      </c>
      <c r="K8" s="2" t="s">
        <v>1199</v>
      </c>
      <c r="L8" s="153">
        <v>3.6520000000000001</v>
      </c>
      <c r="M8" s="162">
        <v>4.1524000000000001</v>
      </c>
      <c r="N8" s="165">
        <v>0</v>
      </c>
      <c r="O8" s="153">
        <v>15.164</v>
      </c>
      <c r="P8" s="168">
        <v>5.4355237521033203E-2</v>
      </c>
      <c r="Q8" s="168">
        <v>1.48722469556661E-3</v>
      </c>
    </row>
    <row r="9" spans="1:17">
      <c r="A9" s="2">
        <v>158</v>
      </c>
      <c r="B9" s="2">
        <v>1522</v>
      </c>
      <c r="C9" s="2" t="s">
        <v>1194</v>
      </c>
      <c r="D9" s="2" t="s">
        <v>1195</v>
      </c>
      <c r="E9" s="18" t="s">
        <v>332</v>
      </c>
      <c r="F9" s="2" t="s">
        <v>971</v>
      </c>
      <c r="G9" s="2" t="s">
        <v>30</v>
      </c>
      <c r="H9" s="2" t="s">
        <v>153</v>
      </c>
      <c r="I9" s="2" t="s">
        <v>109</v>
      </c>
      <c r="J9" s="2" t="s">
        <v>430</v>
      </c>
      <c r="K9" s="2" t="s">
        <v>1200</v>
      </c>
      <c r="L9" s="153">
        <v>0.67</v>
      </c>
      <c r="M9" s="162">
        <v>2.6029E-2</v>
      </c>
      <c r="N9" s="165">
        <v>0</v>
      </c>
      <c r="O9" s="153">
        <v>1.7000000000000001E-2</v>
      </c>
      <c r="P9" s="168">
        <v>6.2534035462091605E-5</v>
      </c>
      <c r="Q9" s="168">
        <v>1.71100644747754E-6</v>
      </c>
    </row>
    <row r="10" spans="1:17">
      <c r="A10" s="2">
        <v>158</v>
      </c>
      <c r="B10" s="2">
        <v>1522</v>
      </c>
      <c r="C10" s="2" t="s">
        <v>1194</v>
      </c>
      <c r="D10" s="2" t="s">
        <v>1195</v>
      </c>
      <c r="E10" s="18" t="s">
        <v>332</v>
      </c>
      <c r="F10" s="2" t="s">
        <v>971</v>
      </c>
      <c r="G10" s="2" t="s">
        <v>30</v>
      </c>
      <c r="H10" s="2" t="s">
        <v>153</v>
      </c>
      <c r="I10" s="2" t="s">
        <v>109</v>
      </c>
      <c r="J10" s="2" t="s">
        <v>430</v>
      </c>
      <c r="K10" s="2" t="s">
        <v>1201</v>
      </c>
      <c r="L10" s="153">
        <v>0.496</v>
      </c>
      <c r="M10" s="162">
        <v>4.9748000000000001</v>
      </c>
      <c r="N10" s="165">
        <v>0</v>
      </c>
      <c r="O10" s="153">
        <v>2.4689999999999999</v>
      </c>
      <c r="P10" s="168">
        <v>8.8512233659557397E-3</v>
      </c>
      <c r="Q10" s="168">
        <v>2.4218012055842499E-4</v>
      </c>
    </row>
    <row r="11" spans="1:17">
      <c r="A11" s="2">
        <v>158</v>
      </c>
      <c r="B11" s="2">
        <v>1522</v>
      </c>
      <c r="C11" s="2" t="s">
        <v>1194</v>
      </c>
      <c r="D11" s="2" t="s">
        <v>1195</v>
      </c>
      <c r="E11" s="18" t="s">
        <v>332</v>
      </c>
      <c r="F11" s="2" t="s">
        <v>969</v>
      </c>
      <c r="G11" s="2" t="s">
        <v>30</v>
      </c>
      <c r="H11" s="2" t="s">
        <v>153</v>
      </c>
      <c r="I11" s="2" t="s">
        <v>109</v>
      </c>
      <c r="J11" s="2" t="s">
        <v>430</v>
      </c>
      <c r="K11" s="2" t="s">
        <v>44</v>
      </c>
      <c r="L11" s="153">
        <v>1.9770000000000001</v>
      </c>
      <c r="M11" s="162">
        <v>1</v>
      </c>
      <c r="N11" s="165">
        <v>0</v>
      </c>
      <c r="O11" s="153">
        <v>1.9770000000000001</v>
      </c>
      <c r="P11" s="168">
        <v>7.0856270723087004E-3</v>
      </c>
      <c r="Q11" s="168">
        <v>1.9387128170372101E-4</v>
      </c>
    </row>
    <row r="12" spans="1:17">
      <c r="A12" s="2">
        <v>158</v>
      </c>
      <c r="B12" s="2">
        <v>1522</v>
      </c>
      <c r="C12" s="2" t="s">
        <v>1194</v>
      </c>
      <c r="D12" s="2" t="s">
        <v>1195</v>
      </c>
      <c r="E12" s="18" t="s">
        <v>332</v>
      </c>
      <c r="F12" s="2" t="s">
        <v>972</v>
      </c>
      <c r="G12" s="2" t="s">
        <v>30</v>
      </c>
      <c r="H12" s="2" t="s">
        <v>153</v>
      </c>
      <c r="I12" s="2" t="s">
        <v>109</v>
      </c>
      <c r="J12" s="2" t="s">
        <v>430</v>
      </c>
      <c r="K12" s="2" t="s">
        <v>44</v>
      </c>
      <c r="L12" s="153">
        <v>215.66</v>
      </c>
      <c r="M12" s="162">
        <v>1</v>
      </c>
      <c r="N12" s="165">
        <v>0</v>
      </c>
      <c r="O12" s="153">
        <v>215.66</v>
      </c>
      <c r="P12" s="168">
        <v>0.77302217403987405</v>
      </c>
      <c r="Q12" s="168">
        <v>2.1150816736065701E-2</v>
      </c>
    </row>
    <row r="13" spans="1:17">
      <c r="A13" s="2">
        <v>158</v>
      </c>
      <c r="B13" s="2">
        <v>1522</v>
      </c>
      <c r="C13" s="2" t="s">
        <v>1194</v>
      </c>
      <c r="D13" s="2" t="s">
        <v>1195</v>
      </c>
      <c r="E13" s="18" t="s">
        <v>332</v>
      </c>
      <c r="F13" s="2" t="s">
        <v>971</v>
      </c>
      <c r="G13" s="2" t="s">
        <v>30</v>
      </c>
      <c r="H13" s="2" t="s">
        <v>153</v>
      </c>
      <c r="I13" s="2" t="s">
        <v>109</v>
      </c>
      <c r="J13" s="2" t="s">
        <v>430</v>
      </c>
      <c r="K13" s="2" t="s">
        <v>1202</v>
      </c>
      <c r="L13" s="153">
        <v>5.0460000000000003</v>
      </c>
      <c r="M13" s="162">
        <v>4.3964999999999996</v>
      </c>
      <c r="N13" s="165">
        <v>0</v>
      </c>
      <c r="O13" s="153">
        <v>22.186</v>
      </c>
      <c r="P13" s="168">
        <v>7.9523643216545203E-2</v>
      </c>
      <c r="Q13" s="168">
        <v>2.17586255652566E-3</v>
      </c>
    </row>
    <row r="14" spans="1:17">
      <c r="A14" s="2">
        <v>158</v>
      </c>
      <c r="B14" s="2">
        <v>1522</v>
      </c>
      <c r="C14" s="2" t="s">
        <v>1196</v>
      </c>
      <c r="D14" s="2" t="s">
        <v>1197</v>
      </c>
      <c r="E14" s="18" t="s">
        <v>332</v>
      </c>
      <c r="F14" s="2" t="s">
        <v>969</v>
      </c>
      <c r="G14" s="2" t="s">
        <v>30</v>
      </c>
      <c r="H14" s="2" t="s">
        <v>153</v>
      </c>
      <c r="I14" s="2" t="s">
        <v>109</v>
      </c>
      <c r="J14" s="2" t="s">
        <v>430</v>
      </c>
      <c r="K14" s="2" t="s">
        <v>44</v>
      </c>
      <c r="L14" s="153">
        <v>-11.688000000000001</v>
      </c>
      <c r="M14" s="162">
        <v>1</v>
      </c>
      <c r="N14" s="165">
        <v>0</v>
      </c>
      <c r="O14" s="153">
        <v>-11.688000000000001</v>
      </c>
      <c r="P14" s="168">
        <v>-4.1896018857390797E-2</v>
      </c>
      <c r="Q14" s="168">
        <v>-1.1463254827379799E-3</v>
      </c>
    </row>
    <row r="15" spans="1:17">
      <c r="A15" s="2">
        <v>158</v>
      </c>
      <c r="B15" s="2">
        <v>9935</v>
      </c>
      <c r="C15" s="2" t="s">
        <v>1196</v>
      </c>
      <c r="D15" s="2" t="s">
        <v>1197</v>
      </c>
      <c r="E15" s="18" t="s">
        <v>332</v>
      </c>
      <c r="F15" s="2" t="s">
        <v>969</v>
      </c>
      <c r="G15" s="2" t="s">
        <v>30</v>
      </c>
      <c r="H15" s="2" t="s">
        <v>153</v>
      </c>
      <c r="I15" s="2" t="s">
        <v>109</v>
      </c>
      <c r="J15" s="2" t="s">
        <v>430</v>
      </c>
      <c r="K15" s="2" t="s">
        <v>44</v>
      </c>
      <c r="L15" s="153">
        <v>830.82899999999995</v>
      </c>
      <c r="M15" s="162">
        <v>1</v>
      </c>
      <c r="N15" s="165">
        <v>0</v>
      </c>
      <c r="O15" s="153">
        <v>830.82899999999995</v>
      </c>
      <c r="P15" s="168">
        <v>1.98183108408721E-2</v>
      </c>
      <c r="Q15" s="168">
        <v>7.66923154629972E-4</v>
      </c>
    </row>
    <row r="16" spans="1:17">
      <c r="A16" s="2">
        <v>158</v>
      </c>
      <c r="B16" s="2">
        <v>9935</v>
      </c>
      <c r="C16" s="2" t="s">
        <v>1194</v>
      </c>
      <c r="D16" s="2" t="s">
        <v>1195</v>
      </c>
      <c r="E16" s="18" t="s">
        <v>332</v>
      </c>
      <c r="F16" s="2" t="s">
        <v>971</v>
      </c>
      <c r="G16" s="2" t="s">
        <v>30</v>
      </c>
      <c r="H16" s="2" t="s">
        <v>153</v>
      </c>
      <c r="I16" s="2" t="s">
        <v>109</v>
      </c>
      <c r="J16" s="2" t="s">
        <v>430</v>
      </c>
      <c r="K16" s="2" t="s">
        <v>34</v>
      </c>
      <c r="L16" s="153">
        <v>480.68900000000002</v>
      </c>
      <c r="M16" s="162">
        <v>3.71</v>
      </c>
      <c r="N16" s="165">
        <v>0</v>
      </c>
      <c r="O16" s="153">
        <v>1783.357</v>
      </c>
      <c r="P16" s="168">
        <v>4.2539570508490797E-2</v>
      </c>
      <c r="Q16" s="168">
        <v>1.64618376777565E-3</v>
      </c>
    </row>
    <row r="17" spans="1:17">
      <c r="A17" s="2">
        <v>158</v>
      </c>
      <c r="B17" s="2">
        <v>9935</v>
      </c>
      <c r="C17" s="2" t="s">
        <v>1194</v>
      </c>
      <c r="D17" s="2" t="s">
        <v>1195</v>
      </c>
      <c r="E17" s="18" t="s">
        <v>332</v>
      </c>
      <c r="F17" s="2" t="s">
        <v>971</v>
      </c>
      <c r="G17" s="2" t="s">
        <v>30</v>
      </c>
      <c r="H17" s="2" t="s">
        <v>153</v>
      </c>
      <c r="I17" s="2" t="s">
        <v>109</v>
      </c>
      <c r="J17" s="2" t="s">
        <v>430</v>
      </c>
      <c r="K17" s="2" t="s">
        <v>1198</v>
      </c>
      <c r="L17" s="153">
        <v>1E-3</v>
      </c>
      <c r="M17" s="162">
        <v>0.47660000000000002</v>
      </c>
      <c r="N17" s="165">
        <v>0</v>
      </c>
      <c r="O17" s="153">
        <v>0</v>
      </c>
      <c r="P17" s="168">
        <v>7.3896236513638003E-9</v>
      </c>
      <c r="Q17" s="168">
        <v>2.85961479146059E-10</v>
      </c>
    </row>
    <row r="18" spans="1:17">
      <c r="A18" s="2">
        <v>158</v>
      </c>
      <c r="B18" s="2">
        <v>9935</v>
      </c>
      <c r="C18" s="2" t="s">
        <v>1194</v>
      </c>
      <c r="D18" s="2" t="s">
        <v>1195</v>
      </c>
      <c r="E18" s="18" t="s">
        <v>332</v>
      </c>
      <c r="F18" s="2" t="s">
        <v>971</v>
      </c>
      <c r="G18" s="2" t="s">
        <v>30</v>
      </c>
      <c r="H18" s="2" t="s">
        <v>153</v>
      </c>
      <c r="I18" s="2" t="s">
        <v>109</v>
      </c>
      <c r="J18" s="2" t="s">
        <v>430</v>
      </c>
      <c r="K18" s="2" t="s">
        <v>1199</v>
      </c>
      <c r="L18" s="153">
        <v>209.69900000000001</v>
      </c>
      <c r="M18" s="162">
        <v>4.1524000000000001</v>
      </c>
      <c r="N18" s="165">
        <v>0</v>
      </c>
      <c r="O18" s="153">
        <v>870.75599999999997</v>
      </c>
      <c r="P18" s="168">
        <v>2.0770708791606099E-2</v>
      </c>
      <c r="Q18" s="168">
        <v>8.0377876995989304E-4</v>
      </c>
    </row>
    <row r="19" spans="1:17">
      <c r="A19" s="2">
        <v>158</v>
      </c>
      <c r="B19" s="2">
        <v>9935</v>
      </c>
      <c r="C19" s="2" t="s">
        <v>1194</v>
      </c>
      <c r="D19" s="2" t="s">
        <v>1195</v>
      </c>
      <c r="E19" s="18" t="s">
        <v>332</v>
      </c>
      <c r="F19" s="2" t="s">
        <v>971</v>
      </c>
      <c r="G19" s="2" t="s">
        <v>30</v>
      </c>
      <c r="H19" s="2" t="s">
        <v>153</v>
      </c>
      <c r="I19" s="2" t="s">
        <v>109</v>
      </c>
      <c r="J19" s="2" t="s">
        <v>430</v>
      </c>
      <c r="K19" s="2" t="s">
        <v>1200</v>
      </c>
      <c r="L19" s="153">
        <v>5141.9939999999997</v>
      </c>
      <c r="M19" s="162">
        <v>2.6029E-2</v>
      </c>
      <c r="N19" s="165">
        <v>0</v>
      </c>
      <c r="O19" s="153">
        <v>133.84100000000001</v>
      </c>
      <c r="P19" s="168">
        <v>3.1925958481121498E-3</v>
      </c>
      <c r="Q19" s="168">
        <v>1.2354613362119301E-4</v>
      </c>
    </row>
    <row r="20" spans="1:17">
      <c r="A20" s="2">
        <v>158</v>
      </c>
      <c r="B20" s="2">
        <v>9935</v>
      </c>
      <c r="C20" s="2" t="s">
        <v>1194</v>
      </c>
      <c r="D20" s="2" t="s">
        <v>1195</v>
      </c>
      <c r="E20" s="18" t="s">
        <v>332</v>
      </c>
      <c r="F20" s="2" t="s">
        <v>969</v>
      </c>
      <c r="G20" s="2" t="s">
        <v>30</v>
      </c>
      <c r="H20" s="2" t="s">
        <v>153</v>
      </c>
      <c r="I20" s="2" t="s">
        <v>109</v>
      </c>
      <c r="J20" s="2" t="s">
        <v>430</v>
      </c>
      <c r="K20" s="2" t="s">
        <v>44</v>
      </c>
      <c r="L20" s="153">
        <v>-1E-3</v>
      </c>
      <c r="M20" s="162">
        <v>1</v>
      </c>
      <c r="N20" s="165">
        <v>0</v>
      </c>
      <c r="O20" s="153">
        <v>-1E-3</v>
      </c>
      <c r="P20" s="168">
        <v>-2.33765814853175E-8</v>
      </c>
      <c r="Q20" s="168">
        <v>-9.0462006379527503E-10</v>
      </c>
    </row>
    <row r="21" spans="1:17">
      <c r="A21" s="2">
        <v>158</v>
      </c>
      <c r="B21" s="2">
        <v>9935</v>
      </c>
      <c r="C21" s="2" t="s">
        <v>1194</v>
      </c>
      <c r="D21" s="2" t="s">
        <v>1195</v>
      </c>
      <c r="E21" s="4" t="s">
        <v>332</v>
      </c>
      <c r="F21" s="2" t="s">
        <v>972</v>
      </c>
      <c r="G21" s="2" t="s">
        <v>30</v>
      </c>
      <c r="H21" s="2" t="s">
        <v>153</v>
      </c>
      <c r="I21" s="2" t="s">
        <v>109</v>
      </c>
      <c r="J21" s="2" t="s">
        <v>430</v>
      </c>
      <c r="K21" s="2" t="s">
        <v>44</v>
      </c>
      <c r="L21" s="153">
        <v>6527.4790000000003</v>
      </c>
      <c r="M21" s="162">
        <v>1</v>
      </c>
      <c r="N21" s="166">
        <v>0</v>
      </c>
      <c r="O21" s="153">
        <v>6527.4790000000003</v>
      </c>
      <c r="P21" s="168">
        <v>0.155704226461234</v>
      </c>
      <c r="Q21" s="168">
        <v>6.0253962865795003E-3</v>
      </c>
    </row>
    <row r="22" spans="1:17">
      <c r="A22" s="2">
        <v>158</v>
      </c>
      <c r="B22" s="2">
        <v>9935</v>
      </c>
      <c r="C22" s="2" t="s">
        <v>1194</v>
      </c>
      <c r="D22" s="2" t="s">
        <v>1195</v>
      </c>
      <c r="E22" s="4" t="s">
        <v>332</v>
      </c>
      <c r="F22" s="2" t="s">
        <v>971</v>
      </c>
      <c r="G22" s="2" t="s">
        <v>30</v>
      </c>
      <c r="H22" s="2" t="s">
        <v>153</v>
      </c>
      <c r="I22" s="2" t="s">
        <v>109</v>
      </c>
      <c r="J22" s="2" t="s">
        <v>430</v>
      </c>
      <c r="K22" s="2" t="s">
        <v>1202</v>
      </c>
      <c r="L22" s="153">
        <v>18.338999999999999</v>
      </c>
      <c r="M22" s="162">
        <v>4.3964999999999996</v>
      </c>
      <c r="N22" s="166">
        <v>0</v>
      </c>
      <c r="O22" s="153">
        <v>80.629000000000005</v>
      </c>
      <c r="P22" s="168">
        <v>1.92328888410601E-3</v>
      </c>
      <c r="Q22" s="168">
        <v>7.4426866654112294E-5</v>
      </c>
    </row>
    <row r="23" spans="1:17">
      <c r="A23" s="2">
        <v>158</v>
      </c>
      <c r="B23" s="2">
        <v>9935</v>
      </c>
      <c r="C23" s="2" t="s">
        <v>1194</v>
      </c>
      <c r="D23" s="2" t="s">
        <v>1195</v>
      </c>
      <c r="E23" s="4" t="s">
        <v>332</v>
      </c>
      <c r="F23" s="2" t="s">
        <v>971</v>
      </c>
      <c r="G23" s="2" t="s">
        <v>30</v>
      </c>
      <c r="H23" s="2" t="s">
        <v>153</v>
      </c>
      <c r="I23" s="2" t="s">
        <v>109</v>
      </c>
      <c r="J23" s="2" t="s">
        <v>430</v>
      </c>
      <c r="K23" s="2" t="s">
        <v>34</v>
      </c>
      <c r="L23" s="153">
        <v>3755.239</v>
      </c>
      <c r="M23" s="162">
        <v>3.71</v>
      </c>
      <c r="N23" s="166">
        <v>0</v>
      </c>
      <c r="O23" s="153">
        <v>13931.938</v>
      </c>
      <c r="P23" s="168">
        <v>0.33232764167366202</v>
      </c>
      <c r="Q23" s="168">
        <v>1.2860317176854199E-2</v>
      </c>
    </row>
    <row r="24" spans="1:17">
      <c r="A24" s="2">
        <v>158</v>
      </c>
      <c r="B24" s="2">
        <v>9935</v>
      </c>
      <c r="C24" s="2" t="s">
        <v>1194</v>
      </c>
      <c r="D24" s="2" t="s">
        <v>1195</v>
      </c>
      <c r="E24" s="4" t="s">
        <v>332</v>
      </c>
      <c r="F24" s="2" t="s">
        <v>971</v>
      </c>
      <c r="G24" s="2" t="s">
        <v>30</v>
      </c>
      <c r="H24" s="2" t="s">
        <v>153</v>
      </c>
      <c r="I24" s="2" t="s">
        <v>109</v>
      </c>
      <c r="J24" s="2" t="s">
        <v>430</v>
      </c>
      <c r="K24" s="2" t="s">
        <v>1199</v>
      </c>
      <c r="L24" s="153">
        <v>543.89499999999998</v>
      </c>
      <c r="M24" s="162">
        <v>4.1524000000000001</v>
      </c>
      <c r="N24" s="166">
        <v>0</v>
      </c>
      <c r="O24" s="153">
        <v>2258.471</v>
      </c>
      <c r="P24" s="168">
        <v>5.3872788330490098E-2</v>
      </c>
      <c r="Q24" s="168">
        <v>2.0847532923907899E-3</v>
      </c>
    </row>
    <row r="25" spans="1:17">
      <c r="A25" s="2">
        <v>158</v>
      </c>
      <c r="B25" s="2">
        <v>9935</v>
      </c>
      <c r="C25" s="2" t="s">
        <v>1194</v>
      </c>
      <c r="D25" s="2" t="s">
        <v>1195</v>
      </c>
      <c r="E25" s="4" t="s">
        <v>332</v>
      </c>
      <c r="F25" s="2" t="s">
        <v>971</v>
      </c>
      <c r="G25" s="2" t="s">
        <v>30</v>
      </c>
      <c r="H25" s="2" t="s">
        <v>153</v>
      </c>
      <c r="I25" s="2" t="s">
        <v>109</v>
      </c>
      <c r="J25" s="2" t="s">
        <v>430</v>
      </c>
      <c r="K25" s="2" t="s">
        <v>1201</v>
      </c>
      <c r="L25" s="153">
        <v>203.01300000000001</v>
      </c>
      <c r="M25" s="162">
        <v>4.9748000000000001</v>
      </c>
      <c r="N25" s="166">
        <v>0</v>
      </c>
      <c r="O25" s="153">
        <v>1009.951</v>
      </c>
      <c r="P25" s="168">
        <v>2.4091013100064201E-2</v>
      </c>
      <c r="Q25" s="168">
        <v>9.3226692795783E-4</v>
      </c>
    </row>
    <row r="26" spans="1:17">
      <c r="A26" s="2">
        <v>158</v>
      </c>
      <c r="B26" s="2">
        <v>9935</v>
      </c>
      <c r="C26" s="2" t="s">
        <v>1194</v>
      </c>
      <c r="D26" s="2" t="s">
        <v>1195</v>
      </c>
      <c r="E26" s="4" t="s">
        <v>332</v>
      </c>
      <c r="F26" s="2" t="s">
        <v>969</v>
      </c>
      <c r="G26" s="2" t="s">
        <v>30</v>
      </c>
      <c r="H26" s="2" t="s">
        <v>153</v>
      </c>
      <c r="I26" s="2" t="s">
        <v>109</v>
      </c>
      <c r="J26" s="2" t="s">
        <v>430</v>
      </c>
      <c r="K26" s="2" t="s">
        <v>44</v>
      </c>
      <c r="L26" s="153">
        <v>0</v>
      </c>
      <c r="M26" s="162">
        <v>1</v>
      </c>
      <c r="N26" s="166">
        <v>0</v>
      </c>
      <c r="O26" s="153">
        <v>0</v>
      </c>
      <c r="P26" s="168">
        <v>-1.02570714680475E-8</v>
      </c>
      <c r="Q26" s="168">
        <v>-3.9692513003262102E-10</v>
      </c>
    </row>
    <row r="27" spans="1:17">
      <c r="A27" s="2">
        <v>158</v>
      </c>
      <c r="B27" s="2">
        <v>9935</v>
      </c>
      <c r="C27" s="2" t="s">
        <v>1194</v>
      </c>
      <c r="D27" s="2" t="s">
        <v>1195</v>
      </c>
      <c r="E27" s="4" t="s">
        <v>332</v>
      </c>
      <c r="F27" s="2" t="s">
        <v>972</v>
      </c>
      <c r="G27" s="2" t="s">
        <v>30</v>
      </c>
      <c r="H27" s="2" t="s">
        <v>153</v>
      </c>
      <c r="I27" s="2" t="s">
        <v>109</v>
      </c>
      <c r="J27" s="2" t="s">
        <v>430</v>
      </c>
      <c r="K27" s="2" t="s">
        <v>44</v>
      </c>
      <c r="L27" s="153">
        <v>7394.0749999999998</v>
      </c>
      <c r="M27" s="162">
        <v>1</v>
      </c>
      <c r="N27" s="166">
        <v>0</v>
      </c>
      <c r="O27" s="153">
        <v>7394.0749999999998</v>
      </c>
      <c r="P27" s="168">
        <v>0.17637570070828501</v>
      </c>
      <c r="Q27" s="168">
        <v>6.8253349073677796E-3</v>
      </c>
    </row>
    <row r="28" spans="1:17">
      <c r="A28" s="2">
        <v>158</v>
      </c>
      <c r="B28" s="2">
        <v>9935</v>
      </c>
      <c r="C28" s="2" t="s">
        <v>1194</v>
      </c>
      <c r="D28" s="2" t="s">
        <v>1195</v>
      </c>
      <c r="E28" s="4" t="s">
        <v>332</v>
      </c>
      <c r="F28" s="2" t="s">
        <v>971</v>
      </c>
      <c r="G28" s="2" t="s">
        <v>30</v>
      </c>
      <c r="H28" s="2" t="s">
        <v>153</v>
      </c>
      <c r="I28" s="2" t="s">
        <v>109</v>
      </c>
      <c r="J28" s="2" t="s">
        <v>430</v>
      </c>
      <c r="K28" s="2" t="s">
        <v>34</v>
      </c>
      <c r="L28" s="153">
        <v>946.64599999999996</v>
      </c>
      <c r="M28" s="162">
        <v>3.71</v>
      </c>
      <c r="N28" s="166">
        <v>0</v>
      </c>
      <c r="O28" s="153">
        <v>3512.0569999999998</v>
      </c>
      <c r="P28" s="168">
        <v>8.3775388191922998E-2</v>
      </c>
      <c r="Q28" s="168">
        <v>3.2419152928006398E-3</v>
      </c>
    </row>
    <row r="29" spans="1:17">
      <c r="A29" s="2">
        <v>158</v>
      </c>
      <c r="B29" s="2">
        <v>9935</v>
      </c>
      <c r="C29" s="2" t="s">
        <v>1194</v>
      </c>
      <c r="D29" s="2" t="s">
        <v>1195</v>
      </c>
      <c r="E29" s="4" t="s">
        <v>332</v>
      </c>
      <c r="F29" s="2" t="s">
        <v>971</v>
      </c>
      <c r="G29" s="2" t="s">
        <v>30</v>
      </c>
      <c r="H29" s="2" t="s">
        <v>153</v>
      </c>
      <c r="I29" s="2" t="s">
        <v>109</v>
      </c>
      <c r="J29" s="2" t="s">
        <v>430</v>
      </c>
      <c r="K29" s="2" t="s">
        <v>1198</v>
      </c>
      <c r="L29" s="153">
        <v>1.5029999999999999</v>
      </c>
      <c r="M29" s="162">
        <v>0.47660000000000002</v>
      </c>
      <c r="N29" s="166">
        <v>0</v>
      </c>
      <c r="O29" s="153">
        <v>0.71599999999999997</v>
      </c>
      <c r="P29" s="168">
        <v>1.7082763524634298E-5</v>
      </c>
      <c r="Q29" s="168">
        <v>6.6106375045300202E-7</v>
      </c>
    </row>
    <row r="30" spans="1:17">
      <c r="A30" s="2">
        <v>158</v>
      </c>
      <c r="B30" s="2">
        <v>9935</v>
      </c>
      <c r="C30" s="2" t="s">
        <v>1194</v>
      </c>
      <c r="D30" s="2" t="s">
        <v>1195</v>
      </c>
      <c r="E30" s="4" t="s">
        <v>332</v>
      </c>
      <c r="F30" s="2" t="s">
        <v>971</v>
      </c>
      <c r="G30" s="2" t="s">
        <v>30</v>
      </c>
      <c r="H30" s="2" t="s">
        <v>153</v>
      </c>
      <c r="I30" s="2" t="s">
        <v>109</v>
      </c>
      <c r="J30" s="2" t="s">
        <v>430</v>
      </c>
      <c r="K30" s="2" t="s">
        <v>1203</v>
      </c>
      <c r="L30" s="153">
        <v>1.1220000000000001</v>
      </c>
      <c r="M30" s="162">
        <v>2.8908</v>
      </c>
      <c r="N30" s="166">
        <v>0</v>
      </c>
      <c r="O30" s="153">
        <v>3.242</v>
      </c>
      <c r="P30" s="168">
        <v>7.7336384910179596E-5</v>
      </c>
      <c r="Q30" s="168">
        <v>2.99274064067423E-6</v>
      </c>
    </row>
    <row r="31" spans="1:17">
      <c r="A31" s="2">
        <v>158</v>
      </c>
      <c r="B31" s="2">
        <v>9935</v>
      </c>
      <c r="C31" s="2" t="s">
        <v>1194</v>
      </c>
      <c r="D31" s="2" t="s">
        <v>1195</v>
      </c>
      <c r="E31" s="4" t="s">
        <v>332</v>
      </c>
      <c r="F31" s="2" t="s">
        <v>971</v>
      </c>
      <c r="G31" s="2" t="s">
        <v>30</v>
      </c>
      <c r="H31" s="2" t="s">
        <v>153</v>
      </c>
      <c r="I31" s="2" t="s">
        <v>109</v>
      </c>
      <c r="J31" s="2" t="s">
        <v>430</v>
      </c>
      <c r="K31" s="2" t="s">
        <v>1199</v>
      </c>
      <c r="L31" s="153">
        <v>106.949</v>
      </c>
      <c r="M31" s="162">
        <v>4.1524000000000001</v>
      </c>
      <c r="N31" s="166">
        <v>0</v>
      </c>
      <c r="O31" s="153">
        <v>444.09500000000003</v>
      </c>
      <c r="P31" s="168">
        <v>1.05932864161717E-2</v>
      </c>
      <c r="Q31" s="168">
        <v>4.0993587704933197E-4</v>
      </c>
    </row>
    <row r="32" spans="1:17">
      <c r="A32" s="2">
        <v>158</v>
      </c>
      <c r="B32" s="2">
        <v>9935</v>
      </c>
      <c r="C32" s="2" t="s">
        <v>1194</v>
      </c>
      <c r="D32" s="2" t="s">
        <v>1195</v>
      </c>
      <c r="E32" s="4" t="s">
        <v>332</v>
      </c>
      <c r="F32" s="2" t="s">
        <v>971</v>
      </c>
      <c r="G32" s="2" t="s">
        <v>30</v>
      </c>
      <c r="H32" s="2" t="s">
        <v>153</v>
      </c>
      <c r="I32" s="2" t="s">
        <v>109</v>
      </c>
      <c r="J32" s="2" t="s">
        <v>430</v>
      </c>
      <c r="K32" s="2" t="s">
        <v>1201</v>
      </c>
      <c r="L32" s="153">
        <v>1.081</v>
      </c>
      <c r="M32" s="162">
        <v>4.9748000000000001</v>
      </c>
      <c r="N32" s="166">
        <v>0</v>
      </c>
      <c r="O32" s="153">
        <v>5.38</v>
      </c>
      <c r="P32" s="168">
        <v>1.2832429433394001E-4</v>
      </c>
      <c r="Q32" s="168">
        <v>4.9658557389909001E-6</v>
      </c>
    </row>
    <row r="33" spans="1:17">
      <c r="A33" s="2">
        <v>158</v>
      </c>
      <c r="B33" s="2">
        <v>9935</v>
      </c>
      <c r="C33" s="2" t="s">
        <v>1194</v>
      </c>
      <c r="D33" s="2" t="s">
        <v>1195</v>
      </c>
      <c r="E33" s="4" t="s">
        <v>332</v>
      </c>
      <c r="F33" s="2" t="s">
        <v>969</v>
      </c>
      <c r="G33" s="2" t="s">
        <v>30</v>
      </c>
      <c r="H33" s="2" t="s">
        <v>153</v>
      </c>
      <c r="I33" s="2" t="s">
        <v>109</v>
      </c>
      <c r="J33" s="2" t="s">
        <v>430</v>
      </c>
      <c r="K33" s="2" t="s">
        <v>44</v>
      </c>
      <c r="L33" s="153">
        <v>-1E-3</v>
      </c>
      <c r="M33" s="162">
        <v>1</v>
      </c>
      <c r="N33" s="166">
        <v>0</v>
      </c>
      <c r="O33" s="153">
        <v>-1E-3</v>
      </c>
      <c r="P33" s="168">
        <v>-3.0771214404142501E-8</v>
      </c>
      <c r="Q33" s="168">
        <v>-1.1907753900978601E-9</v>
      </c>
    </row>
    <row r="34" spans="1:17">
      <c r="A34" s="2">
        <v>158</v>
      </c>
      <c r="B34" s="2">
        <v>9935</v>
      </c>
      <c r="C34" s="2" t="s">
        <v>1194</v>
      </c>
      <c r="D34" s="2" t="s">
        <v>1195</v>
      </c>
      <c r="E34" s="4" t="s">
        <v>332</v>
      </c>
      <c r="F34" s="2" t="s">
        <v>972</v>
      </c>
      <c r="G34" s="2" t="s">
        <v>30</v>
      </c>
      <c r="H34" s="2" t="s">
        <v>153</v>
      </c>
      <c r="I34" s="2" t="s">
        <v>109</v>
      </c>
      <c r="J34" s="2" t="s">
        <v>430</v>
      </c>
      <c r="K34" s="2" t="s">
        <v>44</v>
      </c>
      <c r="L34" s="153">
        <v>3109.6770000000001</v>
      </c>
      <c r="M34" s="162">
        <v>1</v>
      </c>
      <c r="N34" s="166">
        <v>0</v>
      </c>
      <c r="O34" s="153">
        <v>3109.6770000000001</v>
      </c>
      <c r="P34" s="168">
        <v>7.4177158141151098E-2</v>
      </c>
      <c r="Q34" s="168">
        <v>2.8704858138451899E-3</v>
      </c>
    </row>
    <row r="35" spans="1:17">
      <c r="A35" s="2">
        <v>158</v>
      </c>
      <c r="B35" s="2">
        <v>9935</v>
      </c>
      <c r="C35" s="2" t="s">
        <v>1194</v>
      </c>
      <c r="D35" s="2" t="s">
        <v>1195</v>
      </c>
      <c r="E35" s="4" t="s">
        <v>332</v>
      </c>
      <c r="F35" s="2" t="s">
        <v>971</v>
      </c>
      <c r="G35" s="2" t="s">
        <v>30</v>
      </c>
      <c r="H35" s="2" t="s">
        <v>153</v>
      </c>
      <c r="I35" s="2" t="s">
        <v>109</v>
      </c>
      <c r="J35" s="2" t="s">
        <v>430</v>
      </c>
      <c r="K35" s="2" t="s">
        <v>1202</v>
      </c>
      <c r="L35" s="153">
        <v>5.87</v>
      </c>
      <c r="M35" s="162">
        <v>4.3964999999999996</v>
      </c>
      <c r="N35" s="166">
        <v>0</v>
      </c>
      <c r="O35" s="153">
        <v>25.809000000000001</v>
      </c>
      <c r="P35" s="168">
        <v>6.1563567630727105E-4</v>
      </c>
      <c r="Q35" s="168">
        <v>2.38236880411929E-5</v>
      </c>
    </row>
    <row r="36" spans="1:17">
      <c r="A36" s="2">
        <v>158</v>
      </c>
      <c r="B36" s="2">
        <v>9936</v>
      </c>
      <c r="C36" s="2" t="s">
        <v>1196</v>
      </c>
      <c r="D36" s="2" t="s">
        <v>1197</v>
      </c>
      <c r="E36" s="4" t="s">
        <v>332</v>
      </c>
      <c r="F36" s="2" t="s">
        <v>969</v>
      </c>
      <c r="G36" s="2" t="s">
        <v>30</v>
      </c>
      <c r="H36" s="2" t="s">
        <v>153</v>
      </c>
      <c r="I36" s="2" t="s">
        <v>109</v>
      </c>
      <c r="J36" s="2" t="s">
        <v>430</v>
      </c>
      <c r="K36" s="2" t="s">
        <v>44</v>
      </c>
      <c r="L36" s="153">
        <v>92.945999999999998</v>
      </c>
      <c r="M36" s="162">
        <v>1</v>
      </c>
      <c r="N36" s="166">
        <v>0</v>
      </c>
      <c r="O36" s="153">
        <v>92.945999999999998</v>
      </c>
      <c r="P36" s="168">
        <v>8.6182171533773694E-2</v>
      </c>
      <c r="Q36" s="168">
        <v>5.8139280639090902E-3</v>
      </c>
    </row>
    <row r="37" spans="1:17">
      <c r="A37" s="2">
        <v>158</v>
      </c>
      <c r="B37" s="2">
        <v>9936</v>
      </c>
      <c r="C37" s="2" t="s">
        <v>1194</v>
      </c>
      <c r="D37" s="2" t="s">
        <v>1195</v>
      </c>
      <c r="E37" s="4" t="s">
        <v>332</v>
      </c>
      <c r="F37" s="2" t="s">
        <v>971</v>
      </c>
      <c r="G37" s="2" t="s">
        <v>30</v>
      </c>
      <c r="H37" s="2" t="s">
        <v>153</v>
      </c>
      <c r="I37" s="2" t="s">
        <v>109</v>
      </c>
      <c r="J37" s="2" t="s">
        <v>430</v>
      </c>
      <c r="K37" s="2" t="s">
        <v>34</v>
      </c>
      <c r="L37" s="153">
        <v>46.668999999999997</v>
      </c>
      <c r="M37" s="162">
        <v>3.71</v>
      </c>
      <c r="N37" s="166">
        <v>0</v>
      </c>
      <c r="O37" s="153">
        <v>173.14099999999999</v>
      </c>
      <c r="P37" s="168">
        <v>0.16054063826280099</v>
      </c>
      <c r="Q37" s="168">
        <v>1.08302181945856E-2</v>
      </c>
    </row>
    <row r="38" spans="1:17">
      <c r="A38" s="2">
        <v>158</v>
      </c>
      <c r="B38" s="2">
        <v>9936</v>
      </c>
      <c r="C38" s="2" t="s">
        <v>1194</v>
      </c>
      <c r="D38" s="2" t="s">
        <v>1195</v>
      </c>
      <c r="E38" s="4" t="s">
        <v>332</v>
      </c>
      <c r="F38" s="2" t="s">
        <v>971</v>
      </c>
      <c r="G38" s="2" t="s">
        <v>30</v>
      </c>
      <c r="H38" s="2" t="s">
        <v>153</v>
      </c>
      <c r="I38" s="2" t="s">
        <v>109</v>
      </c>
      <c r="J38" s="2" t="s">
        <v>430</v>
      </c>
      <c r="K38" s="2" t="s">
        <v>1198</v>
      </c>
      <c r="L38" s="153">
        <v>0.47099999999999997</v>
      </c>
      <c r="M38" s="162">
        <v>0.47660000000000002</v>
      </c>
      <c r="N38" s="166">
        <v>0</v>
      </c>
      <c r="O38" s="153">
        <v>0.22500000000000001</v>
      </c>
      <c r="P38" s="168">
        <v>2.0823937232512099E-4</v>
      </c>
      <c r="Q38" s="168">
        <v>1.40480183920335E-5</v>
      </c>
    </row>
    <row r="39" spans="1:17">
      <c r="A39" s="2">
        <v>158</v>
      </c>
      <c r="B39" s="2">
        <v>9936</v>
      </c>
      <c r="C39" s="2" t="s">
        <v>1194</v>
      </c>
      <c r="D39" s="2" t="s">
        <v>1195</v>
      </c>
      <c r="E39" s="4" t="s">
        <v>332</v>
      </c>
      <c r="F39" s="2" t="s">
        <v>971</v>
      </c>
      <c r="G39" s="2" t="s">
        <v>30</v>
      </c>
      <c r="H39" s="2" t="s">
        <v>153</v>
      </c>
      <c r="I39" s="2" t="s">
        <v>109</v>
      </c>
      <c r="J39" s="2" t="s">
        <v>430</v>
      </c>
      <c r="K39" s="2" t="s">
        <v>1199</v>
      </c>
      <c r="L39" s="153">
        <v>1.2150000000000001</v>
      </c>
      <c r="M39" s="162">
        <v>4.1524000000000001</v>
      </c>
      <c r="N39" s="166">
        <v>0</v>
      </c>
      <c r="O39" s="153">
        <v>5.0469999999999997</v>
      </c>
      <c r="P39" s="168">
        <v>4.6796207061920699E-3</v>
      </c>
      <c r="Q39" s="168">
        <v>3.1569149010730202E-4</v>
      </c>
    </row>
    <row r="40" spans="1:17">
      <c r="A40" s="2">
        <v>158</v>
      </c>
      <c r="B40" s="2">
        <v>9936</v>
      </c>
      <c r="C40" s="2" t="s">
        <v>1194</v>
      </c>
      <c r="D40" s="2" t="s">
        <v>1195</v>
      </c>
      <c r="E40" s="4" t="s">
        <v>332</v>
      </c>
      <c r="F40" s="2" t="s">
        <v>971</v>
      </c>
      <c r="G40" s="2" t="s">
        <v>30</v>
      </c>
      <c r="H40" s="2" t="s">
        <v>153</v>
      </c>
      <c r="I40" s="2" t="s">
        <v>109</v>
      </c>
      <c r="J40" s="2" t="s">
        <v>430</v>
      </c>
      <c r="K40" s="2" t="s">
        <v>1200</v>
      </c>
      <c r="L40" s="153">
        <v>3.0310000000000001</v>
      </c>
      <c r="M40" s="162">
        <v>2.6029E-2</v>
      </c>
      <c r="N40" s="166">
        <v>0</v>
      </c>
      <c r="O40" s="153">
        <v>7.9000000000000001E-2</v>
      </c>
      <c r="P40" s="168">
        <v>7.31545609677311E-5</v>
      </c>
      <c r="Q40" s="168">
        <v>4.9350735476253901E-6</v>
      </c>
    </row>
    <row r="41" spans="1:17">
      <c r="A41" s="2">
        <v>158</v>
      </c>
      <c r="B41" s="2">
        <v>9936</v>
      </c>
      <c r="C41" s="2" t="s">
        <v>1194</v>
      </c>
      <c r="D41" s="2" t="s">
        <v>1195</v>
      </c>
      <c r="E41" s="4" t="s">
        <v>332</v>
      </c>
      <c r="F41" s="2" t="s">
        <v>971</v>
      </c>
      <c r="G41" s="2" t="s">
        <v>30</v>
      </c>
      <c r="H41" s="2" t="s">
        <v>153</v>
      </c>
      <c r="I41" s="2" t="s">
        <v>109</v>
      </c>
      <c r="J41" s="2" t="s">
        <v>430</v>
      </c>
      <c r="K41" s="2" t="s">
        <v>1201</v>
      </c>
      <c r="L41" s="153">
        <v>0.25600000000000001</v>
      </c>
      <c r="M41" s="162">
        <v>4.9748000000000001</v>
      </c>
      <c r="N41" s="166">
        <v>0</v>
      </c>
      <c r="O41" s="153">
        <v>1.274</v>
      </c>
      <c r="P41" s="168">
        <v>1.1814658371946301E-3</v>
      </c>
      <c r="Q41" s="168">
        <v>7.9702765260722402E-5</v>
      </c>
    </row>
    <row r="42" spans="1:17">
      <c r="A42" s="2">
        <v>158</v>
      </c>
      <c r="B42" s="2">
        <v>9936</v>
      </c>
      <c r="C42" s="2" t="s">
        <v>1194</v>
      </c>
      <c r="D42" s="2" t="s">
        <v>1195</v>
      </c>
      <c r="E42" s="4" t="s">
        <v>332</v>
      </c>
      <c r="F42" s="2" t="s">
        <v>969</v>
      </c>
      <c r="G42" s="2" t="s">
        <v>30</v>
      </c>
      <c r="H42" s="2" t="s">
        <v>153</v>
      </c>
      <c r="I42" s="2" t="s">
        <v>109</v>
      </c>
      <c r="J42" s="2" t="s">
        <v>430</v>
      </c>
      <c r="K42" s="2" t="s">
        <v>44</v>
      </c>
      <c r="L42" s="153">
        <v>1E-3</v>
      </c>
      <c r="M42" s="162">
        <v>1</v>
      </c>
      <c r="N42" s="166">
        <v>0</v>
      </c>
      <c r="O42" s="153">
        <v>1E-3</v>
      </c>
      <c r="P42" s="168">
        <v>6.2124069344980604E-7</v>
      </c>
      <c r="Q42" s="168">
        <v>4.1909465006631098E-8</v>
      </c>
    </row>
    <row r="43" spans="1:17">
      <c r="A43" s="2">
        <v>158</v>
      </c>
      <c r="B43" s="2">
        <v>9936</v>
      </c>
      <c r="C43" s="2" t="s">
        <v>1194</v>
      </c>
      <c r="D43" s="2" t="s">
        <v>1195</v>
      </c>
      <c r="E43" s="4" t="s">
        <v>332</v>
      </c>
      <c r="F43" s="2" t="s">
        <v>972</v>
      </c>
      <c r="G43" s="2" t="s">
        <v>30</v>
      </c>
      <c r="H43" s="2" t="s">
        <v>153</v>
      </c>
      <c r="I43" s="2" t="s">
        <v>109</v>
      </c>
      <c r="J43" s="2" t="s">
        <v>430</v>
      </c>
      <c r="K43" s="2" t="s">
        <v>44</v>
      </c>
      <c r="L43" s="153">
        <v>805.77099999999996</v>
      </c>
      <c r="M43" s="162">
        <v>1</v>
      </c>
      <c r="N43" s="166">
        <v>0</v>
      </c>
      <c r="O43" s="153">
        <v>805.77099999999996</v>
      </c>
      <c r="P43" s="168">
        <v>0.74713123490501299</v>
      </c>
      <c r="Q43" s="168">
        <v>5.0402155999690001E-2</v>
      </c>
    </row>
    <row r="44" spans="1:17">
      <c r="A44" s="2">
        <v>158</v>
      </c>
      <c r="B44" s="2">
        <v>9936</v>
      </c>
      <c r="C44" s="2" t="s">
        <v>1194</v>
      </c>
      <c r="D44" s="2" t="s">
        <v>1195</v>
      </c>
      <c r="E44" s="4" t="s">
        <v>332</v>
      </c>
      <c r="F44" s="2" t="s">
        <v>971</v>
      </c>
      <c r="G44" s="2" t="s">
        <v>30</v>
      </c>
      <c r="H44" s="2" t="s">
        <v>153</v>
      </c>
      <c r="I44" s="2" t="s">
        <v>109</v>
      </c>
      <c r="J44" s="2" t="s">
        <v>430</v>
      </c>
      <c r="K44" s="2" t="s">
        <v>1202</v>
      </c>
      <c r="L44" s="153">
        <v>1E-3</v>
      </c>
      <c r="M44" s="162">
        <v>4.3964999999999996</v>
      </c>
      <c r="N44" s="166">
        <v>0</v>
      </c>
      <c r="O44" s="153">
        <v>3.0000000000000001E-3</v>
      </c>
      <c r="P44" s="168">
        <v>2.8535810389947001E-6</v>
      </c>
      <c r="Q44" s="168">
        <v>1.92505185121131E-7</v>
      </c>
    </row>
    <row r="45" spans="1:17">
      <c r="A45" s="2">
        <v>158</v>
      </c>
      <c r="B45" s="2">
        <v>9937</v>
      </c>
      <c r="C45" s="2" t="s">
        <v>1194</v>
      </c>
      <c r="D45" s="2" t="s">
        <v>1195</v>
      </c>
      <c r="E45" s="4" t="s">
        <v>332</v>
      </c>
      <c r="F45" s="2" t="s">
        <v>971</v>
      </c>
      <c r="G45" s="2" t="s">
        <v>30</v>
      </c>
      <c r="H45" s="2" t="s">
        <v>153</v>
      </c>
      <c r="I45" s="2" t="s">
        <v>109</v>
      </c>
      <c r="J45" s="2" t="s">
        <v>430</v>
      </c>
      <c r="K45" s="2" t="s">
        <v>34</v>
      </c>
      <c r="L45" s="153">
        <v>127.051</v>
      </c>
      <c r="M45" s="162">
        <v>3.71</v>
      </c>
      <c r="N45" s="166">
        <v>0</v>
      </c>
      <c r="O45" s="153">
        <v>471.36</v>
      </c>
      <c r="P45" s="168">
        <v>0.55498190287378102</v>
      </c>
      <c r="Q45" s="168">
        <v>1.5046061027696501E-2</v>
      </c>
    </row>
    <row r="46" spans="1:17">
      <c r="A46" s="2">
        <v>158</v>
      </c>
      <c r="B46" s="2">
        <v>9937</v>
      </c>
      <c r="C46" s="2" t="s">
        <v>1194</v>
      </c>
      <c r="D46" s="2" t="s">
        <v>1195</v>
      </c>
      <c r="E46" s="4" t="s">
        <v>332</v>
      </c>
      <c r="F46" s="2" t="s">
        <v>971</v>
      </c>
      <c r="G46" s="2" t="s">
        <v>30</v>
      </c>
      <c r="H46" s="2" t="s">
        <v>153</v>
      </c>
      <c r="I46" s="2" t="s">
        <v>109</v>
      </c>
      <c r="J46" s="2" t="s">
        <v>430</v>
      </c>
      <c r="K46" s="2" t="s">
        <v>1198</v>
      </c>
      <c r="L46" s="153">
        <v>0</v>
      </c>
      <c r="M46" s="162">
        <v>0.47660000000000002</v>
      </c>
      <c r="N46" s="166">
        <v>0</v>
      </c>
      <c r="O46" s="153">
        <v>0</v>
      </c>
      <c r="P46" s="168">
        <v>-1.12230357238029E-8</v>
      </c>
      <c r="Q46" s="168">
        <v>-3.0426664282557799E-10</v>
      </c>
    </row>
    <row r="47" spans="1:17">
      <c r="A47" s="2">
        <v>158</v>
      </c>
      <c r="B47" s="2">
        <v>9937</v>
      </c>
      <c r="C47" s="2" t="s">
        <v>1194</v>
      </c>
      <c r="D47" s="2" t="s">
        <v>1195</v>
      </c>
      <c r="E47" s="4" t="s">
        <v>332</v>
      </c>
      <c r="F47" s="2" t="s">
        <v>971</v>
      </c>
      <c r="G47" s="2" t="s">
        <v>30</v>
      </c>
      <c r="H47" s="2" t="s">
        <v>153</v>
      </c>
      <c r="I47" s="2" t="s">
        <v>109</v>
      </c>
      <c r="J47" s="2" t="s">
        <v>430</v>
      </c>
      <c r="K47" s="2" t="s">
        <v>1203</v>
      </c>
      <c r="L47" s="153">
        <v>0.13900000000000001</v>
      </c>
      <c r="M47" s="162">
        <v>2.8908</v>
      </c>
      <c r="N47" s="166">
        <v>0</v>
      </c>
      <c r="O47" s="153">
        <v>0.40100000000000002</v>
      </c>
      <c r="P47" s="168">
        <v>4.72596217942801E-4</v>
      </c>
      <c r="Q47" s="168">
        <v>1.28125106418887E-5</v>
      </c>
    </row>
    <row r="48" spans="1:17">
      <c r="A48" s="2">
        <v>158</v>
      </c>
      <c r="B48" s="2">
        <v>9937</v>
      </c>
      <c r="C48" s="2" t="s">
        <v>1194</v>
      </c>
      <c r="D48" s="2" t="s">
        <v>1195</v>
      </c>
      <c r="E48" s="4" t="s">
        <v>332</v>
      </c>
      <c r="F48" s="2" t="s">
        <v>971</v>
      </c>
      <c r="G48" s="2" t="s">
        <v>30</v>
      </c>
      <c r="H48" s="2" t="s">
        <v>153</v>
      </c>
      <c r="I48" s="2" t="s">
        <v>109</v>
      </c>
      <c r="J48" s="2" t="s">
        <v>430</v>
      </c>
      <c r="K48" s="2" t="s">
        <v>1199</v>
      </c>
      <c r="L48" s="153">
        <v>4.91</v>
      </c>
      <c r="M48" s="162">
        <v>4.1524000000000001</v>
      </c>
      <c r="N48" s="166">
        <v>0</v>
      </c>
      <c r="O48" s="153">
        <v>20.388999999999999</v>
      </c>
      <c r="P48" s="168">
        <v>2.4006318318409801E-2</v>
      </c>
      <c r="Q48" s="168">
        <v>6.5083298860512599E-4</v>
      </c>
    </row>
    <row r="49" spans="1:17">
      <c r="A49" s="2">
        <v>158</v>
      </c>
      <c r="B49" s="2">
        <v>9937</v>
      </c>
      <c r="C49" s="2" t="s">
        <v>1194</v>
      </c>
      <c r="D49" s="2" t="s">
        <v>1195</v>
      </c>
      <c r="E49" s="4" t="s">
        <v>332</v>
      </c>
      <c r="F49" s="2" t="s">
        <v>969</v>
      </c>
      <c r="G49" s="2" t="s">
        <v>30</v>
      </c>
      <c r="H49" s="2" t="s">
        <v>153</v>
      </c>
      <c r="I49" s="2" t="s">
        <v>109</v>
      </c>
      <c r="J49" s="2" t="s">
        <v>430</v>
      </c>
      <c r="K49" s="2" t="s">
        <v>44</v>
      </c>
      <c r="L49" s="153">
        <v>-2E-3</v>
      </c>
      <c r="M49" s="162">
        <v>1</v>
      </c>
      <c r="N49" s="166">
        <v>0</v>
      </c>
      <c r="O49" s="153">
        <v>-2E-3</v>
      </c>
      <c r="P49" s="168">
        <v>-1.7661092725245801E-6</v>
      </c>
      <c r="Q49" s="168">
        <v>-4.7880818740911298E-8</v>
      </c>
    </row>
    <row r="50" spans="1:17">
      <c r="A50" s="2">
        <v>158</v>
      </c>
      <c r="B50" s="2">
        <v>9937</v>
      </c>
      <c r="C50" s="2" t="s">
        <v>1194</v>
      </c>
      <c r="D50" s="2" t="s">
        <v>1195</v>
      </c>
      <c r="E50" s="4" t="s">
        <v>332</v>
      </c>
      <c r="F50" s="2" t="s">
        <v>972</v>
      </c>
      <c r="G50" s="2" t="s">
        <v>30</v>
      </c>
      <c r="H50" s="2" t="s">
        <v>153</v>
      </c>
      <c r="I50" s="2" t="s">
        <v>109</v>
      </c>
      <c r="J50" s="2" t="s">
        <v>430</v>
      </c>
      <c r="K50" s="2" t="s">
        <v>44</v>
      </c>
      <c r="L50" s="153">
        <v>196.679</v>
      </c>
      <c r="M50" s="162">
        <v>1</v>
      </c>
      <c r="N50" s="166">
        <v>0</v>
      </c>
      <c r="O50" s="153">
        <v>196.679</v>
      </c>
      <c r="P50" s="168">
        <v>0.231571341210663</v>
      </c>
      <c r="Q50" s="168">
        <v>6.2781083744880102E-3</v>
      </c>
    </row>
    <row r="51" spans="1:17">
      <c r="A51" s="2">
        <v>158</v>
      </c>
      <c r="B51" s="2">
        <v>9937</v>
      </c>
      <c r="C51" s="2" t="s">
        <v>1194</v>
      </c>
      <c r="D51" s="2" t="s">
        <v>1195</v>
      </c>
      <c r="E51" s="4" t="s">
        <v>332</v>
      </c>
      <c r="F51" s="2" t="s">
        <v>971</v>
      </c>
      <c r="G51" s="2" t="s">
        <v>30</v>
      </c>
      <c r="H51" s="2" t="s">
        <v>153</v>
      </c>
      <c r="I51" s="2" t="s">
        <v>109</v>
      </c>
      <c r="J51" s="2" t="s">
        <v>430</v>
      </c>
      <c r="K51" s="2" t="s">
        <v>1202</v>
      </c>
      <c r="L51" s="153">
        <v>0</v>
      </c>
      <c r="M51" s="162">
        <v>4.3964999999999996</v>
      </c>
      <c r="N51" s="166">
        <v>0</v>
      </c>
      <c r="O51" s="153">
        <v>2E-3</v>
      </c>
      <c r="P51" s="168">
        <v>2.4847038133293801E-6</v>
      </c>
      <c r="Q51" s="168">
        <v>6.7362566270213297E-8</v>
      </c>
    </row>
    <row r="52" spans="1:17">
      <c r="A52" s="2">
        <v>158</v>
      </c>
      <c r="B52" s="2">
        <v>9937</v>
      </c>
      <c r="C52" s="2" t="s">
        <v>1196</v>
      </c>
      <c r="D52" s="2" t="s">
        <v>1197</v>
      </c>
      <c r="E52" s="4" t="s">
        <v>332</v>
      </c>
      <c r="F52" s="2" t="s">
        <v>969</v>
      </c>
      <c r="G52" s="2" t="s">
        <v>30</v>
      </c>
      <c r="H52" s="2" t="s">
        <v>153</v>
      </c>
      <c r="I52" s="2" t="s">
        <v>109</v>
      </c>
      <c r="J52" s="2" t="s">
        <v>430</v>
      </c>
      <c r="K52" s="2" t="s">
        <v>44</v>
      </c>
      <c r="L52" s="153">
        <v>160.494</v>
      </c>
      <c r="M52" s="162">
        <v>1</v>
      </c>
      <c r="N52" s="166">
        <v>0</v>
      </c>
      <c r="O52" s="153">
        <v>160.494</v>
      </c>
      <c r="P52" s="168">
        <v>0.18896713400769799</v>
      </c>
      <c r="Q52" s="168">
        <v>5.1230698078372503E-3</v>
      </c>
    </row>
    <row r="53" spans="1:17">
      <c r="A53" s="2">
        <v>158</v>
      </c>
      <c r="B53" s="2">
        <v>15073</v>
      </c>
      <c r="C53" s="2" t="s">
        <v>1196</v>
      </c>
      <c r="D53" s="2" t="s">
        <v>1197</v>
      </c>
      <c r="E53" s="4" t="s">
        <v>332</v>
      </c>
      <c r="F53" s="2" t="s">
        <v>969</v>
      </c>
      <c r="G53" s="2" t="s">
        <v>30</v>
      </c>
      <c r="H53" s="2" t="s">
        <v>153</v>
      </c>
      <c r="I53" s="2" t="s">
        <v>109</v>
      </c>
      <c r="J53" s="2" t="s">
        <v>430</v>
      </c>
      <c r="K53" s="2" t="s">
        <v>44</v>
      </c>
      <c r="L53" s="153">
        <v>36.79</v>
      </c>
      <c r="M53" s="162">
        <v>1</v>
      </c>
      <c r="N53" s="166">
        <v>0</v>
      </c>
      <c r="O53" s="153">
        <v>36.79</v>
      </c>
      <c r="P53" s="168">
        <v>0.77653020129564798</v>
      </c>
      <c r="Q53" s="168">
        <v>1.7975296407452102E-2</v>
      </c>
    </row>
    <row r="54" spans="1:17">
      <c r="A54" s="2">
        <v>158</v>
      </c>
      <c r="B54" s="2">
        <v>15073</v>
      </c>
      <c r="C54" s="2" t="s">
        <v>1196</v>
      </c>
      <c r="D54" s="2" t="s">
        <v>1197</v>
      </c>
      <c r="E54" s="4" t="s">
        <v>332</v>
      </c>
      <c r="F54" s="2" t="s">
        <v>969</v>
      </c>
      <c r="G54" s="2" t="s">
        <v>30</v>
      </c>
      <c r="H54" s="2" t="s">
        <v>153</v>
      </c>
      <c r="I54" s="2" t="s">
        <v>109</v>
      </c>
      <c r="J54" s="2" t="s">
        <v>430</v>
      </c>
      <c r="K54" s="2" t="s">
        <v>44</v>
      </c>
      <c r="L54" s="153">
        <v>-0.26</v>
      </c>
      <c r="M54" s="162">
        <v>1</v>
      </c>
      <c r="N54" s="166">
        <v>0</v>
      </c>
      <c r="O54" s="153">
        <v>-0.26</v>
      </c>
      <c r="P54" s="168">
        <v>-5.4791696949954604E-3</v>
      </c>
      <c r="Q54" s="168">
        <v>-1.2683305706583101E-4</v>
      </c>
    </row>
    <row r="55" spans="1:17">
      <c r="A55" s="2">
        <v>158</v>
      </c>
      <c r="B55" s="2">
        <v>15073</v>
      </c>
      <c r="C55" s="2" t="s">
        <v>1194</v>
      </c>
      <c r="D55" s="2" t="s">
        <v>1195</v>
      </c>
      <c r="E55" s="4" t="s">
        <v>332</v>
      </c>
      <c r="F55" s="2" t="s">
        <v>971</v>
      </c>
      <c r="G55" s="2" t="s">
        <v>30</v>
      </c>
      <c r="H55" s="2" t="s">
        <v>153</v>
      </c>
      <c r="I55" s="2" t="s">
        <v>109</v>
      </c>
      <c r="J55" s="2" t="s">
        <v>430</v>
      </c>
      <c r="K55" s="2" t="s">
        <v>34</v>
      </c>
      <c r="L55" s="153">
        <v>1E-3</v>
      </c>
      <c r="M55" s="162">
        <v>3.71</v>
      </c>
      <c r="N55" s="166">
        <v>0</v>
      </c>
      <c r="O55" s="153">
        <v>3.0000000000000001E-3</v>
      </c>
      <c r="P55" s="168">
        <v>6.5777897598073306E-5</v>
      </c>
      <c r="Q55" s="168">
        <v>1.5226416234830201E-6</v>
      </c>
    </row>
    <row r="56" spans="1:17">
      <c r="A56" s="2">
        <v>158</v>
      </c>
      <c r="B56" s="2">
        <v>15073</v>
      </c>
      <c r="C56" s="2" t="s">
        <v>1194</v>
      </c>
      <c r="D56" s="2" t="s">
        <v>1195</v>
      </c>
      <c r="E56" s="4" t="s">
        <v>332</v>
      </c>
      <c r="F56" s="2" t="s">
        <v>972</v>
      </c>
      <c r="G56" s="2" t="s">
        <v>30</v>
      </c>
      <c r="H56" s="2" t="s">
        <v>153</v>
      </c>
      <c r="I56" s="2" t="s">
        <v>109</v>
      </c>
      <c r="J56" s="2" t="s">
        <v>430</v>
      </c>
      <c r="K56" s="2" t="s">
        <v>44</v>
      </c>
      <c r="L56" s="153">
        <v>10.843999999999999</v>
      </c>
      <c r="M56" s="162">
        <v>1</v>
      </c>
      <c r="N56" s="166">
        <v>0</v>
      </c>
      <c r="O56" s="153">
        <v>10.843999999999999</v>
      </c>
      <c r="P56" s="168">
        <v>0.22888319050174899</v>
      </c>
      <c r="Q56" s="168">
        <v>5.2982397659326304E-3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6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3" t="s">
        <v>14</v>
      </c>
      <c r="P1" s="167" t="s">
        <v>15</v>
      </c>
      <c r="Q1" s="19" t="s">
        <v>16</v>
      </c>
      <c r="R1" s="19" t="s">
        <v>17</v>
      </c>
      <c r="S1" s="161" t="s">
        <v>18</v>
      </c>
      <c r="T1" s="172" t="s">
        <v>19</v>
      </c>
      <c r="U1" s="19" t="s">
        <v>20</v>
      </c>
      <c r="V1" s="19" t="s">
        <v>21</v>
      </c>
      <c r="W1" s="19" t="s">
        <v>22</v>
      </c>
      <c r="X1" s="167" t="s">
        <v>23</v>
      </c>
      <c r="Y1" s="167" t="s">
        <v>24</v>
      </c>
      <c r="Z1" s="167" t="s">
        <v>25</v>
      </c>
    </row>
    <row r="2" spans="1:26">
      <c r="A2" s="18">
        <v>158</v>
      </c>
      <c r="B2" s="18">
        <v>1441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4" t="s">
        <v>34</v>
      </c>
      <c r="M2" s="154">
        <v>3.22</v>
      </c>
      <c r="N2" s="4" t="s">
        <v>35</v>
      </c>
      <c r="O2" s="165">
        <v>2.8750000000000001E-2</v>
      </c>
      <c r="P2" s="170">
        <v>4.5100000000000001E-2</v>
      </c>
      <c r="R2" s="154">
        <v>100000</v>
      </c>
      <c r="S2" s="171">
        <v>3.71</v>
      </c>
      <c r="T2" s="173">
        <v>97.025000000000006</v>
      </c>
      <c r="U2" s="154">
        <v>359.96199999999999</v>
      </c>
      <c r="W2" s="18" t="s">
        <v>36</v>
      </c>
      <c r="X2" s="174">
        <v>0.1</v>
      </c>
      <c r="Y2" s="170">
        <v>4.61422759544418E-2</v>
      </c>
      <c r="Z2" s="170">
        <v>3.6900030761374998E-2</v>
      </c>
    </row>
    <row r="3" spans="1:26">
      <c r="A3" s="18">
        <v>158</v>
      </c>
      <c r="B3" s="18">
        <v>1441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30</v>
      </c>
      <c r="H3" s="18" t="s">
        <v>30</v>
      </c>
      <c r="I3" s="18" t="s">
        <v>41</v>
      </c>
      <c r="J3" s="18" t="s">
        <v>42</v>
      </c>
      <c r="K3" s="18" t="s">
        <v>43</v>
      </c>
      <c r="L3" s="4" t="s">
        <v>44</v>
      </c>
      <c r="M3" s="154">
        <v>0.42</v>
      </c>
      <c r="N3" s="4" t="s">
        <v>45</v>
      </c>
      <c r="O3" s="165">
        <v>0</v>
      </c>
      <c r="P3" s="170">
        <v>4.3490000000000001E-2</v>
      </c>
      <c r="R3" s="154">
        <v>660000</v>
      </c>
      <c r="S3" s="171">
        <v>1</v>
      </c>
      <c r="T3" s="173">
        <v>98.22</v>
      </c>
      <c r="U3" s="154">
        <v>648.25199999999995</v>
      </c>
      <c r="W3" s="18" t="s">
        <v>36</v>
      </c>
      <c r="X3" s="174">
        <v>5.5000000000000002E-5</v>
      </c>
      <c r="Y3" s="170">
        <v>8.3097165832064099E-2</v>
      </c>
      <c r="Z3" s="170">
        <v>6.6452898387884402E-2</v>
      </c>
    </row>
    <row r="4" spans="1:26">
      <c r="A4" s="18">
        <v>158</v>
      </c>
      <c r="B4" s="18">
        <v>1441</v>
      </c>
      <c r="C4" s="18" t="s">
        <v>37</v>
      </c>
      <c r="D4" s="18" t="s">
        <v>46</v>
      </c>
      <c r="E4" s="18" t="s">
        <v>47</v>
      </c>
      <c r="F4" s="18" t="s">
        <v>40</v>
      </c>
      <c r="G4" s="18" t="s">
        <v>30</v>
      </c>
      <c r="H4" s="18" t="s">
        <v>30</v>
      </c>
      <c r="I4" s="18" t="s">
        <v>41</v>
      </c>
      <c r="J4" s="18" t="s">
        <v>42</v>
      </c>
      <c r="K4" s="18" t="s">
        <v>43</v>
      </c>
      <c r="L4" s="4" t="s">
        <v>44</v>
      </c>
      <c r="M4" s="154">
        <v>0.5</v>
      </c>
      <c r="N4" s="4" t="s">
        <v>48</v>
      </c>
      <c r="O4" s="165">
        <v>0</v>
      </c>
      <c r="P4" s="170">
        <v>4.3479999999999998E-2</v>
      </c>
      <c r="R4" s="154">
        <v>340000</v>
      </c>
      <c r="S4" s="171">
        <v>1</v>
      </c>
      <c r="T4" s="173">
        <v>97.9</v>
      </c>
      <c r="U4" s="154">
        <v>332.86</v>
      </c>
      <c r="W4" s="18" t="s">
        <v>36</v>
      </c>
      <c r="X4" s="174">
        <v>2.8E-5</v>
      </c>
      <c r="Y4" s="170">
        <v>4.2668163953001097E-2</v>
      </c>
      <c r="Z4" s="170">
        <v>3.4121779427431297E-2</v>
      </c>
    </row>
    <row r="5" spans="1:26">
      <c r="A5" s="18">
        <v>158</v>
      </c>
      <c r="B5" s="18">
        <v>1441</v>
      </c>
      <c r="C5" s="18" t="s">
        <v>37</v>
      </c>
      <c r="D5" s="18" t="s">
        <v>49</v>
      </c>
      <c r="E5" s="18" t="s">
        <v>50</v>
      </c>
      <c r="F5" s="18" t="s">
        <v>40</v>
      </c>
      <c r="G5" s="18" t="s">
        <v>30</v>
      </c>
      <c r="H5" s="18" t="s">
        <v>30</v>
      </c>
      <c r="I5" s="18" t="s">
        <v>41</v>
      </c>
      <c r="J5" s="18" t="s">
        <v>42</v>
      </c>
      <c r="K5" s="18" t="s">
        <v>43</v>
      </c>
      <c r="L5" s="4" t="s">
        <v>44</v>
      </c>
      <c r="M5" s="154">
        <v>0.55600000000000005</v>
      </c>
      <c r="N5" s="4" t="s">
        <v>51</v>
      </c>
      <c r="O5" s="165">
        <v>0</v>
      </c>
      <c r="P5" s="170">
        <v>4.3150000000000001E-2</v>
      </c>
      <c r="R5" s="154">
        <v>230000</v>
      </c>
      <c r="S5" s="171">
        <v>1</v>
      </c>
      <c r="T5" s="173">
        <v>97.52</v>
      </c>
      <c r="U5" s="154">
        <v>224.29599999999999</v>
      </c>
      <c r="W5" s="18" t="s">
        <v>36</v>
      </c>
      <c r="X5" s="174">
        <v>1.5999999999999999E-5</v>
      </c>
      <c r="Y5" s="170">
        <v>2.8751722952599701E-2</v>
      </c>
      <c r="Z5" s="170">
        <v>2.2992785671018302E-2</v>
      </c>
    </row>
    <row r="6" spans="1:26">
      <c r="A6" s="18">
        <v>158</v>
      </c>
      <c r="B6" s="18">
        <v>1441</v>
      </c>
      <c r="C6" s="18" t="s">
        <v>52</v>
      </c>
      <c r="D6" s="18" t="s">
        <v>53</v>
      </c>
      <c r="E6" s="18" t="s">
        <v>54</v>
      </c>
      <c r="F6" s="18" t="s">
        <v>55</v>
      </c>
      <c r="G6" s="18" t="s">
        <v>30</v>
      </c>
      <c r="H6" s="18" t="s">
        <v>30</v>
      </c>
      <c r="I6" s="18" t="s">
        <v>56</v>
      </c>
      <c r="J6" s="18" t="s">
        <v>42</v>
      </c>
      <c r="K6" s="18" t="s">
        <v>43</v>
      </c>
      <c r="L6" s="4" t="s">
        <v>44</v>
      </c>
      <c r="M6" s="154">
        <v>2.64</v>
      </c>
      <c r="N6" s="4" t="s">
        <v>57</v>
      </c>
      <c r="O6" s="165">
        <v>7.4999999999999997E-3</v>
      </c>
      <c r="P6" s="170">
        <v>1.6299999999999999E-2</v>
      </c>
      <c r="R6" s="154">
        <v>798842</v>
      </c>
      <c r="S6" s="171">
        <v>1</v>
      </c>
      <c r="T6" s="173">
        <v>114.25</v>
      </c>
      <c r="U6" s="154">
        <v>912.67700000000002</v>
      </c>
      <c r="W6" s="18" t="s">
        <v>36</v>
      </c>
      <c r="X6" s="174">
        <v>3.6000000000000001E-5</v>
      </c>
      <c r="Y6" s="170">
        <v>0.11699288359103099</v>
      </c>
      <c r="Z6" s="170">
        <v>9.3559342578450597E-2</v>
      </c>
    </row>
    <row r="7" spans="1:26">
      <c r="A7" s="18">
        <v>158</v>
      </c>
      <c r="B7" s="18">
        <v>1441</v>
      </c>
      <c r="C7" s="18" t="s">
        <v>52</v>
      </c>
      <c r="D7" s="18" t="s">
        <v>58</v>
      </c>
      <c r="E7" s="18" t="s">
        <v>59</v>
      </c>
      <c r="F7" s="18" t="s">
        <v>55</v>
      </c>
      <c r="G7" s="18" t="s">
        <v>30</v>
      </c>
      <c r="H7" s="18" t="s">
        <v>30</v>
      </c>
      <c r="I7" s="18" t="s">
        <v>56</v>
      </c>
      <c r="J7" s="18" t="s">
        <v>42</v>
      </c>
      <c r="K7" s="18" t="s">
        <v>43</v>
      </c>
      <c r="L7" s="4" t="s">
        <v>44</v>
      </c>
      <c r="M7" s="154">
        <v>1.0720000000000001</v>
      </c>
      <c r="N7" s="4" t="s">
        <v>60</v>
      </c>
      <c r="O7" s="165">
        <v>7.4999999999999997E-3</v>
      </c>
      <c r="P7" s="170">
        <v>1.303E-2</v>
      </c>
      <c r="R7" s="154">
        <v>667299</v>
      </c>
      <c r="S7" s="171">
        <v>1</v>
      </c>
      <c r="T7" s="173">
        <v>116.02</v>
      </c>
      <c r="U7" s="154">
        <v>774.2</v>
      </c>
      <c r="W7" s="18" t="s">
        <v>36</v>
      </c>
      <c r="X7" s="174">
        <v>3.1000000000000001E-5</v>
      </c>
      <c r="Y7" s="170">
        <v>9.9242039669317397E-2</v>
      </c>
      <c r="Z7" s="170">
        <v>7.9363972428128399E-2</v>
      </c>
    </row>
    <row r="8" spans="1:26">
      <c r="A8" s="18">
        <v>158</v>
      </c>
      <c r="B8" s="18">
        <v>1441</v>
      </c>
      <c r="C8" s="18" t="s">
        <v>52</v>
      </c>
      <c r="D8" s="18" t="s">
        <v>61</v>
      </c>
      <c r="E8" s="18" t="s">
        <v>62</v>
      </c>
      <c r="F8" s="18" t="s">
        <v>55</v>
      </c>
      <c r="G8" s="18" t="s">
        <v>30</v>
      </c>
      <c r="H8" s="18" t="s">
        <v>30</v>
      </c>
      <c r="I8" s="18" t="s">
        <v>56</v>
      </c>
      <c r="J8" s="18" t="s">
        <v>42</v>
      </c>
      <c r="K8" s="18" t="s">
        <v>43</v>
      </c>
      <c r="L8" s="4" t="s">
        <v>44</v>
      </c>
      <c r="M8" s="154">
        <v>7.1340000000000003</v>
      </c>
      <c r="N8" s="4" t="s">
        <v>63</v>
      </c>
      <c r="O8" s="165">
        <v>1E-3</v>
      </c>
      <c r="P8" s="170">
        <v>1.9910000000000001E-2</v>
      </c>
      <c r="R8" s="154">
        <v>224000</v>
      </c>
      <c r="S8" s="171">
        <v>1</v>
      </c>
      <c r="T8" s="173">
        <v>101.1</v>
      </c>
      <c r="U8" s="154">
        <v>226.464</v>
      </c>
      <c r="W8" s="18" t="s">
        <v>36</v>
      </c>
      <c r="X8" s="174">
        <v>6.9999999999999999E-6</v>
      </c>
      <c r="Y8" s="170">
        <v>2.9029631320832899E-2</v>
      </c>
      <c r="Z8" s="170">
        <v>2.3215029310382201E-2</v>
      </c>
    </row>
    <row r="9" spans="1:26">
      <c r="A9" s="18">
        <v>158</v>
      </c>
      <c r="B9" s="18">
        <v>1441</v>
      </c>
      <c r="C9" s="18" t="s">
        <v>64</v>
      </c>
      <c r="D9" s="18" t="s">
        <v>65</v>
      </c>
      <c r="E9" s="18" t="s">
        <v>66</v>
      </c>
      <c r="F9" s="18" t="s">
        <v>67</v>
      </c>
      <c r="G9" s="18" t="s">
        <v>30</v>
      </c>
      <c r="H9" s="18" t="s">
        <v>30</v>
      </c>
      <c r="I9" s="18" t="s">
        <v>56</v>
      </c>
      <c r="J9" s="18" t="s">
        <v>42</v>
      </c>
      <c r="K9" s="18" t="s">
        <v>43</v>
      </c>
      <c r="L9" s="4" t="s">
        <v>44</v>
      </c>
      <c r="M9" s="154">
        <v>3.86</v>
      </c>
      <c r="N9" s="4" t="s">
        <v>68</v>
      </c>
      <c r="O9" s="165">
        <v>2.2499999999999999E-2</v>
      </c>
      <c r="P9" s="170">
        <v>4.5159999999999999E-2</v>
      </c>
      <c r="R9" s="154">
        <v>70000</v>
      </c>
      <c r="S9" s="171">
        <v>1</v>
      </c>
      <c r="T9" s="173">
        <v>91.9</v>
      </c>
      <c r="U9" s="154">
        <v>64.33</v>
      </c>
      <c r="W9" s="18" t="s">
        <v>36</v>
      </c>
      <c r="X9" s="174">
        <v>1.9999999999999999E-6</v>
      </c>
      <c r="Y9" s="170">
        <v>8.2462386201302609E-3</v>
      </c>
      <c r="Z9" s="170">
        <v>6.5945264392437003E-3</v>
      </c>
    </row>
    <row r="10" spans="1:26">
      <c r="A10" s="18">
        <v>158</v>
      </c>
      <c r="B10" s="18">
        <v>1441</v>
      </c>
      <c r="C10" s="18" t="s">
        <v>64</v>
      </c>
      <c r="D10" s="18" t="s">
        <v>69</v>
      </c>
      <c r="E10" s="18" t="s">
        <v>70</v>
      </c>
      <c r="F10" s="18" t="s">
        <v>67</v>
      </c>
      <c r="G10" s="18" t="s">
        <v>30</v>
      </c>
      <c r="H10" s="18" t="s">
        <v>30</v>
      </c>
      <c r="I10" s="18" t="s">
        <v>56</v>
      </c>
      <c r="J10" s="18" t="s">
        <v>42</v>
      </c>
      <c r="K10" s="18" t="s">
        <v>43</v>
      </c>
      <c r="L10" s="4" t="s">
        <v>44</v>
      </c>
      <c r="M10" s="154">
        <v>1.4</v>
      </c>
      <c r="N10" s="4" t="s">
        <v>71</v>
      </c>
      <c r="O10" s="165">
        <v>5.0000000000000001E-3</v>
      </c>
      <c r="P10" s="170">
        <v>4.3909999999999998E-2</v>
      </c>
      <c r="R10" s="154">
        <v>808000</v>
      </c>
      <c r="S10" s="171">
        <v>1</v>
      </c>
      <c r="T10" s="173">
        <v>95.1</v>
      </c>
      <c r="U10" s="154">
        <v>768.40800000000002</v>
      </c>
      <c r="W10" s="18" t="s">
        <v>36</v>
      </c>
      <c r="X10" s="174">
        <v>2.9E-5</v>
      </c>
      <c r="Y10" s="170">
        <v>9.8499544934199601E-2</v>
      </c>
      <c r="Z10" s="170">
        <v>7.8770198540748904E-2</v>
      </c>
    </row>
    <row r="11" spans="1:26">
      <c r="A11" s="18">
        <v>158</v>
      </c>
      <c r="B11" s="18">
        <v>1441</v>
      </c>
      <c r="C11" s="18" t="s">
        <v>64</v>
      </c>
      <c r="D11" s="18" t="s">
        <v>72</v>
      </c>
      <c r="E11" s="18" t="s">
        <v>73</v>
      </c>
      <c r="F11" s="18" t="s">
        <v>67</v>
      </c>
      <c r="G11" s="18" t="s">
        <v>30</v>
      </c>
      <c r="H11" s="18" t="s">
        <v>30</v>
      </c>
      <c r="I11" s="18" t="s">
        <v>56</v>
      </c>
      <c r="J11" s="18" t="s">
        <v>42</v>
      </c>
      <c r="K11" s="18" t="s">
        <v>43</v>
      </c>
      <c r="L11" s="4" t="s">
        <v>44</v>
      </c>
      <c r="M11" s="154">
        <v>0.92</v>
      </c>
      <c r="N11" s="4" t="s">
        <v>74</v>
      </c>
      <c r="O11" s="165">
        <v>1.7500000000000002E-2</v>
      </c>
      <c r="P11" s="170">
        <v>4.1840000000000002E-2</v>
      </c>
      <c r="R11" s="154">
        <v>174000</v>
      </c>
      <c r="S11" s="171">
        <v>1</v>
      </c>
      <c r="T11" s="173">
        <v>98.02</v>
      </c>
      <c r="U11" s="154">
        <v>170.55500000000001</v>
      </c>
      <c r="W11" s="18" t="s">
        <v>36</v>
      </c>
      <c r="X11" s="174">
        <v>6.9999999999999999E-6</v>
      </c>
      <c r="Y11" s="170">
        <v>2.1862825720637202E-2</v>
      </c>
      <c r="Z11" s="170">
        <v>1.7483726689568199E-2</v>
      </c>
    </row>
    <row r="12" spans="1:26">
      <c r="A12" s="18">
        <v>158</v>
      </c>
      <c r="B12" s="18">
        <v>1441</v>
      </c>
      <c r="C12" s="18" t="s">
        <v>64</v>
      </c>
      <c r="D12" s="18" t="s">
        <v>75</v>
      </c>
      <c r="E12" s="18" t="s">
        <v>76</v>
      </c>
      <c r="F12" s="18" t="s">
        <v>67</v>
      </c>
      <c r="G12" s="18" t="s">
        <v>30</v>
      </c>
      <c r="H12" s="18" t="s">
        <v>30</v>
      </c>
      <c r="I12" s="18" t="s">
        <v>56</v>
      </c>
      <c r="J12" s="18" t="s">
        <v>42</v>
      </c>
      <c r="K12" s="18" t="s">
        <v>43</v>
      </c>
      <c r="L12" s="4" t="s">
        <v>44</v>
      </c>
      <c r="M12" s="154">
        <v>11.238</v>
      </c>
      <c r="N12" s="4" t="s">
        <v>77</v>
      </c>
      <c r="O12" s="165">
        <v>5.5E-2</v>
      </c>
      <c r="P12" s="170">
        <v>5.1729999999999998E-2</v>
      </c>
      <c r="R12" s="154">
        <v>148322</v>
      </c>
      <c r="S12" s="171">
        <v>1</v>
      </c>
      <c r="T12" s="173">
        <v>107.34</v>
      </c>
      <c r="U12" s="154">
        <v>159.209</v>
      </c>
      <c r="W12" s="18" t="s">
        <v>36</v>
      </c>
      <c r="X12" s="174">
        <v>6.9999999999999999E-6</v>
      </c>
      <c r="Y12" s="170">
        <v>2.0408425962905302E-2</v>
      </c>
      <c r="Z12" s="170">
        <v>1.63206415428227E-2</v>
      </c>
    </row>
    <row r="13" spans="1:26">
      <c r="A13" s="18">
        <v>158</v>
      </c>
      <c r="B13" s="18">
        <v>1441</v>
      </c>
      <c r="C13" s="18" t="s">
        <v>52</v>
      </c>
      <c r="D13" s="18" t="s">
        <v>78</v>
      </c>
      <c r="E13" s="18" t="s">
        <v>79</v>
      </c>
      <c r="F13" s="18" t="s">
        <v>55</v>
      </c>
      <c r="G13" s="18" t="s">
        <v>30</v>
      </c>
      <c r="H13" s="18" t="s">
        <v>30</v>
      </c>
      <c r="I13" s="18" t="s">
        <v>56</v>
      </c>
      <c r="J13" s="18" t="s">
        <v>42</v>
      </c>
      <c r="K13" s="18" t="s">
        <v>43</v>
      </c>
      <c r="L13" s="4" t="s">
        <v>44</v>
      </c>
      <c r="M13" s="154">
        <v>4.6100000000000003</v>
      </c>
      <c r="N13" s="4" t="s">
        <v>80</v>
      </c>
      <c r="O13" s="165">
        <v>5.0000000000000001E-3</v>
      </c>
      <c r="P13" s="170">
        <v>1.8280000000000001E-2</v>
      </c>
      <c r="R13" s="154">
        <v>550000</v>
      </c>
      <c r="S13" s="171">
        <v>1</v>
      </c>
      <c r="T13" s="173">
        <v>108.85</v>
      </c>
      <c r="U13" s="154">
        <v>598.67499999999995</v>
      </c>
      <c r="W13" s="18" t="s">
        <v>36</v>
      </c>
      <c r="X13" s="174">
        <v>2.0000000000000002E-5</v>
      </c>
      <c r="Y13" s="170">
        <v>7.6742062892996801E-2</v>
      </c>
      <c r="Z13" s="170">
        <v>6.1370715311895301E-2</v>
      </c>
    </row>
    <row r="14" spans="1:26">
      <c r="A14" s="18">
        <v>158</v>
      </c>
      <c r="B14" s="18">
        <v>1441</v>
      </c>
      <c r="C14" s="18" t="s">
        <v>52</v>
      </c>
      <c r="D14" s="18" t="s">
        <v>81</v>
      </c>
      <c r="E14" s="18" t="s">
        <v>82</v>
      </c>
      <c r="F14" s="18" t="s">
        <v>55</v>
      </c>
      <c r="G14" s="18" t="s">
        <v>30</v>
      </c>
      <c r="H14" s="18" t="s">
        <v>30</v>
      </c>
      <c r="I14" s="18" t="s">
        <v>56</v>
      </c>
      <c r="J14" s="18" t="s">
        <v>42</v>
      </c>
      <c r="K14" s="18" t="s">
        <v>43</v>
      </c>
      <c r="L14" s="4" t="s">
        <v>44</v>
      </c>
      <c r="M14" s="154">
        <v>1.83</v>
      </c>
      <c r="N14" s="4" t="s">
        <v>83</v>
      </c>
      <c r="O14" s="165">
        <v>1E-3</v>
      </c>
      <c r="P14" s="170">
        <v>1.5679999999999999E-2</v>
      </c>
      <c r="R14" s="154">
        <v>662000</v>
      </c>
      <c r="S14" s="171">
        <v>1</v>
      </c>
      <c r="T14" s="173">
        <v>112.44</v>
      </c>
      <c r="U14" s="154">
        <v>744.35299999999995</v>
      </c>
      <c r="W14" s="18" t="s">
        <v>36</v>
      </c>
      <c r="X14" s="174">
        <v>3.3000000000000003E-5</v>
      </c>
      <c r="Y14" s="170">
        <v>9.54159926373713E-2</v>
      </c>
      <c r="Z14" s="170">
        <v>7.6304278248485596E-2</v>
      </c>
    </row>
    <row r="15" spans="1:26">
      <c r="A15" s="18">
        <v>158</v>
      </c>
      <c r="B15" s="18">
        <v>1441</v>
      </c>
      <c r="C15" s="18" t="s">
        <v>52</v>
      </c>
      <c r="D15" s="18" t="s">
        <v>84</v>
      </c>
      <c r="E15" s="18" t="s">
        <v>85</v>
      </c>
      <c r="F15" s="18" t="s">
        <v>55</v>
      </c>
      <c r="G15" s="18" t="s">
        <v>30</v>
      </c>
      <c r="H15" s="18" t="s">
        <v>30</v>
      </c>
      <c r="I15" s="18" t="s">
        <v>56</v>
      </c>
      <c r="J15" s="18" t="s">
        <v>42</v>
      </c>
      <c r="K15" s="18" t="s">
        <v>43</v>
      </c>
      <c r="L15" s="4" t="s">
        <v>44</v>
      </c>
      <c r="M15" s="154">
        <v>3.972</v>
      </c>
      <c r="N15" s="4" t="s">
        <v>86</v>
      </c>
      <c r="O15" s="165">
        <v>1.0999999999999999E-2</v>
      </c>
      <c r="P15" s="170">
        <v>1.806E-2</v>
      </c>
      <c r="R15" s="154">
        <v>391960</v>
      </c>
      <c r="S15" s="171">
        <v>1</v>
      </c>
      <c r="T15" s="173">
        <v>102.6</v>
      </c>
      <c r="U15" s="154">
        <v>402.15100000000001</v>
      </c>
      <c r="W15" s="18" t="s">
        <v>36</v>
      </c>
      <c r="X15" s="174">
        <v>1.9000000000000001E-5</v>
      </c>
      <c r="Y15" s="170">
        <v>5.1550330755082599E-2</v>
      </c>
      <c r="Z15" s="170">
        <v>4.1224858359820198E-2</v>
      </c>
    </row>
    <row r="16" spans="1:26">
      <c r="A16" s="18">
        <v>158</v>
      </c>
      <c r="B16" s="18">
        <v>1441</v>
      </c>
      <c r="C16" s="18" t="s">
        <v>64</v>
      </c>
      <c r="D16" s="18" t="s">
        <v>87</v>
      </c>
      <c r="E16" s="18" t="s">
        <v>88</v>
      </c>
      <c r="F16" s="18" t="s">
        <v>67</v>
      </c>
      <c r="G16" s="18" t="s">
        <v>30</v>
      </c>
      <c r="H16" s="18" t="s">
        <v>30</v>
      </c>
      <c r="I16" s="18" t="s">
        <v>56</v>
      </c>
      <c r="J16" s="18" t="s">
        <v>42</v>
      </c>
      <c r="K16" s="18" t="s">
        <v>43</v>
      </c>
      <c r="L16" s="4" t="s">
        <v>44</v>
      </c>
      <c r="M16" s="154">
        <v>5.33</v>
      </c>
      <c r="N16" s="4" t="s">
        <v>89</v>
      </c>
      <c r="O16" s="165">
        <v>0.01</v>
      </c>
      <c r="P16" s="170">
        <v>4.6289999999999998E-2</v>
      </c>
      <c r="R16" s="154">
        <v>1210000</v>
      </c>
      <c r="S16" s="171">
        <v>1</v>
      </c>
      <c r="T16" s="173">
        <v>83.24</v>
      </c>
      <c r="U16" s="154">
        <v>1007.204</v>
      </c>
      <c r="W16" s="18" t="s">
        <v>36</v>
      </c>
      <c r="X16" s="174">
        <v>3.1999999999999999E-5</v>
      </c>
      <c r="Y16" s="170">
        <v>0.12910997237913399</v>
      </c>
      <c r="Z16" s="170">
        <v>0.103249392316369</v>
      </c>
    </row>
    <row r="17" spans="1:26">
      <c r="A17" s="18">
        <v>158</v>
      </c>
      <c r="B17" s="18">
        <v>1441</v>
      </c>
      <c r="C17" s="18" t="s">
        <v>64</v>
      </c>
      <c r="D17" s="18" t="s">
        <v>90</v>
      </c>
      <c r="E17" s="18" t="s">
        <v>91</v>
      </c>
      <c r="F17" s="18" t="s">
        <v>67</v>
      </c>
      <c r="G17" s="18" t="s">
        <v>30</v>
      </c>
      <c r="H17" s="18" t="s">
        <v>30</v>
      </c>
      <c r="I17" s="18" t="s">
        <v>56</v>
      </c>
      <c r="J17" s="18" t="s">
        <v>42</v>
      </c>
      <c r="K17" s="18" t="s">
        <v>43</v>
      </c>
      <c r="L17" s="4" t="s">
        <v>44</v>
      </c>
      <c r="M17" s="154">
        <v>7.1239999999999997</v>
      </c>
      <c r="N17" s="4" t="s">
        <v>92</v>
      </c>
      <c r="O17" s="165">
        <v>1.2999999999999999E-2</v>
      </c>
      <c r="P17" s="170">
        <v>4.7539999999999999E-2</v>
      </c>
      <c r="R17" s="154">
        <v>516000</v>
      </c>
      <c r="S17" s="171">
        <v>1</v>
      </c>
      <c r="T17" s="173">
        <v>78.98</v>
      </c>
      <c r="U17" s="154">
        <v>407.53699999999998</v>
      </c>
      <c r="W17" s="18" t="s">
        <v>36</v>
      </c>
      <c r="X17" s="174">
        <v>1.7E-5</v>
      </c>
      <c r="Y17" s="170">
        <v>5.2240722824254703E-2</v>
      </c>
      <c r="Z17" s="170">
        <v>4.1776965685757401E-2</v>
      </c>
    </row>
    <row r="18" spans="1:26">
      <c r="A18" s="18">
        <v>158</v>
      </c>
      <c r="B18" s="18">
        <v>1522</v>
      </c>
      <c r="C18" s="18" t="s">
        <v>37</v>
      </c>
      <c r="D18" s="18" t="s">
        <v>38</v>
      </c>
      <c r="E18" s="18" t="s">
        <v>39</v>
      </c>
      <c r="F18" s="18" t="s">
        <v>40</v>
      </c>
      <c r="G18" s="18" t="s">
        <v>30</v>
      </c>
      <c r="H18" s="18" t="s">
        <v>30</v>
      </c>
      <c r="I18" s="18" t="s">
        <v>41</v>
      </c>
      <c r="J18" s="18" t="s">
        <v>42</v>
      </c>
      <c r="K18" s="18" t="s">
        <v>43</v>
      </c>
      <c r="L18" s="4" t="s">
        <v>44</v>
      </c>
      <c r="M18" s="154">
        <v>0.42</v>
      </c>
      <c r="N18" s="4" t="s">
        <v>45</v>
      </c>
      <c r="O18" s="165">
        <v>0</v>
      </c>
      <c r="P18" s="170">
        <v>4.3490000000000001E-2</v>
      </c>
      <c r="R18" s="154">
        <v>410000</v>
      </c>
      <c r="S18" s="171">
        <v>1</v>
      </c>
      <c r="T18" s="173">
        <v>98.22</v>
      </c>
      <c r="U18" s="154">
        <v>402.702</v>
      </c>
      <c r="W18" s="18" t="s">
        <v>36</v>
      </c>
      <c r="X18" s="174">
        <v>3.4E-5</v>
      </c>
      <c r="Y18" s="170">
        <v>0.26273443402442997</v>
      </c>
      <c r="Z18" s="170">
        <v>3.9494909819883801E-2</v>
      </c>
    </row>
    <row r="19" spans="1:26">
      <c r="A19" s="18">
        <v>158</v>
      </c>
      <c r="B19" s="18">
        <v>1522</v>
      </c>
      <c r="C19" s="18" t="s">
        <v>37</v>
      </c>
      <c r="D19" s="18" t="s">
        <v>46</v>
      </c>
      <c r="E19" s="18" t="s">
        <v>47</v>
      </c>
      <c r="F19" s="18" t="s">
        <v>40</v>
      </c>
      <c r="G19" s="18" t="s">
        <v>30</v>
      </c>
      <c r="H19" s="18" t="s">
        <v>30</v>
      </c>
      <c r="I19" s="18" t="s">
        <v>41</v>
      </c>
      <c r="J19" s="18" t="s">
        <v>42</v>
      </c>
      <c r="K19" s="18" t="s">
        <v>43</v>
      </c>
      <c r="L19" s="4" t="s">
        <v>44</v>
      </c>
      <c r="M19" s="154">
        <v>0.5</v>
      </c>
      <c r="N19" s="4" t="s">
        <v>48</v>
      </c>
      <c r="O19" s="165">
        <v>0</v>
      </c>
      <c r="P19" s="170">
        <v>4.3479999999999998E-2</v>
      </c>
      <c r="R19" s="154">
        <v>680000</v>
      </c>
      <c r="S19" s="171">
        <v>1</v>
      </c>
      <c r="T19" s="173">
        <v>97.9</v>
      </c>
      <c r="U19" s="154">
        <v>665.72</v>
      </c>
      <c r="W19" s="18" t="s">
        <v>36</v>
      </c>
      <c r="X19" s="174">
        <v>5.7000000000000003E-5</v>
      </c>
      <c r="Y19" s="170">
        <v>0.43433498571833101</v>
      </c>
      <c r="Z19" s="170">
        <v>6.5290342151996E-2</v>
      </c>
    </row>
    <row r="20" spans="1:26">
      <c r="A20" s="4">
        <v>158</v>
      </c>
      <c r="B20" s="4">
        <v>1522</v>
      </c>
      <c r="C20" s="4" t="s">
        <v>37</v>
      </c>
      <c r="D20" s="4" t="s">
        <v>93</v>
      </c>
      <c r="E20" s="4" t="s">
        <v>94</v>
      </c>
      <c r="F20" s="18" t="s">
        <v>40</v>
      </c>
      <c r="G20" s="18" t="s">
        <v>30</v>
      </c>
      <c r="H20" s="18" t="s">
        <v>30</v>
      </c>
      <c r="I20" s="18" t="s">
        <v>56</v>
      </c>
      <c r="J20" s="4" t="s">
        <v>42</v>
      </c>
      <c r="K20" s="18" t="s">
        <v>43</v>
      </c>
      <c r="L20" s="4" t="s">
        <v>44</v>
      </c>
      <c r="M20" s="154">
        <v>0.35</v>
      </c>
      <c r="N20" s="4" t="s">
        <v>95</v>
      </c>
      <c r="O20" s="165">
        <v>0</v>
      </c>
      <c r="P20" s="170">
        <v>4.2909999999999997E-2</v>
      </c>
      <c r="R20" s="154">
        <v>105000</v>
      </c>
      <c r="S20" s="171">
        <v>1</v>
      </c>
      <c r="T20" s="173">
        <v>98.56</v>
      </c>
      <c r="U20" s="154">
        <v>103.488</v>
      </c>
      <c r="W20" s="18" t="s">
        <v>36</v>
      </c>
      <c r="X20" s="174">
        <v>9.0000000000000002E-6</v>
      </c>
      <c r="Y20" s="170">
        <v>6.7518564865136396E-2</v>
      </c>
      <c r="Z20" s="170">
        <v>1.0149562772075E-2</v>
      </c>
    </row>
    <row r="21" spans="1:26">
      <c r="A21" s="4">
        <v>158</v>
      </c>
      <c r="B21" s="4">
        <v>1522</v>
      </c>
      <c r="C21" s="4" t="s">
        <v>37</v>
      </c>
      <c r="D21" s="4" t="s">
        <v>49</v>
      </c>
      <c r="E21" s="4" t="s">
        <v>50</v>
      </c>
      <c r="F21" s="4" t="s">
        <v>40</v>
      </c>
      <c r="G21" s="4" t="s">
        <v>30</v>
      </c>
      <c r="H21" s="4" t="s">
        <v>30</v>
      </c>
      <c r="I21" s="4" t="s">
        <v>41</v>
      </c>
      <c r="J21" s="4" t="s">
        <v>42</v>
      </c>
      <c r="K21" s="4" t="s">
        <v>43</v>
      </c>
      <c r="L21" s="18" t="s">
        <v>44</v>
      </c>
      <c r="M21" s="154">
        <v>0.55600000000000005</v>
      </c>
      <c r="N21" s="4" t="s">
        <v>51</v>
      </c>
      <c r="O21" s="169">
        <v>0</v>
      </c>
      <c r="P21" s="170">
        <v>4.3150000000000001E-2</v>
      </c>
      <c r="R21" s="154">
        <v>370000</v>
      </c>
      <c r="S21" s="171">
        <v>1</v>
      </c>
      <c r="T21" s="173">
        <v>97.52</v>
      </c>
      <c r="U21" s="154">
        <v>360.82400000000001</v>
      </c>
      <c r="W21" s="4" t="s">
        <v>36</v>
      </c>
      <c r="X21" s="170">
        <v>2.5999999999999998E-5</v>
      </c>
      <c r="Y21" s="170">
        <v>0.23541201539210299</v>
      </c>
      <c r="Z21" s="170">
        <v>3.5387734207552403E-2</v>
      </c>
    </row>
    <row r="22" spans="1:26">
      <c r="A22" s="4">
        <v>158</v>
      </c>
      <c r="B22" s="4">
        <v>9935</v>
      </c>
      <c r="C22" s="4" t="s">
        <v>26</v>
      </c>
      <c r="D22" s="4" t="s">
        <v>96</v>
      </c>
      <c r="E22" s="4" t="s">
        <v>97</v>
      </c>
      <c r="F22" s="4" t="s">
        <v>29</v>
      </c>
      <c r="G22" s="4" t="s">
        <v>30</v>
      </c>
      <c r="H22" s="4" t="s">
        <v>30</v>
      </c>
      <c r="I22" s="4" t="s">
        <v>31</v>
      </c>
      <c r="J22" s="4" t="s">
        <v>98</v>
      </c>
      <c r="K22" s="4" t="s">
        <v>33</v>
      </c>
      <c r="L22" s="18" t="s">
        <v>34</v>
      </c>
      <c r="M22" s="154">
        <v>7.49</v>
      </c>
      <c r="N22" s="4" t="s">
        <v>99</v>
      </c>
      <c r="O22" s="169">
        <v>5.5E-2</v>
      </c>
      <c r="P22" s="170">
        <v>5.8720000000000001E-2</v>
      </c>
      <c r="R22" s="154">
        <v>540000</v>
      </c>
      <c r="S22" s="171">
        <v>3.71</v>
      </c>
      <c r="T22" s="173">
        <v>100.253</v>
      </c>
      <c r="U22" s="154">
        <v>2008.4749999999999</v>
      </c>
      <c r="W22" s="4" t="s">
        <v>36</v>
      </c>
      <c r="X22" s="170">
        <v>1.8000000000000001E-4</v>
      </c>
      <c r="Y22" s="170">
        <v>1.1636805546765499E-2</v>
      </c>
      <c r="Z22" s="170">
        <v>1.8539861549179101E-3</v>
      </c>
    </row>
    <row r="23" spans="1:26">
      <c r="A23" s="4">
        <v>158</v>
      </c>
      <c r="B23" s="4">
        <v>9935</v>
      </c>
      <c r="C23" s="4" t="s">
        <v>52</v>
      </c>
      <c r="D23" s="4" t="s">
        <v>53</v>
      </c>
      <c r="E23" s="4" t="s">
        <v>54</v>
      </c>
      <c r="F23" s="4" t="s">
        <v>55</v>
      </c>
      <c r="G23" s="4" t="s">
        <v>30</v>
      </c>
      <c r="H23" s="4" t="s">
        <v>30</v>
      </c>
      <c r="I23" s="4" t="s">
        <v>56</v>
      </c>
      <c r="J23" s="4" t="s">
        <v>42</v>
      </c>
      <c r="K23" s="4" t="s">
        <v>43</v>
      </c>
      <c r="L23" s="18" t="s">
        <v>44</v>
      </c>
      <c r="M23" s="154">
        <v>2.64</v>
      </c>
      <c r="N23" s="4" t="s">
        <v>57</v>
      </c>
      <c r="O23" s="169">
        <v>7.4999999999999997E-3</v>
      </c>
      <c r="P23" s="170">
        <v>1.6299999999999999E-2</v>
      </c>
      <c r="R23" s="154">
        <v>7900000</v>
      </c>
      <c r="S23" s="171">
        <v>1</v>
      </c>
      <c r="T23" s="173">
        <v>114.25</v>
      </c>
      <c r="U23" s="154">
        <v>9025.75</v>
      </c>
      <c r="W23" s="4" t="s">
        <v>36</v>
      </c>
      <c r="X23" s="170">
        <v>3.5399999999999999E-4</v>
      </c>
      <c r="Y23" s="170">
        <v>5.2293863724108602E-2</v>
      </c>
      <c r="Z23" s="170">
        <v>8.3315046334695893E-3</v>
      </c>
    </row>
    <row r="24" spans="1:26">
      <c r="A24" s="4">
        <v>158</v>
      </c>
      <c r="B24" s="4">
        <v>9935</v>
      </c>
      <c r="C24" s="4" t="s">
        <v>52</v>
      </c>
      <c r="D24" s="4" t="s">
        <v>58</v>
      </c>
      <c r="E24" s="4" t="s">
        <v>59</v>
      </c>
      <c r="F24" s="4" t="s">
        <v>55</v>
      </c>
      <c r="G24" s="4" t="s">
        <v>30</v>
      </c>
      <c r="H24" s="4" t="s">
        <v>30</v>
      </c>
      <c r="I24" s="4" t="s">
        <v>56</v>
      </c>
      <c r="J24" s="4" t="s">
        <v>42</v>
      </c>
      <c r="K24" s="4" t="s">
        <v>43</v>
      </c>
      <c r="L24" s="18" t="s">
        <v>44</v>
      </c>
      <c r="M24" s="154">
        <v>1.0720000000000001</v>
      </c>
      <c r="N24" s="4" t="s">
        <v>60</v>
      </c>
      <c r="O24" s="169">
        <v>7.4999999999999997E-3</v>
      </c>
      <c r="P24" s="170">
        <v>1.303E-2</v>
      </c>
      <c r="R24" s="154">
        <v>5880000</v>
      </c>
      <c r="S24" s="171">
        <v>1</v>
      </c>
      <c r="T24" s="173">
        <v>116.02</v>
      </c>
      <c r="U24" s="154">
        <v>6821.9759999999997</v>
      </c>
      <c r="W24" s="4" t="s">
        <v>36</v>
      </c>
      <c r="X24" s="170">
        <v>2.7099999999999997E-4</v>
      </c>
      <c r="Y24" s="170">
        <v>3.9525522341427498E-2</v>
      </c>
      <c r="Z24" s="170">
        <v>6.2972411880916701E-3</v>
      </c>
    </row>
    <row r="25" spans="1:26">
      <c r="A25" s="4">
        <v>158</v>
      </c>
      <c r="B25" s="4">
        <v>9935</v>
      </c>
      <c r="C25" s="4" t="s">
        <v>52</v>
      </c>
      <c r="D25" s="4" t="s">
        <v>61</v>
      </c>
      <c r="E25" s="4" t="s">
        <v>62</v>
      </c>
      <c r="F25" s="4" t="s">
        <v>55</v>
      </c>
      <c r="G25" s="4" t="s">
        <v>30</v>
      </c>
      <c r="H25" s="4" t="s">
        <v>30</v>
      </c>
      <c r="I25" s="4" t="s">
        <v>56</v>
      </c>
      <c r="J25" s="4" t="s">
        <v>42</v>
      </c>
      <c r="K25" s="4" t="s">
        <v>43</v>
      </c>
      <c r="L25" s="18" t="s">
        <v>44</v>
      </c>
      <c r="M25" s="154">
        <v>7.1340000000000003</v>
      </c>
      <c r="N25" s="4" t="s">
        <v>63</v>
      </c>
      <c r="O25" s="169">
        <v>1E-3</v>
      </c>
      <c r="P25" s="170">
        <v>1.9910000000000001E-2</v>
      </c>
      <c r="R25" s="154">
        <v>1265000</v>
      </c>
      <c r="S25" s="171">
        <v>1</v>
      </c>
      <c r="T25" s="173">
        <v>101.1</v>
      </c>
      <c r="U25" s="154">
        <v>1278.915</v>
      </c>
      <c r="W25" s="4" t="s">
        <v>36</v>
      </c>
      <c r="X25" s="170">
        <v>4.1E-5</v>
      </c>
      <c r="Y25" s="170">
        <v>7.4098448023397897E-3</v>
      </c>
      <c r="Z25" s="170">
        <v>1.1805430294783001E-3</v>
      </c>
    </row>
    <row r="26" spans="1:26">
      <c r="A26" s="4">
        <v>158</v>
      </c>
      <c r="B26" s="4">
        <v>9935</v>
      </c>
      <c r="C26" s="4" t="s">
        <v>64</v>
      </c>
      <c r="D26" s="4" t="s">
        <v>100</v>
      </c>
      <c r="E26" s="4" t="s">
        <v>101</v>
      </c>
      <c r="F26" s="4" t="s">
        <v>67</v>
      </c>
      <c r="G26" s="4" t="s">
        <v>30</v>
      </c>
      <c r="H26" s="4" t="s">
        <v>30</v>
      </c>
      <c r="I26" s="4" t="s">
        <v>56</v>
      </c>
      <c r="J26" s="4" t="s">
        <v>42</v>
      </c>
      <c r="K26" s="4" t="s">
        <v>43</v>
      </c>
      <c r="L26" s="18" t="s">
        <v>44</v>
      </c>
      <c r="M26" s="154">
        <v>4.0549999999999997</v>
      </c>
      <c r="N26" s="4" t="s">
        <v>102</v>
      </c>
      <c r="O26" s="169">
        <v>3.7499999999999999E-2</v>
      </c>
      <c r="P26" s="170">
        <v>4.5620000000000001E-2</v>
      </c>
      <c r="R26" s="154">
        <v>2700000</v>
      </c>
      <c r="S26" s="171">
        <v>1</v>
      </c>
      <c r="T26" s="173">
        <v>99.02</v>
      </c>
      <c r="U26" s="154">
        <v>2673.54</v>
      </c>
      <c r="W26" s="4" t="s">
        <v>36</v>
      </c>
      <c r="X26" s="170">
        <v>8.2999999999999998E-5</v>
      </c>
      <c r="Y26" s="170">
        <v>1.5490096271329599E-2</v>
      </c>
      <c r="Z26" s="170">
        <v>2.4678958422032801E-3</v>
      </c>
    </row>
    <row r="27" spans="1:26">
      <c r="A27" s="4">
        <v>158</v>
      </c>
      <c r="B27" s="4">
        <v>9935</v>
      </c>
      <c r="C27" s="4" t="s">
        <v>64</v>
      </c>
      <c r="D27" s="4" t="s">
        <v>75</v>
      </c>
      <c r="E27" s="4" t="s">
        <v>76</v>
      </c>
      <c r="F27" s="4" t="s">
        <v>67</v>
      </c>
      <c r="G27" s="4" t="s">
        <v>30</v>
      </c>
      <c r="H27" s="4" t="s">
        <v>30</v>
      </c>
      <c r="I27" s="4" t="s">
        <v>56</v>
      </c>
      <c r="J27" s="4" t="s">
        <v>42</v>
      </c>
      <c r="K27" s="4" t="s">
        <v>43</v>
      </c>
      <c r="L27" s="4" t="s">
        <v>44</v>
      </c>
      <c r="M27" s="154">
        <v>11.238</v>
      </c>
      <c r="N27" s="4" t="s">
        <v>77</v>
      </c>
      <c r="O27" s="169">
        <v>5.5E-2</v>
      </c>
      <c r="P27" s="170">
        <v>5.1729999999999998E-2</v>
      </c>
      <c r="R27" s="154">
        <v>6300000</v>
      </c>
      <c r="S27" s="171">
        <v>1</v>
      </c>
      <c r="T27" s="173">
        <v>107.34</v>
      </c>
      <c r="U27" s="154">
        <v>6762.42</v>
      </c>
      <c r="W27" s="4" t="s">
        <v>36</v>
      </c>
      <c r="X27" s="170">
        <v>2.9300000000000002E-4</v>
      </c>
      <c r="Y27" s="170">
        <v>3.9180463665090003E-2</v>
      </c>
      <c r="Z27" s="170">
        <v>6.2422661345004496E-3</v>
      </c>
    </row>
    <row r="28" spans="1:26">
      <c r="A28" s="4">
        <v>158</v>
      </c>
      <c r="B28" s="4">
        <v>9935</v>
      </c>
      <c r="C28" s="4" t="s">
        <v>52</v>
      </c>
      <c r="D28" s="4" t="s">
        <v>81</v>
      </c>
      <c r="E28" s="4" t="s">
        <v>82</v>
      </c>
      <c r="F28" s="4" t="s">
        <v>55</v>
      </c>
      <c r="G28" s="4" t="s">
        <v>30</v>
      </c>
      <c r="H28" s="4" t="s">
        <v>30</v>
      </c>
      <c r="I28" s="4" t="s">
        <v>56</v>
      </c>
      <c r="J28" s="4" t="s">
        <v>42</v>
      </c>
      <c r="K28" s="4" t="s">
        <v>43</v>
      </c>
      <c r="L28" s="4" t="s">
        <v>44</v>
      </c>
      <c r="M28" s="154">
        <v>1.83</v>
      </c>
      <c r="N28" s="4" t="s">
        <v>83</v>
      </c>
      <c r="O28" s="169">
        <v>1E-3</v>
      </c>
      <c r="P28" s="170">
        <v>1.5679999999999999E-2</v>
      </c>
      <c r="R28" s="154">
        <v>9905000</v>
      </c>
      <c r="S28" s="171">
        <v>1</v>
      </c>
      <c r="T28" s="173">
        <v>112.44</v>
      </c>
      <c r="U28" s="154">
        <v>11137.182000000001</v>
      </c>
      <c r="W28" s="4" t="s">
        <v>36</v>
      </c>
      <c r="X28" s="170">
        <v>4.8999999999999998E-4</v>
      </c>
      <c r="Y28" s="170">
        <v>6.4527189184122702E-2</v>
      </c>
      <c r="Z28" s="170">
        <v>1.02805288687139E-2</v>
      </c>
    </row>
    <row r="29" spans="1:26">
      <c r="A29" s="4">
        <v>158</v>
      </c>
      <c r="B29" s="4">
        <v>9935</v>
      </c>
      <c r="C29" s="4" t="s">
        <v>52</v>
      </c>
      <c r="D29" s="4" t="s">
        <v>84</v>
      </c>
      <c r="E29" s="4" t="s">
        <v>85</v>
      </c>
      <c r="F29" s="4" t="s">
        <v>55</v>
      </c>
      <c r="G29" s="4" t="s">
        <v>30</v>
      </c>
      <c r="H29" s="4" t="s">
        <v>30</v>
      </c>
      <c r="I29" s="4" t="s">
        <v>56</v>
      </c>
      <c r="J29" s="4" t="s">
        <v>42</v>
      </c>
      <c r="K29" s="4" t="s">
        <v>43</v>
      </c>
      <c r="L29" s="4" t="s">
        <v>44</v>
      </c>
      <c r="M29" s="154">
        <v>3.972</v>
      </c>
      <c r="N29" s="4" t="s">
        <v>86</v>
      </c>
      <c r="O29" s="169">
        <v>1.0999999999999999E-2</v>
      </c>
      <c r="P29" s="170">
        <v>1.806E-2</v>
      </c>
      <c r="R29" s="154">
        <v>3550199</v>
      </c>
      <c r="S29" s="171">
        <v>1</v>
      </c>
      <c r="T29" s="173">
        <v>102.6</v>
      </c>
      <c r="U29" s="154">
        <v>3642.5039999999999</v>
      </c>
      <c r="W29" s="4" t="s">
        <v>36</v>
      </c>
      <c r="X29" s="170">
        <v>1.74E-4</v>
      </c>
      <c r="Y29" s="170">
        <v>2.11041317219791E-2</v>
      </c>
      <c r="Z29" s="170">
        <v>3.3623289369983998E-3</v>
      </c>
    </row>
    <row r="30" spans="1:26">
      <c r="A30" s="4">
        <v>158</v>
      </c>
      <c r="B30" s="4">
        <v>9935</v>
      </c>
      <c r="C30" s="4" t="s">
        <v>64</v>
      </c>
      <c r="D30" s="4" t="s">
        <v>87</v>
      </c>
      <c r="E30" s="4" t="s">
        <v>88</v>
      </c>
      <c r="F30" s="4" t="s">
        <v>67</v>
      </c>
      <c r="G30" s="4" t="s">
        <v>30</v>
      </c>
      <c r="H30" s="4" t="s">
        <v>30</v>
      </c>
      <c r="I30" s="4" t="s">
        <v>56</v>
      </c>
      <c r="J30" s="4" t="s">
        <v>42</v>
      </c>
      <c r="K30" s="4" t="s">
        <v>43</v>
      </c>
      <c r="L30" s="4" t="s">
        <v>44</v>
      </c>
      <c r="M30" s="154">
        <v>5.33</v>
      </c>
      <c r="N30" s="4" t="s">
        <v>89</v>
      </c>
      <c r="O30" s="169">
        <v>0.01</v>
      </c>
      <c r="P30" s="170">
        <v>4.6289999999999998E-2</v>
      </c>
      <c r="R30" s="154">
        <v>20300000</v>
      </c>
      <c r="S30" s="171">
        <v>1</v>
      </c>
      <c r="T30" s="173">
        <v>83.24</v>
      </c>
      <c r="U30" s="154">
        <v>16897.72</v>
      </c>
      <c r="W30" s="4" t="s">
        <v>36</v>
      </c>
      <c r="X30" s="170">
        <v>5.3799999999999996E-4</v>
      </c>
      <c r="Y30" s="170">
        <v>9.7902896371841006E-2</v>
      </c>
      <c r="Z30" s="170">
        <v>1.55979760657089E-2</v>
      </c>
    </row>
    <row r="31" spans="1:26">
      <c r="A31" s="4">
        <v>158</v>
      </c>
      <c r="B31" s="4">
        <v>9935</v>
      </c>
      <c r="C31" s="4" t="s">
        <v>64</v>
      </c>
      <c r="D31" s="4" t="s">
        <v>90</v>
      </c>
      <c r="E31" s="4" t="s">
        <v>91</v>
      </c>
      <c r="F31" s="4" t="s">
        <v>67</v>
      </c>
      <c r="G31" s="4" t="s">
        <v>30</v>
      </c>
      <c r="H31" s="4" t="s">
        <v>30</v>
      </c>
      <c r="I31" s="4" t="s">
        <v>56</v>
      </c>
      <c r="J31" s="4" t="s">
        <v>42</v>
      </c>
      <c r="K31" s="4" t="s">
        <v>43</v>
      </c>
      <c r="L31" s="4" t="s">
        <v>44</v>
      </c>
      <c r="M31" s="154">
        <v>7.1239999999999997</v>
      </c>
      <c r="N31" s="4" t="s">
        <v>92</v>
      </c>
      <c r="O31" s="169">
        <v>1.2999999999999999E-2</v>
      </c>
      <c r="P31" s="170">
        <v>4.7539999999999999E-2</v>
      </c>
      <c r="R31" s="154">
        <v>16530000</v>
      </c>
      <c r="S31" s="171">
        <v>1</v>
      </c>
      <c r="T31" s="173">
        <v>78.98</v>
      </c>
      <c r="U31" s="154">
        <v>13055.394</v>
      </c>
      <c r="W31" s="4" t="s">
        <v>36</v>
      </c>
      <c r="X31" s="170">
        <v>5.5099999999999995E-4</v>
      </c>
      <c r="Y31" s="170">
        <v>7.5641026474314602E-2</v>
      </c>
      <c r="Z31" s="170">
        <v>1.2051195258318799E-2</v>
      </c>
    </row>
    <row r="32" spans="1:26">
      <c r="A32" s="4">
        <v>158</v>
      </c>
      <c r="B32" s="4">
        <v>9935</v>
      </c>
      <c r="C32" s="4" t="s">
        <v>52</v>
      </c>
      <c r="D32" s="4" t="s">
        <v>58</v>
      </c>
      <c r="E32" s="4" t="s">
        <v>59</v>
      </c>
      <c r="F32" s="4" t="s">
        <v>55</v>
      </c>
      <c r="G32" s="4" t="s">
        <v>30</v>
      </c>
      <c r="H32" s="4" t="s">
        <v>30</v>
      </c>
      <c r="I32" s="4" t="s">
        <v>56</v>
      </c>
      <c r="J32" s="4" t="s">
        <v>42</v>
      </c>
      <c r="K32" s="4" t="s">
        <v>43</v>
      </c>
      <c r="L32" s="4" t="s">
        <v>44</v>
      </c>
      <c r="M32" s="154">
        <v>1.0720000000000001</v>
      </c>
      <c r="N32" s="4" t="s">
        <v>60</v>
      </c>
      <c r="O32" s="169">
        <v>7.4999999999999997E-3</v>
      </c>
      <c r="P32" s="170">
        <v>1.303E-2</v>
      </c>
      <c r="R32" s="154">
        <v>16699804</v>
      </c>
      <c r="S32" s="171">
        <v>1</v>
      </c>
      <c r="T32" s="173">
        <v>116.02</v>
      </c>
      <c r="U32" s="154">
        <v>19375.113000000001</v>
      </c>
      <c r="W32" s="4" t="s">
        <v>36</v>
      </c>
      <c r="X32" s="170">
        <v>7.6999999999999996E-4</v>
      </c>
      <c r="Y32" s="170">
        <v>0.11225654355433</v>
      </c>
      <c r="Z32" s="170">
        <v>1.7884811833649299E-2</v>
      </c>
    </row>
    <row r="33" spans="1:26">
      <c r="A33" s="4">
        <v>158</v>
      </c>
      <c r="B33" s="4">
        <v>9935</v>
      </c>
      <c r="C33" s="4" t="s">
        <v>52</v>
      </c>
      <c r="D33" s="4" t="s">
        <v>61</v>
      </c>
      <c r="E33" s="4" t="s">
        <v>62</v>
      </c>
      <c r="F33" s="4" t="s">
        <v>55</v>
      </c>
      <c r="G33" s="4" t="s">
        <v>30</v>
      </c>
      <c r="H33" s="4" t="s">
        <v>30</v>
      </c>
      <c r="I33" s="4" t="s">
        <v>56</v>
      </c>
      <c r="J33" s="4" t="s">
        <v>42</v>
      </c>
      <c r="K33" s="4" t="s">
        <v>43</v>
      </c>
      <c r="L33" s="4" t="s">
        <v>44</v>
      </c>
      <c r="M33" s="154">
        <v>7.1340000000000003</v>
      </c>
      <c r="N33" s="4" t="s">
        <v>63</v>
      </c>
      <c r="O33" s="169">
        <v>1E-3</v>
      </c>
      <c r="P33" s="170">
        <v>1.9910000000000001E-2</v>
      </c>
      <c r="R33" s="154">
        <v>3292000</v>
      </c>
      <c r="S33" s="171">
        <v>1</v>
      </c>
      <c r="T33" s="173">
        <v>101.1</v>
      </c>
      <c r="U33" s="154">
        <v>3328.212</v>
      </c>
      <c r="W33" s="4" t="s">
        <v>36</v>
      </c>
      <c r="X33" s="170">
        <v>1.07E-4</v>
      </c>
      <c r="Y33" s="170">
        <v>1.9283169240555401E-2</v>
      </c>
      <c r="Z33" s="170">
        <v>3.0722115834328598E-3</v>
      </c>
    </row>
    <row r="34" spans="1:26">
      <c r="A34" s="4">
        <v>158</v>
      </c>
      <c r="B34" s="4">
        <v>9935</v>
      </c>
      <c r="C34" s="4" t="s">
        <v>64</v>
      </c>
      <c r="D34" s="4" t="s">
        <v>65</v>
      </c>
      <c r="E34" s="4" t="s">
        <v>66</v>
      </c>
      <c r="F34" s="4" t="s">
        <v>67</v>
      </c>
      <c r="G34" s="4" t="s">
        <v>30</v>
      </c>
      <c r="H34" s="4" t="s">
        <v>30</v>
      </c>
      <c r="I34" s="4" t="s">
        <v>56</v>
      </c>
      <c r="J34" s="4" t="s">
        <v>42</v>
      </c>
      <c r="K34" s="4" t="s">
        <v>43</v>
      </c>
      <c r="L34" s="4" t="s">
        <v>44</v>
      </c>
      <c r="M34" s="154">
        <v>3.86</v>
      </c>
      <c r="N34" s="4" t="s">
        <v>68</v>
      </c>
      <c r="O34" s="169">
        <v>2.2499999999999999E-2</v>
      </c>
      <c r="P34" s="170">
        <v>4.5159999999999999E-2</v>
      </c>
      <c r="R34" s="154">
        <v>9200000</v>
      </c>
      <c r="S34" s="171">
        <v>1</v>
      </c>
      <c r="T34" s="173">
        <v>91.9</v>
      </c>
      <c r="U34" s="154">
        <v>8454.7999999999993</v>
      </c>
      <c r="W34" s="4" t="s">
        <v>36</v>
      </c>
      <c r="X34" s="170">
        <v>2.7500000000000002E-4</v>
      </c>
      <c r="Y34" s="170">
        <v>4.8985863669456099E-2</v>
      </c>
      <c r="Z34" s="170">
        <v>7.80447113813907E-3</v>
      </c>
    </row>
    <row r="35" spans="1:26">
      <c r="A35" s="4">
        <v>158</v>
      </c>
      <c r="B35" s="4">
        <v>9935</v>
      </c>
      <c r="C35" s="4" t="s">
        <v>64</v>
      </c>
      <c r="D35" s="4" t="s">
        <v>75</v>
      </c>
      <c r="E35" s="4" t="s">
        <v>76</v>
      </c>
      <c r="F35" s="4" t="s">
        <v>67</v>
      </c>
      <c r="G35" s="4" t="s">
        <v>30</v>
      </c>
      <c r="H35" s="4" t="s">
        <v>30</v>
      </c>
      <c r="I35" s="4" t="s">
        <v>56</v>
      </c>
      <c r="J35" s="4" t="s">
        <v>42</v>
      </c>
      <c r="K35" s="4" t="s">
        <v>43</v>
      </c>
      <c r="L35" s="4" t="s">
        <v>44</v>
      </c>
      <c r="M35" s="154">
        <v>11.238</v>
      </c>
      <c r="N35" s="4" t="s">
        <v>77</v>
      </c>
      <c r="O35" s="169">
        <v>5.5E-2</v>
      </c>
      <c r="P35" s="170">
        <v>5.1729999999999998E-2</v>
      </c>
      <c r="R35" s="154">
        <v>5754305</v>
      </c>
      <c r="S35" s="171">
        <v>1</v>
      </c>
      <c r="T35" s="173">
        <v>107.34</v>
      </c>
      <c r="U35" s="154">
        <v>6176.6710000000003</v>
      </c>
      <c r="W35" s="4" t="s">
        <v>36</v>
      </c>
      <c r="X35" s="170">
        <v>2.6800000000000001E-4</v>
      </c>
      <c r="Y35" s="170">
        <v>3.5786720312753303E-2</v>
      </c>
      <c r="Z35" s="170">
        <v>5.7015719411248602E-3</v>
      </c>
    </row>
    <row r="36" spans="1:26">
      <c r="A36" s="4">
        <v>158</v>
      </c>
      <c r="B36" s="4">
        <v>9935</v>
      </c>
      <c r="C36" s="4" t="s">
        <v>52</v>
      </c>
      <c r="D36" s="4" t="s">
        <v>81</v>
      </c>
      <c r="E36" s="4" t="s">
        <v>82</v>
      </c>
      <c r="F36" s="4" t="s">
        <v>55</v>
      </c>
      <c r="G36" s="4" t="s">
        <v>30</v>
      </c>
      <c r="H36" s="4" t="s">
        <v>30</v>
      </c>
      <c r="I36" s="4" t="s">
        <v>56</v>
      </c>
      <c r="J36" s="4" t="s">
        <v>42</v>
      </c>
      <c r="K36" s="4" t="s">
        <v>43</v>
      </c>
      <c r="L36" s="4" t="s">
        <v>44</v>
      </c>
      <c r="M36" s="154">
        <v>1.83</v>
      </c>
      <c r="N36" s="4" t="s">
        <v>83</v>
      </c>
      <c r="O36" s="169">
        <v>1E-3</v>
      </c>
      <c r="P36" s="170">
        <v>1.5679999999999999E-2</v>
      </c>
      <c r="R36" s="154">
        <v>6500000</v>
      </c>
      <c r="S36" s="171">
        <v>1</v>
      </c>
      <c r="T36" s="173">
        <v>112.44</v>
      </c>
      <c r="U36" s="154">
        <v>7308.6</v>
      </c>
      <c r="W36" s="4" t="s">
        <v>36</v>
      </c>
      <c r="X36" s="170">
        <v>3.2200000000000002E-4</v>
      </c>
      <c r="Y36" s="170">
        <v>4.2344949994628699E-2</v>
      </c>
      <c r="Z36" s="170">
        <v>6.7464348961776997E-3</v>
      </c>
    </row>
    <row r="37" spans="1:26">
      <c r="A37" s="4">
        <v>158</v>
      </c>
      <c r="B37" s="4">
        <v>9935</v>
      </c>
      <c r="C37" s="4" t="s">
        <v>52</v>
      </c>
      <c r="D37" s="4" t="s">
        <v>84</v>
      </c>
      <c r="E37" s="4" t="s">
        <v>85</v>
      </c>
      <c r="F37" s="4" t="s">
        <v>55</v>
      </c>
      <c r="G37" s="4" t="s">
        <v>30</v>
      </c>
      <c r="H37" s="4" t="s">
        <v>30</v>
      </c>
      <c r="I37" s="4" t="s">
        <v>56</v>
      </c>
      <c r="J37" s="4" t="s">
        <v>42</v>
      </c>
      <c r="K37" s="4" t="s">
        <v>43</v>
      </c>
      <c r="L37" s="4" t="s">
        <v>44</v>
      </c>
      <c r="M37" s="154">
        <v>3.972</v>
      </c>
      <c r="N37" s="4" t="s">
        <v>86</v>
      </c>
      <c r="O37" s="169">
        <v>1.0999999999999999E-2</v>
      </c>
      <c r="P37" s="170">
        <v>1.806E-2</v>
      </c>
      <c r="R37" s="154">
        <v>14640000</v>
      </c>
      <c r="S37" s="171">
        <v>1</v>
      </c>
      <c r="T37" s="173">
        <v>102.6</v>
      </c>
      <c r="U37" s="154">
        <v>15020.64</v>
      </c>
      <c r="W37" s="4" t="s">
        <v>36</v>
      </c>
      <c r="X37" s="170">
        <v>7.18E-4</v>
      </c>
      <c r="Y37" s="170">
        <v>8.7027371820501798E-2</v>
      </c>
      <c r="Z37" s="170">
        <v>1.38652778724958E-2</v>
      </c>
    </row>
    <row r="38" spans="1:26">
      <c r="A38" s="4">
        <v>158</v>
      </c>
      <c r="B38" s="4">
        <v>9935</v>
      </c>
      <c r="C38" s="4" t="s">
        <v>64</v>
      </c>
      <c r="D38" s="4" t="s">
        <v>87</v>
      </c>
      <c r="E38" s="4" t="s">
        <v>88</v>
      </c>
      <c r="F38" s="4" t="s">
        <v>67</v>
      </c>
      <c r="G38" s="4" t="s">
        <v>30</v>
      </c>
      <c r="H38" s="4" t="s">
        <v>30</v>
      </c>
      <c r="I38" s="4" t="s">
        <v>56</v>
      </c>
      <c r="J38" s="4" t="s">
        <v>42</v>
      </c>
      <c r="K38" s="4" t="s">
        <v>43</v>
      </c>
      <c r="L38" s="4" t="s">
        <v>44</v>
      </c>
      <c r="M38" s="154">
        <v>5.33</v>
      </c>
      <c r="N38" s="4" t="s">
        <v>89</v>
      </c>
      <c r="O38" s="169">
        <v>0.01</v>
      </c>
      <c r="P38" s="170">
        <v>4.6289999999999998E-2</v>
      </c>
      <c r="R38" s="154">
        <v>20500000</v>
      </c>
      <c r="S38" s="171">
        <v>1</v>
      </c>
      <c r="T38" s="173">
        <v>83.24</v>
      </c>
      <c r="U38" s="154">
        <v>17064.2</v>
      </c>
      <c r="W38" s="4" t="s">
        <v>36</v>
      </c>
      <c r="X38" s="170">
        <v>5.4299999999999997E-4</v>
      </c>
      <c r="Y38" s="170">
        <v>9.8867456927228606E-2</v>
      </c>
      <c r="Z38" s="170">
        <v>1.57516507067503E-2</v>
      </c>
    </row>
    <row r="39" spans="1:26">
      <c r="A39" s="4">
        <v>158</v>
      </c>
      <c r="B39" s="4">
        <v>9935</v>
      </c>
      <c r="C39" s="4" t="s">
        <v>64</v>
      </c>
      <c r="D39" s="4" t="s">
        <v>90</v>
      </c>
      <c r="E39" s="4" t="s">
        <v>91</v>
      </c>
      <c r="F39" s="4" t="s">
        <v>67</v>
      </c>
      <c r="G39" s="4" t="s">
        <v>30</v>
      </c>
      <c r="H39" s="4" t="s">
        <v>30</v>
      </c>
      <c r="I39" s="4" t="s">
        <v>56</v>
      </c>
      <c r="J39" s="4" t="s">
        <v>42</v>
      </c>
      <c r="K39" s="4" t="s">
        <v>43</v>
      </c>
      <c r="L39" s="4" t="s">
        <v>44</v>
      </c>
      <c r="M39" s="154">
        <v>7.1239999999999997</v>
      </c>
      <c r="N39" s="4" t="s">
        <v>92</v>
      </c>
      <c r="O39" s="169">
        <v>1.2999999999999999E-2</v>
      </c>
      <c r="P39" s="170">
        <v>4.7539999999999999E-2</v>
      </c>
      <c r="R39" s="154">
        <v>8100000</v>
      </c>
      <c r="S39" s="171">
        <v>1</v>
      </c>
      <c r="T39" s="173">
        <v>78.98</v>
      </c>
      <c r="U39" s="154">
        <v>6397.38</v>
      </c>
      <c r="W39" s="4" t="s">
        <v>36</v>
      </c>
      <c r="X39" s="170">
        <v>2.7E-4</v>
      </c>
      <c r="Y39" s="170">
        <v>3.7065475767813001E-2</v>
      </c>
      <c r="Z39" s="170">
        <v>5.9053043915536898E-3</v>
      </c>
    </row>
    <row r="40" spans="1:26">
      <c r="A40" s="4">
        <v>158</v>
      </c>
      <c r="B40" s="4">
        <v>9935</v>
      </c>
      <c r="C40" s="4" t="s">
        <v>103</v>
      </c>
      <c r="D40" s="4" t="s">
        <v>104</v>
      </c>
      <c r="E40" s="4" t="s">
        <v>105</v>
      </c>
      <c r="F40" s="4" t="s">
        <v>29</v>
      </c>
      <c r="G40" s="4" t="s">
        <v>106</v>
      </c>
      <c r="H40" s="4" t="s">
        <v>107</v>
      </c>
      <c r="I40" s="4" t="s">
        <v>108</v>
      </c>
      <c r="J40" s="4" t="s">
        <v>109</v>
      </c>
      <c r="K40" s="4" t="s">
        <v>110</v>
      </c>
      <c r="L40" s="4" t="s">
        <v>34</v>
      </c>
      <c r="M40" s="154">
        <v>4.2000000000000003E-2</v>
      </c>
      <c r="N40" s="4" t="s">
        <v>111</v>
      </c>
      <c r="O40" s="169">
        <v>0</v>
      </c>
      <c r="P40" s="170">
        <v>5.1490000000000001E-2</v>
      </c>
      <c r="R40" s="154">
        <v>1200000</v>
      </c>
      <c r="S40" s="171">
        <v>3.71</v>
      </c>
      <c r="T40" s="173">
        <v>99.61</v>
      </c>
      <c r="U40" s="154">
        <v>4434.6419999999998</v>
      </c>
      <c r="W40" s="4" t="s">
        <v>36</v>
      </c>
      <c r="X40" s="170">
        <v>3.9999999999999998E-6</v>
      </c>
      <c r="Y40" s="170">
        <v>2.5693659387302299E-2</v>
      </c>
      <c r="Z40" s="170">
        <v>4.09353654504227E-3</v>
      </c>
    </row>
    <row r="41" spans="1:26">
      <c r="A41" s="4">
        <v>158</v>
      </c>
      <c r="B41" s="4">
        <v>9935</v>
      </c>
      <c r="C41" s="4" t="s">
        <v>112</v>
      </c>
      <c r="D41" s="4" t="s">
        <v>113</v>
      </c>
      <c r="E41" s="4" t="s">
        <v>114</v>
      </c>
      <c r="F41" s="4" t="s">
        <v>29</v>
      </c>
      <c r="G41" s="4" t="s">
        <v>106</v>
      </c>
      <c r="H41" s="4" t="s">
        <v>107</v>
      </c>
      <c r="I41" s="4" t="s">
        <v>108</v>
      </c>
      <c r="J41" s="4" t="s">
        <v>109</v>
      </c>
      <c r="K41" s="4" t="s">
        <v>33</v>
      </c>
      <c r="L41" s="4" t="s">
        <v>34</v>
      </c>
      <c r="M41" s="154">
        <v>7.5049999999999999</v>
      </c>
      <c r="N41" s="4" t="s">
        <v>115</v>
      </c>
      <c r="O41" s="169">
        <v>3.875E-2</v>
      </c>
      <c r="P41" s="170">
        <v>3.8289999999999998E-2</v>
      </c>
      <c r="R41" s="154">
        <v>565000</v>
      </c>
      <c r="S41" s="171">
        <v>3.71</v>
      </c>
      <c r="T41" s="173">
        <v>101.339</v>
      </c>
      <c r="U41" s="154">
        <v>2124.2089999999998</v>
      </c>
      <c r="W41" s="4" t="s">
        <v>36</v>
      </c>
      <c r="X41" s="170">
        <v>5.0000000000000004E-6</v>
      </c>
      <c r="Y41" s="170">
        <v>1.23073538829574E-2</v>
      </c>
      <c r="Z41" s="170">
        <v>1.96081850908135E-3</v>
      </c>
    </row>
    <row r="42" spans="1:26">
      <c r="A42" s="4">
        <v>158</v>
      </c>
      <c r="B42" s="4">
        <v>9935</v>
      </c>
      <c r="C42" s="4" t="s">
        <v>103</v>
      </c>
      <c r="D42" s="4" t="s">
        <v>104</v>
      </c>
      <c r="E42" s="4" t="s">
        <v>105</v>
      </c>
      <c r="F42" s="4" t="s">
        <v>29</v>
      </c>
      <c r="G42" s="4" t="s">
        <v>106</v>
      </c>
      <c r="H42" s="4" t="s">
        <v>107</v>
      </c>
      <c r="I42" s="4" t="s">
        <v>108</v>
      </c>
      <c r="J42" s="4" t="s">
        <v>109</v>
      </c>
      <c r="K42" s="4" t="s">
        <v>110</v>
      </c>
      <c r="L42" s="4" t="s">
        <v>34</v>
      </c>
      <c r="M42" s="154">
        <v>4.2000000000000003E-2</v>
      </c>
      <c r="N42" s="4" t="s">
        <v>111</v>
      </c>
      <c r="O42" s="169">
        <v>0</v>
      </c>
      <c r="P42" s="170">
        <v>5.1490000000000001E-2</v>
      </c>
      <c r="R42" s="154">
        <v>2600000</v>
      </c>
      <c r="S42" s="171">
        <v>3.71</v>
      </c>
      <c r="T42" s="173">
        <v>99.61</v>
      </c>
      <c r="U42" s="154">
        <v>9608.39</v>
      </c>
      <c r="W42" s="4" t="s">
        <v>36</v>
      </c>
      <c r="X42" s="170">
        <v>1.0000000000000001E-5</v>
      </c>
      <c r="Y42" s="170">
        <v>5.5669595339154998E-2</v>
      </c>
      <c r="Z42" s="170">
        <v>8.8693291809249092E-3</v>
      </c>
    </row>
    <row r="43" spans="1:26">
      <c r="A43" s="4">
        <v>158</v>
      </c>
      <c r="B43" s="4">
        <v>9936</v>
      </c>
      <c r="C43" s="4" t="s">
        <v>37</v>
      </c>
      <c r="D43" s="4" t="s">
        <v>116</v>
      </c>
      <c r="E43" s="4" t="s">
        <v>117</v>
      </c>
      <c r="F43" s="4" t="s">
        <v>40</v>
      </c>
      <c r="G43" s="4" t="s">
        <v>30</v>
      </c>
      <c r="H43" s="4" t="s">
        <v>30</v>
      </c>
      <c r="I43" s="4" t="s">
        <v>56</v>
      </c>
      <c r="J43" s="4" t="s">
        <v>42</v>
      </c>
      <c r="K43" s="4" t="s">
        <v>43</v>
      </c>
      <c r="L43" s="4" t="s">
        <v>44</v>
      </c>
      <c r="M43" s="154">
        <v>0.18</v>
      </c>
      <c r="N43" s="4" t="s">
        <v>118</v>
      </c>
      <c r="O43" s="169">
        <v>0</v>
      </c>
      <c r="P43" s="170">
        <v>4.3360000000000003E-2</v>
      </c>
      <c r="R43" s="154">
        <v>314000</v>
      </c>
      <c r="S43" s="171">
        <v>1</v>
      </c>
      <c r="T43" s="173">
        <v>99.27</v>
      </c>
      <c r="U43" s="154">
        <v>311.70800000000003</v>
      </c>
      <c r="W43" s="4" t="s">
        <v>36</v>
      </c>
      <c r="X43" s="170">
        <v>7.9999999999999996E-6</v>
      </c>
      <c r="Y43" s="170">
        <v>6.9078403783564099E-2</v>
      </c>
      <c r="Z43" s="170">
        <v>1.9497771845364099E-2</v>
      </c>
    </row>
    <row r="44" spans="1:26">
      <c r="A44" s="4">
        <v>158</v>
      </c>
      <c r="B44" s="4">
        <v>9936</v>
      </c>
      <c r="C44" s="4" t="s">
        <v>37</v>
      </c>
      <c r="D44" s="4" t="s">
        <v>49</v>
      </c>
      <c r="E44" s="4" t="s">
        <v>50</v>
      </c>
      <c r="F44" s="4" t="s">
        <v>40</v>
      </c>
      <c r="G44" s="4" t="s">
        <v>30</v>
      </c>
      <c r="H44" s="4" t="s">
        <v>30</v>
      </c>
      <c r="I44" s="4" t="s">
        <v>41</v>
      </c>
      <c r="J44" s="4" t="s">
        <v>42</v>
      </c>
      <c r="K44" s="4" t="s">
        <v>43</v>
      </c>
      <c r="L44" s="4" t="s">
        <v>44</v>
      </c>
      <c r="M44" s="154">
        <v>0.55600000000000005</v>
      </c>
      <c r="N44" s="4" t="s">
        <v>51</v>
      </c>
      <c r="O44" s="169">
        <v>0</v>
      </c>
      <c r="P44" s="170">
        <v>4.3150000000000001E-2</v>
      </c>
      <c r="R44" s="154">
        <v>150000</v>
      </c>
      <c r="S44" s="171">
        <v>1</v>
      </c>
      <c r="T44" s="173">
        <v>97.52</v>
      </c>
      <c r="U44" s="154">
        <v>146.28</v>
      </c>
      <c r="W44" s="4" t="s">
        <v>36</v>
      </c>
      <c r="X44" s="170">
        <v>1.1E-5</v>
      </c>
      <c r="Y44" s="170">
        <v>3.2417504167235302E-2</v>
      </c>
      <c r="Z44" s="170">
        <v>9.1500246883134406E-3</v>
      </c>
    </row>
    <row r="45" spans="1:26">
      <c r="A45" s="4">
        <v>158</v>
      </c>
      <c r="B45" s="4">
        <v>9936</v>
      </c>
      <c r="C45" s="4" t="s">
        <v>52</v>
      </c>
      <c r="D45" s="4" t="s">
        <v>53</v>
      </c>
      <c r="E45" s="4" t="s">
        <v>54</v>
      </c>
      <c r="F45" s="4" t="s">
        <v>55</v>
      </c>
      <c r="G45" s="4" t="s">
        <v>30</v>
      </c>
      <c r="H45" s="4" t="s">
        <v>30</v>
      </c>
      <c r="I45" s="4" t="s">
        <v>56</v>
      </c>
      <c r="J45" s="4" t="s">
        <v>42</v>
      </c>
      <c r="K45" s="4" t="s">
        <v>43</v>
      </c>
      <c r="L45" s="4" t="s">
        <v>44</v>
      </c>
      <c r="M45" s="154">
        <v>2.64</v>
      </c>
      <c r="N45" s="4" t="s">
        <v>57</v>
      </c>
      <c r="O45" s="169">
        <v>7.4999999999999997E-3</v>
      </c>
      <c r="P45" s="170">
        <v>1.6299999999999999E-2</v>
      </c>
      <c r="R45" s="154">
        <v>194091</v>
      </c>
      <c r="S45" s="171">
        <v>1</v>
      </c>
      <c r="T45" s="173">
        <v>114.25</v>
      </c>
      <c r="U45" s="154">
        <v>221.749</v>
      </c>
      <c r="W45" s="4" t="s">
        <v>36</v>
      </c>
      <c r="X45" s="170">
        <v>9.0000000000000002E-6</v>
      </c>
      <c r="Y45" s="170">
        <v>4.9142385001445098E-2</v>
      </c>
      <c r="Z45" s="170">
        <v>1.38707173040266E-2</v>
      </c>
    </row>
    <row r="46" spans="1:26">
      <c r="A46" s="4">
        <v>158</v>
      </c>
      <c r="B46" s="4">
        <v>9936</v>
      </c>
      <c r="C46" s="4" t="s">
        <v>52</v>
      </c>
      <c r="D46" s="4" t="s">
        <v>58</v>
      </c>
      <c r="E46" s="4" t="s">
        <v>59</v>
      </c>
      <c r="F46" s="4" t="s">
        <v>55</v>
      </c>
      <c r="G46" s="4" t="s">
        <v>30</v>
      </c>
      <c r="H46" s="4" t="s">
        <v>30</v>
      </c>
      <c r="I46" s="4" t="s">
        <v>56</v>
      </c>
      <c r="J46" s="4" t="s">
        <v>42</v>
      </c>
      <c r="K46" s="4" t="s">
        <v>43</v>
      </c>
      <c r="L46" s="4" t="s">
        <v>44</v>
      </c>
      <c r="M46" s="154">
        <v>1.0720000000000001</v>
      </c>
      <c r="N46" s="4" t="s">
        <v>60</v>
      </c>
      <c r="O46" s="169">
        <v>7.4999999999999997E-3</v>
      </c>
      <c r="P46" s="170">
        <v>1.303E-2</v>
      </c>
      <c r="R46" s="154">
        <v>596795</v>
      </c>
      <c r="S46" s="171">
        <v>1</v>
      </c>
      <c r="T46" s="173">
        <v>116.02</v>
      </c>
      <c r="U46" s="154">
        <v>692.40200000000004</v>
      </c>
      <c r="W46" s="4" t="s">
        <v>36</v>
      </c>
      <c r="X46" s="170">
        <v>2.8E-5</v>
      </c>
      <c r="Y46" s="170">
        <v>0.15344497145394301</v>
      </c>
      <c r="Z46" s="170">
        <v>4.3310714787234798E-2</v>
      </c>
    </row>
    <row r="47" spans="1:26">
      <c r="A47" s="4">
        <v>158</v>
      </c>
      <c r="B47" s="4">
        <v>9936</v>
      </c>
      <c r="C47" s="4" t="s">
        <v>52</v>
      </c>
      <c r="D47" s="4" t="s">
        <v>61</v>
      </c>
      <c r="E47" s="4" t="s">
        <v>62</v>
      </c>
      <c r="F47" s="4" t="s">
        <v>55</v>
      </c>
      <c r="G47" s="4" t="s">
        <v>30</v>
      </c>
      <c r="H47" s="4" t="s">
        <v>30</v>
      </c>
      <c r="I47" s="4" t="s">
        <v>56</v>
      </c>
      <c r="J47" s="4" t="s">
        <v>42</v>
      </c>
      <c r="K47" s="4" t="s">
        <v>43</v>
      </c>
      <c r="L47" s="4" t="s">
        <v>44</v>
      </c>
      <c r="M47" s="154">
        <v>7.1340000000000003</v>
      </c>
      <c r="N47" s="4" t="s">
        <v>63</v>
      </c>
      <c r="O47" s="169">
        <v>1E-3</v>
      </c>
      <c r="P47" s="170">
        <v>1.9910000000000001E-2</v>
      </c>
      <c r="R47" s="154">
        <v>246000</v>
      </c>
      <c r="S47" s="171">
        <v>1</v>
      </c>
      <c r="T47" s="173">
        <v>101.1</v>
      </c>
      <c r="U47" s="154">
        <v>248.70599999999999</v>
      </c>
      <c r="W47" s="4" t="s">
        <v>36</v>
      </c>
      <c r="X47" s="170">
        <v>7.9999999999999996E-6</v>
      </c>
      <c r="Y47" s="170">
        <v>5.5116405464974198E-2</v>
      </c>
      <c r="Z47" s="170">
        <v>1.5556918513342099E-2</v>
      </c>
    </row>
    <row r="48" spans="1:26">
      <c r="A48" s="4">
        <v>158</v>
      </c>
      <c r="B48" s="4">
        <v>9936</v>
      </c>
      <c r="C48" s="4" t="s">
        <v>64</v>
      </c>
      <c r="D48" s="4" t="s">
        <v>65</v>
      </c>
      <c r="E48" s="4" t="s">
        <v>66</v>
      </c>
      <c r="F48" s="4" t="s">
        <v>67</v>
      </c>
      <c r="G48" s="4" t="s">
        <v>30</v>
      </c>
      <c r="H48" s="4" t="s">
        <v>30</v>
      </c>
      <c r="I48" s="4" t="s">
        <v>56</v>
      </c>
      <c r="J48" s="4" t="s">
        <v>42</v>
      </c>
      <c r="K48" s="4" t="s">
        <v>43</v>
      </c>
      <c r="L48" s="4" t="s">
        <v>44</v>
      </c>
      <c r="M48" s="154">
        <v>3.86</v>
      </c>
      <c r="N48" s="4" t="s">
        <v>68</v>
      </c>
      <c r="O48" s="169">
        <v>2.2499999999999999E-2</v>
      </c>
      <c r="P48" s="170">
        <v>4.5159999999999999E-2</v>
      </c>
      <c r="R48" s="154">
        <v>130000</v>
      </c>
      <c r="S48" s="171">
        <v>1</v>
      </c>
      <c r="T48" s="173">
        <v>91.9</v>
      </c>
      <c r="U48" s="154">
        <v>119.47</v>
      </c>
      <c r="W48" s="4" t="s">
        <v>36</v>
      </c>
      <c r="X48" s="170">
        <v>3.9999999999999998E-6</v>
      </c>
      <c r="Y48" s="170">
        <v>2.6476067971422001E-2</v>
      </c>
      <c r="Z48" s="170">
        <v>7.4730205736451101E-3</v>
      </c>
    </row>
    <row r="49" spans="1:26">
      <c r="A49" s="4">
        <v>158</v>
      </c>
      <c r="B49" s="4">
        <v>9936</v>
      </c>
      <c r="C49" s="4" t="s">
        <v>64</v>
      </c>
      <c r="D49" s="4" t="s">
        <v>119</v>
      </c>
      <c r="E49" s="4" t="s">
        <v>120</v>
      </c>
      <c r="F49" s="4" t="s">
        <v>67</v>
      </c>
      <c r="G49" s="4" t="s">
        <v>30</v>
      </c>
      <c r="H49" s="4" t="s">
        <v>30</v>
      </c>
      <c r="I49" s="4" t="s">
        <v>56</v>
      </c>
      <c r="J49" s="4" t="s">
        <v>42</v>
      </c>
      <c r="K49" s="4" t="s">
        <v>43</v>
      </c>
      <c r="L49" s="4" t="s">
        <v>44</v>
      </c>
      <c r="M49" s="154">
        <v>1.9079999999999999</v>
      </c>
      <c r="N49" s="4" t="s">
        <v>121</v>
      </c>
      <c r="O49" s="169">
        <v>6.25E-2</v>
      </c>
      <c r="P49" s="170">
        <v>4.3290000000000002E-2</v>
      </c>
      <c r="R49" s="154">
        <v>200000</v>
      </c>
      <c r="S49" s="171">
        <v>1</v>
      </c>
      <c r="T49" s="173">
        <v>109.5</v>
      </c>
      <c r="U49" s="154">
        <v>219</v>
      </c>
      <c r="W49" s="4" t="s">
        <v>36</v>
      </c>
      <c r="X49" s="170">
        <v>1.2999999999999999E-5</v>
      </c>
      <c r="Y49" s="170">
        <v>4.8533178921414698E-2</v>
      </c>
      <c r="Z49" s="170">
        <v>1.36987654275406E-2</v>
      </c>
    </row>
    <row r="50" spans="1:26">
      <c r="A50" s="4">
        <v>158</v>
      </c>
      <c r="B50" s="4">
        <v>9936</v>
      </c>
      <c r="C50" s="4" t="s">
        <v>64</v>
      </c>
      <c r="D50" s="4" t="s">
        <v>75</v>
      </c>
      <c r="E50" s="4" t="s">
        <v>76</v>
      </c>
      <c r="F50" s="4" t="s">
        <v>67</v>
      </c>
      <c r="G50" s="4" t="s">
        <v>30</v>
      </c>
      <c r="H50" s="4" t="s">
        <v>30</v>
      </c>
      <c r="I50" s="4" t="s">
        <v>56</v>
      </c>
      <c r="J50" s="4" t="s">
        <v>42</v>
      </c>
      <c r="K50" s="4" t="s">
        <v>43</v>
      </c>
      <c r="L50" s="4" t="s">
        <v>44</v>
      </c>
      <c r="M50" s="154">
        <v>11.238</v>
      </c>
      <c r="N50" s="4" t="s">
        <v>77</v>
      </c>
      <c r="O50" s="169">
        <v>5.5E-2</v>
      </c>
      <c r="P50" s="170">
        <v>5.1729999999999998E-2</v>
      </c>
      <c r="R50" s="154">
        <v>312209</v>
      </c>
      <c r="S50" s="171">
        <v>1</v>
      </c>
      <c r="T50" s="173">
        <v>107.34</v>
      </c>
      <c r="U50" s="154">
        <v>335.125</v>
      </c>
      <c r="W50" s="4" t="s">
        <v>36</v>
      </c>
      <c r="X50" s="170">
        <v>1.5E-5</v>
      </c>
      <c r="Y50" s="170">
        <v>7.4267983606411195E-2</v>
      </c>
      <c r="Z50" s="170">
        <v>2.09625602280866E-2</v>
      </c>
    </row>
    <row r="51" spans="1:26">
      <c r="A51" s="4">
        <v>158</v>
      </c>
      <c r="B51" s="4">
        <v>9936</v>
      </c>
      <c r="C51" s="4" t="s">
        <v>52</v>
      </c>
      <c r="D51" s="4" t="s">
        <v>81</v>
      </c>
      <c r="E51" s="4" t="s">
        <v>82</v>
      </c>
      <c r="F51" s="4" t="s">
        <v>55</v>
      </c>
      <c r="G51" s="4" t="s">
        <v>30</v>
      </c>
      <c r="H51" s="4" t="s">
        <v>30</v>
      </c>
      <c r="I51" s="4" t="s">
        <v>56</v>
      </c>
      <c r="J51" s="4" t="s">
        <v>42</v>
      </c>
      <c r="K51" s="4" t="s">
        <v>43</v>
      </c>
      <c r="L51" s="4" t="s">
        <v>44</v>
      </c>
      <c r="M51" s="154">
        <v>1.83</v>
      </c>
      <c r="N51" s="4" t="s">
        <v>83</v>
      </c>
      <c r="O51" s="169">
        <v>1E-3</v>
      </c>
      <c r="P51" s="170">
        <v>1.5679999999999999E-2</v>
      </c>
      <c r="R51" s="154">
        <v>436000</v>
      </c>
      <c r="S51" s="171">
        <v>1</v>
      </c>
      <c r="T51" s="173">
        <v>112.44</v>
      </c>
      <c r="U51" s="154">
        <v>490.238</v>
      </c>
      <c r="W51" s="4" t="s">
        <v>36</v>
      </c>
      <c r="X51" s="170">
        <v>2.1999999999999999E-5</v>
      </c>
      <c r="Y51" s="170">
        <v>0.108643050143142</v>
      </c>
      <c r="Z51" s="170">
        <v>3.0665118014487801E-2</v>
      </c>
    </row>
    <row r="52" spans="1:26">
      <c r="A52" s="4">
        <v>158</v>
      </c>
      <c r="B52" s="4">
        <v>9936</v>
      </c>
      <c r="C52" s="4" t="s">
        <v>52</v>
      </c>
      <c r="D52" s="4" t="s">
        <v>84</v>
      </c>
      <c r="E52" s="4" t="s">
        <v>85</v>
      </c>
      <c r="F52" s="4" t="s">
        <v>55</v>
      </c>
      <c r="G52" s="4" t="s">
        <v>30</v>
      </c>
      <c r="H52" s="4" t="s">
        <v>30</v>
      </c>
      <c r="I52" s="4" t="s">
        <v>56</v>
      </c>
      <c r="J52" s="4" t="s">
        <v>42</v>
      </c>
      <c r="K52" s="4" t="s">
        <v>43</v>
      </c>
      <c r="L52" s="4" t="s">
        <v>44</v>
      </c>
      <c r="M52" s="154">
        <v>3.972</v>
      </c>
      <c r="N52" s="4" t="s">
        <v>86</v>
      </c>
      <c r="O52" s="169">
        <v>1.0999999999999999E-2</v>
      </c>
      <c r="P52" s="170">
        <v>1.806E-2</v>
      </c>
      <c r="R52" s="154">
        <v>406803</v>
      </c>
      <c r="S52" s="171">
        <v>1</v>
      </c>
      <c r="T52" s="173">
        <v>102.6</v>
      </c>
      <c r="U52" s="154">
        <v>417.38</v>
      </c>
      <c r="W52" s="4" t="s">
        <v>36</v>
      </c>
      <c r="X52" s="170">
        <v>2.0000000000000002E-5</v>
      </c>
      <c r="Y52" s="170">
        <v>9.2496677156037599E-2</v>
      </c>
      <c r="Z52" s="170">
        <v>2.61077125246462E-2</v>
      </c>
    </row>
    <row r="53" spans="1:26">
      <c r="A53" s="4">
        <v>158</v>
      </c>
      <c r="B53" s="4">
        <v>9936</v>
      </c>
      <c r="C53" s="4" t="s">
        <v>64</v>
      </c>
      <c r="D53" s="4" t="s">
        <v>87</v>
      </c>
      <c r="E53" s="4" t="s">
        <v>88</v>
      </c>
      <c r="F53" s="4" t="s">
        <v>67</v>
      </c>
      <c r="G53" s="4" t="s">
        <v>30</v>
      </c>
      <c r="H53" s="4" t="s">
        <v>30</v>
      </c>
      <c r="I53" s="4" t="s">
        <v>56</v>
      </c>
      <c r="J53" s="4" t="s">
        <v>42</v>
      </c>
      <c r="K53" s="4" t="s">
        <v>43</v>
      </c>
      <c r="L53" s="4" t="s">
        <v>44</v>
      </c>
      <c r="M53" s="154">
        <v>5.33</v>
      </c>
      <c r="N53" s="4" t="s">
        <v>89</v>
      </c>
      <c r="O53" s="169">
        <v>0.01</v>
      </c>
      <c r="P53" s="170">
        <v>4.6289999999999998E-2</v>
      </c>
      <c r="R53" s="154">
        <v>1105000</v>
      </c>
      <c r="S53" s="171">
        <v>1</v>
      </c>
      <c r="T53" s="173">
        <v>83.24</v>
      </c>
      <c r="U53" s="154">
        <v>919.80200000000002</v>
      </c>
      <c r="W53" s="4" t="s">
        <v>36</v>
      </c>
      <c r="X53" s="170">
        <v>2.9E-5</v>
      </c>
      <c r="Y53" s="170">
        <v>0.20383979469531999</v>
      </c>
      <c r="Z53" s="170">
        <v>5.7534939898551199E-2</v>
      </c>
    </row>
    <row r="54" spans="1:26">
      <c r="A54" s="4">
        <v>158</v>
      </c>
      <c r="B54" s="4">
        <v>9936</v>
      </c>
      <c r="C54" s="4" t="s">
        <v>64</v>
      </c>
      <c r="D54" s="4" t="s">
        <v>90</v>
      </c>
      <c r="E54" s="4" t="s">
        <v>91</v>
      </c>
      <c r="F54" s="4" t="s">
        <v>67</v>
      </c>
      <c r="G54" s="4" t="s">
        <v>30</v>
      </c>
      <c r="H54" s="4" t="s">
        <v>30</v>
      </c>
      <c r="I54" s="4" t="s">
        <v>56</v>
      </c>
      <c r="J54" s="4" t="s">
        <v>42</v>
      </c>
      <c r="K54" s="4" t="s">
        <v>43</v>
      </c>
      <c r="L54" s="4" t="s">
        <v>44</v>
      </c>
      <c r="M54" s="154">
        <v>7.1239999999999997</v>
      </c>
      <c r="N54" s="4" t="s">
        <v>92</v>
      </c>
      <c r="O54" s="169">
        <v>1.2999999999999999E-2</v>
      </c>
      <c r="P54" s="170">
        <v>4.7539999999999999E-2</v>
      </c>
      <c r="R54" s="154">
        <v>226000</v>
      </c>
      <c r="S54" s="171">
        <v>1</v>
      </c>
      <c r="T54" s="173">
        <v>78.98</v>
      </c>
      <c r="U54" s="154">
        <v>178.495</v>
      </c>
      <c r="W54" s="4" t="s">
        <v>36</v>
      </c>
      <c r="X54" s="170">
        <v>7.9999999999999996E-6</v>
      </c>
      <c r="Y54" s="170">
        <v>3.9556712625306502E-2</v>
      </c>
      <c r="Z54" s="170">
        <v>1.1165106827560599E-2</v>
      </c>
    </row>
    <row r="55" spans="1:26">
      <c r="A55" s="4">
        <v>158</v>
      </c>
      <c r="B55" s="4">
        <v>9936</v>
      </c>
      <c r="C55" s="4" t="s">
        <v>112</v>
      </c>
      <c r="D55" s="4" t="s">
        <v>122</v>
      </c>
      <c r="E55" s="4" t="s">
        <v>123</v>
      </c>
      <c r="F55" s="4" t="s">
        <v>29</v>
      </c>
      <c r="G55" s="4" t="s">
        <v>106</v>
      </c>
      <c r="H55" s="4" t="s">
        <v>107</v>
      </c>
      <c r="I55" s="4" t="s">
        <v>108</v>
      </c>
      <c r="J55" s="4" t="s">
        <v>109</v>
      </c>
      <c r="K55" s="4" t="s">
        <v>33</v>
      </c>
      <c r="L55" s="4" t="s">
        <v>34</v>
      </c>
      <c r="M55" s="154">
        <v>7.3810000000000002</v>
      </c>
      <c r="N55" s="4" t="s">
        <v>124</v>
      </c>
      <c r="O55" s="169">
        <v>3.3750000000000002E-2</v>
      </c>
      <c r="P55" s="170">
        <v>3.8159999999999999E-2</v>
      </c>
      <c r="R55" s="154">
        <v>58000</v>
      </c>
      <c r="S55" s="171">
        <v>3.71</v>
      </c>
      <c r="T55" s="173">
        <v>98.533000000000001</v>
      </c>
      <c r="U55" s="154">
        <v>212.02199999999999</v>
      </c>
      <c r="W55" s="4" t="s">
        <v>36</v>
      </c>
      <c r="X55" s="170">
        <v>9.9999999999999995E-7</v>
      </c>
      <c r="Y55" s="170">
        <v>4.6986865009784898E-2</v>
      </c>
      <c r="Z55" s="170">
        <v>1.3262309542648801E-2</v>
      </c>
    </row>
    <row r="56" spans="1:26">
      <c r="A56" s="4">
        <v>158</v>
      </c>
      <c r="B56" s="4">
        <v>9937</v>
      </c>
      <c r="C56" s="4" t="s">
        <v>26</v>
      </c>
      <c r="D56" s="4" t="s">
        <v>96</v>
      </c>
      <c r="E56" s="4" t="s">
        <v>97</v>
      </c>
      <c r="F56" s="4" t="s">
        <v>29</v>
      </c>
      <c r="G56" s="4" t="s">
        <v>30</v>
      </c>
      <c r="H56" s="4" t="s">
        <v>30</v>
      </c>
      <c r="I56" s="4" t="s">
        <v>31</v>
      </c>
      <c r="J56" s="4" t="s">
        <v>98</v>
      </c>
      <c r="K56" s="4" t="s">
        <v>33</v>
      </c>
      <c r="L56" s="4" t="s">
        <v>34</v>
      </c>
      <c r="M56" s="154">
        <v>7.49</v>
      </c>
      <c r="N56" s="4" t="s">
        <v>99</v>
      </c>
      <c r="O56" s="169">
        <v>5.5E-2</v>
      </c>
      <c r="P56" s="170">
        <v>5.8720000000000001E-2</v>
      </c>
      <c r="R56" s="154">
        <v>24000</v>
      </c>
      <c r="S56" s="171">
        <v>3.71</v>
      </c>
      <c r="T56" s="173">
        <v>100.253</v>
      </c>
      <c r="U56" s="154">
        <v>89.266000000000005</v>
      </c>
      <c r="W56" s="4" t="s">
        <v>36</v>
      </c>
      <c r="X56" s="170">
        <v>7.9999999999999996E-6</v>
      </c>
      <c r="Y56" s="170">
        <v>8.3655868510327993E-3</v>
      </c>
      <c r="Z56" s="170">
        <v>2.84940470673986E-3</v>
      </c>
    </row>
    <row r="57" spans="1:26">
      <c r="A57" s="4">
        <v>158</v>
      </c>
      <c r="B57" s="4">
        <v>9937</v>
      </c>
      <c r="C57" s="4" t="s">
        <v>37</v>
      </c>
      <c r="D57" s="4" t="s">
        <v>38</v>
      </c>
      <c r="E57" s="4" t="s">
        <v>39</v>
      </c>
      <c r="F57" s="4" t="s">
        <v>40</v>
      </c>
      <c r="G57" s="4" t="s">
        <v>30</v>
      </c>
      <c r="H57" s="4" t="s">
        <v>30</v>
      </c>
      <c r="I57" s="4" t="s">
        <v>41</v>
      </c>
      <c r="J57" s="4" t="s">
        <v>42</v>
      </c>
      <c r="K57" s="4" t="s">
        <v>43</v>
      </c>
      <c r="L57" s="4" t="s">
        <v>44</v>
      </c>
      <c r="M57" s="154">
        <v>0.42</v>
      </c>
      <c r="N57" s="4" t="s">
        <v>45</v>
      </c>
      <c r="O57" s="169">
        <v>0</v>
      </c>
      <c r="P57" s="170">
        <v>4.3490000000000001E-2</v>
      </c>
      <c r="R57" s="154">
        <v>770000</v>
      </c>
      <c r="S57" s="171">
        <v>1</v>
      </c>
      <c r="T57" s="173">
        <v>98.22</v>
      </c>
      <c r="U57" s="154">
        <v>756.29399999999998</v>
      </c>
      <c r="W57" s="4" t="s">
        <v>36</v>
      </c>
      <c r="X57" s="170">
        <v>6.3999999999999997E-5</v>
      </c>
      <c r="Y57" s="170">
        <v>7.0876659245973098E-2</v>
      </c>
      <c r="Z57" s="170">
        <v>2.41413172858925E-2</v>
      </c>
    </row>
    <row r="58" spans="1:26">
      <c r="A58" s="4">
        <v>158</v>
      </c>
      <c r="B58" s="4">
        <v>9937</v>
      </c>
      <c r="C58" s="4" t="s">
        <v>37</v>
      </c>
      <c r="D58" s="4" t="s">
        <v>46</v>
      </c>
      <c r="E58" s="4" t="s">
        <v>47</v>
      </c>
      <c r="F58" s="4" t="s">
        <v>40</v>
      </c>
      <c r="G58" s="4" t="s">
        <v>30</v>
      </c>
      <c r="H58" s="4" t="s">
        <v>30</v>
      </c>
      <c r="I58" s="4" t="s">
        <v>41</v>
      </c>
      <c r="J58" s="4" t="s">
        <v>42</v>
      </c>
      <c r="K58" s="4" t="s">
        <v>43</v>
      </c>
      <c r="L58" s="4" t="s">
        <v>44</v>
      </c>
      <c r="M58" s="154">
        <v>0.5</v>
      </c>
      <c r="N58" s="4" t="s">
        <v>48</v>
      </c>
      <c r="O58" s="169">
        <v>0</v>
      </c>
      <c r="P58" s="170">
        <v>4.3479999999999998E-2</v>
      </c>
      <c r="R58" s="154">
        <v>330000</v>
      </c>
      <c r="S58" s="171">
        <v>1</v>
      </c>
      <c r="T58" s="173">
        <v>97.9</v>
      </c>
      <c r="U58" s="154">
        <v>323.07</v>
      </c>
      <c r="W58" s="4" t="s">
        <v>36</v>
      </c>
      <c r="X58" s="170">
        <v>2.8E-5</v>
      </c>
      <c r="Y58" s="170">
        <v>3.0276747273674701E-2</v>
      </c>
      <c r="Z58" s="170">
        <v>1.03125707404175E-2</v>
      </c>
    </row>
    <row r="59" spans="1:26">
      <c r="A59" s="4">
        <v>158</v>
      </c>
      <c r="B59" s="4">
        <v>9937</v>
      </c>
      <c r="C59" s="4" t="s">
        <v>37</v>
      </c>
      <c r="D59" s="4" t="s">
        <v>125</v>
      </c>
      <c r="E59" s="4" t="s">
        <v>126</v>
      </c>
      <c r="F59" s="4" t="s">
        <v>40</v>
      </c>
      <c r="G59" s="4" t="s">
        <v>30</v>
      </c>
      <c r="H59" s="4" t="s">
        <v>30</v>
      </c>
      <c r="I59" s="4" t="s">
        <v>41</v>
      </c>
      <c r="J59" s="4" t="s">
        <v>42</v>
      </c>
      <c r="K59" s="4" t="s">
        <v>43</v>
      </c>
      <c r="L59" s="4" t="s">
        <v>44</v>
      </c>
      <c r="M59" s="154">
        <v>0.92</v>
      </c>
      <c r="N59" s="4" t="s">
        <v>127</v>
      </c>
      <c r="O59" s="169">
        <v>0</v>
      </c>
      <c r="P59" s="170">
        <v>4.2979999999999997E-2</v>
      </c>
      <c r="R59" s="154">
        <v>90000</v>
      </c>
      <c r="S59" s="171">
        <v>1</v>
      </c>
      <c r="T59" s="173">
        <v>96.2</v>
      </c>
      <c r="U59" s="154">
        <v>86.58</v>
      </c>
      <c r="W59" s="4" t="s">
        <v>36</v>
      </c>
      <c r="X59" s="170">
        <v>7.9999999999999996E-6</v>
      </c>
      <c r="Y59" s="170">
        <v>8.1139096138754998E-3</v>
      </c>
      <c r="Z59" s="170">
        <v>2.7636808577253999E-3</v>
      </c>
    </row>
    <row r="60" spans="1:26">
      <c r="A60" s="4">
        <v>158</v>
      </c>
      <c r="B60" s="4">
        <v>9937</v>
      </c>
      <c r="C60" s="4" t="s">
        <v>37</v>
      </c>
      <c r="D60" s="4" t="s">
        <v>128</v>
      </c>
      <c r="E60" s="4" t="s">
        <v>129</v>
      </c>
      <c r="F60" s="4" t="s">
        <v>40</v>
      </c>
      <c r="G60" s="4" t="s">
        <v>30</v>
      </c>
      <c r="H60" s="4" t="s">
        <v>30</v>
      </c>
      <c r="I60" s="4" t="s">
        <v>56</v>
      </c>
      <c r="J60" s="4" t="s">
        <v>42</v>
      </c>
      <c r="K60" s="4" t="s">
        <v>43</v>
      </c>
      <c r="L60" s="4" t="s">
        <v>44</v>
      </c>
      <c r="M60" s="154">
        <v>0.1</v>
      </c>
      <c r="N60" s="4" t="s">
        <v>130</v>
      </c>
      <c r="O60" s="169">
        <v>0</v>
      </c>
      <c r="P60" s="170">
        <v>4.487E-2</v>
      </c>
      <c r="R60" s="154">
        <v>310000</v>
      </c>
      <c r="S60" s="171">
        <v>1</v>
      </c>
      <c r="T60" s="173">
        <v>99.58</v>
      </c>
      <c r="U60" s="154">
        <v>308.69799999999998</v>
      </c>
      <c r="W60" s="4" t="s">
        <v>36</v>
      </c>
      <c r="X60" s="170">
        <v>7.9999999999999996E-6</v>
      </c>
      <c r="Y60" s="170">
        <v>2.89298645181813E-2</v>
      </c>
      <c r="Z60" s="170">
        <v>9.8538086557879E-3</v>
      </c>
    </row>
    <row r="61" spans="1:26">
      <c r="A61" s="4">
        <v>158</v>
      </c>
      <c r="B61" s="4">
        <v>9937</v>
      </c>
      <c r="C61" s="4" t="s">
        <v>37</v>
      </c>
      <c r="D61" s="4" t="s">
        <v>116</v>
      </c>
      <c r="E61" s="4" t="s">
        <v>117</v>
      </c>
      <c r="F61" s="4" t="s">
        <v>40</v>
      </c>
      <c r="G61" s="4" t="s">
        <v>30</v>
      </c>
      <c r="H61" s="4" t="s">
        <v>30</v>
      </c>
      <c r="I61" s="4" t="s">
        <v>56</v>
      </c>
      <c r="J61" s="4" t="s">
        <v>42</v>
      </c>
      <c r="K61" s="4" t="s">
        <v>43</v>
      </c>
      <c r="L61" s="4" t="s">
        <v>44</v>
      </c>
      <c r="M61" s="154">
        <v>0.18</v>
      </c>
      <c r="N61" s="4" t="s">
        <v>118</v>
      </c>
      <c r="O61" s="169">
        <v>0</v>
      </c>
      <c r="P61" s="170">
        <v>4.3360000000000003E-2</v>
      </c>
      <c r="R61" s="154">
        <v>400000</v>
      </c>
      <c r="S61" s="171">
        <v>1</v>
      </c>
      <c r="T61" s="173">
        <v>99.27</v>
      </c>
      <c r="U61" s="154">
        <v>397.08</v>
      </c>
      <c r="W61" s="4" t="s">
        <v>36</v>
      </c>
      <c r="X61" s="170">
        <v>1.0000000000000001E-5</v>
      </c>
      <c r="Y61" s="170">
        <v>3.7212649913117103E-2</v>
      </c>
      <c r="Z61" s="170">
        <v>1.2675010337094001E-2</v>
      </c>
    </row>
    <row r="62" spans="1:26">
      <c r="A62" s="4">
        <v>158</v>
      </c>
      <c r="B62" s="4">
        <v>9937</v>
      </c>
      <c r="C62" s="4" t="s">
        <v>37</v>
      </c>
      <c r="D62" s="4" t="s">
        <v>131</v>
      </c>
      <c r="E62" s="4" t="s">
        <v>132</v>
      </c>
      <c r="F62" s="4" t="s">
        <v>40</v>
      </c>
      <c r="G62" s="4" t="s">
        <v>30</v>
      </c>
      <c r="H62" s="4" t="s">
        <v>30</v>
      </c>
      <c r="I62" s="4" t="s">
        <v>56</v>
      </c>
      <c r="J62" s="4" t="s">
        <v>42</v>
      </c>
      <c r="K62" s="4" t="s">
        <v>43</v>
      </c>
      <c r="L62" s="4" t="s">
        <v>44</v>
      </c>
      <c r="M62" s="154">
        <v>0.23</v>
      </c>
      <c r="N62" s="4" t="s">
        <v>133</v>
      </c>
      <c r="O62" s="169">
        <v>0</v>
      </c>
      <c r="P62" s="170">
        <v>4.3630000000000002E-2</v>
      </c>
      <c r="R62" s="154">
        <v>260000</v>
      </c>
      <c r="S62" s="171">
        <v>1</v>
      </c>
      <c r="T62" s="173">
        <v>98.86</v>
      </c>
      <c r="U62" s="154">
        <v>257.036</v>
      </c>
      <c r="W62" s="4" t="s">
        <v>36</v>
      </c>
      <c r="X62" s="170">
        <v>2.1999999999999999E-5</v>
      </c>
      <c r="Y62" s="170">
        <v>2.4088321454286198E-2</v>
      </c>
      <c r="Z62" s="170">
        <v>8.2047294172592593E-3</v>
      </c>
    </row>
    <row r="63" spans="1:26">
      <c r="A63" s="4">
        <v>158</v>
      </c>
      <c r="B63" s="4">
        <v>9937</v>
      </c>
      <c r="C63" s="4" t="s">
        <v>37</v>
      </c>
      <c r="D63" s="4" t="s">
        <v>49</v>
      </c>
      <c r="E63" s="4" t="s">
        <v>50</v>
      </c>
      <c r="F63" s="4" t="s">
        <v>40</v>
      </c>
      <c r="G63" s="4" t="s">
        <v>30</v>
      </c>
      <c r="H63" s="4" t="s">
        <v>30</v>
      </c>
      <c r="I63" s="4" t="s">
        <v>41</v>
      </c>
      <c r="J63" s="4" t="s">
        <v>42</v>
      </c>
      <c r="K63" s="4" t="s">
        <v>43</v>
      </c>
      <c r="L63" s="4" t="s">
        <v>44</v>
      </c>
      <c r="M63" s="154">
        <v>0.55600000000000005</v>
      </c>
      <c r="N63" s="4" t="s">
        <v>51</v>
      </c>
      <c r="O63" s="169">
        <v>0</v>
      </c>
      <c r="P63" s="170">
        <v>4.3150000000000001E-2</v>
      </c>
      <c r="R63" s="154">
        <v>350000</v>
      </c>
      <c r="S63" s="171">
        <v>1</v>
      </c>
      <c r="T63" s="173">
        <v>97.52</v>
      </c>
      <c r="U63" s="154">
        <v>341.32</v>
      </c>
      <c r="W63" s="4" t="s">
        <v>36</v>
      </c>
      <c r="X63" s="170">
        <v>2.5000000000000001E-5</v>
      </c>
      <c r="Y63" s="170">
        <v>3.1987059706721901E-2</v>
      </c>
      <c r="Z63" s="170">
        <v>1.0895120701765199E-2</v>
      </c>
    </row>
    <row r="64" spans="1:26">
      <c r="A64" s="4">
        <v>158</v>
      </c>
      <c r="B64" s="4">
        <v>9937</v>
      </c>
      <c r="C64" s="4" t="s">
        <v>52</v>
      </c>
      <c r="D64" s="4" t="s">
        <v>53</v>
      </c>
      <c r="E64" s="4" t="s">
        <v>54</v>
      </c>
      <c r="F64" s="4" t="s">
        <v>55</v>
      </c>
      <c r="G64" s="4" t="s">
        <v>30</v>
      </c>
      <c r="H64" s="4" t="s">
        <v>30</v>
      </c>
      <c r="I64" s="4" t="s">
        <v>56</v>
      </c>
      <c r="J64" s="4" t="s">
        <v>42</v>
      </c>
      <c r="K64" s="4" t="s">
        <v>43</v>
      </c>
      <c r="L64" s="4" t="s">
        <v>44</v>
      </c>
      <c r="M64" s="154">
        <v>2.64</v>
      </c>
      <c r="N64" s="4" t="s">
        <v>57</v>
      </c>
      <c r="O64" s="169">
        <v>7.4999999999999997E-3</v>
      </c>
      <c r="P64" s="170">
        <v>1.6299999999999999E-2</v>
      </c>
      <c r="R64" s="154">
        <v>705000</v>
      </c>
      <c r="S64" s="171">
        <v>1</v>
      </c>
      <c r="T64" s="173">
        <v>114.25</v>
      </c>
      <c r="U64" s="154">
        <v>805.46199999999999</v>
      </c>
      <c r="W64" s="4" t="s">
        <v>36</v>
      </c>
      <c r="X64" s="170">
        <v>3.1999999999999999E-5</v>
      </c>
      <c r="Y64" s="170">
        <v>7.5484522087851599E-2</v>
      </c>
      <c r="Z64" s="170">
        <v>2.57108026434009E-2</v>
      </c>
    </row>
    <row r="65" spans="1:26">
      <c r="A65" s="4">
        <v>158</v>
      </c>
      <c r="B65" s="4">
        <v>9937</v>
      </c>
      <c r="C65" s="4" t="s">
        <v>52</v>
      </c>
      <c r="D65" s="4" t="s">
        <v>58</v>
      </c>
      <c r="E65" s="4" t="s">
        <v>59</v>
      </c>
      <c r="F65" s="4" t="s">
        <v>55</v>
      </c>
      <c r="G65" s="4" t="s">
        <v>30</v>
      </c>
      <c r="H65" s="4" t="s">
        <v>30</v>
      </c>
      <c r="I65" s="4" t="s">
        <v>56</v>
      </c>
      <c r="J65" s="4" t="s">
        <v>42</v>
      </c>
      <c r="K65" s="4" t="s">
        <v>43</v>
      </c>
      <c r="L65" s="4" t="s">
        <v>44</v>
      </c>
      <c r="M65" s="154">
        <v>1.0720000000000001</v>
      </c>
      <c r="N65" s="4" t="s">
        <v>60</v>
      </c>
      <c r="O65" s="169">
        <v>7.4999999999999997E-3</v>
      </c>
      <c r="P65" s="170">
        <v>1.303E-2</v>
      </c>
      <c r="R65" s="154">
        <v>640543</v>
      </c>
      <c r="S65" s="171">
        <v>1</v>
      </c>
      <c r="T65" s="173">
        <v>116.02</v>
      </c>
      <c r="U65" s="154">
        <v>743.15800000000002</v>
      </c>
      <c r="W65" s="4" t="s">
        <v>36</v>
      </c>
      <c r="X65" s="170">
        <v>3.0000000000000001E-5</v>
      </c>
      <c r="Y65" s="170">
        <v>6.9645608088818603E-2</v>
      </c>
      <c r="Z65" s="170">
        <v>2.37220086320112E-2</v>
      </c>
    </row>
    <row r="66" spans="1:26">
      <c r="A66" s="4">
        <v>158</v>
      </c>
      <c r="B66" s="4">
        <v>9937</v>
      </c>
      <c r="C66" s="4" t="s">
        <v>52</v>
      </c>
      <c r="D66" s="4" t="s">
        <v>61</v>
      </c>
      <c r="E66" s="4" t="s">
        <v>62</v>
      </c>
      <c r="F66" s="4" t="s">
        <v>55</v>
      </c>
      <c r="G66" s="4" t="s">
        <v>30</v>
      </c>
      <c r="H66" s="4" t="s">
        <v>30</v>
      </c>
      <c r="I66" s="4" t="s">
        <v>56</v>
      </c>
      <c r="J66" s="4" t="s">
        <v>42</v>
      </c>
      <c r="K66" s="4" t="s">
        <v>43</v>
      </c>
      <c r="L66" s="4" t="s">
        <v>44</v>
      </c>
      <c r="M66" s="154">
        <v>7.1340000000000003</v>
      </c>
      <c r="N66" s="4" t="s">
        <v>63</v>
      </c>
      <c r="O66" s="169">
        <v>1E-3</v>
      </c>
      <c r="P66" s="170">
        <v>1.9910000000000001E-2</v>
      </c>
      <c r="R66" s="154">
        <v>126000</v>
      </c>
      <c r="S66" s="171">
        <v>1</v>
      </c>
      <c r="T66" s="173">
        <v>101.1</v>
      </c>
      <c r="U66" s="154">
        <v>127.386</v>
      </c>
      <c r="W66" s="4" t="s">
        <v>36</v>
      </c>
      <c r="X66" s="170">
        <v>3.9999999999999998E-6</v>
      </c>
      <c r="Y66" s="170">
        <v>1.1938074498419301E-2</v>
      </c>
      <c r="Z66" s="170">
        <v>4.0662306507531498E-3</v>
      </c>
    </row>
    <row r="67" spans="1:26">
      <c r="A67" s="4">
        <v>158</v>
      </c>
      <c r="B67" s="4">
        <v>9937</v>
      </c>
      <c r="C67" s="4" t="s">
        <v>64</v>
      </c>
      <c r="D67" s="4" t="s">
        <v>69</v>
      </c>
      <c r="E67" s="4" t="s">
        <v>70</v>
      </c>
      <c r="F67" s="4" t="s">
        <v>67</v>
      </c>
      <c r="G67" s="4" t="s">
        <v>30</v>
      </c>
      <c r="H67" s="4" t="s">
        <v>30</v>
      </c>
      <c r="I67" s="4" t="s">
        <v>56</v>
      </c>
      <c r="J67" s="4" t="s">
        <v>42</v>
      </c>
      <c r="K67" s="4" t="s">
        <v>43</v>
      </c>
      <c r="L67" s="4" t="s">
        <v>44</v>
      </c>
      <c r="M67" s="154">
        <v>1.4</v>
      </c>
      <c r="N67" s="4" t="s">
        <v>71</v>
      </c>
      <c r="O67" s="169">
        <v>5.0000000000000001E-3</v>
      </c>
      <c r="P67" s="170">
        <v>4.3909999999999998E-2</v>
      </c>
      <c r="R67" s="154">
        <v>545000</v>
      </c>
      <c r="S67" s="171">
        <v>1</v>
      </c>
      <c r="T67" s="173">
        <v>95.1</v>
      </c>
      <c r="U67" s="154">
        <v>518.29499999999996</v>
      </c>
      <c r="W67" s="4" t="s">
        <v>36</v>
      </c>
      <c r="X67" s="170">
        <v>2.0000000000000002E-5</v>
      </c>
      <c r="Y67" s="170">
        <v>4.8572404519792098E-2</v>
      </c>
      <c r="Z67" s="170">
        <v>1.6544259299547101E-2</v>
      </c>
    </row>
    <row r="68" spans="1:26">
      <c r="A68" s="4">
        <v>158</v>
      </c>
      <c r="B68" s="4">
        <v>9937</v>
      </c>
      <c r="C68" s="4" t="s">
        <v>64</v>
      </c>
      <c r="D68" s="4" t="s">
        <v>72</v>
      </c>
      <c r="E68" s="4" t="s">
        <v>73</v>
      </c>
      <c r="F68" s="4" t="s">
        <v>67</v>
      </c>
      <c r="G68" s="4" t="s">
        <v>30</v>
      </c>
      <c r="H68" s="4" t="s">
        <v>30</v>
      </c>
      <c r="I68" s="4" t="s">
        <v>56</v>
      </c>
      <c r="J68" s="4" t="s">
        <v>42</v>
      </c>
      <c r="K68" s="4" t="s">
        <v>43</v>
      </c>
      <c r="L68" s="4" t="s">
        <v>44</v>
      </c>
      <c r="M68" s="154">
        <v>0.92</v>
      </c>
      <c r="N68" s="4" t="s">
        <v>74</v>
      </c>
      <c r="O68" s="169">
        <v>1.7500000000000002E-2</v>
      </c>
      <c r="P68" s="170">
        <v>4.1840000000000002E-2</v>
      </c>
      <c r="R68" s="154">
        <v>825075</v>
      </c>
      <c r="S68" s="171">
        <v>1</v>
      </c>
      <c r="T68" s="173">
        <v>98.02</v>
      </c>
      <c r="U68" s="154">
        <v>808.73900000000003</v>
      </c>
      <c r="W68" s="4" t="s">
        <v>36</v>
      </c>
      <c r="X68" s="170">
        <v>3.4999999999999997E-5</v>
      </c>
      <c r="Y68" s="170">
        <v>7.5791536289788602E-2</v>
      </c>
      <c r="Z68" s="170">
        <v>2.5815374830339199E-2</v>
      </c>
    </row>
    <row r="69" spans="1:26">
      <c r="A69" s="4">
        <v>158</v>
      </c>
      <c r="B69" s="4">
        <v>9937</v>
      </c>
      <c r="C69" s="4" t="s">
        <v>64</v>
      </c>
      <c r="D69" s="4" t="s">
        <v>75</v>
      </c>
      <c r="E69" s="4" t="s">
        <v>76</v>
      </c>
      <c r="F69" s="4" t="s">
        <v>67</v>
      </c>
      <c r="G69" s="4" t="s">
        <v>30</v>
      </c>
      <c r="H69" s="4" t="s">
        <v>30</v>
      </c>
      <c r="I69" s="4" t="s">
        <v>56</v>
      </c>
      <c r="J69" s="4" t="s">
        <v>42</v>
      </c>
      <c r="K69" s="4" t="s">
        <v>43</v>
      </c>
      <c r="L69" s="4" t="s">
        <v>44</v>
      </c>
      <c r="M69" s="154">
        <v>11.238</v>
      </c>
      <c r="N69" s="4" t="s">
        <v>77</v>
      </c>
      <c r="O69" s="169">
        <v>5.5E-2</v>
      </c>
      <c r="P69" s="170">
        <v>5.1729999999999998E-2</v>
      </c>
      <c r="R69" s="154">
        <v>345814</v>
      </c>
      <c r="S69" s="171">
        <v>1</v>
      </c>
      <c r="T69" s="173">
        <v>107.34</v>
      </c>
      <c r="U69" s="154">
        <v>371.197</v>
      </c>
      <c r="W69" s="4" t="s">
        <v>36</v>
      </c>
      <c r="X69" s="170">
        <v>1.5999999999999999E-5</v>
      </c>
      <c r="Y69" s="170">
        <v>3.4786981508327E-2</v>
      </c>
      <c r="Z69" s="170">
        <v>1.18488027927009E-2</v>
      </c>
    </row>
    <row r="70" spans="1:26">
      <c r="A70" s="4">
        <v>158</v>
      </c>
      <c r="B70" s="4">
        <v>9937</v>
      </c>
      <c r="C70" s="4" t="s">
        <v>52</v>
      </c>
      <c r="D70" s="4" t="s">
        <v>78</v>
      </c>
      <c r="E70" s="4" t="s">
        <v>79</v>
      </c>
      <c r="F70" s="4" t="s">
        <v>55</v>
      </c>
      <c r="G70" s="4" t="s">
        <v>30</v>
      </c>
      <c r="H70" s="4" t="s">
        <v>30</v>
      </c>
      <c r="I70" s="4" t="s">
        <v>56</v>
      </c>
      <c r="J70" s="4" t="s">
        <v>42</v>
      </c>
      <c r="K70" s="4" t="s">
        <v>43</v>
      </c>
      <c r="L70" s="4" t="s">
        <v>44</v>
      </c>
      <c r="M70" s="154">
        <v>4.6100000000000003</v>
      </c>
      <c r="N70" s="4" t="s">
        <v>80</v>
      </c>
      <c r="O70" s="169">
        <v>5.0000000000000001E-3</v>
      </c>
      <c r="P70" s="170">
        <v>1.8280000000000001E-2</v>
      </c>
      <c r="R70" s="154">
        <v>1710000</v>
      </c>
      <c r="S70" s="171">
        <v>1</v>
      </c>
      <c r="T70" s="173">
        <v>108.85</v>
      </c>
      <c r="U70" s="154">
        <v>1861.335</v>
      </c>
      <c r="W70" s="4" t="s">
        <v>36</v>
      </c>
      <c r="X70" s="170">
        <v>6.3E-5</v>
      </c>
      <c r="Y70" s="170">
        <v>0.174436405072106</v>
      </c>
      <c r="Z70" s="170">
        <v>5.9414829167409498E-2</v>
      </c>
    </row>
    <row r="71" spans="1:26">
      <c r="A71" s="4">
        <v>158</v>
      </c>
      <c r="B71" s="4">
        <v>9937</v>
      </c>
      <c r="C71" s="4" t="s">
        <v>52</v>
      </c>
      <c r="D71" s="4" t="s">
        <v>81</v>
      </c>
      <c r="E71" s="4" t="s">
        <v>82</v>
      </c>
      <c r="F71" s="4" t="s">
        <v>55</v>
      </c>
      <c r="G71" s="4" t="s">
        <v>30</v>
      </c>
      <c r="H71" s="4" t="s">
        <v>30</v>
      </c>
      <c r="I71" s="4" t="s">
        <v>56</v>
      </c>
      <c r="J71" s="4" t="s">
        <v>42</v>
      </c>
      <c r="K71" s="4" t="s">
        <v>43</v>
      </c>
      <c r="L71" s="4" t="s">
        <v>44</v>
      </c>
      <c r="M71" s="154">
        <v>1.83</v>
      </c>
      <c r="N71" s="4" t="s">
        <v>83</v>
      </c>
      <c r="O71" s="169">
        <v>1E-3</v>
      </c>
      <c r="P71" s="170">
        <v>1.5679999999999999E-2</v>
      </c>
      <c r="R71" s="154">
        <v>451000</v>
      </c>
      <c r="S71" s="171">
        <v>1</v>
      </c>
      <c r="T71" s="173">
        <v>112.44</v>
      </c>
      <c r="U71" s="154">
        <v>507.10399999999998</v>
      </c>
      <c r="W71" s="4" t="s">
        <v>36</v>
      </c>
      <c r="X71" s="170">
        <v>2.1999999999999999E-5</v>
      </c>
      <c r="Y71" s="170">
        <v>4.7523669050572502E-2</v>
      </c>
      <c r="Z71" s="170">
        <v>1.6187049239412402E-2</v>
      </c>
    </row>
    <row r="72" spans="1:26">
      <c r="A72" s="4">
        <v>158</v>
      </c>
      <c r="B72" s="4">
        <v>9937</v>
      </c>
      <c r="C72" s="4" t="s">
        <v>52</v>
      </c>
      <c r="D72" s="4" t="s">
        <v>84</v>
      </c>
      <c r="E72" s="4" t="s">
        <v>85</v>
      </c>
      <c r="F72" s="4" t="s">
        <v>55</v>
      </c>
      <c r="G72" s="4" t="s">
        <v>30</v>
      </c>
      <c r="H72" s="4" t="s">
        <v>30</v>
      </c>
      <c r="I72" s="4" t="s">
        <v>56</v>
      </c>
      <c r="J72" s="4" t="s">
        <v>42</v>
      </c>
      <c r="K72" s="4" t="s">
        <v>43</v>
      </c>
      <c r="L72" s="4" t="s">
        <v>44</v>
      </c>
      <c r="M72" s="154">
        <v>3.972</v>
      </c>
      <c r="N72" s="4" t="s">
        <v>86</v>
      </c>
      <c r="O72" s="169">
        <v>1.0999999999999999E-2</v>
      </c>
      <c r="P72" s="170">
        <v>1.806E-2</v>
      </c>
      <c r="R72" s="154">
        <v>219743</v>
      </c>
      <c r="S72" s="171">
        <v>1</v>
      </c>
      <c r="T72" s="173">
        <v>102.6</v>
      </c>
      <c r="U72" s="154">
        <v>225.45599999999999</v>
      </c>
      <c r="W72" s="4" t="s">
        <v>36</v>
      </c>
      <c r="X72" s="170">
        <v>1.1E-5</v>
      </c>
      <c r="Y72" s="170">
        <v>2.11288078785998E-2</v>
      </c>
      <c r="Z72" s="170">
        <v>7.1966887307675096E-3</v>
      </c>
    </row>
    <row r="73" spans="1:26">
      <c r="A73" s="4">
        <v>158</v>
      </c>
      <c r="B73" s="4">
        <v>9937</v>
      </c>
      <c r="C73" s="4" t="s">
        <v>64</v>
      </c>
      <c r="D73" s="4" t="s">
        <v>87</v>
      </c>
      <c r="E73" s="4" t="s">
        <v>88</v>
      </c>
      <c r="F73" s="4" t="s">
        <v>67</v>
      </c>
      <c r="G73" s="4" t="s">
        <v>30</v>
      </c>
      <c r="H73" s="4" t="s">
        <v>30</v>
      </c>
      <c r="I73" s="4" t="s">
        <v>56</v>
      </c>
      <c r="J73" s="4" t="s">
        <v>42</v>
      </c>
      <c r="K73" s="4" t="s">
        <v>43</v>
      </c>
      <c r="L73" s="4" t="s">
        <v>44</v>
      </c>
      <c r="M73" s="154">
        <v>5.33</v>
      </c>
      <c r="N73" s="4" t="s">
        <v>89</v>
      </c>
      <c r="O73" s="169">
        <v>0.01</v>
      </c>
      <c r="P73" s="170">
        <v>4.6289999999999998E-2</v>
      </c>
      <c r="R73" s="154">
        <v>1640000</v>
      </c>
      <c r="S73" s="171">
        <v>1</v>
      </c>
      <c r="T73" s="173">
        <v>83.24</v>
      </c>
      <c r="U73" s="154">
        <v>1365.136</v>
      </c>
      <c r="W73" s="4" t="s">
        <v>36</v>
      </c>
      <c r="X73" s="170">
        <v>4.3000000000000002E-5</v>
      </c>
      <c r="Y73" s="170">
        <v>0.127934743758923</v>
      </c>
      <c r="Z73" s="170">
        <v>4.3575886248461801E-2</v>
      </c>
    </row>
    <row r="74" spans="1:26">
      <c r="A74" s="4">
        <v>158</v>
      </c>
      <c r="B74" s="4">
        <v>9937</v>
      </c>
      <c r="C74" s="4" t="s">
        <v>64</v>
      </c>
      <c r="D74" s="4" t="s">
        <v>90</v>
      </c>
      <c r="E74" s="4" t="s">
        <v>91</v>
      </c>
      <c r="F74" s="4" t="s">
        <v>67</v>
      </c>
      <c r="G74" s="4" t="s">
        <v>30</v>
      </c>
      <c r="H74" s="4" t="s">
        <v>30</v>
      </c>
      <c r="I74" s="4" t="s">
        <v>56</v>
      </c>
      <c r="J74" s="4" t="s">
        <v>42</v>
      </c>
      <c r="K74" s="4" t="s">
        <v>43</v>
      </c>
      <c r="L74" s="4" t="s">
        <v>44</v>
      </c>
      <c r="M74" s="154">
        <v>7.1239999999999997</v>
      </c>
      <c r="N74" s="4" t="s">
        <v>92</v>
      </c>
      <c r="O74" s="169">
        <v>1.2999999999999999E-2</v>
      </c>
      <c r="P74" s="170">
        <v>4.7539999999999999E-2</v>
      </c>
      <c r="R74" s="154">
        <v>985000</v>
      </c>
      <c r="S74" s="171">
        <v>1</v>
      </c>
      <c r="T74" s="173">
        <v>78.98</v>
      </c>
      <c r="U74" s="154">
        <v>777.95299999999997</v>
      </c>
      <c r="W74" s="4" t="s">
        <v>36</v>
      </c>
      <c r="X74" s="170">
        <v>3.3000000000000003E-5</v>
      </c>
      <c r="Y74" s="170">
        <v>7.2906448669938603E-2</v>
      </c>
      <c r="Z74" s="170">
        <v>2.4832684387965501E-2</v>
      </c>
    </row>
    <row r="75" spans="1:26">
      <c r="X75" s="151"/>
    </row>
    <row r="76" spans="1:26">
      <c r="X76" s="151"/>
    </row>
    <row r="77" spans="1:26">
      <c r="X77" s="151"/>
    </row>
    <row r="78" spans="1:26">
      <c r="X78" s="151"/>
    </row>
    <row r="79" spans="1:26">
      <c r="X79" s="151"/>
    </row>
    <row r="80" spans="1:26">
      <c r="X80" s="151"/>
    </row>
    <row r="81" spans="24:24">
      <c r="X81" s="151"/>
    </row>
    <row r="82" spans="24:24">
      <c r="X82" s="151"/>
    </row>
    <row r="83" spans="24:24">
      <c r="X83" s="151"/>
    </row>
    <row r="84" spans="24:24">
      <c r="X84" s="151"/>
    </row>
    <row r="85" spans="24:24">
      <c r="X85" s="151"/>
    </row>
    <row r="86" spans="24:24">
      <c r="X86" s="151"/>
    </row>
    <row r="87" spans="24:24">
      <c r="X87" s="151"/>
    </row>
    <row r="88" spans="24:24">
      <c r="X88" s="151"/>
    </row>
    <row r="89" spans="24:24">
      <c r="X89" s="151"/>
    </row>
    <row r="90" spans="24:24">
      <c r="X90" s="151"/>
    </row>
    <row r="91" spans="24:24">
      <c r="X91" s="151"/>
    </row>
    <row r="92" spans="24:24">
      <c r="X92" s="151"/>
    </row>
    <row r="93" spans="24:24">
      <c r="X93" s="151"/>
    </row>
    <row r="94" spans="24:24">
      <c r="X94" s="151"/>
    </row>
    <row r="95" spans="24:24">
      <c r="X95" s="151"/>
    </row>
    <row r="96" spans="24:24">
      <c r="X96" s="151"/>
    </row>
    <row r="97" spans="24:24">
      <c r="X97" s="151"/>
    </row>
    <row r="98" spans="24:24">
      <c r="X98" s="151"/>
    </row>
    <row r="99" spans="24:24">
      <c r="X99" s="151"/>
    </row>
    <row r="100" spans="24:24">
      <c r="X100" s="151"/>
    </row>
    <row r="101" spans="24:24">
      <c r="X101" s="151"/>
    </row>
    <row r="102" spans="24:24">
      <c r="X102" s="151"/>
    </row>
    <row r="103" spans="24:24">
      <c r="X103" s="151"/>
    </row>
    <row r="104" spans="24:24">
      <c r="X104" s="151"/>
    </row>
    <row r="105" spans="24:24">
      <c r="X105" s="151"/>
    </row>
    <row r="106" spans="24:24">
      <c r="X106" s="151"/>
    </row>
    <row r="107" spans="24:24">
      <c r="X107" s="151"/>
    </row>
    <row r="108" spans="24:24">
      <c r="X108" s="151"/>
    </row>
    <row r="109" spans="24:24">
      <c r="X109" s="151"/>
    </row>
    <row r="110" spans="24:24">
      <c r="X110" s="151"/>
    </row>
    <row r="111" spans="24:24">
      <c r="X111" s="151"/>
    </row>
    <row r="112" spans="24:24">
      <c r="X112" s="151"/>
    </row>
    <row r="113" spans="24:24">
      <c r="X113" s="151"/>
    </row>
    <row r="114" spans="24:24">
      <c r="X114" s="151"/>
    </row>
    <row r="115" spans="24:24">
      <c r="X115" s="151"/>
    </row>
    <row r="116" spans="24:24">
      <c r="X116" s="151"/>
    </row>
    <row r="117" spans="24:24">
      <c r="X117" s="151"/>
    </row>
    <row r="118" spans="24:24">
      <c r="X118" s="151"/>
    </row>
    <row r="119" spans="24:24">
      <c r="X119" s="151"/>
    </row>
    <row r="120" spans="24:24">
      <c r="X120" s="151"/>
    </row>
    <row r="121" spans="24:24">
      <c r="X121" s="151"/>
    </row>
    <row r="122" spans="24:24">
      <c r="X122" s="151"/>
    </row>
    <row r="123" spans="24:24">
      <c r="X123" s="151"/>
    </row>
    <row r="124" spans="24:24">
      <c r="X124" s="151"/>
    </row>
    <row r="125" spans="24:24">
      <c r="X125" s="151"/>
    </row>
    <row r="126" spans="24:24">
      <c r="X126" s="151"/>
    </row>
    <row r="127" spans="24:24">
      <c r="X127" s="151"/>
    </row>
    <row r="128" spans="24:24">
      <c r="X128" s="151"/>
    </row>
    <row r="129" spans="24:24">
      <c r="X129" s="151"/>
    </row>
    <row r="130" spans="24:24">
      <c r="X130" s="151"/>
    </row>
    <row r="131" spans="24:24">
      <c r="X131" s="151"/>
    </row>
    <row r="132" spans="24:24">
      <c r="X132" s="151"/>
    </row>
    <row r="133" spans="24:24">
      <c r="X133" s="151"/>
    </row>
    <row r="134" spans="24:24">
      <c r="X134" s="151"/>
    </row>
    <row r="135" spans="24:24">
      <c r="X135" s="151"/>
    </row>
    <row r="136" spans="24:24">
      <c r="X136" s="151"/>
    </row>
    <row r="137" spans="24:24">
      <c r="X137" s="151"/>
    </row>
    <row r="138" spans="24:24">
      <c r="X138" s="151"/>
    </row>
    <row r="139" spans="24:24">
      <c r="X139" s="151"/>
    </row>
    <row r="140" spans="24:24">
      <c r="X140" s="151"/>
    </row>
    <row r="141" spans="24:24">
      <c r="X141" s="151"/>
    </row>
    <row r="142" spans="24:24">
      <c r="X142" s="151"/>
    </row>
    <row r="143" spans="24:24">
      <c r="X143" s="151"/>
    </row>
    <row r="144" spans="24:24">
      <c r="X144" s="151"/>
    </row>
    <row r="145" spans="24:24">
      <c r="X145" s="151"/>
    </row>
    <row r="146" spans="24:24">
      <c r="X146" s="151"/>
    </row>
    <row r="147" spans="24:24">
      <c r="X147" s="151"/>
    </row>
    <row r="148" spans="24:24">
      <c r="X148" s="151"/>
    </row>
    <row r="149" spans="24:24">
      <c r="X149" s="151"/>
    </row>
    <row r="150" spans="24:24">
      <c r="X150" s="151"/>
    </row>
    <row r="151" spans="24:24">
      <c r="X151" s="151"/>
    </row>
    <row r="152" spans="24:24">
      <c r="X152" s="151"/>
    </row>
    <row r="153" spans="24:24">
      <c r="X153" s="151"/>
    </row>
    <row r="154" spans="24:24">
      <c r="X154" s="151"/>
    </row>
    <row r="155" spans="24:24">
      <c r="X155" s="151"/>
    </row>
    <row r="156" spans="24:24">
      <c r="X156" s="151"/>
    </row>
    <row r="157" spans="24:24">
      <c r="X157" s="151"/>
    </row>
    <row r="158" spans="24:24">
      <c r="X158" s="151"/>
    </row>
    <row r="159" spans="24:24">
      <c r="X159" s="151"/>
    </row>
    <row r="160" spans="24:24">
      <c r="X160" s="151"/>
    </row>
    <row r="161" spans="24:24">
      <c r="X161" s="151"/>
    </row>
    <row r="162" spans="24:24">
      <c r="X162" s="151"/>
    </row>
    <row r="163" spans="24:24">
      <c r="X163" s="151"/>
    </row>
    <row r="164" spans="24:24">
      <c r="X164" s="151"/>
    </row>
    <row r="165" spans="24:24">
      <c r="X165" s="151"/>
    </row>
    <row r="166" spans="24:24">
      <c r="X166" s="151"/>
    </row>
    <row r="167" spans="24:24">
      <c r="X167" s="151"/>
    </row>
    <row r="168" spans="24:24">
      <c r="X168" s="151"/>
    </row>
    <row r="169" spans="24:24">
      <c r="X169" s="151"/>
    </row>
    <row r="170" spans="24:24">
      <c r="X170" s="151"/>
    </row>
    <row r="171" spans="24:24">
      <c r="X171" s="151"/>
    </row>
    <row r="172" spans="24:24">
      <c r="X172" s="151"/>
    </row>
    <row r="173" spans="24:24">
      <c r="X173" s="151"/>
    </row>
    <row r="174" spans="24:24">
      <c r="X174" s="151"/>
    </row>
    <row r="175" spans="24:24">
      <c r="X175" s="151"/>
    </row>
    <row r="176" spans="24:24">
      <c r="X176" s="151"/>
    </row>
    <row r="177" spans="24:24">
      <c r="X177" s="151"/>
    </row>
    <row r="178" spans="24:24">
      <c r="X178" s="151"/>
    </row>
    <row r="179" spans="24:24">
      <c r="X179" s="151"/>
    </row>
    <row r="180" spans="24:24">
      <c r="X180" s="151"/>
    </row>
    <row r="181" spans="24:24">
      <c r="X181" s="151"/>
    </row>
    <row r="182" spans="24:24">
      <c r="X182" s="151"/>
    </row>
    <row r="183" spans="24:24">
      <c r="X183" s="151"/>
    </row>
    <row r="184" spans="24:24">
      <c r="X184" s="151"/>
    </row>
    <row r="185" spans="24:24">
      <c r="X185" s="151"/>
    </row>
    <row r="186" spans="24:24">
      <c r="X186" s="151"/>
    </row>
    <row r="187" spans="24:24">
      <c r="X187" s="151"/>
    </row>
    <row r="188" spans="24:24">
      <c r="X188" s="151"/>
    </row>
    <row r="189" spans="24:24">
      <c r="X189" s="151"/>
    </row>
    <row r="190" spans="24:24">
      <c r="X190" s="151"/>
    </row>
    <row r="191" spans="24:24">
      <c r="X191" s="151"/>
    </row>
    <row r="192" spans="24:24">
      <c r="X192" s="151"/>
    </row>
    <row r="193" spans="24:24">
      <c r="X193" s="151"/>
    </row>
    <row r="194" spans="24:24">
      <c r="X194" s="151"/>
    </row>
    <row r="195" spans="24:24">
      <c r="X195" s="151"/>
    </row>
    <row r="196" spans="24:24">
      <c r="X196" s="151"/>
    </row>
    <row r="197" spans="24:24">
      <c r="X197" s="151"/>
    </row>
    <row r="198" spans="24:24">
      <c r="X198" s="151"/>
    </row>
    <row r="199" spans="24:24">
      <c r="X199" s="151"/>
    </row>
    <row r="200" spans="24:24">
      <c r="X200" s="151"/>
    </row>
    <row r="201" spans="24:24">
      <c r="X201" s="151"/>
    </row>
    <row r="202" spans="24:24">
      <c r="X202" s="151"/>
    </row>
    <row r="203" spans="24:24">
      <c r="X203" s="151"/>
    </row>
    <row r="204" spans="24:24">
      <c r="X204" s="151"/>
    </row>
    <row r="205" spans="24:24">
      <c r="X205" s="151"/>
    </row>
    <row r="206" spans="24:24">
      <c r="X206" s="151"/>
    </row>
    <row r="207" spans="24:24">
      <c r="X207" s="151"/>
    </row>
    <row r="208" spans="24:24">
      <c r="X208" s="151"/>
    </row>
    <row r="209" spans="24:24">
      <c r="X209" s="151"/>
    </row>
    <row r="210" spans="24:24">
      <c r="X210" s="151"/>
    </row>
    <row r="211" spans="24:24">
      <c r="X211" s="151"/>
    </row>
    <row r="212" spans="24:24">
      <c r="X212" s="151"/>
    </row>
    <row r="213" spans="24:24">
      <c r="X213" s="151"/>
    </row>
    <row r="214" spans="24:24">
      <c r="X214" s="151"/>
    </row>
    <row r="215" spans="24:24">
      <c r="X215" s="151"/>
    </row>
    <row r="216" spans="24:24">
      <c r="X216" s="151"/>
    </row>
    <row r="217" spans="24:24">
      <c r="X217" s="151"/>
    </row>
    <row r="218" spans="24:24">
      <c r="X218" s="151"/>
    </row>
    <row r="219" spans="24:24">
      <c r="X219" s="151"/>
    </row>
    <row r="220" spans="24:24">
      <c r="X220" s="151"/>
    </row>
    <row r="221" spans="24:24">
      <c r="X221" s="151"/>
    </row>
    <row r="222" spans="24:24">
      <c r="X222" s="151"/>
    </row>
    <row r="223" spans="24:24">
      <c r="X223" s="151"/>
    </row>
    <row r="224" spans="24:24">
      <c r="X224" s="151"/>
    </row>
    <row r="225" spans="24:24">
      <c r="X225" s="151"/>
    </row>
    <row r="226" spans="24:24">
      <c r="X226" s="151"/>
    </row>
    <row r="227" spans="24:24">
      <c r="X227" s="151"/>
    </row>
    <row r="228" spans="24:24">
      <c r="X228" s="151"/>
    </row>
    <row r="229" spans="24:24">
      <c r="X229" s="151"/>
    </row>
    <row r="230" spans="24:24">
      <c r="X230" s="151"/>
    </row>
    <row r="231" spans="24:24">
      <c r="X231" s="151"/>
    </row>
    <row r="232" spans="24:24">
      <c r="X232" s="151"/>
    </row>
    <row r="233" spans="24:24">
      <c r="X233" s="151"/>
    </row>
    <row r="234" spans="24:24">
      <c r="X234" s="151"/>
    </row>
    <row r="235" spans="24:24">
      <c r="X235" s="151"/>
    </row>
    <row r="236" spans="24:24">
      <c r="X236" s="151"/>
    </row>
    <row r="237" spans="24:24">
      <c r="X237" s="151"/>
    </row>
    <row r="238" spans="24:24">
      <c r="X238" s="151"/>
    </row>
    <row r="239" spans="24:24">
      <c r="X239" s="151"/>
    </row>
    <row r="240" spans="24:24">
      <c r="X240" s="151"/>
    </row>
    <row r="241" spans="24:24">
      <c r="X241" s="151"/>
    </row>
    <row r="242" spans="24:24">
      <c r="X242" s="151"/>
    </row>
    <row r="243" spans="24:24">
      <c r="X243" s="151"/>
    </row>
    <row r="244" spans="24:24">
      <c r="X244" s="151"/>
    </row>
    <row r="245" spans="24:24">
      <c r="X245" s="151"/>
    </row>
    <row r="246" spans="24:24">
      <c r="X246" s="151"/>
    </row>
    <row r="247" spans="24:24">
      <c r="X247" s="151"/>
    </row>
    <row r="248" spans="24:24">
      <c r="X248" s="151"/>
    </row>
    <row r="249" spans="24:24">
      <c r="X249" s="151"/>
    </row>
    <row r="250" spans="24:24">
      <c r="X250" s="151"/>
    </row>
    <row r="251" spans="24:24">
      <c r="X251" s="151"/>
    </row>
    <row r="252" spans="24:24">
      <c r="X252" s="151"/>
    </row>
    <row r="253" spans="24:24">
      <c r="X253" s="151"/>
    </row>
    <row r="254" spans="24:24">
      <c r="X254" s="151"/>
    </row>
    <row r="255" spans="24:24">
      <c r="X255" s="151"/>
    </row>
    <row r="256" spans="24:24">
      <c r="X256" s="151"/>
    </row>
    <row r="257" spans="24:24">
      <c r="X257" s="151"/>
    </row>
    <row r="258" spans="24:24">
      <c r="X258" s="151"/>
    </row>
    <row r="259" spans="24:24">
      <c r="X259" s="151"/>
    </row>
    <row r="260" spans="24:24">
      <c r="X260" s="151"/>
    </row>
    <row r="261" spans="24:24">
      <c r="X261" s="151"/>
    </row>
    <row r="262" spans="24:24">
      <c r="X262" s="151"/>
    </row>
    <row r="263" spans="24:24">
      <c r="X263" s="151"/>
    </row>
    <row r="264" spans="24:24">
      <c r="X264" s="151"/>
    </row>
    <row r="265" spans="24:24">
      <c r="X265" s="151"/>
    </row>
    <row r="266" spans="24:24">
      <c r="X266" s="151"/>
    </row>
    <row r="267" spans="24:24">
      <c r="X267" s="151"/>
    </row>
    <row r="268" spans="24:24">
      <c r="X268" s="151"/>
    </row>
    <row r="269" spans="24:24">
      <c r="X269" s="151"/>
    </row>
    <row r="270" spans="24:24">
      <c r="X270" s="151"/>
    </row>
    <row r="271" spans="24:24">
      <c r="X271" s="151"/>
    </row>
    <row r="272" spans="24:24">
      <c r="X272" s="151"/>
    </row>
    <row r="273" spans="24:24">
      <c r="X273" s="151"/>
    </row>
    <row r="274" spans="24:24">
      <c r="X274" s="151"/>
    </row>
    <row r="275" spans="24:24">
      <c r="X275" s="151"/>
    </row>
    <row r="276" spans="24:24">
      <c r="X276" s="151"/>
    </row>
    <row r="277" spans="24:24">
      <c r="X277" s="151"/>
    </row>
    <row r="278" spans="24:24">
      <c r="X278" s="151"/>
    </row>
    <row r="279" spans="24:24">
      <c r="X279" s="151"/>
    </row>
    <row r="280" spans="24:24">
      <c r="X280" s="151"/>
    </row>
    <row r="281" spans="24:24">
      <c r="X281" s="151"/>
    </row>
    <row r="282" spans="24:24">
      <c r="X282" s="151"/>
    </row>
    <row r="283" spans="24:24">
      <c r="X283" s="151"/>
    </row>
    <row r="284" spans="24:24">
      <c r="X284" s="151"/>
    </row>
    <row r="285" spans="24:24">
      <c r="X285" s="151"/>
    </row>
    <row r="286" spans="24:24">
      <c r="X286" s="151"/>
    </row>
    <row r="287" spans="24:24">
      <c r="X287" s="151"/>
    </row>
    <row r="288" spans="24:24">
      <c r="X288" s="151"/>
    </row>
    <row r="289" spans="24:24">
      <c r="X289" s="151"/>
    </row>
    <row r="290" spans="24:24">
      <c r="X290" s="151"/>
    </row>
    <row r="291" spans="24:24">
      <c r="X291" s="151"/>
    </row>
    <row r="292" spans="24:24">
      <c r="X292" s="151"/>
    </row>
    <row r="293" spans="24:24">
      <c r="X293" s="151"/>
    </row>
    <row r="294" spans="24:24">
      <c r="X294" s="151"/>
    </row>
    <row r="295" spans="24:24">
      <c r="X295" s="151"/>
    </row>
    <row r="296" spans="24:24">
      <c r="X296" s="151"/>
    </row>
    <row r="297" spans="24:24">
      <c r="X297" s="151"/>
    </row>
    <row r="298" spans="24:24">
      <c r="X298" s="151"/>
    </row>
    <row r="299" spans="24:24">
      <c r="X299" s="151"/>
    </row>
    <row r="300" spans="24:24">
      <c r="X300" s="151"/>
    </row>
    <row r="301" spans="24:24">
      <c r="X301" s="151"/>
    </row>
    <row r="302" spans="24:24">
      <c r="X302" s="151"/>
    </row>
    <row r="303" spans="24:24">
      <c r="X303" s="151"/>
    </row>
    <row r="304" spans="24:24">
      <c r="X304" s="151"/>
    </row>
    <row r="305" spans="24:24">
      <c r="X305" s="151"/>
    </row>
    <row r="306" spans="24:24">
      <c r="X306" s="151"/>
    </row>
    <row r="307" spans="24:24">
      <c r="X307" s="151"/>
    </row>
    <row r="308" spans="24:24">
      <c r="X308" s="151"/>
    </row>
    <row r="309" spans="24:24">
      <c r="X309" s="151"/>
    </row>
    <row r="310" spans="24:24">
      <c r="X310" s="151"/>
    </row>
    <row r="311" spans="24:24">
      <c r="X311" s="151"/>
    </row>
    <row r="312" spans="24:24">
      <c r="X312" s="151"/>
    </row>
    <row r="313" spans="24:24">
      <c r="X313" s="151"/>
    </row>
    <row r="314" spans="24:24">
      <c r="X314" s="151"/>
    </row>
    <row r="315" spans="24:24">
      <c r="X315" s="151"/>
    </row>
    <row r="316" spans="24:24">
      <c r="X316" s="151"/>
    </row>
    <row r="317" spans="24:24">
      <c r="X317" s="151"/>
    </row>
    <row r="318" spans="24:24">
      <c r="X318" s="151"/>
    </row>
    <row r="319" spans="24:24">
      <c r="X319" s="151"/>
    </row>
    <row r="320" spans="24:24">
      <c r="X320" s="151"/>
    </row>
    <row r="321" spans="24:24">
      <c r="X321" s="151"/>
    </row>
    <row r="322" spans="24:24">
      <c r="X322" s="151"/>
    </row>
    <row r="323" spans="24:24">
      <c r="X323" s="151"/>
    </row>
    <row r="324" spans="24:24">
      <c r="X324" s="151"/>
    </row>
    <row r="325" spans="24:24">
      <c r="X325" s="151"/>
    </row>
    <row r="326" spans="24:24">
      <c r="X326" s="151"/>
    </row>
    <row r="327" spans="24:24">
      <c r="X327" s="151"/>
    </row>
    <row r="328" spans="24:24">
      <c r="X328" s="151"/>
    </row>
    <row r="329" spans="24:24">
      <c r="X329" s="151"/>
    </row>
    <row r="330" spans="24:24">
      <c r="X330" s="151"/>
    </row>
    <row r="331" spans="24:24">
      <c r="X331" s="151"/>
    </row>
    <row r="332" spans="24:24">
      <c r="X332" s="151"/>
    </row>
    <row r="333" spans="24:24">
      <c r="X333" s="151"/>
    </row>
    <row r="334" spans="24:24">
      <c r="X334" s="151"/>
    </row>
    <row r="335" spans="24:24">
      <c r="X335" s="151"/>
    </row>
    <row r="336" spans="24:24">
      <c r="X336" s="151"/>
    </row>
    <row r="337" spans="24:24">
      <c r="X337" s="151"/>
    </row>
    <row r="338" spans="24:24">
      <c r="X338" s="151"/>
    </row>
    <row r="339" spans="24:24">
      <c r="X339" s="151"/>
    </row>
    <row r="340" spans="24:24">
      <c r="X340" s="151"/>
    </row>
    <row r="341" spans="24:24">
      <c r="X341" s="151"/>
    </row>
    <row r="342" spans="24:24">
      <c r="X342" s="151"/>
    </row>
    <row r="343" spans="24:24">
      <c r="X343" s="151"/>
    </row>
    <row r="344" spans="24:24">
      <c r="X344" s="151"/>
    </row>
    <row r="345" spans="24:24">
      <c r="X345" s="151"/>
    </row>
    <row r="346" spans="24:24">
      <c r="X346" s="151"/>
    </row>
    <row r="347" spans="24:24">
      <c r="X347" s="151"/>
    </row>
    <row r="348" spans="24:24">
      <c r="X348" s="151"/>
    </row>
    <row r="349" spans="24:24">
      <c r="X349" s="151"/>
    </row>
    <row r="350" spans="24:24">
      <c r="X350" s="151"/>
    </row>
    <row r="351" spans="24:24">
      <c r="X351" s="151"/>
    </row>
    <row r="352" spans="24:24">
      <c r="X352" s="151"/>
    </row>
    <row r="353" spans="24:24">
      <c r="X353" s="151"/>
    </row>
    <row r="354" spans="24:24">
      <c r="X354" s="151"/>
    </row>
    <row r="355" spans="24:24">
      <c r="X355" s="151"/>
    </row>
    <row r="356" spans="24:24">
      <c r="X356" s="151"/>
    </row>
    <row r="357" spans="24:24">
      <c r="X357" s="151"/>
    </row>
    <row r="358" spans="24:24">
      <c r="X358" s="151"/>
    </row>
    <row r="359" spans="24:24">
      <c r="X359" s="151"/>
    </row>
    <row r="360" spans="24:24">
      <c r="X360" s="151"/>
    </row>
    <row r="361" spans="24:24">
      <c r="X361" s="151"/>
    </row>
    <row r="362" spans="24:24">
      <c r="X362" s="151"/>
    </row>
    <row r="363" spans="24:24">
      <c r="X363" s="151"/>
    </row>
    <row r="364" spans="24:24">
      <c r="X364" s="151"/>
    </row>
    <row r="365" spans="24:24">
      <c r="X365" s="151"/>
    </row>
    <row r="366" spans="24:24">
      <c r="X366" s="151"/>
    </row>
    <row r="367" spans="24:24">
      <c r="X367" s="151"/>
    </row>
    <row r="368" spans="24:24">
      <c r="X368" s="151"/>
    </row>
    <row r="369" spans="24:24">
      <c r="X369" s="151"/>
    </row>
    <row r="370" spans="24:24">
      <c r="X370" s="151"/>
    </row>
    <row r="371" spans="24:24">
      <c r="X371" s="151"/>
    </row>
    <row r="372" spans="24:24">
      <c r="X372" s="151"/>
    </row>
    <row r="373" spans="24:24">
      <c r="X373" s="151"/>
    </row>
    <row r="374" spans="24:24">
      <c r="X374" s="151"/>
    </row>
    <row r="375" spans="24:24">
      <c r="X375" s="151"/>
    </row>
    <row r="376" spans="24:24">
      <c r="X376" s="151"/>
    </row>
    <row r="377" spans="24:24">
      <c r="X377" s="151"/>
    </row>
    <row r="378" spans="24:24">
      <c r="X378" s="151"/>
    </row>
    <row r="379" spans="24:24">
      <c r="X379" s="151"/>
    </row>
    <row r="380" spans="24:24">
      <c r="X380" s="151"/>
    </row>
    <row r="381" spans="24:24">
      <c r="X381" s="151"/>
    </row>
    <row r="382" spans="24:24">
      <c r="X382" s="151"/>
    </row>
    <row r="383" spans="24:24">
      <c r="X383" s="151"/>
    </row>
    <row r="384" spans="24:24">
      <c r="X384" s="151"/>
    </row>
    <row r="385" spans="24:24">
      <c r="X385" s="151"/>
    </row>
    <row r="386" spans="24:24">
      <c r="X386" s="151"/>
    </row>
    <row r="387" spans="24:24">
      <c r="X387" s="151"/>
    </row>
    <row r="388" spans="24:24">
      <c r="X388" s="151"/>
    </row>
    <row r="389" spans="24:24">
      <c r="X389" s="151"/>
    </row>
    <row r="390" spans="24:24">
      <c r="X390" s="151"/>
    </row>
    <row r="391" spans="24:24">
      <c r="X391" s="151"/>
    </row>
    <row r="392" spans="24:24">
      <c r="X392" s="151"/>
    </row>
    <row r="393" spans="24:24">
      <c r="X393" s="151"/>
    </row>
    <row r="394" spans="24:24">
      <c r="X394" s="151"/>
    </row>
    <row r="395" spans="24:24">
      <c r="X395" s="151"/>
    </row>
    <row r="396" spans="24:24">
      <c r="X396" s="151"/>
    </row>
    <row r="397" spans="24:24">
      <c r="X397" s="151"/>
    </row>
    <row r="398" spans="24:24">
      <c r="X398" s="151"/>
    </row>
    <row r="399" spans="24:24">
      <c r="X399" s="151"/>
    </row>
    <row r="400" spans="24:24">
      <c r="X400" s="151"/>
    </row>
    <row r="401" spans="24:24">
      <c r="X401" s="151"/>
    </row>
    <row r="402" spans="24:24">
      <c r="X402" s="151"/>
    </row>
    <row r="403" spans="24:24">
      <c r="X403" s="151"/>
    </row>
    <row r="404" spans="24:24">
      <c r="X404" s="151"/>
    </row>
    <row r="405" spans="24:24">
      <c r="X405" s="151"/>
    </row>
    <row r="406" spans="24:24">
      <c r="X406" s="151"/>
    </row>
    <row r="407" spans="24:24">
      <c r="X407" s="151"/>
    </row>
    <row r="408" spans="24:24">
      <c r="X408" s="151"/>
    </row>
    <row r="409" spans="24:24">
      <c r="X409" s="151"/>
    </row>
    <row r="410" spans="24:24">
      <c r="X410" s="151"/>
    </row>
    <row r="411" spans="24:24">
      <c r="X411" s="151"/>
    </row>
    <row r="412" spans="24:24">
      <c r="X412" s="151"/>
    </row>
    <row r="413" spans="24:24">
      <c r="X413" s="151"/>
    </row>
    <row r="414" spans="24:24">
      <c r="X414" s="151"/>
    </row>
    <row r="415" spans="24:24">
      <c r="X415" s="151"/>
    </row>
    <row r="416" spans="24:24">
      <c r="X416" s="151"/>
    </row>
    <row r="417" spans="24:24">
      <c r="X417" s="151"/>
    </row>
    <row r="418" spans="24:24">
      <c r="X418" s="151"/>
    </row>
    <row r="419" spans="24:24">
      <c r="X419" s="151"/>
    </row>
    <row r="420" spans="24:24">
      <c r="X420" s="151"/>
    </row>
    <row r="421" spans="24:24">
      <c r="X421" s="151"/>
    </row>
    <row r="422" spans="24:24">
      <c r="X422" s="151"/>
    </row>
    <row r="423" spans="24:24">
      <c r="X423" s="151"/>
    </row>
    <row r="424" spans="24:24">
      <c r="X424" s="151"/>
    </row>
    <row r="425" spans="24:24">
      <c r="X425" s="151"/>
    </row>
    <row r="426" spans="24:24">
      <c r="X426" s="151"/>
    </row>
    <row r="427" spans="24:24">
      <c r="X427" s="151"/>
    </row>
    <row r="428" spans="24:24">
      <c r="X428" s="151"/>
    </row>
    <row r="429" spans="24:24">
      <c r="X429" s="151"/>
    </row>
    <row r="430" spans="24:24">
      <c r="X430" s="151"/>
    </row>
    <row r="431" spans="24:24">
      <c r="X431" s="151"/>
    </row>
    <row r="432" spans="24:24">
      <c r="X432" s="151"/>
    </row>
    <row r="433" spans="24:24">
      <c r="X433" s="151"/>
    </row>
    <row r="434" spans="24:24">
      <c r="X434" s="151"/>
    </row>
    <row r="435" spans="24:24">
      <c r="X435" s="151"/>
    </row>
    <row r="436" spans="24:24">
      <c r="X436" s="151"/>
    </row>
    <row r="437" spans="24:24">
      <c r="X437" s="151"/>
    </row>
    <row r="438" spans="24:24">
      <c r="X438" s="151"/>
    </row>
    <row r="439" spans="24:24">
      <c r="X439" s="151"/>
    </row>
    <row r="440" spans="24:24">
      <c r="X440" s="151"/>
    </row>
    <row r="441" spans="24:24">
      <c r="X441" s="151"/>
    </row>
    <row r="442" spans="24:24">
      <c r="X442" s="151"/>
    </row>
    <row r="443" spans="24:24">
      <c r="X443" s="151"/>
    </row>
    <row r="444" spans="24:24">
      <c r="X444" s="151"/>
    </row>
    <row r="445" spans="24:24">
      <c r="X445" s="151"/>
    </row>
    <row r="446" spans="24:24">
      <c r="X446" s="151"/>
    </row>
    <row r="447" spans="24:24">
      <c r="X447" s="151"/>
    </row>
    <row r="448" spans="24:24">
      <c r="X448" s="151"/>
    </row>
    <row r="449" spans="24:24">
      <c r="X449" s="151"/>
    </row>
    <row r="450" spans="24:24">
      <c r="X450" s="151"/>
    </row>
    <row r="451" spans="24:24">
      <c r="X451" s="151"/>
    </row>
    <row r="452" spans="24:24">
      <c r="X452" s="151"/>
    </row>
    <row r="453" spans="24:24">
      <c r="X453" s="151"/>
    </row>
    <row r="454" spans="24:24">
      <c r="X454" s="151"/>
    </row>
    <row r="455" spans="24:24">
      <c r="X455" s="151"/>
    </row>
    <row r="456" spans="24:24">
      <c r="X456" s="151"/>
    </row>
    <row r="457" spans="24:24">
      <c r="X457" s="151"/>
    </row>
    <row r="458" spans="24:24">
      <c r="X458" s="151"/>
    </row>
    <row r="459" spans="24:24">
      <c r="X459" s="151"/>
    </row>
    <row r="460" spans="24:24">
      <c r="X460" s="151"/>
    </row>
    <row r="461" spans="24:24">
      <c r="X461" s="151"/>
    </row>
    <row r="462" spans="24:24">
      <c r="X462" s="151"/>
    </row>
    <row r="463" spans="24:24">
      <c r="X463" s="151"/>
    </row>
    <row r="464" spans="24:24">
      <c r="X464" s="151"/>
    </row>
    <row r="465" spans="24:24">
      <c r="X465" s="151"/>
    </row>
    <row r="466" spans="24:24">
      <c r="X466" s="151"/>
    </row>
    <row r="467" spans="24:24">
      <c r="X467" s="151"/>
    </row>
    <row r="468" spans="24:24">
      <c r="X468" s="151"/>
    </row>
    <row r="469" spans="24:24">
      <c r="X469" s="151"/>
    </row>
    <row r="470" spans="24:24">
      <c r="X470" s="151"/>
    </row>
    <row r="471" spans="24:24">
      <c r="X471" s="151"/>
    </row>
    <row r="472" spans="24:24">
      <c r="X472" s="151"/>
    </row>
    <row r="473" spans="24:24">
      <c r="X473" s="151"/>
    </row>
    <row r="474" spans="24:24">
      <c r="X474" s="151"/>
    </row>
    <row r="475" spans="24:24">
      <c r="X475" s="151"/>
    </row>
    <row r="476" spans="24:24">
      <c r="X476" s="151"/>
    </row>
    <row r="477" spans="24:24">
      <c r="X477" s="151"/>
    </row>
    <row r="478" spans="24:24">
      <c r="X478" s="151"/>
    </row>
    <row r="479" spans="24:24">
      <c r="X479" s="151"/>
    </row>
    <row r="480" spans="24:24">
      <c r="X480" s="151"/>
    </row>
    <row r="481" spans="24:24">
      <c r="X481" s="151"/>
    </row>
    <row r="482" spans="24:24">
      <c r="X482" s="151"/>
    </row>
    <row r="483" spans="24:24">
      <c r="X483" s="151"/>
    </row>
    <row r="484" spans="24:24">
      <c r="X484" s="151"/>
    </row>
    <row r="485" spans="24:24">
      <c r="X485" s="151"/>
    </row>
    <row r="486" spans="24:24">
      <c r="X486" s="151"/>
    </row>
    <row r="487" spans="24:24">
      <c r="X487" s="151"/>
    </row>
    <row r="488" spans="24:24">
      <c r="X488" s="151"/>
    </row>
    <row r="489" spans="24:24">
      <c r="X489" s="151"/>
    </row>
    <row r="490" spans="24:24">
      <c r="X490" s="151"/>
    </row>
    <row r="491" spans="24:24">
      <c r="X491" s="151"/>
    </row>
    <row r="492" spans="24:24">
      <c r="X492" s="151"/>
    </row>
    <row r="493" spans="24:24">
      <c r="X493" s="151"/>
    </row>
    <row r="494" spans="24:24">
      <c r="X494" s="151"/>
    </row>
    <row r="495" spans="24:24">
      <c r="X495" s="151"/>
    </row>
    <row r="496" spans="24:24">
      <c r="X496" s="151"/>
    </row>
    <row r="497" spans="24:24">
      <c r="X497" s="151"/>
    </row>
    <row r="498" spans="24:24">
      <c r="X498" s="151"/>
    </row>
    <row r="499" spans="24:24">
      <c r="X499" s="151"/>
    </row>
    <row r="500" spans="24:24">
      <c r="X500" s="151"/>
    </row>
    <row r="501" spans="24:24">
      <c r="X501" s="151"/>
    </row>
    <row r="502" spans="24:24">
      <c r="X502" s="151"/>
    </row>
    <row r="503" spans="24:24">
      <c r="X503" s="151"/>
    </row>
    <row r="504" spans="24:24">
      <c r="X504" s="151"/>
    </row>
    <row r="505" spans="24:24">
      <c r="X505" s="151"/>
    </row>
    <row r="506" spans="24:24">
      <c r="X506" s="151"/>
    </row>
    <row r="507" spans="24:24">
      <c r="X507" s="151"/>
    </row>
    <row r="508" spans="24:24">
      <c r="X508" s="151"/>
    </row>
    <row r="509" spans="24:24">
      <c r="X509" s="151"/>
    </row>
    <row r="510" spans="24:24">
      <c r="X510" s="151"/>
    </row>
    <row r="511" spans="24:24">
      <c r="X511" s="151"/>
    </row>
    <row r="512" spans="24:24">
      <c r="X512" s="151"/>
    </row>
    <row r="513" spans="24:24">
      <c r="X513" s="151"/>
    </row>
    <row r="514" spans="24:24">
      <c r="X514" s="151"/>
    </row>
    <row r="515" spans="24:24">
      <c r="X515" s="151"/>
    </row>
    <row r="516" spans="24:24">
      <c r="X516" s="151"/>
    </row>
    <row r="517" spans="24:24">
      <c r="X517" s="151"/>
    </row>
    <row r="518" spans="24:24">
      <c r="X518" s="151"/>
    </row>
    <row r="519" spans="24:24">
      <c r="X519" s="151"/>
    </row>
    <row r="520" spans="24:24">
      <c r="X520" s="151"/>
    </row>
    <row r="521" spans="24:24">
      <c r="X521" s="151"/>
    </row>
    <row r="522" spans="24:24">
      <c r="X522" s="151"/>
    </row>
    <row r="523" spans="24:24">
      <c r="X523" s="151"/>
    </row>
    <row r="524" spans="24:24">
      <c r="X524" s="151"/>
    </row>
    <row r="525" spans="24:24">
      <c r="X525" s="151"/>
    </row>
    <row r="526" spans="24:24">
      <c r="X526" s="151"/>
    </row>
    <row r="527" spans="24:24">
      <c r="X527" s="151"/>
    </row>
    <row r="528" spans="24:24">
      <c r="X528" s="151"/>
    </row>
    <row r="529" spans="24:24">
      <c r="X529" s="151"/>
    </row>
    <row r="530" spans="24:24">
      <c r="X530" s="151"/>
    </row>
    <row r="531" spans="24:24">
      <c r="X531" s="151"/>
    </row>
    <row r="532" spans="24:24">
      <c r="X532" s="151"/>
    </row>
    <row r="533" spans="24:24">
      <c r="X533" s="151"/>
    </row>
    <row r="534" spans="24:24">
      <c r="X534" s="151"/>
    </row>
    <row r="535" spans="24:24">
      <c r="X535" s="151"/>
    </row>
    <row r="536" spans="24:24">
      <c r="X536" s="151"/>
    </row>
    <row r="537" spans="24:24">
      <c r="X537" s="151"/>
    </row>
    <row r="538" spans="24:24">
      <c r="X538" s="151"/>
    </row>
    <row r="539" spans="24:24">
      <c r="X539" s="151"/>
    </row>
    <row r="540" spans="24:24">
      <c r="X540" s="151"/>
    </row>
    <row r="541" spans="24:24">
      <c r="X541" s="151"/>
    </row>
    <row r="542" spans="24:24">
      <c r="X542" s="151"/>
    </row>
    <row r="543" spans="24:24">
      <c r="X543" s="151"/>
    </row>
    <row r="544" spans="24:24">
      <c r="X544" s="151"/>
    </row>
    <row r="545" spans="24:24">
      <c r="X545" s="151"/>
    </row>
    <row r="546" spans="24:24">
      <c r="X546" s="151"/>
    </row>
    <row r="547" spans="24:24">
      <c r="X547" s="151"/>
    </row>
    <row r="548" spans="24:24">
      <c r="X548" s="151"/>
    </row>
    <row r="549" spans="24:24">
      <c r="X549" s="151"/>
    </row>
    <row r="550" spans="24:24">
      <c r="X550" s="151"/>
    </row>
    <row r="551" spans="24:24">
      <c r="X551" s="151"/>
    </row>
    <row r="552" spans="24:24">
      <c r="X552" s="151"/>
    </row>
    <row r="553" spans="24:24">
      <c r="X553" s="151"/>
    </row>
    <row r="554" spans="24:24">
      <c r="X554" s="151"/>
    </row>
    <row r="555" spans="24:24">
      <c r="X555" s="151"/>
    </row>
    <row r="556" spans="24:24">
      <c r="X556" s="151"/>
    </row>
    <row r="557" spans="24:24">
      <c r="X557" s="151"/>
    </row>
    <row r="558" spans="24:24">
      <c r="X558" s="151"/>
    </row>
    <row r="559" spans="24:24">
      <c r="X559" s="151"/>
    </row>
    <row r="560" spans="24:24">
      <c r="X560" s="151"/>
    </row>
    <row r="561" spans="24:24">
      <c r="X561" s="151"/>
    </row>
    <row r="562" spans="24:24">
      <c r="X562" s="151"/>
    </row>
    <row r="563" spans="24:24">
      <c r="X563" s="151"/>
    </row>
    <row r="564" spans="24:24">
      <c r="X564" s="151"/>
    </row>
    <row r="565" spans="24:24">
      <c r="X565" s="151"/>
    </row>
    <row r="566" spans="24:24">
      <c r="X566" s="151"/>
    </row>
    <row r="567" spans="24:24">
      <c r="X567" s="151"/>
    </row>
    <row r="568" spans="24:24">
      <c r="X568" s="151"/>
    </row>
    <row r="569" spans="24:24">
      <c r="X569" s="151"/>
    </row>
    <row r="570" spans="24:24">
      <c r="X570" s="151"/>
    </row>
    <row r="571" spans="24:24">
      <c r="X571" s="151"/>
    </row>
    <row r="572" spans="24:24">
      <c r="X572" s="151"/>
    </row>
    <row r="573" spans="24:24">
      <c r="X573" s="151"/>
    </row>
    <row r="574" spans="24:24">
      <c r="X574" s="151"/>
    </row>
    <row r="575" spans="24:24">
      <c r="X575" s="151"/>
    </row>
    <row r="576" spans="24:24">
      <c r="X576" s="151"/>
    </row>
    <row r="577" spans="24:24">
      <c r="X577" s="151"/>
    </row>
    <row r="578" spans="24:24">
      <c r="X578" s="151"/>
    </row>
    <row r="579" spans="24:24">
      <c r="X579" s="151"/>
    </row>
    <row r="580" spans="24:24">
      <c r="X580" s="151"/>
    </row>
    <row r="581" spans="24:24">
      <c r="X581" s="151"/>
    </row>
    <row r="582" spans="24:24">
      <c r="X582" s="151"/>
    </row>
    <row r="583" spans="24:24">
      <c r="X583" s="151"/>
    </row>
    <row r="584" spans="24:24">
      <c r="X584" s="151"/>
    </row>
    <row r="585" spans="24:24">
      <c r="X585" s="151"/>
    </row>
    <row r="586" spans="24:24">
      <c r="X586" s="151"/>
    </row>
    <row r="587" spans="24:24">
      <c r="X587" s="151"/>
    </row>
    <row r="588" spans="24:24">
      <c r="X588" s="151"/>
    </row>
    <row r="589" spans="24:24">
      <c r="X589" s="151"/>
    </row>
    <row r="590" spans="24:24">
      <c r="X590" s="151"/>
    </row>
    <row r="591" spans="24:24">
      <c r="X591" s="151"/>
    </row>
    <row r="592" spans="24:24">
      <c r="X592" s="151"/>
    </row>
    <row r="593" spans="24:24">
      <c r="X593" s="151"/>
    </row>
    <row r="594" spans="24:24">
      <c r="X594" s="151"/>
    </row>
    <row r="595" spans="24:24">
      <c r="X595" s="151"/>
    </row>
    <row r="596" spans="24:24">
      <c r="X596" s="151"/>
    </row>
    <row r="597" spans="24:24">
      <c r="X597" s="151"/>
    </row>
    <row r="598" spans="24:24">
      <c r="X598" s="151"/>
    </row>
    <row r="599" spans="24:24">
      <c r="X599" s="151"/>
    </row>
    <row r="600" spans="24:24">
      <c r="X600" s="151"/>
    </row>
    <row r="601" spans="24:24">
      <c r="X601" s="151"/>
    </row>
    <row r="602" spans="24:24">
      <c r="X602" s="151"/>
    </row>
    <row r="603" spans="24:24">
      <c r="X603" s="151"/>
    </row>
    <row r="604" spans="24:24">
      <c r="X604" s="151"/>
    </row>
    <row r="605" spans="24:24">
      <c r="X605" s="151"/>
    </row>
    <row r="606" spans="24:24">
      <c r="X606" s="151"/>
    </row>
    <row r="607" spans="24:24">
      <c r="X607" s="151"/>
    </row>
    <row r="608" spans="24:24">
      <c r="X608" s="151"/>
    </row>
    <row r="609" spans="24:24">
      <c r="X609" s="151"/>
    </row>
    <row r="610" spans="24:24">
      <c r="X610" s="151"/>
    </row>
    <row r="611" spans="24:24">
      <c r="X611" s="151"/>
    </row>
    <row r="612" spans="24:24">
      <c r="X612" s="151"/>
    </row>
    <row r="613" spans="24:24">
      <c r="X613" s="151"/>
    </row>
    <row r="614" spans="24:24">
      <c r="X614" s="151"/>
    </row>
    <row r="615" spans="24:24">
      <c r="X615" s="151"/>
    </row>
    <row r="616" spans="24:24">
      <c r="X616" s="151"/>
    </row>
    <row r="617" spans="24:24">
      <c r="X617" s="151"/>
    </row>
    <row r="618" spans="24:24">
      <c r="X618" s="151"/>
    </row>
    <row r="619" spans="24:24">
      <c r="X619" s="151"/>
    </row>
    <row r="620" spans="24:24">
      <c r="X620" s="151"/>
    </row>
    <row r="621" spans="24:24">
      <c r="X621" s="151"/>
    </row>
    <row r="622" spans="24:24">
      <c r="X622" s="151"/>
    </row>
    <row r="623" spans="24:24">
      <c r="X623" s="151"/>
    </row>
    <row r="624" spans="24:24">
      <c r="X624" s="151"/>
    </row>
    <row r="625" spans="24:24">
      <c r="X625" s="151"/>
    </row>
    <row r="626" spans="24:24">
      <c r="X626" s="151"/>
    </row>
    <row r="627" spans="24:24">
      <c r="X627" s="151"/>
    </row>
    <row r="628" spans="24:24">
      <c r="X628" s="151"/>
    </row>
    <row r="629" spans="24:24">
      <c r="X629" s="151"/>
    </row>
    <row r="630" spans="24:24">
      <c r="X630" s="151"/>
    </row>
    <row r="631" spans="24:24">
      <c r="X631" s="151"/>
    </row>
    <row r="632" spans="24:24">
      <c r="X632" s="151"/>
    </row>
    <row r="633" spans="24:24">
      <c r="X633" s="151"/>
    </row>
    <row r="634" spans="24:24">
      <c r="X634" s="151"/>
    </row>
    <row r="635" spans="24:24">
      <c r="X635" s="151"/>
    </row>
    <row r="636" spans="24:24">
      <c r="X636" s="151"/>
    </row>
    <row r="637" spans="24:24">
      <c r="X637" s="151"/>
    </row>
    <row r="638" spans="24:24">
      <c r="X638" s="151"/>
    </row>
    <row r="639" spans="24:24">
      <c r="X639" s="151"/>
    </row>
    <row r="640" spans="24:24">
      <c r="X640" s="151"/>
    </row>
    <row r="641" spans="24:24">
      <c r="X641" s="151"/>
    </row>
    <row r="642" spans="24:24">
      <c r="X642" s="151"/>
    </row>
    <row r="643" spans="24:24">
      <c r="X643" s="151"/>
    </row>
    <row r="644" spans="24:24">
      <c r="X644" s="151"/>
    </row>
    <row r="645" spans="24:24">
      <c r="X645" s="151"/>
    </row>
    <row r="646" spans="24:24">
      <c r="X646" s="151"/>
    </row>
    <row r="647" spans="24:24">
      <c r="X647" s="151"/>
    </row>
    <row r="648" spans="24:24">
      <c r="X648" s="151"/>
    </row>
    <row r="649" spans="24:24">
      <c r="X649" s="151"/>
    </row>
    <row r="650" spans="24:24">
      <c r="X650" s="151"/>
    </row>
    <row r="651" spans="24:24">
      <c r="X651" s="151"/>
    </row>
    <row r="652" spans="24:24">
      <c r="X652" s="151"/>
    </row>
    <row r="653" spans="24:24">
      <c r="X653" s="151"/>
    </row>
    <row r="654" spans="24:24">
      <c r="X654" s="151"/>
    </row>
    <row r="655" spans="24:24">
      <c r="X655" s="151"/>
    </row>
    <row r="656" spans="24:24">
      <c r="X656" s="151"/>
    </row>
    <row r="657" spans="24:24">
      <c r="X657" s="151"/>
    </row>
    <row r="658" spans="24:24">
      <c r="X658" s="151"/>
    </row>
    <row r="659" spans="24:24">
      <c r="X659" s="151"/>
    </row>
    <row r="660" spans="24:24">
      <c r="X660" s="151"/>
    </row>
    <row r="661" spans="24:24">
      <c r="X661" s="151"/>
    </row>
    <row r="662" spans="24:24">
      <c r="X662" s="151"/>
    </row>
    <row r="663" spans="24:24">
      <c r="X663" s="151"/>
    </row>
    <row r="664" spans="24:24">
      <c r="X664" s="151"/>
    </row>
    <row r="665" spans="24:24">
      <c r="X665" s="151"/>
    </row>
    <row r="666" spans="24:24">
      <c r="X666" s="151"/>
    </row>
    <row r="667" spans="24:24">
      <c r="X667" s="151"/>
    </row>
    <row r="668" spans="24:24">
      <c r="X668" s="151"/>
    </row>
    <row r="669" spans="24:24">
      <c r="X669" s="151"/>
    </row>
    <row r="670" spans="24:24">
      <c r="X670" s="151"/>
    </row>
    <row r="671" spans="24:24">
      <c r="X671" s="151"/>
    </row>
    <row r="672" spans="24:24">
      <c r="X672" s="151"/>
    </row>
    <row r="673" spans="24:24">
      <c r="X673" s="151"/>
    </row>
    <row r="674" spans="24:24">
      <c r="X674" s="151"/>
    </row>
    <row r="675" spans="24:24">
      <c r="X675" s="151"/>
    </row>
    <row r="676" spans="24:24">
      <c r="X676" s="151"/>
    </row>
    <row r="677" spans="24:24">
      <c r="X677" s="151"/>
    </row>
    <row r="678" spans="24:24">
      <c r="X678" s="151"/>
    </row>
    <row r="679" spans="24:24">
      <c r="X679" s="151"/>
    </row>
    <row r="680" spans="24:24">
      <c r="X680" s="151"/>
    </row>
    <row r="681" spans="24:24">
      <c r="X681" s="151"/>
    </row>
    <row r="682" spans="24:24">
      <c r="X682" s="151"/>
    </row>
    <row r="683" spans="24:24">
      <c r="X683" s="151"/>
    </row>
    <row r="684" spans="24:24">
      <c r="X684" s="151"/>
    </row>
    <row r="685" spans="24:24">
      <c r="X685" s="151"/>
    </row>
    <row r="686" spans="24:24">
      <c r="X686" s="151"/>
    </row>
    <row r="687" spans="24:24">
      <c r="X687" s="151"/>
    </row>
    <row r="688" spans="24:24">
      <c r="X688" s="151"/>
    </row>
    <row r="689" spans="24:24">
      <c r="X689" s="151"/>
    </row>
    <row r="690" spans="24:24">
      <c r="X690" s="151"/>
    </row>
    <row r="691" spans="24:24">
      <c r="X691" s="151"/>
    </row>
    <row r="692" spans="24:24">
      <c r="X692" s="151"/>
    </row>
    <row r="693" spans="24:24">
      <c r="X693" s="151"/>
    </row>
    <row r="694" spans="24:24">
      <c r="X694" s="151"/>
    </row>
    <row r="695" spans="24:24">
      <c r="X695" s="151"/>
    </row>
    <row r="696" spans="24:24">
      <c r="X696" s="151"/>
    </row>
    <row r="697" spans="24:24">
      <c r="X697" s="151"/>
    </row>
    <row r="698" spans="24:24">
      <c r="X698" s="151"/>
    </row>
    <row r="699" spans="24:24">
      <c r="X699" s="151"/>
    </row>
    <row r="700" spans="24:24">
      <c r="X700" s="151"/>
    </row>
    <row r="701" spans="24:24">
      <c r="X701" s="151"/>
    </row>
    <row r="702" spans="24:24">
      <c r="X702" s="151"/>
    </row>
    <row r="703" spans="24:24">
      <c r="X703" s="151"/>
    </row>
    <row r="704" spans="24:24">
      <c r="X704" s="151"/>
    </row>
    <row r="705" spans="24:24">
      <c r="X705" s="151"/>
    </row>
    <row r="706" spans="24:24">
      <c r="X706" s="151"/>
    </row>
    <row r="707" spans="24:24">
      <c r="X707" s="151"/>
    </row>
    <row r="708" spans="24:24">
      <c r="X708" s="151"/>
    </row>
    <row r="709" spans="24:24">
      <c r="X709" s="151"/>
    </row>
    <row r="710" spans="24:24">
      <c r="X710" s="151"/>
    </row>
    <row r="711" spans="24:24">
      <c r="X711" s="151"/>
    </row>
    <row r="712" spans="24:24">
      <c r="X712" s="151"/>
    </row>
    <row r="713" spans="24:24">
      <c r="X713" s="151"/>
    </row>
    <row r="714" spans="24:24">
      <c r="X714" s="151"/>
    </row>
    <row r="715" spans="24:24">
      <c r="X715" s="151"/>
    </row>
    <row r="716" spans="24:24">
      <c r="X716" s="151"/>
    </row>
    <row r="717" spans="24:24">
      <c r="X717" s="151"/>
    </row>
    <row r="718" spans="24:24">
      <c r="X718" s="151"/>
    </row>
    <row r="719" spans="24:24">
      <c r="X719" s="151"/>
    </row>
    <row r="720" spans="24:24">
      <c r="X720" s="151"/>
    </row>
    <row r="721" spans="24:24">
      <c r="X721" s="151"/>
    </row>
    <row r="722" spans="24:24">
      <c r="X722" s="151"/>
    </row>
    <row r="723" spans="24:24">
      <c r="X723" s="151"/>
    </row>
    <row r="724" spans="24:24">
      <c r="X724" s="151"/>
    </row>
    <row r="725" spans="24:24">
      <c r="X725" s="151"/>
    </row>
    <row r="726" spans="24:24">
      <c r="X726" s="151"/>
    </row>
    <row r="727" spans="24:24">
      <c r="X727" s="151"/>
    </row>
    <row r="728" spans="24:24">
      <c r="X728" s="151"/>
    </row>
    <row r="729" spans="24:24">
      <c r="X729" s="151"/>
    </row>
    <row r="730" spans="24:24">
      <c r="X730" s="151"/>
    </row>
    <row r="731" spans="24:24">
      <c r="X731" s="151"/>
    </row>
    <row r="732" spans="24:24">
      <c r="X732" s="151"/>
    </row>
    <row r="733" spans="24:24">
      <c r="X733" s="151"/>
    </row>
    <row r="734" spans="24:24">
      <c r="X734" s="151"/>
    </row>
    <row r="735" spans="24:24">
      <c r="X735" s="151"/>
    </row>
    <row r="736" spans="24:24">
      <c r="X736" s="151"/>
    </row>
    <row r="737" spans="24:24">
      <c r="X737" s="151"/>
    </row>
    <row r="738" spans="24:24">
      <c r="X738" s="151"/>
    </row>
    <row r="739" spans="24:24">
      <c r="X739" s="151"/>
    </row>
    <row r="740" spans="24:24">
      <c r="X740" s="151"/>
    </row>
    <row r="741" spans="24:24">
      <c r="X741" s="151"/>
    </row>
    <row r="742" spans="24:24">
      <c r="X742" s="151"/>
    </row>
    <row r="743" spans="24:24">
      <c r="X743" s="151"/>
    </row>
    <row r="744" spans="24:24">
      <c r="X744" s="151"/>
    </row>
    <row r="745" spans="24:24">
      <c r="X745" s="151"/>
    </row>
    <row r="746" spans="24:24">
      <c r="X746" s="151"/>
    </row>
    <row r="747" spans="24:24">
      <c r="X747" s="151"/>
    </row>
    <row r="748" spans="24:24">
      <c r="X748" s="151"/>
    </row>
    <row r="749" spans="24:24">
      <c r="X749" s="151"/>
    </row>
    <row r="750" spans="24:24">
      <c r="X750" s="151"/>
    </row>
    <row r="751" spans="24:24">
      <c r="X751" s="151"/>
    </row>
    <row r="752" spans="24:24">
      <c r="X752" s="151"/>
    </row>
    <row r="753" spans="24:24">
      <c r="X753" s="151"/>
    </row>
    <row r="754" spans="24:24">
      <c r="X754" s="151"/>
    </row>
    <row r="755" spans="24:24">
      <c r="X755" s="151"/>
    </row>
    <row r="756" spans="24:24">
      <c r="X756" s="151"/>
    </row>
    <row r="757" spans="24:24">
      <c r="X757" s="151"/>
    </row>
    <row r="758" spans="24:24">
      <c r="X758" s="151"/>
    </row>
    <row r="759" spans="24:24">
      <c r="X759" s="151"/>
    </row>
    <row r="760" spans="24:24">
      <c r="X760" s="151"/>
    </row>
    <row r="761" spans="24:24">
      <c r="X761" s="151"/>
    </row>
    <row r="762" spans="24:24">
      <c r="X762" s="151"/>
    </row>
    <row r="763" spans="24:24">
      <c r="X763" s="151"/>
    </row>
    <row r="764" spans="24:24">
      <c r="X764" s="151"/>
    </row>
    <row r="765" spans="24:24">
      <c r="X765" s="151"/>
    </row>
    <row r="766" spans="24:24">
      <c r="X766" s="151"/>
    </row>
    <row r="767" spans="24:24">
      <c r="X767" s="151"/>
    </row>
    <row r="768" spans="24:24">
      <c r="X768" s="151"/>
    </row>
    <row r="769" spans="24:24">
      <c r="X769" s="151"/>
    </row>
    <row r="770" spans="24:24">
      <c r="X770" s="151"/>
    </row>
    <row r="771" spans="24:24">
      <c r="X771" s="151"/>
    </row>
    <row r="772" spans="24:24">
      <c r="X772" s="151"/>
    </row>
    <row r="773" spans="24:24">
      <c r="X773" s="151"/>
    </row>
    <row r="774" spans="24:24">
      <c r="X774" s="151"/>
    </row>
    <row r="775" spans="24:24">
      <c r="X775" s="151"/>
    </row>
    <row r="776" spans="24:24">
      <c r="X776" s="151"/>
    </row>
    <row r="777" spans="24:24">
      <c r="X777" s="151"/>
    </row>
    <row r="778" spans="24:24">
      <c r="X778" s="151"/>
    </row>
    <row r="779" spans="24:24">
      <c r="X779" s="151"/>
    </row>
    <row r="780" spans="24:24">
      <c r="X780" s="151"/>
    </row>
    <row r="781" spans="24:24">
      <c r="X781" s="151"/>
    </row>
    <row r="782" spans="24:24">
      <c r="X782" s="151"/>
    </row>
    <row r="783" spans="24:24">
      <c r="X783" s="151"/>
    </row>
    <row r="784" spans="24:24">
      <c r="X784" s="151"/>
    </row>
    <row r="785" spans="24:24">
      <c r="X785" s="151"/>
    </row>
    <row r="786" spans="24:24">
      <c r="X786" s="151"/>
    </row>
    <row r="787" spans="24:24">
      <c r="X787" s="151"/>
    </row>
    <row r="788" spans="24:24">
      <c r="X788" s="151"/>
    </row>
    <row r="789" spans="24:24">
      <c r="X789" s="151"/>
    </row>
    <row r="790" spans="24:24">
      <c r="X790" s="151"/>
    </row>
    <row r="791" spans="24:24">
      <c r="X791" s="151"/>
    </row>
    <row r="792" spans="24:24">
      <c r="X792" s="151"/>
    </row>
    <row r="793" spans="24:24">
      <c r="X793" s="151"/>
    </row>
    <row r="794" spans="24:24">
      <c r="X794" s="151"/>
    </row>
    <row r="795" spans="24:24">
      <c r="X795" s="151"/>
    </row>
    <row r="796" spans="24:24">
      <c r="X796" s="151"/>
    </row>
    <row r="797" spans="24:24">
      <c r="X797" s="151"/>
    </row>
    <row r="798" spans="24:24">
      <c r="X798" s="151"/>
    </row>
    <row r="799" spans="24:24">
      <c r="X799" s="151"/>
    </row>
    <row r="800" spans="24:24">
      <c r="X800" s="151"/>
    </row>
    <row r="801" spans="24:24">
      <c r="X801" s="151"/>
    </row>
    <row r="802" spans="24:24">
      <c r="X802" s="151"/>
    </row>
    <row r="803" spans="24:24">
      <c r="X803" s="151"/>
    </row>
    <row r="804" spans="24:24">
      <c r="X804" s="151"/>
    </row>
    <row r="805" spans="24:24">
      <c r="X805" s="151"/>
    </row>
    <row r="806" spans="24:24">
      <c r="X806" s="151"/>
    </row>
    <row r="807" spans="24:24">
      <c r="X807" s="151"/>
    </row>
    <row r="808" spans="24:24">
      <c r="X808" s="151"/>
    </row>
    <row r="809" spans="24:24">
      <c r="X809" s="151"/>
    </row>
    <row r="810" spans="24:24">
      <c r="X810" s="151"/>
    </row>
    <row r="811" spans="24:24">
      <c r="X811" s="151"/>
    </row>
    <row r="812" spans="24:24">
      <c r="X812" s="151"/>
    </row>
    <row r="813" spans="24:24">
      <c r="X813" s="151"/>
    </row>
    <row r="814" spans="24:24">
      <c r="X814" s="151"/>
    </row>
    <row r="815" spans="24:24">
      <c r="X815" s="151"/>
    </row>
    <row r="816" spans="24:24">
      <c r="X816" s="151"/>
    </row>
    <row r="817" spans="24:24">
      <c r="X817" s="151"/>
    </row>
    <row r="818" spans="24:24">
      <c r="X818" s="151"/>
    </row>
    <row r="819" spans="24:24">
      <c r="X819" s="151"/>
    </row>
    <row r="820" spans="24:24">
      <c r="X820" s="151"/>
    </row>
    <row r="821" spans="24:24">
      <c r="X821" s="151"/>
    </row>
    <row r="822" spans="24:24">
      <c r="X822" s="151"/>
    </row>
    <row r="823" spans="24:24">
      <c r="X823" s="151"/>
    </row>
    <row r="824" spans="24:24">
      <c r="X824" s="151"/>
    </row>
    <row r="825" spans="24:24">
      <c r="X825" s="151"/>
    </row>
    <row r="826" spans="24:24">
      <c r="X826" s="151"/>
    </row>
    <row r="827" spans="24:24">
      <c r="X827" s="151"/>
    </row>
    <row r="828" spans="24:24">
      <c r="X828" s="151"/>
    </row>
    <row r="829" spans="24:24">
      <c r="X829" s="151"/>
    </row>
    <row r="830" spans="24:24">
      <c r="X830" s="151"/>
    </row>
    <row r="831" spans="24:24">
      <c r="X831" s="151"/>
    </row>
    <row r="832" spans="24:24">
      <c r="X832" s="151"/>
    </row>
    <row r="833" spans="24:24">
      <c r="X833" s="151"/>
    </row>
    <row r="834" spans="24:24">
      <c r="X834" s="151"/>
    </row>
    <row r="835" spans="24:24">
      <c r="X835" s="151"/>
    </row>
    <row r="836" spans="24:24">
      <c r="X836" s="151"/>
    </row>
    <row r="837" spans="24:24">
      <c r="X837" s="151"/>
    </row>
    <row r="838" spans="24:24">
      <c r="X838" s="151"/>
    </row>
    <row r="839" spans="24:24">
      <c r="X839" s="151"/>
    </row>
    <row r="840" spans="24:24">
      <c r="X840" s="151"/>
    </row>
    <row r="841" spans="24:24">
      <c r="X841" s="151"/>
    </row>
    <row r="842" spans="24:24">
      <c r="X842" s="151"/>
    </row>
    <row r="843" spans="24:24">
      <c r="X843" s="151"/>
    </row>
    <row r="844" spans="24:24">
      <c r="X844" s="15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6" customWidth="1"/>
    <col min="23" max="32" width="11.625" style="4" customWidth="1"/>
    <col min="33" max="16384" width="11.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168</v>
      </c>
      <c r="N1" s="19" t="s">
        <v>139</v>
      </c>
      <c r="O1" s="19" t="s">
        <v>9</v>
      </c>
      <c r="P1" s="19" t="s">
        <v>10</v>
      </c>
      <c r="Q1" s="19" t="s">
        <v>192</v>
      </c>
      <c r="R1" s="19" t="s">
        <v>11</v>
      </c>
      <c r="S1" s="19" t="s">
        <v>12</v>
      </c>
      <c r="T1" s="19" t="s">
        <v>927</v>
      </c>
      <c r="U1" s="19" t="s">
        <v>13</v>
      </c>
      <c r="V1" s="143" t="s">
        <v>14</v>
      </c>
      <c r="W1" s="19" t="s">
        <v>15</v>
      </c>
      <c r="X1" s="19" t="s">
        <v>427</v>
      </c>
      <c r="Y1" s="19" t="s">
        <v>848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184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47"/>
      <c r="X2" s="18"/>
      <c r="Y2" s="1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47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47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47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47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7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7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7"/>
      <c r="W9" s="18"/>
      <c r="X9" s="18"/>
      <c r="Y9" s="18"/>
      <c r="Z9" s="18"/>
      <c r="AB9" s="20"/>
      <c r="AC9" s="20"/>
      <c r="AD9" s="27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7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7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7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7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7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7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7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7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7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7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67"/>
  <sheetViews>
    <sheetView rightToLeft="1" topLeftCell="R124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5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343</v>
      </c>
      <c r="M1" s="19" t="s">
        <v>8</v>
      </c>
      <c r="N1" s="19" t="s">
        <v>168</v>
      </c>
      <c r="O1" s="19" t="s">
        <v>139</v>
      </c>
      <c r="P1" s="19" t="s">
        <v>9</v>
      </c>
      <c r="Q1" s="19" t="s">
        <v>10</v>
      </c>
      <c r="R1" s="19" t="s">
        <v>192</v>
      </c>
      <c r="S1" s="19" t="s">
        <v>11</v>
      </c>
      <c r="T1" s="19" t="s">
        <v>12</v>
      </c>
      <c r="U1" s="19" t="s">
        <v>13</v>
      </c>
      <c r="V1" s="163" t="s">
        <v>14</v>
      </c>
      <c r="W1" s="167" t="s">
        <v>15</v>
      </c>
      <c r="X1" s="19" t="s">
        <v>427</v>
      </c>
      <c r="Y1" s="19" t="s">
        <v>848</v>
      </c>
      <c r="Z1" s="19" t="s">
        <v>17</v>
      </c>
      <c r="AA1" s="161" t="s">
        <v>18</v>
      </c>
      <c r="AB1" s="172" t="s">
        <v>19</v>
      </c>
      <c r="AC1" s="19" t="s">
        <v>16</v>
      </c>
      <c r="AD1" s="19" t="s">
        <v>20</v>
      </c>
      <c r="AE1" s="19" t="s">
        <v>21</v>
      </c>
      <c r="AF1" s="19" t="s">
        <v>184</v>
      </c>
      <c r="AG1" s="19" t="s">
        <v>22</v>
      </c>
      <c r="AH1" s="167" t="s">
        <v>23</v>
      </c>
      <c r="AI1" s="167" t="s">
        <v>24</v>
      </c>
      <c r="AJ1" s="167" t="s">
        <v>25</v>
      </c>
    </row>
    <row r="2" spans="1:36">
      <c r="A2" s="2">
        <v>158</v>
      </c>
      <c r="B2" s="20">
        <v>1441</v>
      </c>
      <c r="C2" s="20" t="s">
        <v>1714</v>
      </c>
      <c r="D2" s="20" t="s">
        <v>1715</v>
      </c>
      <c r="E2" s="18" t="s">
        <v>1343</v>
      </c>
      <c r="F2" s="20" t="s">
        <v>1716</v>
      </c>
      <c r="G2" s="20" t="s">
        <v>1717</v>
      </c>
      <c r="H2" s="18" t="s">
        <v>338</v>
      </c>
      <c r="I2" s="27" t="s">
        <v>772</v>
      </c>
      <c r="J2" s="18" t="s">
        <v>30</v>
      </c>
      <c r="K2" s="18" t="s">
        <v>30</v>
      </c>
      <c r="L2" s="20" t="s">
        <v>344</v>
      </c>
      <c r="M2" s="18" t="s">
        <v>56</v>
      </c>
      <c r="N2" s="20" t="s">
        <v>479</v>
      </c>
      <c r="O2" s="20" t="s">
        <v>153</v>
      </c>
      <c r="P2" s="20" t="s">
        <v>1718</v>
      </c>
      <c r="Q2" s="20" t="s">
        <v>430</v>
      </c>
      <c r="R2" s="20" t="s">
        <v>423</v>
      </c>
      <c r="S2" s="18" t="s">
        <v>44</v>
      </c>
      <c r="T2" s="155">
        <v>2.012</v>
      </c>
      <c r="U2" s="20" t="s">
        <v>102</v>
      </c>
      <c r="V2" s="175">
        <v>2.3400000000000001E-2</v>
      </c>
      <c r="W2" s="176">
        <v>2.664E-2</v>
      </c>
      <c r="X2" s="18" t="s">
        <v>429</v>
      </c>
      <c r="Y2" s="18" t="s">
        <v>153</v>
      </c>
      <c r="Z2" s="155">
        <v>40362.480000000003</v>
      </c>
      <c r="AA2" s="177">
        <v>1</v>
      </c>
      <c r="AB2" s="178">
        <v>115.87</v>
      </c>
      <c r="AC2" s="20"/>
      <c r="AD2" s="155">
        <v>46.768000000000001</v>
      </c>
      <c r="AE2" s="20"/>
      <c r="AF2" s="27"/>
      <c r="AG2" s="18" t="s">
        <v>36</v>
      </c>
      <c r="AH2" s="168">
        <v>1.9000000000000001E-5</v>
      </c>
      <c r="AI2" s="168">
        <v>3.1648488328834497E-2</v>
      </c>
      <c r="AJ2" s="168">
        <v>4.7942305189123098E-3</v>
      </c>
    </row>
    <row r="3" spans="1:36">
      <c r="A3" s="20">
        <v>158</v>
      </c>
      <c r="B3" s="20">
        <v>1441</v>
      </c>
      <c r="C3" s="20" t="s">
        <v>1515</v>
      </c>
      <c r="D3" s="20" t="s">
        <v>1516</v>
      </c>
      <c r="E3" s="18" t="s">
        <v>1343</v>
      </c>
      <c r="F3" s="20" t="s">
        <v>1719</v>
      </c>
      <c r="G3" s="20" t="s">
        <v>1720</v>
      </c>
      <c r="H3" s="18" t="s">
        <v>338</v>
      </c>
      <c r="I3" s="20" t="s">
        <v>985</v>
      </c>
      <c r="J3" s="18" t="s">
        <v>30</v>
      </c>
      <c r="K3" s="18" t="s">
        <v>30</v>
      </c>
      <c r="L3" s="20" t="s">
        <v>344</v>
      </c>
      <c r="M3" s="18" t="s">
        <v>56</v>
      </c>
      <c r="N3" s="20" t="s">
        <v>461</v>
      </c>
      <c r="O3" s="20" t="s">
        <v>153</v>
      </c>
      <c r="P3" s="20" t="s">
        <v>1718</v>
      </c>
      <c r="Q3" s="20" t="s">
        <v>430</v>
      </c>
      <c r="R3" s="20" t="s">
        <v>423</v>
      </c>
      <c r="S3" s="18" t="s">
        <v>44</v>
      </c>
      <c r="T3" s="155">
        <v>2.6160000000000001</v>
      </c>
      <c r="U3" s="20" t="s">
        <v>1721</v>
      </c>
      <c r="V3" s="175">
        <v>1.0800000000000001E-2</v>
      </c>
      <c r="W3" s="176">
        <v>5.2200000000000003E-2</v>
      </c>
      <c r="X3" s="18" t="s">
        <v>429</v>
      </c>
      <c r="Y3" s="18" t="s">
        <v>153</v>
      </c>
      <c r="Z3" s="155">
        <v>21625.63</v>
      </c>
      <c r="AA3" s="177">
        <v>1</v>
      </c>
      <c r="AB3" s="178">
        <v>90.15</v>
      </c>
      <c r="AC3" s="20"/>
      <c r="AD3" s="155">
        <v>19.495999999999999</v>
      </c>
      <c r="AE3" s="20"/>
      <c r="AG3" s="18" t="s">
        <v>36</v>
      </c>
      <c r="AH3" s="168">
        <v>2.3E-5</v>
      </c>
      <c r="AI3" s="168">
        <v>1.3192849875502099E-2</v>
      </c>
      <c r="AJ3" s="168">
        <v>1.9985018825349299E-3</v>
      </c>
    </row>
    <row r="4" spans="1:36">
      <c r="A4" s="20">
        <v>158</v>
      </c>
      <c r="B4" s="20">
        <v>1441</v>
      </c>
      <c r="C4" s="20" t="s">
        <v>1519</v>
      </c>
      <c r="D4" s="20" t="s">
        <v>1520</v>
      </c>
      <c r="E4" s="18" t="s">
        <v>1343</v>
      </c>
      <c r="F4" s="20" t="s">
        <v>1722</v>
      </c>
      <c r="G4" s="20" t="s">
        <v>1723</v>
      </c>
      <c r="H4" s="18" t="s">
        <v>338</v>
      </c>
      <c r="I4" s="20" t="s">
        <v>772</v>
      </c>
      <c r="J4" s="18" t="s">
        <v>30</v>
      </c>
      <c r="K4" s="18" t="s">
        <v>30</v>
      </c>
      <c r="L4" s="20" t="s">
        <v>344</v>
      </c>
      <c r="M4" s="18" t="s">
        <v>56</v>
      </c>
      <c r="N4" s="20" t="s">
        <v>479</v>
      </c>
      <c r="O4" s="20" t="s">
        <v>153</v>
      </c>
      <c r="P4" s="20" t="s">
        <v>1724</v>
      </c>
      <c r="Q4" s="20" t="s">
        <v>430</v>
      </c>
      <c r="R4" s="20" t="s">
        <v>423</v>
      </c>
      <c r="S4" s="18" t="s">
        <v>44</v>
      </c>
      <c r="T4" s="155">
        <v>6.9109999999999996</v>
      </c>
      <c r="U4" s="20" t="s">
        <v>1725</v>
      </c>
      <c r="V4" s="175">
        <v>2.5600000000000001E-2</v>
      </c>
      <c r="W4" s="176">
        <v>4.2349999999999999E-2</v>
      </c>
      <c r="X4" s="18" t="s">
        <v>429</v>
      </c>
      <c r="Y4" s="18" t="s">
        <v>153</v>
      </c>
      <c r="Z4" s="155">
        <v>10000</v>
      </c>
      <c r="AA4" s="177">
        <v>1</v>
      </c>
      <c r="AB4" s="178">
        <v>97.49</v>
      </c>
      <c r="AC4" s="20"/>
      <c r="AD4" s="155">
        <v>9.7490000000000006</v>
      </c>
      <c r="AE4" s="20"/>
      <c r="AG4" s="18" t="s">
        <v>36</v>
      </c>
      <c r="AH4" s="168">
        <v>1.0000000000000001E-5</v>
      </c>
      <c r="AI4" s="168">
        <v>6.5972689858757299E-3</v>
      </c>
      <c r="AJ4" s="168">
        <v>9.993788008112361E-4</v>
      </c>
    </row>
    <row r="5" spans="1:36">
      <c r="A5" s="20">
        <v>158</v>
      </c>
      <c r="B5" s="20">
        <v>1441</v>
      </c>
      <c r="C5" s="20" t="s">
        <v>1519</v>
      </c>
      <c r="D5" s="20" t="s">
        <v>1520</v>
      </c>
      <c r="E5" s="18" t="s">
        <v>1343</v>
      </c>
      <c r="F5" s="20" t="s">
        <v>1726</v>
      </c>
      <c r="G5" s="20" t="s">
        <v>1727</v>
      </c>
      <c r="H5" s="18" t="s">
        <v>338</v>
      </c>
      <c r="I5" s="20" t="s">
        <v>985</v>
      </c>
      <c r="J5" s="18" t="s">
        <v>30</v>
      </c>
      <c r="K5" s="18" t="s">
        <v>30</v>
      </c>
      <c r="L5" s="20" t="s">
        <v>344</v>
      </c>
      <c r="M5" s="18" t="s">
        <v>56</v>
      </c>
      <c r="N5" s="20" t="s">
        <v>479</v>
      </c>
      <c r="O5" s="20" t="s">
        <v>153</v>
      </c>
      <c r="P5" s="20" t="s">
        <v>1724</v>
      </c>
      <c r="Q5" s="20" t="s">
        <v>430</v>
      </c>
      <c r="R5" s="20" t="s">
        <v>423</v>
      </c>
      <c r="S5" s="18" t="s">
        <v>44</v>
      </c>
      <c r="T5" s="155">
        <v>3.9049999999999998</v>
      </c>
      <c r="U5" s="20" t="s">
        <v>1728</v>
      </c>
      <c r="V5" s="175">
        <v>2.41E-2</v>
      </c>
      <c r="W5" s="176">
        <v>6.3320000000000001E-2</v>
      </c>
      <c r="X5" s="18" t="s">
        <v>429</v>
      </c>
      <c r="Y5" s="18" t="s">
        <v>153</v>
      </c>
      <c r="Z5" s="155">
        <v>47385</v>
      </c>
      <c r="AA5" s="177">
        <v>1</v>
      </c>
      <c r="AB5" s="178">
        <v>86.08</v>
      </c>
      <c r="AC5" s="20"/>
      <c r="AD5" s="155">
        <v>40.789000000000001</v>
      </c>
      <c r="AE5" s="20"/>
      <c r="AG5" s="18" t="s">
        <v>36</v>
      </c>
      <c r="AH5" s="168">
        <v>2.3E-5</v>
      </c>
      <c r="AI5" s="168">
        <v>2.76024266533016E-2</v>
      </c>
      <c r="AJ5" s="168">
        <v>4.1813180737839701E-3</v>
      </c>
    </row>
    <row r="6" spans="1:36">
      <c r="A6" s="20">
        <v>158</v>
      </c>
      <c r="B6" s="20">
        <v>1441</v>
      </c>
      <c r="C6" s="20" t="s">
        <v>1729</v>
      </c>
      <c r="D6" s="20" t="s">
        <v>1730</v>
      </c>
      <c r="E6" s="18" t="s">
        <v>1343</v>
      </c>
      <c r="F6" s="20" t="s">
        <v>1731</v>
      </c>
      <c r="G6" s="20" t="s">
        <v>1732</v>
      </c>
      <c r="H6" s="18" t="s">
        <v>338</v>
      </c>
      <c r="I6" s="20" t="s">
        <v>985</v>
      </c>
      <c r="J6" s="18" t="s">
        <v>30</v>
      </c>
      <c r="K6" s="18" t="s">
        <v>30</v>
      </c>
      <c r="L6" s="20" t="s">
        <v>344</v>
      </c>
      <c r="M6" s="18" t="s">
        <v>56</v>
      </c>
      <c r="N6" s="20" t="s">
        <v>466</v>
      </c>
      <c r="O6" s="20" t="s">
        <v>153</v>
      </c>
      <c r="P6" s="20" t="s">
        <v>32</v>
      </c>
      <c r="Q6" s="20" t="s">
        <v>430</v>
      </c>
      <c r="R6" s="20" t="s">
        <v>423</v>
      </c>
      <c r="S6" s="18" t="s">
        <v>44</v>
      </c>
      <c r="T6" s="155">
        <v>2.2240000000000002</v>
      </c>
      <c r="U6" s="20" t="s">
        <v>1733</v>
      </c>
      <c r="V6" s="175">
        <v>0.04</v>
      </c>
      <c r="W6" s="176">
        <v>5.774E-2</v>
      </c>
      <c r="X6" s="18" t="s">
        <v>429</v>
      </c>
      <c r="Y6" s="18" t="s">
        <v>153</v>
      </c>
      <c r="Z6" s="153">
        <v>31750</v>
      </c>
      <c r="AA6" s="162">
        <v>1</v>
      </c>
      <c r="AB6" s="179">
        <v>96.04</v>
      </c>
      <c r="AC6" s="20"/>
      <c r="AD6" s="153">
        <v>30.492999999999999</v>
      </c>
      <c r="AG6" s="2" t="s">
        <v>36</v>
      </c>
      <c r="AH6" s="168">
        <v>4.6999999999999997E-5</v>
      </c>
      <c r="AI6" s="168">
        <v>2.0634787568531401E-2</v>
      </c>
      <c r="AJ6" s="168">
        <v>3.1258342352545698E-3</v>
      </c>
    </row>
    <row r="7" spans="1:36">
      <c r="A7" s="20">
        <v>158</v>
      </c>
      <c r="B7" s="20">
        <v>1441</v>
      </c>
      <c r="C7" s="20" t="s">
        <v>1523</v>
      </c>
      <c r="D7" s="20" t="s">
        <v>1524</v>
      </c>
      <c r="E7" s="18" t="s">
        <v>1343</v>
      </c>
      <c r="F7" s="20" t="s">
        <v>1734</v>
      </c>
      <c r="G7" s="20" t="s">
        <v>1735</v>
      </c>
      <c r="H7" s="18" t="s">
        <v>338</v>
      </c>
      <c r="I7" s="20" t="s">
        <v>772</v>
      </c>
      <c r="J7" s="18" t="s">
        <v>30</v>
      </c>
      <c r="K7" s="18" t="s">
        <v>30</v>
      </c>
      <c r="L7" s="20" t="s">
        <v>344</v>
      </c>
      <c r="M7" s="18" t="s">
        <v>56</v>
      </c>
      <c r="N7" s="20" t="s">
        <v>479</v>
      </c>
      <c r="O7" s="20" t="s">
        <v>153</v>
      </c>
      <c r="P7" s="20" t="s">
        <v>1718</v>
      </c>
      <c r="Q7" s="20" t="s">
        <v>430</v>
      </c>
      <c r="R7" s="20" t="s">
        <v>423</v>
      </c>
      <c r="S7" s="18" t="s">
        <v>44</v>
      </c>
      <c r="T7" s="155">
        <v>2.1819999999999999</v>
      </c>
      <c r="U7" s="20" t="s">
        <v>1736</v>
      </c>
      <c r="V7" s="175">
        <v>3.2000000000000001E-2</v>
      </c>
      <c r="W7" s="176">
        <v>2.647E-2</v>
      </c>
      <c r="X7" s="18" t="s">
        <v>429</v>
      </c>
      <c r="Y7" s="18" t="s">
        <v>153</v>
      </c>
      <c r="Z7" s="153">
        <v>27000</v>
      </c>
      <c r="AA7" s="162">
        <v>1</v>
      </c>
      <c r="AB7" s="179">
        <v>117.37</v>
      </c>
      <c r="AC7" s="20"/>
      <c r="AD7" s="153">
        <v>31.69</v>
      </c>
      <c r="AG7" s="2" t="s">
        <v>36</v>
      </c>
      <c r="AH7" s="168">
        <v>2.5999999999999998E-5</v>
      </c>
      <c r="AI7" s="168">
        <v>2.1444947629039202E-2</v>
      </c>
      <c r="AJ7" s="168">
        <v>3.24856028924279E-3</v>
      </c>
    </row>
    <row r="8" spans="1:36">
      <c r="A8" s="20">
        <v>158</v>
      </c>
      <c r="B8" s="20">
        <v>1441</v>
      </c>
      <c r="C8" s="20" t="s">
        <v>1737</v>
      </c>
      <c r="D8" s="20" t="s">
        <v>1738</v>
      </c>
      <c r="E8" s="18" t="s">
        <v>1343</v>
      </c>
      <c r="F8" s="20" t="s">
        <v>1739</v>
      </c>
      <c r="G8" s="20" t="s">
        <v>1740</v>
      </c>
      <c r="H8" s="18" t="s">
        <v>338</v>
      </c>
      <c r="I8" s="20" t="s">
        <v>772</v>
      </c>
      <c r="J8" s="18" t="s">
        <v>30</v>
      </c>
      <c r="K8" s="18" t="s">
        <v>30</v>
      </c>
      <c r="L8" s="20" t="s">
        <v>344</v>
      </c>
      <c r="M8" s="18" t="s">
        <v>56</v>
      </c>
      <c r="N8" s="20" t="s">
        <v>479</v>
      </c>
      <c r="O8" s="20" t="s">
        <v>153</v>
      </c>
      <c r="P8" s="20" t="s">
        <v>1724</v>
      </c>
      <c r="Q8" s="20" t="s">
        <v>430</v>
      </c>
      <c r="R8" s="20" t="s">
        <v>423</v>
      </c>
      <c r="S8" s="18" t="s">
        <v>44</v>
      </c>
      <c r="T8" s="155">
        <v>0.60199999999999998</v>
      </c>
      <c r="U8" s="20" t="s">
        <v>1741</v>
      </c>
      <c r="V8" s="175">
        <v>2.5000000000000001E-2</v>
      </c>
      <c r="W8" s="176">
        <v>2.8119999999999999E-2</v>
      </c>
      <c r="X8" s="18" t="s">
        <v>429</v>
      </c>
      <c r="Y8" s="18" t="s">
        <v>153</v>
      </c>
      <c r="Z8" s="155">
        <v>10002.530000000001</v>
      </c>
      <c r="AA8" s="177">
        <v>1</v>
      </c>
      <c r="AB8" s="178">
        <v>116.48</v>
      </c>
      <c r="AC8" s="20"/>
      <c r="AD8" s="155">
        <v>11.651</v>
      </c>
      <c r="AE8" s="20"/>
      <c r="AG8" s="18" t="s">
        <v>36</v>
      </c>
      <c r="AH8" s="168">
        <v>4.1999999999999998E-5</v>
      </c>
      <c r="AI8" s="168">
        <v>7.8843400276679392E-3</v>
      </c>
      <c r="AJ8" s="168">
        <v>1.19434910095498E-3</v>
      </c>
    </row>
    <row r="9" spans="1:36">
      <c r="A9" s="20">
        <v>158</v>
      </c>
      <c r="B9" s="20">
        <v>1441</v>
      </c>
      <c r="C9" s="20" t="s">
        <v>1742</v>
      </c>
      <c r="D9" s="20" t="s">
        <v>1743</v>
      </c>
      <c r="E9" s="18" t="s">
        <v>1343</v>
      </c>
      <c r="F9" s="20" t="s">
        <v>1744</v>
      </c>
      <c r="G9" s="20" t="s">
        <v>1745</v>
      </c>
      <c r="H9" s="18" t="s">
        <v>338</v>
      </c>
      <c r="I9" s="20" t="s">
        <v>985</v>
      </c>
      <c r="J9" s="18" t="s">
        <v>30</v>
      </c>
      <c r="K9" s="18" t="s">
        <v>30</v>
      </c>
      <c r="L9" s="20" t="s">
        <v>344</v>
      </c>
      <c r="M9" s="18" t="s">
        <v>56</v>
      </c>
      <c r="N9" s="20" t="s">
        <v>455</v>
      </c>
      <c r="O9" s="20" t="s">
        <v>153</v>
      </c>
      <c r="P9" s="20" t="s">
        <v>1746</v>
      </c>
      <c r="Q9" s="20" t="s">
        <v>110</v>
      </c>
      <c r="R9" s="20" t="s">
        <v>423</v>
      </c>
      <c r="S9" s="18" t="s">
        <v>44</v>
      </c>
      <c r="T9" s="155">
        <v>3.0009999999999999</v>
      </c>
      <c r="U9" s="20" t="s">
        <v>1747</v>
      </c>
      <c r="V9" s="175">
        <v>7.2499999999999995E-2</v>
      </c>
      <c r="W9" s="176">
        <v>6.3950000000000007E-2</v>
      </c>
      <c r="X9" s="18" t="s">
        <v>429</v>
      </c>
      <c r="Y9" s="18" t="s">
        <v>153</v>
      </c>
      <c r="Z9" s="155">
        <v>8958.6</v>
      </c>
      <c r="AA9" s="177">
        <v>1</v>
      </c>
      <c r="AB9" s="178">
        <v>105.92</v>
      </c>
      <c r="AC9" s="20"/>
      <c r="AD9" s="155">
        <v>9.4890000000000008</v>
      </c>
      <c r="AE9" s="20"/>
      <c r="AG9" s="18" t="s">
        <v>36</v>
      </c>
      <c r="AH9" s="168">
        <v>1.2E-5</v>
      </c>
      <c r="AI9" s="168">
        <v>6.4212893361297301E-3</v>
      </c>
      <c r="AJ9" s="168">
        <v>9.72720750077386E-4</v>
      </c>
    </row>
    <row r="10" spans="1:36">
      <c r="A10" s="20">
        <v>158</v>
      </c>
      <c r="B10" s="20">
        <v>1441</v>
      </c>
      <c r="C10" s="20" t="s">
        <v>1748</v>
      </c>
      <c r="D10" s="20" t="s">
        <v>1749</v>
      </c>
      <c r="E10" s="18" t="s">
        <v>1343</v>
      </c>
      <c r="F10" s="20" t="s">
        <v>1750</v>
      </c>
      <c r="G10" s="20" t="s">
        <v>1751</v>
      </c>
      <c r="H10" s="18" t="s">
        <v>338</v>
      </c>
      <c r="I10" s="20" t="s">
        <v>772</v>
      </c>
      <c r="J10" s="18" t="s">
        <v>30</v>
      </c>
      <c r="K10" s="18" t="s">
        <v>30</v>
      </c>
      <c r="L10" s="20" t="s">
        <v>344</v>
      </c>
      <c r="M10" s="18" t="s">
        <v>56</v>
      </c>
      <c r="N10" s="20" t="s">
        <v>463</v>
      </c>
      <c r="O10" s="20" t="s">
        <v>153</v>
      </c>
      <c r="P10" s="20" t="s">
        <v>109</v>
      </c>
      <c r="Q10" s="20" t="s">
        <v>430</v>
      </c>
      <c r="R10" s="20" t="s">
        <v>423</v>
      </c>
      <c r="S10" s="18" t="s">
        <v>44</v>
      </c>
      <c r="T10" s="155">
        <v>3.9830000000000001</v>
      </c>
      <c r="U10" s="20" t="s">
        <v>1752</v>
      </c>
      <c r="V10" s="175">
        <v>2E-3</v>
      </c>
      <c r="W10" s="176">
        <v>2.5190000000000001E-2</v>
      </c>
      <c r="X10" s="18" t="s">
        <v>429</v>
      </c>
      <c r="Y10" s="18" t="s">
        <v>153</v>
      </c>
      <c r="Z10" s="155">
        <v>25263.15</v>
      </c>
      <c r="AA10" s="177">
        <v>1</v>
      </c>
      <c r="AB10" s="178">
        <v>102.6</v>
      </c>
      <c r="AC10" s="20"/>
      <c r="AD10" s="155">
        <v>25.92</v>
      </c>
      <c r="AE10" s="20"/>
      <c r="AG10" s="18" t="s">
        <v>36</v>
      </c>
      <c r="AH10" s="168">
        <v>6.9999999999999999E-6</v>
      </c>
      <c r="AI10" s="168">
        <v>1.75403793902985E-2</v>
      </c>
      <c r="AJ10" s="168">
        <v>2.6570817952670999E-3</v>
      </c>
    </row>
    <row r="11" spans="1:36">
      <c r="A11" s="20">
        <v>158</v>
      </c>
      <c r="B11" s="20">
        <v>1441</v>
      </c>
      <c r="C11" s="20" t="s">
        <v>1748</v>
      </c>
      <c r="D11" s="20" t="s">
        <v>1749</v>
      </c>
      <c r="E11" s="18" t="s">
        <v>1343</v>
      </c>
      <c r="F11" s="20" t="s">
        <v>1753</v>
      </c>
      <c r="G11" s="20" t="s">
        <v>1754</v>
      </c>
      <c r="H11" s="18" t="s">
        <v>338</v>
      </c>
      <c r="I11" s="20" t="s">
        <v>772</v>
      </c>
      <c r="J11" s="18" t="s">
        <v>30</v>
      </c>
      <c r="K11" s="18" t="s">
        <v>30</v>
      </c>
      <c r="L11" s="20" t="s">
        <v>344</v>
      </c>
      <c r="M11" s="18" t="s">
        <v>56</v>
      </c>
      <c r="N11" s="20" t="s">
        <v>463</v>
      </c>
      <c r="O11" s="20" t="s">
        <v>153</v>
      </c>
      <c r="P11" s="20" t="s">
        <v>109</v>
      </c>
      <c r="Q11" s="20" t="s">
        <v>430</v>
      </c>
      <c r="R11" s="20" t="s">
        <v>423</v>
      </c>
      <c r="S11" s="18" t="s">
        <v>44</v>
      </c>
      <c r="T11" s="155">
        <v>4.9290000000000003</v>
      </c>
      <c r="U11" s="20" t="s">
        <v>1755</v>
      </c>
      <c r="V11" s="175">
        <v>2.47E-2</v>
      </c>
      <c r="W11" s="176">
        <v>2.5839999999999998E-2</v>
      </c>
      <c r="X11" s="18" t="s">
        <v>429</v>
      </c>
      <c r="Y11" s="18" t="s">
        <v>153</v>
      </c>
      <c r="Z11" s="155">
        <v>30000</v>
      </c>
      <c r="AA11" s="177">
        <v>1</v>
      </c>
      <c r="AB11" s="178">
        <v>102.7</v>
      </c>
      <c r="AC11" s="20"/>
      <c r="AD11" s="155">
        <v>30.81</v>
      </c>
      <c r="AE11" s="20"/>
      <c r="AG11" s="18" t="s">
        <v>36</v>
      </c>
      <c r="AH11" s="168">
        <v>1.0000000000000001E-5</v>
      </c>
      <c r="AI11" s="168">
        <v>2.08495084064859E-2</v>
      </c>
      <c r="AJ11" s="168">
        <v>3.1583609450194102E-3</v>
      </c>
    </row>
    <row r="12" spans="1:36">
      <c r="A12" s="20">
        <v>158</v>
      </c>
      <c r="B12" s="20">
        <v>1441</v>
      </c>
      <c r="C12" s="20" t="s">
        <v>1756</v>
      </c>
      <c r="D12" s="20" t="s">
        <v>1757</v>
      </c>
      <c r="E12" s="18" t="s">
        <v>1343</v>
      </c>
      <c r="F12" s="20" t="s">
        <v>1758</v>
      </c>
      <c r="G12" s="20" t="s">
        <v>1759</v>
      </c>
      <c r="H12" s="18" t="s">
        <v>338</v>
      </c>
      <c r="I12" s="20" t="s">
        <v>985</v>
      </c>
      <c r="J12" s="18" t="s">
        <v>30</v>
      </c>
      <c r="K12" s="18" t="s">
        <v>30</v>
      </c>
      <c r="L12" s="20" t="s">
        <v>344</v>
      </c>
      <c r="M12" s="18" t="s">
        <v>56</v>
      </c>
      <c r="N12" s="20" t="s">
        <v>460</v>
      </c>
      <c r="O12" s="20" t="s">
        <v>153</v>
      </c>
      <c r="P12" s="20" t="s">
        <v>1724</v>
      </c>
      <c r="Q12" s="20" t="s">
        <v>430</v>
      </c>
      <c r="R12" s="20" t="s">
        <v>423</v>
      </c>
      <c r="S12" s="18" t="s">
        <v>44</v>
      </c>
      <c r="T12" s="155">
        <v>1.702</v>
      </c>
      <c r="U12" s="20" t="s">
        <v>1760</v>
      </c>
      <c r="V12" s="175">
        <v>2.9100000000000001E-2</v>
      </c>
      <c r="W12" s="176">
        <v>5.3460000000000001E-2</v>
      </c>
      <c r="X12" s="18" t="s">
        <v>429</v>
      </c>
      <c r="Y12" s="18" t="s">
        <v>153</v>
      </c>
      <c r="Z12" s="155">
        <v>10000</v>
      </c>
      <c r="AA12" s="177">
        <v>1</v>
      </c>
      <c r="AB12" s="178">
        <v>96.84</v>
      </c>
      <c r="AC12" s="20"/>
      <c r="AD12" s="155">
        <v>9.6839999999999993</v>
      </c>
      <c r="AE12" s="20"/>
      <c r="AG12" s="18" t="s">
        <v>36</v>
      </c>
      <c r="AH12" s="168">
        <v>1.7E-5</v>
      </c>
      <c r="AI12" s="168">
        <v>6.5532826812206898E-3</v>
      </c>
      <c r="AJ12" s="168">
        <v>9.9271559206646999E-4</v>
      </c>
    </row>
    <row r="13" spans="1:36">
      <c r="A13" s="20">
        <v>158</v>
      </c>
      <c r="B13" s="20">
        <v>1441</v>
      </c>
      <c r="C13" s="20" t="s">
        <v>1756</v>
      </c>
      <c r="D13" s="20" t="s">
        <v>1757</v>
      </c>
      <c r="E13" s="18" t="s">
        <v>1343</v>
      </c>
      <c r="F13" s="20" t="s">
        <v>1761</v>
      </c>
      <c r="G13" s="20" t="s">
        <v>1762</v>
      </c>
      <c r="H13" s="18" t="s">
        <v>338</v>
      </c>
      <c r="I13" s="20" t="s">
        <v>985</v>
      </c>
      <c r="J13" s="18" t="s">
        <v>30</v>
      </c>
      <c r="K13" s="18" t="s">
        <v>30</v>
      </c>
      <c r="L13" s="20" t="s">
        <v>344</v>
      </c>
      <c r="M13" s="18" t="s">
        <v>56</v>
      </c>
      <c r="N13" s="20" t="s">
        <v>460</v>
      </c>
      <c r="O13" s="20" t="s">
        <v>153</v>
      </c>
      <c r="P13" s="20" t="s">
        <v>1724</v>
      </c>
      <c r="Q13" s="20" t="s">
        <v>430</v>
      </c>
      <c r="R13" s="20" t="s">
        <v>423</v>
      </c>
      <c r="S13" s="18" t="s">
        <v>44</v>
      </c>
      <c r="T13" s="155">
        <v>4.681</v>
      </c>
      <c r="U13" s="20" t="s">
        <v>1763</v>
      </c>
      <c r="V13" s="175">
        <v>4.3799999999999999E-2</v>
      </c>
      <c r="W13" s="176">
        <v>5.527E-2</v>
      </c>
      <c r="X13" s="18" t="s">
        <v>429</v>
      </c>
      <c r="Y13" s="18" t="s">
        <v>153</v>
      </c>
      <c r="Z13" s="155">
        <v>28500</v>
      </c>
      <c r="AA13" s="177">
        <v>1</v>
      </c>
      <c r="AB13" s="178">
        <v>96.24</v>
      </c>
      <c r="AC13" s="20"/>
      <c r="AD13" s="155">
        <v>27.428000000000001</v>
      </c>
      <c r="AE13" s="20"/>
      <c r="AG13" s="18" t="s">
        <v>36</v>
      </c>
      <c r="AH13" s="168">
        <v>5.7000000000000003E-5</v>
      </c>
      <c r="AI13" s="168">
        <v>1.85611378246173E-2</v>
      </c>
      <c r="AJ13" s="168">
        <v>2.8117100728455098E-3</v>
      </c>
    </row>
    <row r="14" spans="1:36">
      <c r="A14" s="20">
        <v>158</v>
      </c>
      <c r="B14" s="20">
        <v>1441</v>
      </c>
      <c r="C14" s="20" t="s">
        <v>1764</v>
      </c>
      <c r="D14" s="20" t="s">
        <v>1765</v>
      </c>
      <c r="E14" s="18" t="s">
        <v>1343</v>
      </c>
      <c r="F14" s="20" t="s">
        <v>1766</v>
      </c>
      <c r="G14" s="20" t="s">
        <v>1767</v>
      </c>
      <c r="H14" s="18" t="s">
        <v>338</v>
      </c>
      <c r="I14" s="20" t="s">
        <v>985</v>
      </c>
      <c r="J14" s="18" t="s">
        <v>30</v>
      </c>
      <c r="K14" s="18" t="s">
        <v>30</v>
      </c>
      <c r="L14" s="20" t="s">
        <v>344</v>
      </c>
      <c r="M14" s="18" t="s">
        <v>56</v>
      </c>
      <c r="N14" s="20" t="s">
        <v>460</v>
      </c>
      <c r="O14" s="20" t="s">
        <v>153</v>
      </c>
      <c r="P14" s="20" t="s">
        <v>1718</v>
      </c>
      <c r="Q14" s="20" t="s">
        <v>110</v>
      </c>
      <c r="R14" s="20" t="s">
        <v>423</v>
      </c>
      <c r="S14" s="18" t="s">
        <v>44</v>
      </c>
      <c r="T14" s="155">
        <v>4.95</v>
      </c>
      <c r="U14" s="20" t="s">
        <v>1768</v>
      </c>
      <c r="V14" s="175">
        <v>1.95E-2</v>
      </c>
      <c r="W14" s="176">
        <v>5.7970000000000001E-2</v>
      </c>
      <c r="X14" s="18" t="s">
        <v>429</v>
      </c>
      <c r="Y14" s="18" t="s">
        <v>153</v>
      </c>
      <c r="Z14" s="155">
        <v>36344.129999999997</v>
      </c>
      <c r="AA14" s="177">
        <v>1</v>
      </c>
      <c r="AB14" s="178">
        <v>83.08</v>
      </c>
      <c r="AC14" s="20"/>
      <c r="AD14" s="155">
        <v>30.195</v>
      </c>
      <c r="AE14" s="20"/>
      <c r="AG14" s="18" t="s">
        <v>36</v>
      </c>
      <c r="AH14" s="168">
        <v>3.4999999999999997E-5</v>
      </c>
      <c r="AI14" s="168">
        <v>2.0433129447683999E-2</v>
      </c>
      <c r="AJ14" s="168">
        <v>3.0952863143773402E-3</v>
      </c>
    </row>
    <row r="15" spans="1:36">
      <c r="A15" s="20">
        <v>158</v>
      </c>
      <c r="B15" s="20">
        <v>1441</v>
      </c>
      <c r="C15" s="20" t="s">
        <v>1769</v>
      </c>
      <c r="D15" s="20" t="s">
        <v>1770</v>
      </c>
      <c r="E15" s="18" t="s">
        <v>1343</v>
      </c>
      <c r="F15" s="20" t="s">
        <v>1771</v>
      </c>
      <c r="G15" s="20" t="s">
        <v>1772</v>
      </c>
      <c r="H15" s="18" t="s">
        <v>338</v>
      </c>
      <c r="I15" s="20" t="s">
        <v>772</v>
      </c>
      <c r="J15" s="18" t="s">
        <v>30</v>
      </c>
      <c r="K15" s="18" t="s">
        <v>30</v>
      </c>
      <c r="L15" s="20" t="s">
        <v>344</v>
      </c>
      <c r="M15" s="18" t="s">
        <v>56</v>
      </c>
      <c r="N15" s="20" t="s">
        <v>455</v>
      </c>
      <c r="O15" s="20" t="s">
        <v>153</v>
      </c>
      <c r="P15" s="20" t="s">
        <v>1773</v>
      </c>
      <c r="Q15" s="20" t="s">
        <v>430</v>
      </c>
      <c r="R15" s="20" t="s">
        <v>423</v>
      </c>
      <c r="S15" s="18" t="s">
        <v>44</v>
      </c>
      <c r="T15" s="155">
        <v>3.4359999999999999</v>
      </c>
      <c r="U15" s="20" t="s">
        <v>1774</v>
      </c>
      <c r="V15" s="175">
        <v>3.85E-2</v>
      </c>
      <c r="W15" s="176">
        <v>2.5659999999999999E-2</v>
      </c>
      <c r="X15" s="18" t="s">
        <v>429</v>
      </c>
      <c r="Y15" s="18" t="s">
        <v>153</v>
      </c>
      <c r="Z15" s="155">
        <v>95833.32</v>
      </c>
      <c r="AA15" s="177">
        <v>1</v>
      </c>
      <c r="AB15" s="178">
        <v>121.2</v>
      </c>
      <c r="AC15" s="155">
        <v>2.1419999999999999</v>
      </c>
      <c r="AD15" s="155">
        <v>118.292</v>
      </c>
      <c r="AE15" s="20"/>
      <c r="AG15" s="18" t="s">
        <v>36</v>
      </c>
      <c r="AH15" s="168">
        <v>3.8000000000000002E-5</v>
      </c>
      <c r="AI15" s="168">
        <v>8.0049934056653907E-2</v>
      </c>
      <c r="AJ15" s="168">
        <v>1.2126261226248601E-2</v>
      </c>
    </row>
    <row r="16" spans="1:36">
      <c r="A16" s="20">
        <v>158</v>
      </c>
      <c r="B16" s="20">
        <v>1441</v>
      </c>
      <c r="C16" s="20" t="s">
        <v>1769</v>
      </c>
      <c r="D16" s="20" t="s">
        <v>1770</v>
      </c>
      <c r="E16" s="18" t="s">
        <v>1343</v>
      </c>
      <c r="F16" s="20" t="s">
        <v>1775</v>
      </c>
      <c r="G16" s="20" t="s">
        <v>1776</v>
      </c>
      <c r="H16" s="18" t="s">
        <v>338</v>
      </c>
      <c r="I16" s="20" t="s">
        <v>772</v>
      </c>
      <c r="J16" s="18" t="s">
        <v>30</v>
      </c>
      <c r="K16" s="18" t="s">
        <v>30</v>
      </c>
      <c r="L16" s="20" t="s">
        <v>344</v>
      </c>
      <c r="M16" s="18" t="s">
        <v>56</v>
      </c>
      <c r="N16" s="20" t="s">
        <v>455</v>
      </c>
      <c r="O16" s="20" t="s">
        <v>153</v>
      </c>
      <c r="P16" s="20" t="s">
        <v>1773</v>
      </c>
      <c r="Q16" s="20" t="s">
        <v>430</v>
      </c>
      <c r="R16" s="20" t="s">
        <v>423</v>
      </c>
      <c r="S16" s="18" t="s">
        <v>44</v>
      </c>
      <c r="T16" s="155">
        <v>5.798</v>
      </c>
      <c r="U16" s="20" t="s">
        <v>1777</v>
      </c>
      <c r="V16" s="175">
        <v>2.3900000000000001E-2</v>
      </c>
      <c r="W16" s="176">
        <v>2.9239999999999999E-2</v>
      </c>
      <c r="X16" s="18" t="s">
        <v>429</v>
      </c>
      <c r="Y16" s="18" t="s">
        <v>153</v>
      </c>
      <c r="Z16" s="155">
        <v>45000</v>
      </c>
      <c r="AA16" s="177">
        <v>1</v>
      </c>
      <c r="AB16" s="178">
        <v>111.74</v>
      </c>
      <c r="AC16" s="20"/>
      <c r="AD16" s="155">
        <v>50.283000000000001</v>
      </c>
      <c r="AE16" s="20"/>
      <c r="AG16" s="18" t="s">
        <v>36</v>
      </c>
      <c r="AH16" s="168">
        <v>1.2E-5</v>
      </c>
      <c r="AI16" s="168">
        <v>3.40271285687547E-2</v>
      </c>
      <c r="AJ16" s="168">
        <v>5.1545557740477399E-3</v>
      </c>
    </row>
    <row r="17" spans="1:36">
      <c r="A17" s="20">
        <v>158</v>
      </c>
      <c r="B17" s="20">
        <v>1441</v>
      </c>
      <c r="C17" s="20" t="s">
        <v>1778</v>
      </c>
      <c r="D17" s="20" t="s">
        <v>1779</v>
      </c>
      <c r="E17" s="18" t="s">
        <v>1343</v>
      </c>
      <c r="F17" s="20" t="s">
        <v>1780</v>
      </c>
      <c r="G17" s="20" t="s">
        <v>1781</v>
      </c>
      <c r="H17" s="18" t="s">
        <v>338</v>
      </c>
      <c r="I17" s="20" t="s">
        <v>985</v>
      </c>
      <c r="J17" s="18" t="s">
        <v>30</v>
      </c>
      <c r="K17" s="18" t="s">
        <v>30</v>
      </c>
      <c r="L17" s="20" t="s">
        <v>344</v>
      </c>
      <c r="M17" s="18" t="s">
        <v>56</v>
      </c>
      <c r="N17" s="20" t="s">
        <v>479</v>
      </c>
      <c r="O17" s="20" t="s">
        <v>153</v>
      </c>
      <c r="P17" s="20" t="s">
        <v>1724</v>
      </c>
      <c r="Q17" s="20" t="s">
        <v>430</v>
      </c>
      <c r="R17" s="20" t="s">
        <v>423</v>
      </c>
      <c r="S17" s="18" t="s">
        <v>44</v>
      </c>
      <c r="T17" s="155">
        <v>1.3620000000000001</v>
      </c>
      <c r="U17" s="20" t="s">
        <v>1782</v>
      </c>
      <c r="V17" s="175">
        <v>5.0500000000000003E-2</v>
      </c>
      <c r="W17" s="176">
        <v>5.2260000000000001E-2</v>
      </c>
      <c r="X17" s="18" t="s">
        <v>429</v>
      </c>
      <c r="Y17" s="18" t="s">
        <v>153</v>
      </c>
      <c r="Z17" s="155">
        <v>35142.85</v>
      </c>
      <c r="AA17" s="177">
        <v>1</v>
      </c>
      <c r="AB17" s="178">
        <v>100.28</v>
      </c>
      <c r="AC17" s="20"/>
      <c r="AD17" s="155">
        <v>35.241</v>
      </c>
      <c r="AE17" s="20"/>
      <c r="AG17" s="18" t="s">
        <v>36</v>
      </c>
      <c r="AH17" s="168">
        <v>1.26E-4</v>
      </c>
      <c r="AI17" s="168">
        <v>2.3848190123761201E-2</v>
      </c>
      <c r="AJ17" s="168">
        <v>3.61261238528069E-3</v>
      </c>
    </row>
    <row r="18" spans="1:36">
      <c r="A18" s="20">
        <v>158</v>
      </c>
      <c r="B18" s="20">
        <v>1441</v>
      </c>
      <c r="C18" s="20" t="s">
        <v>1783</v>
      </c>
      <c r="D18" s="20" t="s">
        <v>1784</v>
      </c>
      <c r="E18" s="18" t="s">
        <v>1343</v>
      </c>
      <c r="F18" s="20" t="s">
        <v>1785</v>
      </c>
      <c r="G18" s="20" t="s">
        <v>1786</v>
      </c>
      <c r="H18" s="18" t="s">
        <v>338</v>
      </c>
      <c r="I18" s="20" t="s">
        <v>985</v>
      </c>
      <c r="J18" s="18" t="s">
        <v>30</v>
      </c>
      <c r="K18" s="18" t="s">
        <v>30</v>
      </c>
      <c r="L18" s="20" t="s">
        <v>344</v>
      </c>
      <c r="M18" s="18" t="s">
        <v>56</v>
      </c>
      <c r="N18" s="20" t="s">
        <v>460</v>
      </c>
      <c r="O18" s="20" t="s">
        <v>153</v>
      </c>
      <c r="P18" s="20" t="s">
        <v>1724</v>
      </c>
      <c r="Q18" s="20" t="s">
        <v>430</v>
      </c>
      <c r="R18" s="20" t="s">
        <v>423</v>
      </c>
      <c r="S18" s="18" t="s">
        <v>44</v>
      </c>
      <c r="T18" s="155">
        <v>7.5170000000000003</v>
      </c>
      <c r="U18" s="20" t="s">
        <v>89</v>
      </c>
      <c r="V18" s="175">
        <v>2.64E-2</v>
      </c>
      <c r="W18" s="176">
        <v>5.7770000000000002E-2</v>
      </c>
      <c r="X18" s="18" t="s">
        <v>429</v>
      </c>
      <c r="Y18" s="18" t="s">
        <v>153</v>
      </c>
      <c r="Z18" s="155">
        <v>135500</v>
      </c>
      <c r="AA18" s="177">
        <v>1</v>
      </c>
      <c r="AB18" s="178">
        <v>85.75</v>
      </c>
      <c r="AC18" s="20"/>
      <c r="AD18" s="155">
        <v>116.191</v>
      </c>
      <c r="AE18" s="20"/>
      <c r="AG18" s="18" t="s">
        <v>36</v>
      </c>
      <c r="AH18" s="168">
        <v>8.2999999999999998E-5</v>
      </c>
      <c r="AI18" s="168">
        <v>7.8628057242294894E-2</v>
      </c>
      <c r="AJ18" s="168">
        <v>1.19108700471596E-2</v>
      </c>
    </row>
    <row r="19" spans="1:36">
      <c r="A19" s="20">
        <v>158</v>
      </c>
      <c r="B19" s="20">
        <v>1441</v>
      </c>
      <c r="C19" s="20" t="s">
        <v>1196</v>
      </c>
      <c r="D19" s="20" t="s">
        <v>1567</v>
      </c>
      <c r="E19" s="18" t="s">
        <v>1343</v>
      </c>
      <c r="F19" s="20" t="s">
        <v>1787</v>
      </c>
      <c r="G19" s="20" t="s">
        <v>1788</v>
      </c>
      <c r="H19" s="18" t="s">
        <v>338</v>
      </c>
      <c r="I19" s="20" t="s">
        <v>772</v>
      </c>
      <c r="J19" s="18" t="s">
        <v>30</v>
      </c>
      <c r="K19" s="18" t="s">
        <v>30</v>
      </c>
      <c r="L19" s="20" t="s">
        <v>344</v>
      </c>
      <c r="M19" s="18" t="s">
        <v>56</v>
      </c>
      <c r="N19" s="20" t="s">
        <v>463</v>
      </c>
      <c r="O19" s="20" t="s">
        <v>153</v>
      </c>
      <c r="P19" s="20" t="s">
        <v>109</v>
      </c>
      <c r="Q19" s="20" t="s">
        <v>430</v>
      </c>
      <c r="R19" s="20" t="s">
        <v>423</v>
      </c>
      <c r="S19" s="18" t="s">
        <v>44</v>
      </c>
      <c r="T19" s="155">
        <v>1.7370000000000001</v>
      </c>
      <c r="U19" s="20" t="s">
        <v>1760</v>
      </c>
      <c r="V19" s="175">
        <v>8.3000000000000001E-3</v>
      </c>
      <c r="W19" s="176">
        <v>2.0449999999999999E-2</v>
      </c>
      <c r="X19" s="18" t="s">
        <v>429</v>
      </c>
      <c r="Y19" s="18" t="s">
        <v>153</v>
      </c>
      <c r="Z19" s="155">
        <v>15000</v>
      </c>
      <c r="AA19" s="177">
        <v>1</v>
      </c>
      <c r="AB19" s="178">
        <v>113.2</v>
      </c>
      <c r="AC19" s="20"/>
      <c r="AD19" s="155">
        <v>16.98</v>
      </c>
      <c r="AE19" s="20"/>
      <c r="AG19" s="18" t="s">
        <v>36</v>
      </c>
      <c r="AH19" s="168">
        <v>1.0000000000000001E-5</v>
      </c>
      <c r="AI19" s="168">
        <v>1.1490576200653401E-2</v>
      </c>
      <c r="AJ19" s="168">
        <v>1.7406351459405901E-3</v>
      </c>
    </row>
    <row r="20" spans="1:36">
      <c r="A20" s="2">
        <v>158</v>
      </c>
      <c r="B20" s="2">
        <v>1441</v>
      </c>
      <c r="C20" s="2" t="s">
        <v>1196</v>
      </c>
      <c r="D20" s="2" t="s">
        <v>1567</v>
      </c>
      <c r="E20" s="18" t="s">
        <v>1343</v>
      </c>
      <c r="F20" s="2" t="s">
        <v>1789</v>
      </c>
      <c r="G20" s="2" t="s">
        <v>1790</v>
      </c>
      <c r="H20" s="18" t="s">
        <v>338</v>
      </c>
      <c r="I20" s="20" t="s">
        <v>772</v>
      </c>
      <c r="J20" s="18" t="s">
        <v>30</v>
      </c>
      <c r="K20" s="18" t="s">
        <v>30</v>
      </c>
      <c r="L20" s="20" t="s">
        <v>344</v>
      </c>
      <c r="M20" s="18" t="s">
        <v>56</v>
      </c>
      <c r="N20" s="20" t="s">
        <v>463</v>
      </c>
      <c r="O20" s="20" t="s">
        <v>153</v>
      </c>
      <c r="P20" s="2" t="s">
        <v>109</v>
      </c>
      <c r="Q20" s="20" t="s">
        <v>430</v>
      </c>
      <c r="R20" s="20" t="s">
        <v>423</v>
      </c>
      <c r="S20" s="2" t="s">
        <v>44</v>
      </c>
      <c r="T20" s="153">
        <v>5.0449999999999999</v>
      </c>
      <c r="U20" s="2" t="s">
        <v>1791</v>
      </c>
      <c r="V20" s="166">
        <v>2.0199999999999999E-2</v>
      </c>
      <c r="W20" s="168">
        <v>2.5940000000000001E-2</v>
      </c>
      <c r="X20" s="18" t="s">
        <v>429</v>
      </c>
      <c r="Y20" s="18" t="s">
        <v>153</v>
      </c>
      <c r="Z20" s="153">
        <v>40000</v>
      </c>
      <c r="AA20" s="162">
        <v>1</v>
      </c>
      <c r="AB20" s="179">
        <v>101.35</v>
      </c>
      <c r="AD20" s="153">
        <v>40.54</v>
      </c>
      <c r="AG20" s="2" t="s">
        <v>36</v>
      </c>
      <c r="AH20" s="168">
        <v>1.1E-5</v>
      </c>
      <c r="AI20" s="168">
        <v>2.74339198571548E-2</v>
      </c>
      <c r="AJ20" s="168">
        <v>4.1557920386591004E-3</v>
      </c>
    </row>
    <row r="21" spans="1:36">
      <c r="A21" s="2">
        <v>158</v>
      </c>
      <c r="B21" s="2">
        <v>1441</v>
      </c>
      <c r="C21" s="2" t="s">
        <v>1792</v>
      </c>
      <c r="D21" s="2" t="s">
        <v>1793</v>
      </c>
      <c r="E21" s="4" t="s">
        <v>1343</v>
      </c>
      <c r="F21" s="2" t="s">
        <v>1794</v>
      </c>
      <c r="G21" s="2" t="s">
        <v>1795</v>
      </c>
      <c r="H21" s="4" t="s">
        <v>338</v>
      </c>
      <c r="I21" s="2" t="s">
        <v>985</v>
      </c>
      <c r="J21" s="2" t="s">
        <v>30</v>
      </c>
      <c r="K21" s="2" t="s">
        <v>30</v>
      </c>
      <c r="L21" s="2" t="s">
        <v>344</v>
      </c>
      <c r="M21" s="4" t="s">
        <v>56</v>
      </c>
      <c r="N21" s="2" t="s">
        <v>479</v>
      </c>
      <c r="O21" s="2" t="s">
        <v>153</v>
      </c>
      <c r="P21" s="2" t="s">
        <v>1718</v>
      </c>
      <c r="Q21" s="2" t="s">
        <v>430</v>
      </c>
      <c r="R21" s="2" t="s">
        <v>423</v>
      </c>
      <c r="S21" s="2" t="s">
        <v>44</v>
      </c>
      <c r="T21" s="153">
        <v>2.0859999999999999</v>
      </c>
      <c r="U21" s="2" t="s">
        <v>1796</v>
      </c>
      <c r="V21" s="166">
        <v>5.6500000000000002E-2</v>
      </c>
      <c r="W21" s="168">
        <v>5.339E-2</v>
      </c>
      <c r="X21" s="4" t="s">
        <v>429</v>
      </c>
      <c r="Y21" s="4" t="s">
        <v>153</v>
      </c>
      <c r="Z21" s="153">
        <v>26000</v>
      </c>
      <c r="AA21" s="162">
        <v>1</v>
      </c>
      <c r="AB21" s="179">
        <v>102.21</v>
      </c>
      <c r="AD21" s="153">
        <v>26.574999999999999</v>
      </c>
      <c r="AG21" s="2" t="s">
        <v>36</v>
      </c>
      <c r="AH21" s="168">
        <v>1.6699999999999999E-4</v>
      </c>
      <c r="AI21" s="168">
        <v>1.79833607951639E-2</v>
      </c>
      <c r="AJ21" s="168">
        <v>2.72418626321041E-3</v>
      </c>
    </row>
    <row r="22" spans="1:36">
      <c r="A22" s="2">
        <v>158</v>
      </c>
      <c r="B22" s="2">
        <v>1441</v>
      </c>
      <c r="C22" s="2" t="s">
        <v>1792</v>
      </c>
      <c r="D22" s="2" t="s">
        <v>1793</v>
      </c>
      <c r="E22" s="4" t="s">
        <v>1343</v>
      </c>
      <c r="F22" s="2" t="s">
        <v>1797</v>
      </c>
      <c r="G22" s="2" t="s">
        <v>1798</v>
      </c>
      <c r="H22" s="4" t="s">
        <v>338</v>
      </c>
      <c r="I22" s="2" t="s">
        <v>772</v>
      </c>
      <c r="J22" s="2" t="s">
        <v>30</v>
      </c>
      <c r="K22" s="2" t="s">
        <v>30</v>
      </c>
      <c r="L22" s="2" t="s">
        <v>344</v>
      </c>
      <c r="M22" s="4" t="s">
        <v>56</v>
      </c>
      <c r="N22" s="2" t="s">
        <v>479</v>
      </c>
      <c r="O22" s="2" t="s">
        <v>153</v>
      </c>
      <c r="P22" s="2" t="s">
        <v>1718</v>
      </c>
      <c r="Q22" s="2" t="s">
        <v>430</v>
      </c>
      <c r="R22" s="2" t="s">
        <v>423</v>
      </c>
      <c r="S22" s="2" t="s">
        <v>44</v>
      </c>
      <c r="T22" s="153">
        <v>2.024</v>
      </c>
      <c r="U22" s="2" t="s">
        <v>1796</v>
      </c>
      <c r="V22" s="166">
        <v>3.6999999999999998E-2</v>
      </c>
      <c r="W22" s="168">
        <v>2.6419999999999999E-2</v>
      </c>
      <c r="X22" s="4" t="s">
        <v>429</v>
      </c>
      <c r="Y22" s="4" t="s">
        <v>153</v>
      </c>
      <c r="Z22" s="153">
        <v>26500</v>
      </c>
      <c r="AA22" s="162">
        <v>1</v>
      </c>
      <c r="AB22" s="179">
        <v>119.19</v>
      </c>
      <c r="AD22" s="153">
        <v>31.585000000000001</v>
      </c>
      <c r="AG22" s="2" t="s">
        <v>36</v>
      </c>
      <c r="AH22" s="168">
        <v>8.7999999999999998E-5</v>
      </c>
      <c r="AI22" s="168">
        <v>2.1374197349782499E-2</v>
      </c>
      <c r="AJ22" s="168">
        <v>3.2378427742541E-3</v>
      </c>
    </row>
    <row r="23" spans="1:36">
      <c r="A23" s="2">
        <v>158</v>
      </c>
      <c r="B23" s="2">
        <v>1441</v>
      </c>
      <c r="C23" s="2" t="s">
        <v>1799</v>
      </c>
      <c r="D23" s="2" t="s">
        <v>1800</v>
      </c>
      <c r="E23" s="4" t="s">
        <v>1343</v>
      </c>
      <c r="F23" s="2" t="s">
        <v>1801</v>
      </c>
      <c r="G23" s="2" t="s">
        <v>1802</v>
      </c>
      <c r="H23" s="4" t="s">
        <v>338</v>
      </c>
      <c r="I23" s="2" t="s">
        <v>772</v>
      </c>
      <c r="J23" s="2" t="s">
        <v>30</v>
      </c>
      <c r="K23" s="2" t="s">
        <v>30</v>
      </c>
      <c r="L23" s="2" t="s">
        <v>344</v>
      </c>
      <c r="M23" s="2" t="s">
        <v>56</v>
      </c>
      <c r="N23" s="2" t="s">
        <v>479</v>
      </c>
      <c r="O23" s="2" t="s">
        <v>153</v>
      </c>
      <c r="P23" s="2" t="s">
        <v>32</v>
      </c>
      <c r="Q23" s="2" t="s">
        <v>430</v>
      </c>
      <c r="R23" s="2" t="s">
        <v>423</v>
      </c>
      <c r="S23" s="2" t="s">
        <v>44</v>
      </c>
      <c r="T23" s="153">
        <v>1.8720000000000001</v>
      </c>
      <c r="U23" s="2" t="s">
        <v>1803</v>
      </c>
      <c r="V23" s="166">
        <v>2.0500000000000001E-2</v>
      </c>
      <c r="W23" s="168">
        <v>2.6960000000000001E-2</v>
      </c>
      <c r="X23" s="4" t="s">
        <v>429</v>
      </c>
      <c r="Y23" s="4" t="s">
        <v>153</v>
      </c>
      <c r="Z23" s="153">
        <v>18000</v>
      </c>
      <c r="AA23" s="162">
        <v>1</v>
      </c>
      <c r="AB23" s="179">
        <v>115.69</v>
      </c>
      <c r="AD23" s="153">
        <v>20.824000000000002</v>
      </c>
      <c r="AG23" s="2" t="s">
        <v>36</v>
      </c>
      <c r="AH23" s="168">
        <v>2.4000000000000001E-5</v>
      </c>
      <c r="AI23" s="168">
        <v>1.409199392919E-2</v>
      </c>
      <c r="AJ23" s="168">
        <v>2.1347075621964699E-3</v>
      </c>
    </row>
    <row r="24" spans="1:36">
      <c r="A24" s="2">
        <v>158</v>
      </c>
      <c r="B24" s="2">
        <v>1441</v>
      </c>
      <c r="C24" s="2" t="s">
        <v>1804</v>
      </c>
      <c r="D24" s="2" t="s">
        <v>1805</v>
      </c>
      <c r="E24" s="4" t="s">
        <v>1343</v>
      </c>
      <c r="F24" s="2" t="s">
        <v>1806</v>
      </c>
      <c r="G24" s="2" t="s">
        <v>1807</v>
      </c>
      <c r="H24" s="2" t="s">
        <v>338</v>
      </c>
      <c r="I24" s="2" t="s">
        <v>772</v>
      </c>
      <c r="J24" s="2" t="s">
        <v>30</v>
      </c>
      <c r="K24" s="2" t="s">
        <v>30</v>
      </c>
      <c r="L24" s="2" t="s">
        <v>344</v>
      </c>
      <c r="M24" s="2" t="s">
        <v>56</v>
      </c>
      <c r="N24" s="2" t="s">
        <v>463</v>
      </c>
      <c r="O24" s="2" t="s">
        <v>153</v>
      </c>
      <c r="P24" s="2" t="s">
        <v>109</v>
      </c>
      <c r="Q24" s="2" t="s">
        <v>430</v>
      </c>
      <c r="R24" s="2" t="s">
        <v>423</v>
      </c>
      <c r="S24" s="2" t="s">
        <v>44</v>
      </c>
      <c r="T24" s="153">
        <v>2.9550000000000001</v>
      </c>
      <c r="U24" s="2" t="s">
        <v>1808</v>
      </c>
      <c r="V24" s="166">
        <v>1.2200000000000001E-2</v>
      </c>
      <c r="W24" s="168">
        <v>2.2579999999999999E-2</v>
      </c>
      <c r="X24" s="4" t="s">
        <v>429</v>
      </c>
      <c r="Y24" s="4" t="s">
        <v>153</v>
      </c>
      <c r="Z24" s="153">
        <v>60000</v>
      </c>
      <c r="AA24" s="162">
        <v>1</v>
      </c>
      <c r="AB24" s="179">
        <v>113.04</v>
      </c>
      <c r="AD24" s="153">
        <v>67.823999999999998</v>
      </c>
      <c r="AG24" s="2" t="s">
        <v>36</v>
      </c>
      <c r="AH24" s="168">
        <v>2.0000000000000002E-5</v>
      </c>
      <c r="AI24" s="168">
        <v>4.5897340414200002E-2</v>
      </c>
      <c r="AJ24" s="168">
        <v>6.9526995370008497E-3</v>
      </c>
    </row>
    <row r="25" spans="1:36">
      <c r="A25" s="2">
        <v>158</v>
      </c>
      <c r="B25" s="2">
        <v>1441</v>
      </c>
      <c r="C25" s="2" t="s">
        <v>1804</v>
      </c>
      <c r="D25" s="2" t="s">
        <v>1805</v>
      </c>
      <c r="E25" s="4" t="s">
        <v>1343</v>
      </c>
      <c r="F25" s="2" t="s">
        <v>1809</v>
      </c>
      <c r="G25" s="2" t="s">
        <v>1810</v>
      </c>
      <c r="H25" s="2" t="s">
        <v>338</v>
      </c>
      <c r="I25" s="2" t="s">
        <v>772</v>
      </c>
      <c r="J25" s="2" t="s">
        <v>30</v>
      </c>
      <c r="K25" s="2" t="s">
        <v>30</v>
      </c>
      <c r="L25" s="2" t="s">
        <v>344</v>
      </c>
      <c r="M25" s="2" t="s">
        <v>56</v>
      </c>
      <c r="N25" s="2" t="s">
        <v>463</v>
      </c>
      <c r="O25" s="2" t="s">
        <v>153</v>
      </c>
      <c r="P25" s="2" t="s">
        <v>109</v>
      </c>
      <c r="Q25" s="2" t="s">
        <v>430</v>
      </c>
      <c r="R25" s="2" t="s">
        <v>423</v>
      </c>
      <c r="S25" s="2" t="s">
        <v>44</v>
      </c>
      <c r="T25" s="153">
        <v>4.4029999999999996</v>
      </c>
      <c r="U25" s="2" t="s">
        <v>1811</v>
      </c>
      <c r="V25" s="166">
        <v>2.06E-2</v>
      </c>
      <c r="W25" s="168">
        <v>2.6120000000000001E-2</v>
      </c>
      <c r="X25" s="4" t="s">
        <v>429</v>
      </c>
      <c r="Y25" s="4" t="s">
        <v>153</v>
      </c>
      <c r="Z25" s="153">
        <v>27000</v>
      </c>
      <c r="AA25" s="162">
        <v>1</v>
      </c>
      <c r="AB25" s="179">
        <v>102.78</v>
      </c>
      <c r="AD25" s="153">
        <v>27.751000000000001</v>
      </c>
      <c r="AG25" s="2" t="s">
        <v>36</v>
      </c>
      <c r="AH25" s="168">
        <v>1.5E-5</v>
      </c>
      <c r="AI25" s="168">
        <v>1.8779174553230402E-2</v>
      </c>
      <c r="AJ25" s="168">
        <v>2.8447390860388E-3</v>
      </c>
    </row>
    <row r="26" spans="1:36">
      <c r="A26" s="2">
        <v>158</v>
      </c>
      <c r="B26" s="2">
        <v>1441</v>
      </c>
      <c r="C26" s="2" t="s">
        <v>1804</v>
      </c>
      <c r="D26" s="2" t="s">
        <v>1805</v>
      </c>
      <c r="E26" s="4" t="s">
        <v>1343</v>
      </c>
      <c r="F26" s="2" t="s">
        <v>1812</v>
      </c>
      <c r="G26" s="2" t="s">
        <v>1813</v>
      </c>
      <c r="H26" s="2" t="s">
        <v>338</v>
      </c>
      <c r="I26" s="2" t="s">
        <v>772</v>
      </c>
      <c r="J26" s="2" t="s">
        <v>30</v>
      </c>
      <c r="K26" s="2" t="s">
        <v>30</v>
      </c>
      <c r="L26" s="2" t="s">
        <v>344</v>
      </c>
      <c r="M26" s="2" t="s">
        <v>56</v>
      </c>
      <c r="N26" s="2" t="s">
        <v>463</v>
      </c>
      <c r="O26" s="2" t="s">
        <v>153</v>
      </c>
      <c r="P26" s="2" t="s">
        <v>109</v>
      </c>
      <c r="Q26" s="2" t="s">
        <v>430</v>
      </c>
      <c r="R26" s="2" t="s">
        <v>423</v>
      </c>
      <c r="S26" s="2" t="s">
        <v>44</v>
      </c>
      <c r="T26" s="153">
        <v>4.3789999999999996</v>
      </c>
      <c r="U26" s="2" t="s">
        <v>1814</v>
      </c>
      <c r="V26" s="166">
        <v>1.9900000000000001E-2</v>
      </c>
      <c r="W26" s="168">
        <v>2.5700000000000001E-2</v>
      </c>
      <c r="X26" s="4" t="s">
        <v>429</v>
      </c>
      <c r="Y26" s="4" t="s">
        <v>153</v>
      </c>
      <c r="Z26" s="153">
        <v>30000</v>
      </c>
      <c r="AA26" s="162">
        <v>1</v>
      </c>
      <c r="AB26" s="179">
        <v>102.5</v>
      </c>
      <c r="AD26" s="153">
        <v>30.75</v>
      </c>
      <c r="AG26" s="2" t="s">
        <v>36</v>
      </c>
      <c r="AH26" s="168">
        <v>1.1E-5</v>
      </c>
      <c r="AI26" s="168">
        <v>2.0808905663727398E-2</v>
      </c>
      <c r="AJ26" s="168">
        <v>3.1522102907934699E-3</v>
      </c>
    </row>
    <row r="27" spans="1:36">
      <c r="A27" s="2">
        <v>158</v>
      </c>
      <c r="B27" s="2">
        <v>1441</v>
      </c>
      <c r="C27" s="2" t="s">
        <v>1815</v>
      </c>
      <c r="D27" s="2" t="s">
        <v>1816</v>
      </c>
      <c r="E27" s="4" t="s">
        <v>1343</v>
      </c>
      <c r="F27" s="2" t="s">
        <v>1817</v>
      </c>
      <c r="G27" s="2" t="s">
        <v>1818</v>
      </c>
      <c r="H27" s="2" t="s">
        <v>338</v>
      </c>
      <c r="I27" s="2" t="s">
        <v>772</v>
      </c>
      <c r="J27" s="2" t="s">
        <v>30</v>
      </c>
      <c r="K27" s="2" t="s">
        <v>30</v>
      </c>
      <c r="L27" s="2" t="s">
        <v>344</v>
      </c>
      <c r="M27" s="2" t="s">
        <v>56</v>
      </c>
      <c r="N27" s="2" t="s">
        <v>458</v>
      </c>
      <c r="O27" s="2" t="s">
        <v>153</v>
      </c>
      <c r="P27" s="2" t="s">
        <v>32</v>
      </c>
      <c r="Q27" s="2" t="s">
        <v>110</v>
      </c>
      <c r="R27" s="2" t="s">
        <v>423</v>
      </c>
      <c r="S27" s="2" t="s">
        <v>44</v>
      </c>
      <c r="T27" s="153">
        <v>1.6559999999999999</v>
      </c>
      <c r="U27" s="2" t="s">
        <v>1819</v>
      </c>
      <c r="V27" s="166">
        <v>3.5400000000000001E-2</v>
      </c>
      <c r="W27" s="168">
        <v>3.2190000000000003E-2</v>
      </c>
      <c r="X27" s="4" t="s">
        <v>429</v>
      </c>
      <c r="Y27" s="4" t="s">
        <v>153</v>
      </c>
      <c r="Z27" s="153">
        <v>22000</v>
      </c>
      <c r="AA27" s="162">
        <v>1</v>
      </c>
      <c r="AB27" s="179">
        <v>107.7</v>
      </c>
      <c r="AD27" s="153">
        <v>23.693999999999999</v>
      </c>
      <c r="AG27" s="2" t="s">
        <v>36</v>
      </c>
      <c r="AH27" s="168">
        <v>2.0000000000000002E-5</v>
      </c>
      <c r="AI27" s="168">
        <v>1.6034023115328699E-2</v>
      </c>
      <c r="AJ27" s="168">
        <v>2.4288933538230998E-3</v>
      </c>
    </row>
    <row r="28" spans="1:36">
      <c r="A28" s="2">
        <v>158</v>
      </c>
      <c r="B28" s="2">
        <v>1441</v>
      </c>
      <c r="C28" s="2" t="s">
        <v>1578</v>
      </c>
      <c r="D28" s="2" t="s">
        <v>1579</v>
      </c>
      <c r="E28" s="4" t="s">
        <v>1343</v>
      </c>
      <c r="F28" s="2" t="s">
        <v>1820</v>
      </c>
      <c r="G28" s="2" t="s">
        <v>1821</v>
      </c>
      <c r="H28" s="2" t="s">
        <v>338</v>
      </c>
      <c r="I28" s="2" t="s">
        <v>772</v>
      </c>
      <c r="J28" s="2" t="s">
        <v>30</v>
      </c>
      <c r="K28" s="2" t="s">
        <v>30</v>
      </c>
      <c r="L28" s="2" t="s">
        <v>344</v>
      </c>
      <c r="M28" s="2" t="s">
        <v>56</v>
      </c>
      <c r="N28" s="2" t="s">
        <v>479</v>
      </c>
      <c r="O28" s="2" t="s">
        <v>153</v>
      </c>
      <c r="P28" s="2" t="s">
        <v>1718</v>
      </c>
      <c r="Q28" s="2" t="s">
        <v>430</v>
      </c>
      <c r="R28" s="2" t="s">
        <v>423</v>
      </c>
      <c r="S28" s="2" t="s">
        <v>44</v>
      </c>
      <c r="T28" s="153">
        <v>3.548</v>
      </c>
      <c r="U28" s="2" t="s">
        <v>1736</v>
      </c>
      <c r="V28" s="166">
        <v>6.4999999999999997E-3</v>
      </c>
      <c r="W28" s="168">
        <v>2.6179999999999998E-2</v>
      </c>
      <c r="X28" s="4" t="s">
        <v>429</v>
      </c>
      <c r="Y28" s="4" t="s">
        <v>153</v>
      </c>
      <c r="Z28" s="153">
        <v>19361.689999999999</v>
      </c>
      <c r="AA28" s="162">
        <v>1</v>
      </c>
      <c r="AB28" s="179">
        <v>107.63</v>
      </c>
      <c r="AD28" s="153">
        <v>20.838999999999999</v>
      </c>
      <c r="AG28" s="2" t="s">
        <v>36</v>
      </c>
      <c r="AH28" s="168">
        <v>3.8999999999999999E-5</v>
      </c>
      <c r="AI28" s="168">
        <v>1.4102000439277101E-2</v>
      </c>
      <c r="AJ28" s="168">
        <v>2.1362233854973702E-3</v>
      </c>
    </row>
    <row r="29" spans="1:36">
      <c r="A29" s="2">
        <v>158</v>
      </c>
      <c r="B29" s="2">
        <v>1441</v>
      </c>
      <c r="C29" s="2" t="s">
        <v>1578</v>
      </c>
      <c r="D29" s="2" t="s">
        <v>1579</v>
      </c>
      <c r="E29" s="4" t="s">
        <v>1343</v>
      </c>
      <c r="F29" s="2" t="s">
        <v>1822</v>
      </c>
      <c r="G29" s="2" t="s">
        <v>1823</v>
      </c>
      <c r="H29" s="2" t="s">
        <v>338</v>
      </c>
      <c r="I29" s="2" t="s">
        <v>772</v>
      </c>
      <c r="J29" s="2" t="s">
        <v>30</v>
      </c>
      <c r="K29" s="2" t="s">
        <v>30</v>
      </c>
      <c r="L29" s="2" t="s">
        <v>344</v>
      </c>
      <c r="M29" s="2" t="s">
        <v>56</v>
      </c>
      <c r="N29" s="2" t="s">
        <v>479</v>
      </c>
      <c r="O29" s="2" t="s">
        <v>153</v>
      </c>
      <c r="P29" s="2" t="s">
        <v>1718</v>
      </c>
      <c r="Q29" s="2" t="s">
        <v>430</v>
      </c>
      <c r="R29" s="2" t="s">
        <v>423</v>
      </c>
      <c r="S29" s="2" t="s">
        <v>44</v>
      </c>
      <c r="T29" s="153">
        <v>5.92</v>
      </c>
      <c r="U29" s="2" t="s">
        <v>1824</v>
      </c>
      <c r="V29" s="166">
        <v>3.61E-2</v>
      </c>
      <c r="W29" s="168">
        <v>3.4549999999999997E-2</v>
      </c>
      <c r="X29" s="4" t="s">
        <v>429</v>
      </c>
      <c r="Y29" s="4" t="s">
        <v>153</v>
      </c>
      <c r="Z29" s="153">
        <v>9800</v>
      </c>
      <c r="AA29" s="162">
        <v>1</v>
      </c>
      <c r="AB29" s="179">
        <v>107.95</v>
      </c>
      <c r="AD29" s="153">
        <v>10.579000000000001</v>
      </c>
      <c r="AG29" s="2" t="s">
        <v>36</v>
      </c>
      <c r="AH29" s="168">
        <v>9.0000000000000002E-6</v>
      </c>
      <c r="AI29" s="168">
        <v>7.1590079319394703E-3</v>
      </c>
      <c r="AJ29" s="168">
        <v>1.0844731020271E-3</v>
      </c>
    </row>
    <row r="30" spans="1:36">
      <c r="A30" s="2">
        <v>158</v>
      </c>
      <c r="B30" s="2">
        <v>1441</v>
      </c>
      <c r="C30" s="2" t="s">
        <v>1578</v>
      </c>
      <c r="D30" s="2" t="s">
        <v>1579</v>
      </c>
      <c r="E30" s="4" t="s">
        <v>1343</v>
      </c>
      <c r="F30" s="2" t="s">
        <v>1825</v>
      </c>
      <c r="G30" s="2" t="s">
        <v>1826</v>
      </c>
      <c r="H30" s="2" t="s">
        <v>338</v>
      </c>
      <c r="I30" s="2" t="s">
        <v>772</v>
      </c>
      <c r="J30" s="2" t="s">
        <v>30</v>
      </c>
      <c r="K30" s="2" t="s">
        <v>30</v>
      </c>
      <c r="L30" s="2" t="s">
        <v>344</v>
      </c>
      <c r="M30" s="2" t="s">
        <v>56</v>
      </c>
      <c r="N30" s="2" t="s">
        <v>479</v>
      </c>
      <c r="O30" s="2" t="s">
        <v>153</v>
      </c>
      <c r="P30" s="2" t="s">
        <v>1718</v>
      </c>
      <c r="Q30" s="2" t="s">
        <v>430</v>
      </c>
      <c r="R30" s="2" t="s">
        <v>423</v>
      </c>
      <c r="S30" s="2" t="s">
        <v>44</v>
      </c>
      <c r="T30" s="153">
        <v>0.72299999999999998</v>
      </c>
      <c r="U30" s="2" t="s">
        <v>1827</v>
      </c>
      <c r="V30" s="166">
        <v>2.3E-2</v>
      </c>
      <c r="W30" s="168">
        <v>2.6749999999999999E-2</v>
      </c>
      <c r="X30" s="4" t="s">
        <v>429</v>
      </c>
      <c r="Y30" s="4" t="s">
        <v>153</v>
      </c>
      <c r="Z30" s="153">
        <v>34383.269999999997</v>
      </c>
      <c r="AA30" s="162">
        <v>1</v>
      </c>
      <c r="AB30" s="179">
        <v>117.49</v>
      </c>
      <c r="AD30" s="153">
        <v>40.396999999999998</v>
      </c>
      <c r="AG30" s="2" t="s">
        <v>36</v>
      </c>
      <c r="AH30" s="168">
        <v>4.3000000000000002E-5</v>
      </c>
      <c r="AI30" s="168">
        <v>2.7337084970418399E-2</v>
      </c>
      <c r="AJ30" s="168">
        <v>4.1411231304805101E-3</v>
      </c>
    </row>
    <row r="31" spans="1:36">
      <c r="A31" s="2">
        <v>158</v>
      </c>
      <c r="B31" s="2">
        <v>1441</v>
      </c>
      <c r="C31" s="2" t="s">
        <v>1578</v>
      </c>
      <c r="D31" s="2" t="s">
        <v>1579</v>
      </c>
      <c r="E31" s="4" t="s">
        <v>1343</v>
      </c>
      <c r="F31" s="2" t="s">
        <v>1828</v>
      </c>
      <c r="G31" s="2" t="s">
        <v>1829</v>
      </c>
      <c r="H31" s="2" t="s">
        <v>338</v>
      </c>
      <c r="I31" s="2" t="s">
        <v>772</v>
      </c>
      <c r="J31" s="2" t="s">
        <v>30</v>
      </c>
      <c r="K31" s="2" t="s">
        <v>30</v>
      </c>
      <c r="L31" s="2" t="s">
        <v>344</v>
      </c>
      <c r="M31" s="2" t="s">
        <v>56</v>
      </c>
      <c r="N31" s="2" t="s">
        <v>479</v>
      </c>
      <c r="O31" s="2" t="s">
        <v>153</v>
      </c>
      <c r="P31" s="2" t="s">
        <v>1718</v>
      </c>
      <c r="Q31" s="2" t="s">
        <v>430</v>
      </c>
      <c r="R31" s="2" t="s">
        <v>423</v>
      </c>
      <c r="S31" s="2" t="s">
        <v>44</v>
      </c>
      <c r="T31" s="153">
        <v>5.298</v>
      </c>
      <c r="U31" s="2" t="s">
        <v>1830</v>
      </c>
      <c r="V31" s="166">
        <v>2.5000000000000001E-3</v>
      </c>
      <c r="W31" s="168">
        <v>3.0300000000000001E-2</v>
      </c>
      <c r="X31" s="4" t="s">
        <v>429</v>
      </c>
      <c r="Y31" s="4" t="s">
        <v>153</v>
      </c>
      <c r="Z31" s="153">
        <v>20950.16</v>
      </c>
      <c r="AA31" s="162">
        <v>1</v>
      </c>
      <c r="AB31" s="179">
        <v>97.92</v>
      </c>
      <c r="AD31" s="153">
        <v>20.513999999999999</v>
      </c>
      <c r="AG31" s="2" t="s">
        <v>36</v>
      </c>
      <c r="AH31" s="168">
        <v>1.7E-5</v>
      </c>
      <c r="AI31" s="168">
        <v>1.38823461819815E-2</v>
      </c>
      <c r="AJ31" s="168">
        <v>2.1029493430535801E-3</v>
      </c>
    </row>
    <row r="32" spans="1:36">
      <c r="A32" s="2">
        <v>158</v>
      </c>
      <c r="B32" s="2">
        <v>1441</v>
      </c>
      <c r="C32" s="2" t="s">
        <v>1831</v>
      </c>
      <c r="D32" s="2" t="s">
        <v>1832</v>
      </c>
      <c r="E32" s="4" t="s">
        <v>1343</v>
      </c>
      <c r="F32" s="2" t="s">
        <v>1833</v>
      </c>
      <c r="G32" s="2" t="s">
        <v>1834</v>
      </c>
      <c r="H32" s="2" t="s">
        <v>338</v>
      </c>
      <c r="I32" s="2" t="s">
        <v>772</v>
      </c>
      <c r="J32" s="2" t="s">
        <v>30</v>
      </c>
      <c r="K32" s="2" t="s">
        <v>30</v>
      </c>
      <c r="L32" s="2" t="s">
        <v>344</v>
      </c>
      <c r="M32" s="2" t="s">
        <v>56</v>
      </c>
      <c r="N32" s="2" t="s">
        <v>479</v>
      </c>
      <c r="O32" s="2" t="s">
        <v>153</v>
      </c>
      <c r="P32" s="2" t="s">
        <v>109</v>
      </c>
      <c r="Q32" s="2" t="s">
        <v>430</v>
      </c>
      <c r="R32" s="2" t="s">
        <v>423</v>
      </c>
      <c r="S32" s="2" t="s">
        <v>44</v>
      </c>
      <c r="T32" s="153">
        <v>4.99</v>
      </c>
      <c r="U32" s="2" t="s">
        <v>1835</v>
      </c>
      <c r="V32" s="166">
        <v>1.6500000000000001E-2</v>
      </c>
      <c r="W32" s="168">
        <v>2.7019999999999999E-2</v>
      </c>
      <c r="X32" s="4" t="s">
        <v>429</v>
      </c>
      <c r="Y32" s="4" t="s">
        <v>153</v>
      </c>
      <c r="Z32" s="153">
        <v>30000</v>
      </c>
      <c r="AA32" s="162">
        <v>1</v>
      </c>
      <c r="AB32" s="179">
        <v>111.02</v>
      </c>
      <c r="AD32" s="153">
        <v>33.305999999999997</v>
      </c>
      <c r="AG32" s="2" t="s">
        <v>36</v>
      </c>
      <c r="AH32" s="168">
        <v>1.4E-5</v>
      </c>
      <c r="AI32" s="168">
        <v>2.2538582505239199E-2</v>
      </c>
      <c r="AJ32" s="168">
        <v>3.4142281608184502E-3</v>
      </c>
    </row>
    <row r="33" spans="1:36">
      <c r="A33" s="2">
        <v>158</v>
      </c>
      <c r="B33" s="2">
        <v>1441</v>
      </c>
      <c r="C33" s="2" t="s">
        <v>1594</v>
      </c>
      <c r="D33" s="2" t="s">
        <v>1595</v>
      </c>
      <c r="E33" s="4" t="s">
        <v>1343</v>
      </c>
      <c r="F33" s="2" t="s">
        <v>1836</v>
      </c>
      <c r="G33" s="2" t="s">
        <v>1837</v>
      </c>
      <c r="H33" s="2" t="s">
        <v>338</v>
      </c>
      <c r="I33" s="2" t="s">
        <v>772</v>
      </c>
      <c r="J33" s="2" t="s">
        <v>30</v>
      </c>
      <c r="K33" s="2" t="s">
        <v>30</v>
      </c>
      <c r="L33" s="2" t="s">
        <v>344</v>
      </c>
      <c r="M33" s="2" t="s">
        <v>56</v>
      </c>
      <c r="N33" s="2" t="s">
        <v>479</v>
      </c>
      <c r="O33" s="2" t="s">
        <v>153</v>
      </c>
      <c r="P33" s="2" t="s">
        <v>1773</v>
      </c>
      <c r="Q33" s="2" t="s">
        <v>110</v>
      </c>
      <c r="R33" s="2" t="s">
        <v>423</v>
      </c>
      <c r="S33" s="2" t="s">
        <v>44</v>
      </c>
      <c r="T33" s="153">
        <v>2.456</v>
      </c>
      <c r="U33" s="2" t="s">
        <v>1796</v>
      </c>
      <c r="V33" s="166">
        <v>1.77E-2</v>
      </c>
      <c r="W33" s="168">
        <v>2.7099999999999999E-2</v>
      </c>
      <c r="X33" s="4" t="s">
        <v>429</v>
      </c>
      <c r="Y33" s="4" t="s">
        <v>153</v>
      </c>
      <c r="Z33" s="153">
        <v>80000</v>
      </c>
      <c r="AA33" s="162">
        <v>1</v>
      </c>
      <c r="AB33" s="179">
        <v>113.19</v>
      </c>
      <c r="AD33" s="153">
        <v>90.552000000000007</v>
      </c>
      <c r="AG33" s="2" t="s">
        <v>36</v>
      </c>
      <c r="AH33" s="168">
        <v>3.1000000000000001E-5</v>
      </c>
      <c r="AI33" s="168">
        <v>6.1277659371116899E-2</v>
      </c>
      <c r="AJ33" s="168">
        <v>9.2825673577863407E-3</v>
      </c>
    </row>
    <row r="34" spans="1:36">
      <c r="A34" s="2">
        <v>158</v>
      </c>
      <c r="B34" s="2">
        <v>1441</v>
      </c>
      <c r="C34" s="2" t="s">
        <v>1598</v>
      </c>
      <c r="D34" s="2" t="s">
        <v>1599</v>
      </c>
      <c r="E34" s="4" t="s">
        <v>1343</v>
      </c>
      <c r="F34" s="2" t="s">
        <v>1838</v>
      </c>
      <c r="G34" s="2" t="s">
        <v>1839</v>
      </c>
      <c r="H34" s="2" t="s">
        <v>338</v>
      </c>
      <c r="I34" s="2" t="s">
        <v>772</v>
      </c>
      <c r="J34" s="2" t="s">
        <v>30</v>
      </c>
      <c r="K34" s="2" t="s">
        <v>30</v>
      </c>
      <c r="L34" s="2" t="s">
        <v>344</v>
      </c>
      <c r="M34" s="2" t="s">
        <v>56</v>
      </c>
      <c r="N34" s="2" t="s">
        <v>463</v>
      </c>
      <c r="O34" s="2" t="s">
        <v>153</v>
      </c>
      <c r="P34" s="2" t="s">
        <v>109</v>
      </c>
      <c r="Q34" s="2" t="s">
        <v>430</v>
      </c>
      <c r="R34" s="2" t="s">
        <v>423</v>
      </c>
      <c r="S34" s="2" t="s">
        <v>44</v>
      </c>
      <c r="T34" s="153">
        <v>3.5609999999999999</v>
      </c>
      <c r="U34" s="2" t="s">
        <v>1840</v>
      </c>
      <c r="V34" s="166">
        <v>1E-3</v>
      </c>
      <c r="W34" s="168">
        <v>2.3970000000000002E-2</v>
      </c>
      <c r="X34" s="4" t="s">
        <v>429</v>
      </c>
      <c r="Y34" s="4" t="s">
        <v>153</v>
      </c>
      <c r="Z34" s="153">
        <v>28000</v>
      </c>
      <c r="AA34" s="162">
        <v>1</v>
      </c>
      <c r="AB34" s="179">
        <v>103.73</v>
      </c>
      <c r="AD34" s="153">
        <v>29.044</v>
      </c>
      <c r="AG34" s="2" t="s">
        <v>36</v>
      </c>
      <c r="AH34" s="168">
        <v>2.5000000000000001E-5</v>
      </c>
      <c r="AI34" s="168">
        <v>1.9654705029579299E-2</v>
      </c>
      <c r="AJ34" s="168">
        <v>2.9773676933307902E-3</v>
      </c>
    </row>
    <row r="35" spans="1:36">
      <c r="A35" s="2">
        <v>158</v>
      </c>
      <c r="B35" s="2">
        <v>1441</v>
      </c>
      <c r="C35" s="2" t="s">
        <v>1598</v>
      </c>
      <c r="D35" s="2" t="s">
        <v>1599</v>
      </c>
      <c r="E35" s="4" t="s">
        <v>1343</v>
      </c>
      <c r="F35" s="2" t="s">
        <v>1841</v>
      </c>
      <c r="G35" s="2" t="s">
        <v>1842</v>
      </c>
      <c r="H35" s="2" t="s">
        <v>338</v>
      </c>
      <c r="I35" s="2" t="s">
        <v>772</v>
      </c>
      <c r="J35" s="2" t="s">
        <v>30</v>
      </c>
      <c r="K35" s="2" t="s">
        <v>30</v>
      </c>
      <c r="L35" s="2" t="s">
        <v>344</v>
      </c>
      <c r="M35" s="2" t="s">
        <v>56</v>
      </c>
      <c r="N35" s="2" t="s">
        <v>463</v>
      </c>
      <c r="O35" s="2" t="s">
        <v>153</v>
      </c>
      <c r="P35" s="2" t="s">
        <v>109</v>
      </c>
      <c r="Q35" s="2" t="s">
        <v>430</v>
      </c>
      <c r="R35" s="2" t="s">
        <v>423</v>
      </c>
      <c r="S35" s="2" t="s">
        <v>44</v>
      </c>
      <c r="T35" s="153">
        <v>3.9140000000000001</v>
      </c>
      <c r="U35" s="2" t="s">
        <v>1843</v>
      </c>
      <c r="V35" s="166">
        <v>1.3899999999999999E-2</v>
      </c>
      <c r="W35" s="168">
        <v>2.4809999999999999E-2</v>
      </c>
      <c r="X35" s="4" t="s">
        <v>429</v>
      </c>
      <c r="Y35" s="4" t="s">
        <v>153</v>
      </c>
      <c r="Z35" s="153">
        <v>31500</v>
      </c>
      <c r="AA35" s="162">
        <v>1</v>
      </c>
      <c r="AB35" s="179">
        <v>103.84</v>
      </c>
      <c r="AD35" s="153">
        <v>32.71</v>
      </c>
      <c r="AG35" s="2" t="s">
        <v>36</v>
      </c>
      <c r="AH35" s="168">
        <v>1.7E-5</v>
      </c>
      <c r="AI35" s="168">
        <v>2.2134991242219799E-2</v>
      </c>
      <c r="AJ35" s="168">
        <v>3.3530906578126199E-3</v>
      </c>
    </row>
    <row r="36" spans="1:36">
      <c r="A36" s="2">
        <v>158</v>
      </c>
      <c r="B36" s="2">
        <v>1441</v>
      </c>
      <c r="C36" s="2" t="s">
        <v>1598</v>
      </c>
      <c r="D36" s="2" t="s">
        <v>1599</v>
      </c>
      <c r="E36" s="4" t="s">
        <v>1343</v>
      </c>
      <c r="F36" s="2" t="s">
        <v>1844</v>
      </c>
      <c r="G36" s="2" t="s">
        <v>1845</v>
      </c>
      <c r="H36" s="2" t="s">
        <v>338</v>
      </c>
      <c r="I36" s="2" t="s">
        <v>772</v>
      </c>
      <c r="J36" s="2" t="s">
        <v>30</v>
      </c>
      <c r="K36" s="2" t="s">
        <v>30</v>
      </c>
      <c r="L36" s="2" t="s">
        <v>344</v>
      </c>
      <c r="M36" s="2" t="s">
        <v>56</v>
      </c>
      <c r="N36" s="2" t="s">
        <v>463</v>
      </c>
      <c r="O36" s="2" t="s">
        <v>153</v>
      </c>
      <c r="P36" s="2" t="s">
        <v>109</v>
      </c>
      <c r="Q36" s="2" t="s">
        <v>430</v>
      </c>
      <c r="R36" s="2" t="s">
        <v>423</v>
      </c>
      <c r="S36" s="2" t="s">
        <v>44</v>
      </c>
      <c r="T36" s="153">
        <v>1.905</v>
      </c>
      <c r="U36" s="2" t="s">
        <v>1846</v>
      </c>
      <c r="V36" s="166">
        <v>6.0000000000000001E-3</v>
      </c>
      <c r="W36" s="168">
        <v>2.0719999999999999E-2</v>
      </c>
      <c r="X36" s="4" t="s">
        <v>429</v>
      </c>
      <c r="Y36" s="4" t="s">
        <v>153</v>
      </c>
      <c r="Z36" s="153">
        <v>66444.45</v>
      </c>
      <c r="AA36" s="162">
        <v>1</v>
      </c>
      <c r="AB36" s="179">
        <v>113.24</v>
      </c>
      <c r="AD36" s="153">
        <v>75.242000000000004</v>
      </c>
      <c r="AG36" s="2" t="s">
        <v>36</v>
      </c>
      <c r="AH36" s="168">
        <v>7.4999999999999993E-5</v>
      </c>
      <c r="AI36" s="168">
        <v>5.0916986568440799E-2</v>
      </c>
      <c r="AJ36" s="168">
        <v>7.7130941737606901E-3</v>
      </c>
    </row>
    <row r="37" spans="1:36">
      <c r="A37" s="2">
        <v>158</v>
      </c>
      <c r="B37" s="2">
        <v>1441</v>
      </c>
      <c r="C37" s="2" t="s">
        <v>1847</v>
      </c>
      <c r="D37" s="2" t="s">
        <v>1848</v>
      </c>
      <c r="E37" s="4" t="s">
        <v>1343</v>
      </c>
      <c r="F37" s="2" t="s">
        <v>1849</v>
      </c>
      <c r="G37" s="2" t="s">
        <v>1850</v>
      </c>
      <c r="H37" s="2" t="s">
        <v>338</v>
      </c>
      <c r="I37" s="2" t="s">
        <v>985</v>
      </c>
      <c r="J37" s="2" t="s">
        <v>30</v>
      </c>
      <c r="K37" s="2" t="s">
        <v>30</v>
      </c>
      <c r="L37" s="2" t="s">
        <v>344</v>
      </c>
      <c r="M37" s="2" t="s">
        <v>56</v>
      </c>
      <c r="N37" s="2" t="s">
        <v>460</v>
      </c>
      <c r="O37" s="2" t="s">
        <v>153</v>
      </c>
      <c r="P37" s="2" t="s">
        <v>1718</v>
      </c>
      <c r="Q37" s="2" t="s">
        <v>430</v>
      </c>
      <c r="R37" s="2" t="s">
        <v>423</v>
      </c>
      <c r="S37" s="2" t="s">
        <v>44</v>
      </c>
      <c r="T37" s="153">
        <v>7.141</v>
      </c>
      <c r="U37" s="2" t="s">
        <v>1851</v>
      </c>
      <c r="V37" s="166">
        <v>4.6899999999999997E-2</v>
      </c>
      <c r="W37" s="168">
        <v>5.654E-2</v>
      </c>
      <c r="X37" s="4" t="s">
        <v>429</v>
      </c>
      <c r="Y37" s="4" t="s">
        <v>153</v>
      </c>
      <c r="Z37" s="153">
        <v>22000</v>
      </c>
      <c r="AA37" s="162">
        <v>1</v>
      </c>
      <c r="AB37" s="179">
        <v>95.86</v>
      </c>
      <c r="AD37" s="153">
        <v>21.088999999999999</v>
      </c>
      <c r="AG37" s="2" t="s">
        <v>36</v>
      </c>
      <c r="AH37" s="168">
        <v>4.3999999999999999E-5</v>
      </c>
      <c r="AI37" s="168">
        <v>1.4271322709706699E-2</v>
      </c>
      <c r="AJ37" s="168">
        <v>2.16187295169436E-3</v>
      </c>
    </row>
    <row r="38" spans="1:36">
      <c r="A38" s="2">
        <v>158</v>
      </c>
      <c r="B38" s="2">
        <v>1441</v>
      </c>
      <c r="C38" s="2" t="s">
        <v>1852</v>
      </c>
      <c r="D38" s="2" t="s">
        <v>1853</v>
      </c>
      <c r="E38" s="4" t="s">
        <v>1343</v>
      </c>
      <c r="F38" s="2" t="s">
        <v>1854</v>
      </c>
      <c r="G38" s="2" t="s">
        <v>1855</v>
      </c>
      <c r="H38" s="2" t="s">
        <v>338</v>
      </c>
      <c r="I38" s="2" t="s">
        <v>985</v>
      </c>
      <c r="J38" s="2" t="s">
        <v>30</v>
      </c>
      <c r="K38" s="2" t="s">
        <v>30</v>
      </c>
      <c r="L38" s="2" t="s">
        <v>344</v>
      </c>
      <c r="M38" s="2" t="s">
        <v>56</v>
      </c>
      <c r="N38" s="2" t="s">
        <v>491</v>
      </c>
      <c r="O38" s="2" t="s">
        <v>153</v>
      </c>
      <c r="P38" s="2" t="s">
        <v>1718</v>
      </c>
      <c r="Q38" s="2" t="s">
        <v>430</v>
      </c>
      <c r="R38" s="2" t="s">
        <v>423</v>
      </c>
      <c r="S38" s="2" t="s">
        <v>44</v>
      </c>
      <c r="T38" s="153">
        <v>2.863</v>
      </c>
      <c r="U38" s="2" t="s">
        <v>1856</v>
      </c>
      <c r="V38" s="166">
        <v>5.0900000000000001E-2</v>
      </c>
      <c r="W38" s="168">
        <v>5.2699999999999997E-2</v>
      </c>
      <c r="X38" s="4" t="s">
        <v>429</v>
      </c>
      <c r="Y38" s="4" t="s">
        <v>153</v>
      </c>
      <c r="Z38" s="153">
        <v>25000</v>
      </c>
      <c r="AA38" s="162">
        <v>1</v>
      </c>
      <c r="AB38" s="179">
        <v>99.41</v>
      </c>
      <c r="AC38" s="153">
        <v>6.5270000000000001</v>
      </c>
      <c r="AD38" s="153">
        <v>31.38</v>
      </c>
      <c r="AG38" s="2" t="s">
        <v>36</v>
      </c>
      <c r="AH38" s="168">
        <v>4.0000000000000003E-5</v>
      </c>
      <c r="AI38" s="168">
        <v>2.1234896106501901E-2</v>
      </c>
      <c r="AJ38" s="168">
        <v>3.2167409047139401E-3</v>
      </c>
    </row>
    <row r="39" spans="1:36">
      <c r="A39" s="2">
        <v>158</v>
      </c>
      <c r="B39" s="2">
        <v>1441</v>
      </c>
      <c r="C39" s="2" t="s">
        <v>1857</v>
      </c>
      <c r="D39" s="2" t="s">
        <v>1858</v>
      </c>
      <c r="E39" s="4" t="s">
        <v>1343</v>
      </c>
      <c r="F39" s="2" t="s">
        <v>1859</v>
      </c>
      <c r="G39" s="2" t="s">
        <v>1860</v>
      </c>
      <c r="H39" s="2" t="s">
        <v>338</v>
      </c>
      <c r="I39" s="2" t="s">
        <v>985</v>
      </c>
      <c r="J39" s="2" t="s">
        <v>30</v>
      </c>
      <c r="K39" s="2" t="s">
        <v>30</v>
      </c>
      <c r="L39" s="2" t="s">
        <v>344</v>
      </c>
      <c r="M39" s="2" t="s">
        <v>56</v>
      </c>
      <c r="N39" s="2" t="s">
        <v>455</v>
      </c>
      <c r="O39" s="2" t="s">
        <v>153</v>
      </c>
      <c r="P39" s="2" t="s">
        <v>1746</v>
      </c>
      <c r="Q39" s="2" t="s">
        <v>110</v>
      </c>
      <c r="R39" s="2" t="s">
        <v>423</v>
      </c>
      <c r="S39" s="2" t="s">
        <v>44</v>
      </c>
      <c r="T39" s="153">
        <v>4.2539999999999996</v>
      </c>
      <c r="U39" s="2" t="s">
        <v>1861</v>
      </c>
      <c r="V39" s="166">
        <v>6.7699999999999996E-2</v>
      </c>
      <c r="W39" s="168">
        <v>6.6390000000000005E-2</v>
      </c>
      <c r="X39" s="4" t="s">
        <v>429</v>
      </c>
      <c r="Y39" s="4" t="s">
        <v>153</v>
      </c>
      <c r="Z39" s="153">
        <v>20000</v>
      </c>
      <c r="AA39" s="162">
        <v>1</v>
      </c>
      <c r="AB39" s="179">
        <v>102.69</v>
      </c>
      <c r="AD39" s="153">
        <v>20.538</v>
      </c>
      <c r="AG39" s="2" t="s">
        <v>36</v>
      </c>
      <c r="AH39" s="168">
        <v>2.6999999999999999E-5</v>
      </c>
      <c r="AI39" s="168">
        <v>1.3898318846231999E-2</v>
      </c>
      <c r="AJ39" s="168">
        <v>2.10536894153874E-3</v>
      </c>
    </row>
    <row r="40" spans="1:36">
      <c r="A40" s="2">
        <v>158</v>
      </c>
      <c r="B40" s="2">
        <v>1441</v>
      </c>
      <c r="C40" s="2" t="s">
        <v>1862</v>
      </c>
      <c r="D40" s="2" t="s">
        <v>1863</v>
      </c>
      <c r="E40" s="4" t="s">
        <v>1343</v>
      </c>
      <c r="F40" s="2" t="s">
        <v>1864</v>
      </c>
      <c r="G40" s="2" t="s">
        <v>1865</v>
      </c>
      <c r="H40" s="2" t="s">
        <v>338</v>
      </c>
      <c r="I40" s="2" t="s">
        <v>985</v>
      </c>
      <c r="J40" s="2" t="s">
        <v>30</v>
      </c>
      <c r="K40" s="2" t="s">
        <v>30</v>
      </c>
      <c r="L40" s="2" t="s">
        <v>344</v>
      </c>
      <c r="M40" s="2" t="s">
        <v>56</v>
      </c>
      <c r="N40" s="2" t="s">
        <v>493</v>
      </c>
      <c r="O40" s="2" t="s">
        <v>153</v>
      </c>
      <c r="P40" s="2" t="s">
        <v>1718</v>
      </c>
      <c r="Q40" s="2" t="s">
        <v>430</v>
      </c>
      <c r="R40" s="2" t="s">
        <v>423</v>
      </c>
      <c r="S40" s="2" t="s">
        <v>44</v>
      </c>
      <c r="T40" s="153">
        <v>3.306</v>
      </c>
      <c r="U40" s="2" t="s">
        <v>1866</v>
      </c>
      <c r="V40" s="166">
        <v>4.5600000000000002E-2</v>
      </c>
      <c r="W40" s="168">
        <v>5.8299999999999998E-2</v>
      </c>
      <c r="X40" s="4" t="s">
        <v>429</v>
      </c>
      <c r="Y40" s="4" t="s">
        <v>153</v>
      </c>
      <c r="Z40" s="153">
        <v>19937.5</v>
      </c>
      <c r="AA40" s="162">
        <v>1</v>
      </c>
      <c r="AB40" s="179">
        <v>96.43</v>
      </c>
      <c r="AD40" s="153">
        <v>19.225999999999999</v>
      </c>
      <c r="AG40" s="2" t="s">
        <v>36</v>
      </c>
      <c r="AH40" s="168">
        <v>2.9E-5</v>
      </c>
      <c r="AI40" s="168">
        <v>1.30102903381277E-2</v>
      </c>
      <c r="AJ40" s="168">
        <v>1.97084708599283E-3</v>
      </c>
    </row>
    <row r="41" spans="1:36">
      <c r="A41" s="2">
        <v>158</v>
      </c>
      <c r="B41" s="2">
        <v>1441</v>
      </c>
      <c r="C41" s="2" t="s">
        <v>1867</v>
      </c>
      <c r="D41" s="2" t="s">
        <v>1868</v>
      </c>
      <c r="E41" s="4" t="s">
        <v>331</v>
      </c>
      <c r="F41" s="2" t="s">
        <v>1869</v>
      </c>
      <c r="G41" s="2" t="s">
        <v>1870</v>
      </c>
      <c r="H41" s="2" t="s">
        <v>338</v>
      </c>
      <c r="I41" s="2" t="s">
        <v>773</v>
      </c>
      <c r="J41" s="2" t="s">
        <v>106</v>
      </c>
      <c r="K41" s="2" t="s">
        <v>107</v>
      </c>
      <c r="L41" s="2" t="s">
        <v>344</v>
      </c>
      <c r="M41" s="2" t="s">
        <v>31</v>
      </c>
      <c r="N41" s="2" t="s">
        <v>494</v>
      </c>
      <c r="O41" s="2" t="s">
        <v>153</v>
      </c>
      <c r="P41" s="2" t="s">
        <v>32</v>
      </c>
      <c r="Q41" s="2" t="s">
        <v>448</v>
      </c>
      <c r="R41" s="2" t="s">
        <v>423</v>
      </c>
      <c r="S41" s="2" t="s">
        <v>34</v>
      </c>
      <c r="T41" s="153">
        <v>3.6970000000000001</v>
      </c>
      <c r="U41" s="2" t="s">
        <v>1871</v>
      </c>
      <c r="V41" s="166">
        <v>1.985E-2</v>
      </c>
      <c r="W41" s="168">
        <v>4.8860000000000001E-2</v>
      </c>
      <c r="X41" s="4" t="s">
        <v>429</v>
      </c>
      <c r="Y41" s="4" t="s">
        <v>153</v>
      </c>
      <c r="Z41" s="153">
        <v>30000</v>
      </c>
      <c r="AA41" s="162">
        <v>3.71</v>
      </c>
      <c r="AB41" s="179">
        <v>91.308000000000007</v>
      </c>
      <c r="AD41" s="153">
        <v>101.625</v>
      </c>
      <c r="AG41" s="2" t="s">
        <v>36</v>
      </c>
      <c r="AH41" s="168">
        <v>4.8000000000000001E-5</v>
      </c>
      <c r="AI41" s="168">
        <v>6.8771169734134996E-2</v>
      </c>
      <c r="AJ41" s="168">
        <v>1.0417712130038699E-2</v>
      </c>
    </row>
    <row r="42" spans="1:36">
      <c r="A42" s="2">
        <v>158</v>
      </c>
      <c r="B42" s="2">
        <v>1522</v>
      </c>
      <c r="C42" s="2" t="s">
        <v>1872</v>
      </c>
      <c r="D42" s="2" t="s">
        <v>1873</v>
      </c>
      <c r="E42" s="4" t="s">
        <v>1343</v>
      </c>
      <c r="F42" s="2" t="s">
        <v>1874</v>
      </c>
      <c r="G42" s="2" t="s">
        <v>1875</v>
      </c>
      <c r="H42" s="2" t="s">
        <v>338</v>
      </c>
      <c r="I42" s="2" t="s">
        <v>773</v>
      </c>
      <c r="J42" s="2" t="s">
        <v>106</v>
      </c>
      <c r="K42" s="2" t="s">
        <v>30</v>
      </c>
      <c r="L42" s="2" t="s">
        <v>344</v>
      </c>
      <c r="M42" s="2" t="s">
        <v>31</v>
      </c>
      <c r="N42" s="2" t="s">
        <v>502</v>
      </c>
      <c r="O42" s="2" t="s">
        <v>153</v>
      </c>
      <c r="P42" s="2" t="s">
        <v>1876</v>
      </c>
      <c r="Q42" s="2" t="s">
        <v>448</v>
      </c>
      <c r="R42" s="2" t="s">
        <v>423</v>
      </c>
      <c r="S42" s="2" t="s">
        <v>34</v>
      </c>
      <c r="T42" s="153">
        <v>0.68799999999999994</v>
      </c>
      <c r="U42" s="2" t="s">
        <v>1877</v>
      </c>
      <c r="V42" s="166">
        <v>6.1249999999999999E-2</v>
      </c>
      <c r="W42" s="168">
        <v>8.8069999999999996E-2</v>
      </c>
      <c r="X42" s="4" t="s">
        <v>429</v>
      </c>
      <c r="Y42" s="4" t="s">
        <v>153</v>
      </c>
      <c r="Z42" s="153">
        <v>1000</v>
      </c>
      <c r="AA42" s="162">
        <v>3.71</v>
      </c>
      <c r="AB42" s="179">
        <v>100.217</v>
      </c>
      <c r="AD42" s="153">
        <v>3.718</v>
      </c>
      <c r="AG42" s="2" t="s">
        <v>36</v>
      </c>
      <c r="AH42" s="168">
        <v>1.9999999999999999E-6</v>
      </c>
      <c r="AI42" s="168">
        <v>7.7609823054908302E-3</v>
      </c>
      <c r="AJ42" s="168">
        <v>3.6464809382770003E-4</v>
      </c>
    </row>
    <row r="43" spans="1:36">
      <c r="A43" s="2">
        <v>158</v>
      </c>
      <c r="B43" s="2">
        <v>1522</v>
      </c>
      <c r="C43" s="2" t="s">
        <v>1878</v>
      </c>
      <c r="D43" s="2" t="s">
        <v>1879</v>
      </c>
      <c r="E43" s="4" t="s">
        <v>1343</v>
      </c>
      <c r="F43" s="2" t="s">
        <v>1880</v>
      </c>
      <c r="G43" s="2" t="s">
        <v>1881</v>
      </c>
      <c r="H43" s="2" t="s">
        <v>338</v>
      </c>
      <c r="I43" s="2" t="s">
        <v>772</v>
      </c>
      <c r="J43" s="2" t="s">
        <v>30</v>
      </c>
      <c r="K43" s="2" t="s">
        <v>30</v>
      </c>
      <c r="L43" s="2" t="s">
        <v>344</v>
      </c>
      <c r="M43" s="2" t="s">
        <v>56</v>
      </c>
      <c r="N43" s="2" t="s">
        <v>462</v>
      </c>
      <c r="O43" s="2" t="s">
        <v>153</v>
      </c>
      <c r="P43" s="2" t="s">
        <v>1746</v>
      </c>
      <c r="Q43" s="2" t="s">
        <v>430</v>
      </c>
      <c r="R43" s="2" t="s">
        <v>423</v>
      </c>
      <c r="S43" s="2" t="s">
        <v>44</v>
      </c>
      <c r="T43" s="153">
        <v>2.82</v>
      </c>
      <c r="U43" s="2" t="s">
        <v>1882</v>
      </c>
      <c r="V43" s="166">
        <v>3.85E-2</v>
      </c>
      <c r="W43" s="168">
        <v>3.2169999999999997E-2</v>
      </c>
      <c r="X43" s="4" t="s">
        <v>429</v>
      </c>
      <c r="Y43" s="4" t="s">
        <v>153</v>
      </c>
      <c r="Z43" s="153">
        <v>7000</v>
      </c>
      <c r="AA43" s="162">
        <v>1</v>
      </c>
      <c r="AB43" s="179">
        <v>108.99</v>
      </c>
      <c r="AD43" s="153">
        <v>7.6289999999999996</v>
      </c>
      <c r="AG43" s="2" t="s">
        <v>36</v>
      </c>
      <c r="AH43" s="168">
        <v>2.3E-5</v>
      </c>
      <c r="AI43" s="168">
        <v>1.5925195709637002E-2</v>
      </c>
      <c r="AJ43" s="168">
        <v>7.4824191458904997E-4</v>
      </c>
    </row>
    <row r="44" spans="1:36">
      <c r="A44" s="2">
        <v>158</v>
      </c>
      <c r="B44" s="2">
        <v>1522</v>
      </c>
      <c r="C44" s="2" t="s">
        <v>1883</v>
      </c>
      <c r="D44" s="2" t="s">
        <v>1884</v>
      </c>
      <c r="E44" s="4" t="s">
        <v>1343</v>
      </c>
      <c r="F44" s="2" t="s">
        <v>1885</v>
      </c>
      <c r="G44" s="2" t="s">
        <v>1886</v>
      </c>
      <c r="H44" s="2" t="s">
        <v>338</v>
      </c>
      <c r="I44" s="2" t="s">
        <v>772</v>
      </c>
      <c r="J44" s="2" t="s">
        <v>30</v>
      </c>
      <c r="K44" s="2" t="s">
        <v>30</v>
      </c>
      <c r="L44" s="2" t="s">
        <v>344</v>
      </c>
      <c r="M44" s="2" t="s">
        <v>56</v>
      </c>
      <c r="N44" s="2" t="s">
        <v>458</v>
      </c>
      <c r="O44" s="2" t="s">
        <v>153</v>
      </c>
      <c r="P44" s="2" t="s">
        <v>1746</v>
      </c>
      <c r="Q44" s="2" t="s">
        <v>110</v>
      </c>
      <c r="R44" s="2" t="s">
        <v>423</v>
      </c>
      <c r="S44" s="2" t="s">
        <v>44</v>
      </c>
      <c r="T44" s="153">
        <v>1.4570000000000001</v>
      </c>
      <c r="U44" s="2" t="s">
        <v>1887</v>
      </c>
      <c r="V44" s="166">
        <v>1.2500000000000001E-2</v>
      </c>
      <c r="W44" s="168">
        <v>4.3409999999999997E-2</v>
      </c>
      <c r="X44" s="4" t="s">
        <v>429</v>
      </c>
      <c r="Y44" s="4" t="s">
        <v>153</v>
      </c>
      <c r="Z44" s="153">
        <v>6666.67</v>
      </c>
      <c r="AA44" s="162">
        <v>1</v>
      </c>
      <c r="AB44" s="179">
        <v>104.83</v>
      </c>
      <c r="AD44" s="153">
        <v>6.9889999999999999</v>
      </c>
      <c r="AG44" s="2" t="s">
        <v>36</v>
      </c>
      <c r="AH44" s="168">
        <v>3.6000000000000001E-5</v>
      </c>
      <c r="AI44" s="168">
        <v>1.4587962206758899E-2</v>
      </c>
      <c r="AJ44" s="168">
        <v>6.8541228444261003E-4</v>
      </c>
    </row>
    <row r="45" spans="1:36">
      <c r="A45" s="2">
        <v>158</v>
      </c>
      <c r="B45" s="2">
        <v>1522</v>
      </c>
      <c r="C45" s="2" t="s">
        <v>1888</v>
      </c>
      <c r="D45" s="2" t="s">
        <v>1889</v>
      </c>
      <c r="E45" s="4" t="s">
        <v>330</v>
      </c>
      <c r="F45" s="2" t="s">
        <v>1890</v>
      </c>
      <c r="G45" s="2" t="s">
        <v>1891</v>
      </c>
      <c r="H45" s="2" t="s">
        <v>338</v>
      </c>
      <c r="I45" s="2" t="s">
        <v>985</v>
      </c>
      <c r="J45" s="2" t="s">
        <v>30</v>
      </c>
      <c r="K45" s="2" t="s">
        <v>30</v>
      </c>
      <c r="L45" s="2" t="s">
        <v>344</v>
      </c>
      <c r="M45" s="2" t="s">
        <v>56</v>
      </c>
      <c r="N45" s="2" t="s">
        <v>480</v>
      </c>
      <c r="O45" s="2" t="s">
        <v>153</v>
      </c>
      <c r="P45" s="2" t="s">
        <v>1746</v>
      </c>
      <c r="Q45" s="2" t="s">
        <v>110</v>
      </c>
      <c r="R45" s="2" t="s">
        <v>423</v>
      </c>
      <c r="S45" s="2" t="s">
        <v>44</v>
      </c>
      <c r="T45" s="153">
        <v>0.97099999999999997</v>
      </c>
      <c r="U45" s="2" t="s">
        <v>1892</v>
      </c>
      <c r="V45" s="166">
        <v>7.0000000000000007E-2</v>
      </c>
      <c r="W45" s="168">
        <v>7.2090000000000001E-2</v>
      </c>
      <c r="X45" s="4" t="s">
        <v>429</v>
      </c>
      <c r="Y45" s="4" t="s">
        <v>153</v>
      </c>
      <c r="Z45" s="153">
        <v>0.36</v>
      </c>
      <c r="AA45" s="162">
        <v>1</v>
      </c>
      <c r="AB45" s="179">
        <v>99.95</v>
      </c>
      <c r="AD45" s="153">
        <v>0</v>
      </c>
      <c r="AG45" s="2" t="s">
        <v>36</v>
      </c>
      <c r="AH45" s="168">
        <v>0</v>
      </c>
      <c r="AI45" s="168">
        <v>7.5107859439812196E-7</v>
      </c>
      <c r="AJ45" s="168">
        <v>3.5289267129020001E-8</v>
      </c>
    </row>
    <row r="46" spans="1:36">
      <c r="A46" s="2">
        <v>158</v>
      </c>
      <c r="B46" s="2">
        <v>1522</v>
      </c>
      <c r="C46" s="2" t="s">
        <v>1888</v>
      </c>
      <c r="D46" s="2" t="s">
        <v>1889</v>
      </c>
      <c r="E46" s="4" t="s">
        <v>330</v>
      </c>
      <c r="F46" s="2" t="s">
        <v>1893</v>
      </c>
      <c r="G46" s="2" t="s">
        <v>1894</v>
      </c>
      <c r="H46" s="2" t="s">
        <v>338</v>
      </c>
      <c r="I46" s="2" t="s">
        <v>985</v>
      </c>
      <c r="J46" s="2" t="s">
        <v>30</v>
      </c>
      <c r="K46" s="2" t="s">
        <v>30</v>
      </c>
      <c r="L46" s="2" t="s">
        <v>346</v>
      </c>
      <c r="M46" s="2" t="s">
        <v>56</v>
      </c>
      <c r="N46" s="2" t="s">
        <v>462</v>
      </c>
      <c r="O46" s="2" t="s">
        <v>153</v>
      </c>
      <c r="P46" s="2" t="s">
        <v>1746</v>
      </c>
      <c r="Q46" s="2" t="s">
        <v>110</v>
      </c>
      <c r="R46" s="2" t="s">
        <v>423</v>
      </c>
      <c r="S46" s="2" t="s">
        <v>44</v>
      </c>
      <c r="T46" s="153">
        <v>3.15</v>
      </c>
      <c r="U46" s="2" t="s">
        <v>1895</v>
      </c>
      <c r="V46" s="166">
        <v>6.5000000000000002E-2</v>
      </c>
      <c r="W46" s="168">
        <v>8.9200000000000002E-2</v>
      </c>
      <c r="X46" s="4" t="s">
        <v>429</v>
      </c>
      <c r="Y46" s="4" t="s">
        <v>153</v>
      </c>
      <c r="Z46" s="153">
        <v>29000</v>
      </c>
      <c r="AA46" s="162">
        <v>1</v>
      </c>
      <c r="AB46" s="179">
        <v>96.113</v>
      </c>
      <c r="AD46" s="153">
        <v>27.873000000000001</v>
      </c>
      <c r="AG46" s="2" t="s">
        <v>36</v>
      </c>
      <c r="AH46" s="168">
        <v>0</v>
      </c>
      <c r="AI46" s="168">
        <v>5.81806286156E-2</v>
      </c>
      <c r="AJ46" s="168">
        <v>2.73360439275401E-3</v>
      </c>
    </row>
    <row r="47" spans="1:36">
      <c r="A47" s="2">
        <v>158</v>
      </c>
      <c r="B47" s="2">
        <v>1522</v>
      </c>
      <c r="C47" s="2" t="s">
        <v>1896</v>
      </c>
      <c r="D47" s="2" t="s">
        <v>1897</v>
      </c>
      <c r="E47" s="4" t="s">
        <v>1343</v>
      </c>
      <c r="F47" s="2" t="s">
        <v>1898</v>
      </c>
      <c r="G47" s="2" t="s">
        <v>1899</v>
      </c>
      <c r="H47" s="2" t="s">
        <v>338</v>
      </c>
      <c r="I47" s="2" t="s">
        <v>985</v>
      </c>
      <c r="J47" s="2" t="s">
        <v>30</v>
      </c>
      <c r="K47" s="2" t="s">
        <v>30</v>
      </c>
      <c r="L47" s="2" t="s">
        <v>346</v>
      </c>
      <c r="M47" s="2" t="s">
        <v>56</v>
      </c>
      <c r="N47" s="2" t="s">
        <v>462</v>
      </c>
      <c r="O47" s="2" t="s">
        <v>153</v>
      </c>
      <c r="P47" s="2" t="s">
        <v>1900</v>
      </c>
      <c r="Q47" s="2" t="s">
        <v>426</v>
      </c>
      <c r="R47" s="2" t="s">
        <v>426</v>
      </c>
      <c r="S47" s="2" t="s">
        <v>44</v>
      </c>
      <c r="T47" s="153">
        <v>2.2799999999999998</v>
      </c>
      <c r="U47" s="2" t="s">
        <v>1760</v>
      </c>
      <c r="V47" s="166">
        <v>3.8699999999999998E-2</v>
      </c>
      <c r="W47" s="168">
        <v>5.8299999999999998E-2</v>
      </c>
      <c r="X47" s="4" t="s">
        <v>429</v>
      </c>
      <c r="Y47" s="4" t="s">
        <v>153</v>
      </c>
      <c r="Z47" s="153">
        <v>4800</v>
      </c>
      <c r="AA47" s="162">
        <v>1</v>
      </c>
      <c r="AB47" s="179">
        <v>97.53</v>
      </c>
      <c r="AD47" s="153">
        <v>4.681</v>
      </c>
      <c r="AG47" s="2" t="s">
        <v>36</v>
      </c>
      <c r="AH47" s="168">
        <v>1.5E-5</v>
      </c>
      <c r="AI47" s="168">
        <v>9.7719119975519606E-3</v>
      </c>
      <c r="AJ47" s="168">
        <v>4.5913119534344801E-4</v>
      </c>
    </row>
    <row r="48" spans="1:36">
      <c r="A48" s="2">
        <v>158</v>
      </c>
      <c r="B48" s="2">
        <v>1522</v>
      </c>
      <c r="C48" s="2" t="s">
        <v>1901</v>
      </c>
      <c r="D48" s="2" t="s">
        <v>1902</v>
      </c>
      <c r="E48" s="4" t="s">
        <v>1343</v>
      </c>
      <c r="F48" s="2" t="s">
        <v>1903</v>
      </c>
      <c r="G48" s="2" t="s">
        <v>1904</v>
      </c>
      <c r="H48" s="2" t="s">
        <v>338</v>
      </c>
      <c r="I48" s="2" t="s">
        <v>986</v>
      </c>
      <c r="J48" s="2" t="s">
        <v>30</v>
      </c>
      <c r="K48" s="2" t="s">
        <v>30</v>
      </c>
      <c r="L48" s="2" t="s">
        <v>344</v>
      </c>
      <c r="M48" s="2" t="s">
        <v>56</v>
      </c>
      <c r="N48" s="2" t="s">
        <v>462</v>
      </c>
      <c r="O48" s="2" t="s">
        <v>153</v>
      </c>
      <c r="P48" s="2" t="s">
        <v>1905</v>
      </c>
      <c r="Q48" s="2" t="s">
        <v>430</v>
      </c>
      <c r="R48" s="2" t="s">
        <v>423</v>
      </c>
      <c r="S48" s="2" t="s">
        <v>44</v>
      </c>
      <c r="T48" s="153">
        <v>0.249</v>
      </c>
      <c r="U48" s="2" t="s">
        <v>1906</v>
      </c>
      <c r="V48" s="166">
        <v>1.4999999999999999E-2</v>
      </c>
      <c r="W48" s="168">
        <v>6.8479999999999999E-2</v>
      </c>
      <c r="X48" s="4" t="s">
        <v>429</v>
      </c>
      <c r="Y48" s="4" t="s">
        <v>153</v>
      </c>
      <c r="Z48" s="153">
        <v>0.81</v>
      </c>
      <c r="AA48" s="162">
        <v>1</v>
      </c>
      <c r="AB48" s="179">
        <v>99.1</v>
      </c>
      <c r="AD48" s="153">
        <v>1E-3</v>
      </c>
      <c r="AG48" s="2" t="s">
        <v>36</v>
      </c>
      <c r="AH48" s="168">
        <v>0</v>
      </c>
      <c r="AI48" s="168">
        <v>1.67555527349596E-6</v>
      </c>
      <c r="AJ48" s="168">
        <v>7.87256061840243E-8</v>
      </c>
    </row>
    <row r="49" spans="1:36">
      <c r="A49" s="2">
        <v>158</v>
      </c>
      <c r="B49" s="2">
        <v>1522</v>
      </c>
      <c r="C49" s="2" t="s">
        <v>1196</v>
      </c>
      <c r="D49" s="2" t="s">
        <v>1567</v>
      </c>
      <c r="E49" s="4" t="s">
        <v>1343</v>
      </c>
      <c r="F49" s="2" t="s">
        <v>1907</v>
      </c>
      <c r="G49" s="2" t="s">
        <v>1908</v>
      </c>
      <c r="H49" s="2" t="s">
        <v>338</v>
      </c>
      <c r="I49" s="2" t="s">
        <v>985</v>
      </c>
      <c r="J49" s="2" t="s">
        <v>30</v>
      </c>
      <c r="K49" s="2" t="s">
        <v>30</v>
      </c>
      <c r="L49" s="2" t="s">
        <v>344</v>
      </c>
      <c r="M49" s="2" t="s">
        <v>56</v>
      </c>
      <c r="N49" s="2" t="s">
        <v>463</v>
      </c>
      <c r="O49" s="2" t="s">
        <v>153</v>
      </c>
      <c r="P49" s="2" t="s">
        <v>109</v>
      </c>
      <c r="Q49" s="2" t="s">
        <v>430</v>
      </c>
      <c r="R49" s="2" t="s">
        <v>423</v>
      </c>
      <c r="S49" s="2" t="s">
        <v>44</v>
      </c>
      <c r="T49" s="153">
        <v>0.41099999999999998</v>
      </c>
      <c r="U49" s="2" t="s">
        <v>1909</v>
      </c>
      <c r="V49" s="166">
        <v>2.0199999999999999E-2</v>
      </c>
      <c r="W49" s="168">
        <v>4.4269999999999997E-2</v>
      </c>
      <c r="X49" s="4" t="s">
        <v>429</v>
      </c>
      <c r="Y49" s="4" t="s">
        <v>153</v>
      </c>
      <c r="Z49" s="153">
        <v>100000</v>
      </c>
      <c r="AA49" s="162">
        <v>1</v>
      </c>
      <c r="AB49" s="179">
        <v>100.22</v>
      </c>
      <c r="AD49" s="153">
        <v>100.22</v>
      </c>
      <c r="AG49" s="2" t="s">
        <v>36</v>
      </c>
      <c r="AH49" s="168">
        <v>1.18E-4</v>
      </c>
      <c r="AI49" s="168">
        <v>0.209196533629536</v>
      </c>
      <c r="AJ49" s="168">
        <v>9.8290543929475394E-3</v>
      </c>
    </row>
    <row r="50" spans="1:36">
      <c r="A50" s="2">
        <v>158</v>
      </c>
      <c r="B50" s="2">
        <v>1522</v>
      </c>
      <c r="C50" s="2" t="s">
        <v>1804</v>
      </c>
      <c r="D50" s="2" t="s">
        <v>1805</v>
      </c>
      <c r="E50" s="4" t="s">
        <v>1343</v>
      </c>
      <c r="F50" s="2" t="s">
        <v>1910</v>
      </c>
      <c r="G50" s="2" t="s">
        <v>1911</v>
      </c>
      <c r="H50" s="2" t="s">
        <v>338</v>
      </c>
      <c r="I50" s="2" t="s">
        <v>985</v>
      </c>
      <c r="J50" s="2" t="s">
        <v>30</v>
      </c>
      <c r="K50" s="2" t="s">
        <v>30</v>
      </c>
      <c r="L50" s="2" t="s">
        <v>344</v>
      </c>
      <c r="M50" s="2" t="s">
        <v>56</v>
      </c>
      <c r="N50" s="2" t="s">
        <v>463</v>
      </c>
      <c r="O50" s="2" t="s">
        <v>153</v>
      </c>
      <c r="P50" s="2" t="s">
        <v>109</v>
      </c>
      <c r="Q50" s="2" t="s">
        <v>430</v>
      </c>
      <c r="R50" s="2" t="s">
        <v>423</v>
      </c>
      <c r="S50" s="2" t="s">
        <v>44</v>
      </c>
      <c r="T50" s="153">
        <v>0.68200000000000005</v>
      </c>
      <c r="U50" s="2" t="s">
        <v>1353</v>
      </c>
      <c r="V50" s="166">
        <v>2.98E-2</v>
      </c>
      <c r="W50" s="168">
        <v>4.4600000000000001E-2</v>
      </c>
      <c r="X50" s="4" t="s">
        <v>429</v>
      </c>
      <c r="Y50" s="4" t="s">
        <v>153</v>
      </c>
      <c r="Z50" s="153">
        <v>150000</v>
      </c>
      <c r="AA50" s="162">
        <v>1</v>
      </c>
      <c r="AB50" s="179">
        <v>99.95</v>
      </c>
      <c r="AD50" s="153">
        <v>149.92500000000001</v>
      </c>
      <c r="AG50" s="2" t="s">
        <v>36</v>
      </c>
      <c r="AH50" s="168">
        <v>5.8999999999999998E-5</v>
      </c>
      <c r="AI50" s="168">
        <v>0.31294941433255102</v>
      </c>
      <c r="AJ50" s="168">
        <v>1.47038613037583E-2</v>
      </c>
    </row>
    <row r="51" spans="1:36">
      <c r="A51" s="2">
        <v>158</v>
      </c>
      <c r="B51" s="2">
        <v>1522</v>
      </c>
      <c r="C51" s="2" t="s">
        <v>1912</v>
      </c>
      <c r="D51" s="2" t="s">
        <v>1913</v>
      </c>
      <c r="E51" s="4" t="s">
        <v>330</v>
      </c>
      <c r="F51" s="2" t="s">
        <v>1914</v>
      </c>
      <c r="G51" s="2" t="s">
        <v>1915</v>
      </c>
      <c r="H51" s="2" t="s">
        <v>338</v>
      </c>
      <c r="I51" s="2" t="s">
        <v>985</v>
      </c>
      <c r="J51" s="2" t="s">
        <v>30</v>
      </c>
      <c r="K51" s="2" t="s">
        <v>107</v>
      </c>
      <c r="L51" s="2" t="s">
        <v>344</v>
      </c>
      <c r="M51" s="2" t="s">
        <v>56</v>
      </c>
      <c r="N51" s="2" t="s">
        <v>480</v>
      </c>
      <c r="O51" s="2" t="s">
        <v>153</v>
      </c>
      <c r="P51" s="2" t="s">
        <v>32</v>
      </c>
      <c r="Q51" s="2" t="s">
        <v>430</v>
      </c>
      <c r="R51" s="2" t="s">
        <v>423</v>
      </c>
      <c r="S51" s="2" t="s">
        <v>44</v>
      </c>
      <c r="T51" s="153">
        <v>1.8169999999999999</v>
      </c>
      <c r="U51" s="2" t="s">
        <v>1916</v>
      </c>
      <c r="V51" s="166">
        <v>9.0999999999999998E-2</v>
      </c>
      <c r="W51" s="168">
        <v>7.1499999999999994E-2</v>
      </c>
      <c r="X51" s="4" t="s">
        <v>429</v>
      </c>
      <c r="Y51" s="4" t="s">
        <v>153</v>
      </c>
      <c r="Z51" s="153">
        <v>16920</v>
      </c>
      <c r="AA51" s="162">
        <v>1</v>
      </c>
      <c r="AB51" s="179">
        <v>103.71</v>
      </c>
      <c r="AD51" s="153">
        <v>17.547999999999998</v>
      </c>
      <c r="AG51" s="2" t="s">
        <v>36</v>
      </c>
      <c r="AH51" s="168">
        <v>9.0000000000000006E-5</v>
      </c>
      <c r="AI51" s="168">
        <v>3.6628664013770601E-2</v>
      </c>
      <c r="AJ51" s="168">
        <v>1.7209899451293799E-3</v>
      </c>
    </row>
    <row r="52" spans="1:36">
      <c r="A52" s="2">
        <v>158</v>
      </c>
      <c r="B52" s="2">
        <v>1522</v>
      </c>
      <c r="C52" s="2" t="s">
        <v>1917</v>
      </c>
      <c r="D52" s="2" t="s">
        <v>1918</v>
      </c>
      <c r="E52" s="4" t="s">
        <v>43</v>
      </c>
      <c r="F52" s="2" t="s">
        <v>1919</v>
      </c>
      <c r="G52" s="2" t="s">
        <v>1920</v>
      </c>
      <c r="H52" s="2" t="s">
        <v>338</v>
      </c>
      <c r="I52" s="2" t="s">
        <v>773</v>
      </c>
      <c r="J52" s="2" t="s">
        <v>30</v>
      </c>
      <c r="K52" s="2" t="s">
        <v>107</v>
      </c>
      <c r="L52" s="2" t="s">
        <v>344</v>
      </c>
      <c r="M52" s="2" t="s">
        <v>56</v>
      </c>
      <c r="N52" s="2" t="s">
        <v>458</v>
      </c>
      <c r="O52" s="2" t="s">
        <v>153</v>
      </c>
      <c r="P52" s="2" t="s">
        <v>32</v>
      </c>
      <c r="Q52" s="2" t="s">
        <v>110</v>
      </c>
      <c r="R52" s="2" t="s">
        <v>423</v>
      </c>
      <c r="S52" s="2" t="s">
        <v>44</v>
      </c>
      <c r="T52" s="153">
        <v>2.4</v>
      </c>
      <c r="U52" s="2" t="s">
        <v>1921</v>
      </c>
      <c r="V52" s="166">
        <v>8.43E-2</v>
      </c>
      <c r="W52" s="168">
        <v>6.5500000000000003E-2</v>
      </c>
      <c r="X52" s="4" t="s">
        <v>429</v>
      </c>
      <c r="Y52" s="4" t="s">
        <v>153</v>
      </c>
      <c r="Z52" s="153">
        <v>14000</v>
      </c>
      <c r="AA52" s="162">
        <v>1</v>
      </c>
      <c r="AB52" s="179">
        <v>106.035</v>
      </c>
      <c r="AD52" s="153">
        <v>14.845000000000001</v>
      </c>
      <c r="AG52" s="2" t="s">
        <v>36</v>
      </c>
      <c r="AH52" s="168">
        <v>0</v>
      </c>
      <c r="AI52" s="168">
        <v>3.0986728268521498E-2</v>
      </c>
      <c r="AJ52" s="168">
        <v>1.45590480074657E-3</v>
      </c>
    </row>
    <row r="53" spans="1:36">
      <c r="A53" s="2">
        <v>158</v>
      </c>
      <c r="B53" s="2">
        <v>1522</v>
      </c>
      <c r="C53" s="2" t="s">
        <v>1922</v>
      </c>
      <c r="D53" s="2" t="s">
        <v>1923</v>
      </c>
      <c r="E53" s="4" t="s">
        <v>1343</v>
      </c>
      <c r="F53" s="2" t="s">
        <v>1924</v>
      </c>
      <c r="G53" s="2" t="s">
        <v>1925</v>
      </c>
      <c r="H53" s="2" t="s">
        <v>338</v>
      </c>
      <c r="I53" s="2" t="s">
        <v>985</v>
      </c>
      <c r="J53" s="2" t="s">
        <v>30</v>
      </c>
      <c r="K53" s="2" t="s">
        <v>30</v>
      </c>
      <c r="L53" s="2" t="s">
        <v>344</v>
      </c>
      <c r="M53" s="2" t="s">
        <v>56</v>
      </c>
      <c r="N53" s="2" t="s">
        <v>462</v>
      </c>
      <c r="O53" s="2" t="s">
        <v>153</v>
      </c>
      <c r="P53" s="2" t="s">
        <v>1900</v>
      </c>
      <c r="Q53" s="2" t="s">
        <v>426</v>
      </c>
      <c r="R53" s="2" t="s">
        <v>426</v>
      </c>
      <c r="S53" s="2" t="s">
        <v>44</v>
      </c>
      <c r="T53" s="153">
        <v>1.585</v>
      </c>
      <c r="U53" s="2" t="s">
        <v>57</v>
      </c>
      <c r="V53" s="166">
        <v>0.06</v>
      </c>
      <c r="W53" s="168">
        <v>6.3109999999999999E-2</v>
      </c>
      <c r="X53" s="4" t="s">
        <v>429</v>
      </c>
      <c r="Y53" s="4" t="s">
        <v>153</v>
      </c>
      <c r="Z53" s="153">
        <v>12164.44</v>
      </c>
      <c r="AA53" s="162">
        <v>1</v>
      </c>
      <c r="AB53" s="179">
        <v>101.67</v>
      </c>
      <c r="AD53" s="153">
        <v>12.368</v>
      </c>
      <c r="AG53" s="2" t="s">
        <v>36</v>
      </c>
      <c r="AH53" s="168">
        <v>4.8999999999999998E-5</v>
      </c>
      <c r="AI53" s="168">
        <v>2.5815766828240602E-2</v>
      </c>
      <c r="AJ53" s="168">
        <v>1.21294828335818E-3</v>
      </c>
    </row>
    <row r="54" spans="1:36">
      <c r="A54" s="2">
        <v>158</v>
      </c>
      <c r="B54" s="2">
        <v>1522</v>
      </c>
      <c r="C54" s="2" t="s">
        <v>1598</v>
      </c>
      <c r="D54" s="2" t="s">
        <v>1599</v>
      </c>
      <c r="E54" s="4" t="s">
        <v>1343</v>
      </c>
      <c r="F54" s="2" t="s">
        <v>1926</v>
      </c>
      <c r="G54" s="2" t="s">
        <v>1927</v>
      </c>
      <c r="H54" s="2" t="s">
        <v>338</v>
      </c>
      <c r="I54" s="2" t="s">
        <v>985</v>
      </c>
      <c r="J54" s="2" t="s">
        <v>30</v>
      </c>
      <c r="K54" s="2" t="s">
        <v>30</v>
      </c>
      <c r="L54" s="2" t="s">
        <v>344</v>
      </c>
      <c r="M54" s="2" t="s">
        <v>56</v>
      </c>
      <c r="N54" s="2" t="s">
        <v>463</v>
      </c>
      <c r="O54" s="2" t="s">
        <v>153</v>
      </c>
      <c r="P54" s="2" t="s">
        <v>109</v>
      </c>
      <c r="Q54" s="2" t="s">
        <v>430</v>
      </c>
      <c r="R54" s="2" t="s">
        <v>423</v>
      </c>
      <c r="S54" s="2" t="s">
        <v>44</v>
      </c>
      <c r="T54" s="153">
        <v>0.64800000000000002</v>
      </c>
      <c r="U54" s="2" t="s">
        <v>1928</v>
      </c>
      <c r="V54" s="166">
        <v>3.7600000000000001E-2</v>
      </c>
      <c r="W54" s="168">
        <v>4.4519999999999997E-2</v>
      </c>
      <c r="X54" s="4" t="s">
        <v>429</v>
      </c>
      <c r="Y54" s="4" t="s">
        <v>153</v>
      </c>
      <c r="Z54" s="153">
        <v>100000</v>
      </c>
      <c r="AA54" s="162">
        <v>1</v>
      </c>
      <c r="AB54" s="179">
        <v>100.87</v>
      </c>
      <c r="AD54" s="153">
        <v>100.87</v>
      </c>
      <c r="AG54" s="2" t="s">
        <v>36</v>
      </c>
      <c r="AH54" s="168">
        <v>8.2999999999999998E-5</v>
      </c>
      <c r="AI54" s="168">
        <v>0.21055332615457301</v>
      </c>
      <c r="AJ54" s="168">
        <v>9.8928029995671296E-3</v>
      </c>
    </row>
    <row r="55" spans="1:36">
      <c r="A55" s="2">
        <v>158</v>
      </c>
      <c r="B55" s="2">
        <v>1522</v>
      </c>
      <c r="C55" s="2" t="s">
        <v>1929</v>
      </c>
      <c r="D55" s="2" t="s">
        <v>1930</v>
      </c>
      <c r="E55" s="4" t="s">
        <v>330</v>
      </c>
      <c r="F55" s="2" t="s">
        <v>1931</v>
      </c>
      <c r="G55" s="2" t="s">
        <v>1932</v>
      </c>
      <c r="H55" s="2" t="s">
        <v>338</v>
      </c>
      <c r="I55" s="2" t="s">
        <v>985</v>
      </c>
      <c r="J55" s="2" t="s">
        <v>30</v>
      </c>
      <c r="K55" s="2" t="s">
        <v>107</v>
      </c>
      <c r="L55" s="2" t="s">
        <v>344</v>
      </c>
      <c r="M55" s="2" t="s">
        <v>56</v>
      </c>
      <c r="N55" s="2" t="s">
        <v>480</v>
      </c>
      <c r="O55" s="2" t="s">
        <v>153</v>
      </c>
      <c r="P55" s="2" t="s">
        <v>1718</v>
      </c>
      <c r="Q55" s="2" t="s">
        <v>430</v>
      </c>
      <c r="R55" s="2" t="s">
        <v>423</v>
      </c>
      <c r="S55" s="2" t="s">
        <v>44</v>
      </c>
      <c r="T55" s="153">
        <v>1.6220000000000001</v>
      </c>
      <c r="U55" s="2" t="s">
        <v>1760</v>
      </c>
      <c r="V55" s="166">
        <v>0.09</v>
      </c>
      <c r="W55" s="168">
        <v>7.3069999999999996E-2</v>
      </c>
      <c r="X55" s="4" t="s">
        <v>429</v>
      </c>
      <c r="Y55" s="4" t="s">
        <v>153</v>
      </c>
      <c r="Z55" s="153">
        <v>10000</v>
      </c>
      <c r="AA55" s="162">
        <v>1</v>
      </c>
      <c r="AB55" s="179">
        <v>105.21</v>
      </c>
      <c r="AD55" s="153">
        <v>10.521000000000001</v>
      </c>
      <c r="AG55" s="2" t="s">
        <v>36</v>
      </c>
      <c r="AH55" s="168">
        <v>2.8E-5</v>
      </c>
      <c r="AI55" s="168">
        <v>2.1961252547558902E-2</v>
      </c>
      <c r="AJ55" s="168">
        <v>1.0318447542227199E-3</v>
      </c>
    </row>
    <row r="56" spans="1:36">
      <c r="A56" s="2">
        <v>158</v>
      </c>
      <c r="B56" s="2">
        <v>1522</v>
      </c>
      <c r="C56" s="2" t="s">
        <v>1196</v>
      </c>
      <c r="D56" s="2" t="s">
        <v>1567</v>
      </c>
      <c r="E56" s="4" t="s">
        <v>1343</v>
      </c>
      <c r="F56" s="2" t="s">
        <v>1933</v>
      </c>
      <c r="G56" s="2" t="s">
        <v>1934</v>
      </c>
      <c r="H56" s="2" t="s">
        <v>338</v>
      </c>
      <c r="I56" s="2" t="s">
        <v>773</v>
      </c>
      <c r="J56" s="2" t="s">
        <v>106</v>
      </c>
      <c r="K56" s="2" t="s">
        <v>30</v>
      </c>
      <c r="L56" s="2" t="s">
        <v>344</v>
      </c>
      <c r="M56" s="2" t="s">
        <v>31</v>
      </c>
      <c r="N56" s="2" t="s">
        <v>552</v>
      </c>
      <c r="O56" s="2" t="s">
        <v>153</v>
      </c>
      <c r="P56" s="2" t="s">
        <v>1935</v>
      </c>
      <c r="Q56" s="2" t="s">
        <v>448</v>
      </c>
      <c r="R56" s="2" t="s">
        <v>423</v>
      </c>
      <c r="S56" s="2" t="s">
        <v>34</v>
      </c>
      <c r="T56" s="153">
        <v>5.4939999999999998</v>
      </c>
      <c r="U56" s="2" t="s">
        <v>1936</v>
      </c>
      <c r="V56" s="166">
        <v>3.2750000000000001E-2</v>
      </c>
      <c r="W56" s="168">
        <v>6.0199999999999997E-2</v>
      </c>
      <c r="X56" s="4" t="s">
        <v>429</v>
      </c>
      <c r="Y56" s="4" t="s">
        <v>153</v>
      </c>
      <c r="Z56" s="153">
        <v>2000</v>
      </c>
      <c r="AA56" s="162">
        <v>3.71</v>
      </c>
      <c r="AB56" s="179">
        <v>95.807000000000002</v>
      </c>
      <c r="AD56" s="153">
        <v>7.109</v>
      </c>
      <c r="AG56" s="2" t="s">
        <v>36</v>
      </c>
      <c r="AH56" s="168">
        <v>3.0000000000000001E-6</v>
      </c>
      <c r="AI56" s="168">
        <v>1.4838899228783699E-2</v>
      </c>
      <c r="AJ56" s="168">
        <v>6.9720250675601504E-4</v>
      </c>
    </row>
    <row r="57" spans="1:36">
      <c r="A57" s="2">
        <v>158</v>
      </c>
      <c r="B57" s="2">
        <v>1522</v>
      </c>
      <c r="C57" s="2" t="s">
        <v>1872</v>
      </c>
      <c r="D57" s="2" t="s">
        <v>1873</v>
      </c>
      <c r="E57" s="4" t="s">
        <v>1343</v>
      </c>
      <c r="F57" s="2" t="s">
        <v>1937</v>
      </c>
      <c r="G57" s="2" t="s">
        <v>1938</v>
      </c>
      <c r="H57" s="2" t="s">
        <v>338</v>
      </c>
      <c r="I57" s="2" t="s">
        <v>773</v>
      </c>
      <c r="J57" s="2" t="s">
        <v>106</v>
      </c>
      <c r="K57" s="2" t="s">
        <v>30</v>
      </c>
      <c r="L57" s="2" t="s">
        <v>344</v>
      </c>
      <c r="M57" s="2" t="s">
        <v>31</v>
      </c>
      <c r="N57" s="2" t="s">
        <v>502</v>
      </c>
      <c r="O57" s="2" t="s">
        <v>153</v>
      </c>
      <c r="P57" s="2" t="s">
        <v>1876</v>
      </c>
      <c r="Q57" s="2" t="s">
        <v>430</v>
      </c>
      <c r="R57" s="2" t="s">
        <v>423</v>
      </c>
      <c r="S57" s="2" t="s">
        <v>34</v>
      </c>
      <c r="T57" s="153">
        <v>2.4660000000000002</v>
      </c>
      <c r="U57" s="2" t="s">
        <v>1887</v>
      </c>
      <c r="V57" s="166">
        <v>6.5000000000000002E-2</v>
      </c>
      <c r="W57" s="168">
        <v>8.4129999999999996E-2</v>
      </c>
      <c r="X57" s="4" t="s">
        <v>429</v>
      </c>
      <c r="Y57" s="4" t="s">
        <v>153</v>
      </c>
      <c r="Z57" s="153">
        <v>1000</v>
      </c>
      <c r="AA57" s="162">
        <v>3.71</v>
      </c>
      <c r="AB57" s="179">
        <v>96.786000000000001</v>
      </c>
      <c r="AD57" s="153">
        <v>3.5910000000000002</v>
      </c>
      <c r="AG57" s="2" t="s">
        <v>36</v>
      </c>
      <c r="AH57" s="168">
        <v>1.9999999999999999E-6</v>
      </c>
      <c r="AI57" s="168">
        <v>7.4952648845804598E-3</v>
      </c>
      <c r="AJ57" s="168">
        <v>3.5216341763365298E-4</v>
      </c>
    </row>
    <row r="58" spans="1:36">
      <c r="A58" s="2">
        <v>158</v>
      </c>
      <c r="B58" s="2">
        <v>1522</v>
      </c>
      <c r="C58" s="2" t="s">
        <v>1570</v>
      </c>
      <c r="D58" s="2" t="s">
        <v>1571</v>
      </c>
      <c r="E58" s="4" t="s">
        <v>1343</v>
      </c>
      <c r="F58" s="2" t="s">
        <v>1939</v>
      </c>
      <c r="G58" s="2" t="s">
        <v>1940</v>
      </c>
      <c r="H58" s="2" t="s">
        <v>338</v>
      </c>
      <c r="I58" s="2" t="s">
        <v>773</v>
      </c>
      <c r="J58" s="2" t="s">
        <v>106</v>
      </c>
      <c r="K58" s="2" t="s">
        <v>30</v>
      </c>
      <c r="L58" s="2" t="s">
        <v>344</v>
      </c>
      <c r="M58" s="2" t="s">
        <v>31</v>
      </c>
      <c r="N58" s="2" t="s">
        <v>552</v>
      </c>
      <c r="O58" s="2" t="s">
        <v>153</v>
      </c>
      <c r="P58" s="2" t="s">
        <v>1935</v>
      </c>
      <c r="Q58" s="2" t="s">
        <v>448</v>
      </c>
      <c r="R58" s="2" t="s">
        <v>423</v>
      </c>
      <c r="S58" s="2" t="s">
        <v>34</v>
      </c>
      <c r="T58" s="153">
        <v>5.6210000000000004</v>
      </c>
      <c r="U58" s="2" t="s">
        <v>1941</v>
      </c>
      <c r="V58" s="166">
        <v>3.0769999999999999E-2</v>
      </c>
      <c r="W58" s="168">
        <v>6.5729999999999997E-2</v>
      </c>
      <c r="X58" s="4" t="s">
        <v>429</v>
      </c>
      <c r="Y58" s="4" t="s">
        <v>153</v>
      </c>
      <c r="Z58" s="153">
        <v>2000</v>
      </c>
      <c r="AA58" s="162">
        <v>3.71</v>
      </c>
      <c r="AB58" s="179">
        <v>95.573999999999998</v>
      </c>
      <c r="AD58" s="153">
        <v>7.0919999999999996</v>
      </c>
      <c r="AG58" s="2" t="s">
        <v>36</v>
      </c>
      <c r="AH58" s="168">
        <v>3.0000000000000001E-6</v>
      </c>
      <c r="AI58" s="168">
        <v>1.4802811469939999E-2</v>
      </c>
      <c r="AJ58" s="168">
        <v>6.9550693112462503E-4</v>
      </c>
    </row>
    <row r="59" spans="1:36">
      <c r="A59" s="2">
        <v>158</v>
      </c>
      <c r="B59" s="2">
        <v>1522</v>
      </c>
      <c r="C59" s="2" t="s">
        <v>1942</v>
      </c>
      <c r="D59" s="2" t="s">
        <v>1943</v>
      </c>
      <c r="E59" s="4" t="s">
        <v>331</v>
      </c>
      <c r="F59" s="2" t="s">
        <v>1944</v>
      </c>
      <c r="G59" s="2" t="s">
        <v>1945</v>
      </c>
      <c r="H59" s="2" t="s">
        <v>338</v>
      </c>
      <c r="I59" s="2" t="s">
        <v>773</v>
      </c>
      <c r="J59" s="2" t="s">
        <v>106</v>
      </c>
      <c r="K59" s="2" t="s">
        <v>257</v>
      </c>
      <c r="L59" s="2" t="s">
        <v>344</v>
      </c>
      <c r="M59" s="2" t="s">
        <v>31</v>
      </c>
      <c r="N59" s="2" t="s">
        <v>584</v>
      </c>
      <c r="O59" s="2" t="s">
        <v>153</v>
      </c>
      <c r="P59" s="2" t="s">
        <v>1946</v>
      </c>
      <c r="Q59" s="2" t="s">
        <v>33</v>
      </c>
      <c r="R59" s="2" t="s">
        <v>423</v>
      </c>
      <c r="S59" s="2" t="s">
        <v>1199</v>
      </c>
      <c r="T59" s="153">
        <v>0.28599999999999998</v>
      </c>
      <c r="U59" s="2" t="s">
        <v>1947</v>
      </c>
      <c r="V59" s="166">
        <v>0.02</v>
      </c>
      <c r="W59" s="168">
        <v>8.9560000000000001E-2</v>
      </c>
      <c r="X59" s="4" t="s">
        <v>429</v>
      </c>
      <c r="Y59" s="4" t="s">
        <v>153</v>
      </c>
      <c r="Z59" s="153">
        <v>1000</v>
      </c>
      <c r="AA59" s="162">
        <v>4.1524000000000001</v>
      </c>
      <c r="AB59" s="179">
        <v>98.552999999999997</v>
      </c>
      <c r="AD59" s="153">
        <v>4.0919999999999996</v>
      </c>
      <c r="AG59" s="2" t="s">
        <v>36</v>
      </c>
      <c r="AH59" s="168">
        <v>3.0000000000000001E-6</v>
      </c>
      <c r="AI59" s="168">
        <v>8.5422311730370994E-3</v>
      </c>
      <c r="AJ59" s="168">
        <v>4.0135490478824599E-4</v>
      </c>
    </row>
    <row r="60" spans="1:36">
      <c r="A60" s="2">
        <v>158</v>
      </c>
      <c r="B60" s="2">
        <v>9935</v>
      </c>
      <c r="C60" s="2" t="s">
        <v>1714</v>
      </c>
      <c r="D60" s="2" t="s">
        <v>1715</v>
      </c>
      <c r="E60" s="4" t="s">
        <v>1343</v>
      </c>
      <c r="F60" s="2" t="s">
        <v>1716</v>
      </c>
      <c r="G60" s="2" t="s">
        <v>1717</v>
      </c>
      <c r="H60" s="2" t="s">
        <v>338</v>
      </c>
      <c r="I60" s="2" t="s">
        <v>772</v>
      </c>
      <c r="J60" s="2" t="s">
        <v>30</v>
      </c>
      <c r="K60" s="2" t="s">
        <v>30</v>
      </c>
      <c r="L60" s="2" t="s">
        <v>344</v>
      </c>
      <c r="M60" s="2" t="s">
        <v>56</v>
      </c>
      <c r="N60" s="2" t="s">
        <v>479</v>
      </c>
      <c r="O60" s="2" t="s">
        <v>153</v>
      </c>
      <c r="P60" s="2" t="s">
        <v>1718</v>
      </c>
      <c r="Q60" s="2" t="s">
        <v>430</v>
      </c>
      <c r="R60" s="2" t="s">
        <v>423</v>
      </c>
      <c r="S60" s="2" t="s">
        <v>44</v>
      </c>
      <c r="T60" s="153">
        <v>2.012</v>
      </c>
      <c r="U60" s="2" t="s">
        <v>102</v>
      </c>
      <c r="V60" s="166">
        <v>2.3400000000000001E-2</v>
      </c>
      <c r="W60" s="168">
        <v>2.664E-2</v>
      </c>
      <c r="X60" s="4" t="s">
        <v>429</v>
      </c>
      <c r="Y60" s="4" t="s">
        <v>153</v>
      </c>
      <c r="Z60" s="153">
        <v>1031250</v>
      </c>
      <c r="AA60" s="162">
        <v>1</v>
      </c>
      <c r="AB60" s="179">
        <v>115.87</v>
      </c>
      <c r="AD60" s="153">
        <v>1194.9090000000001</v>
      </c>
      <c r="AG60" s="2" t="s">
        <v>36</v>
      </c>
      <c r="AH60" s="168">
        <v>4.8899999999999996E-4</v>
      </c>
      <c r="AI60" s="168">
        <v>7.7781192117436903E-3</v>
      </c>
      <c r="AJ60" s="168">
        <v>1.1029989745327299E-3</v>
      </c>
    </row>
    <row r="61" spans="1:36">
      <c r="A61" s="2">
        <v>158</v>
      </c>
      <c r="B61" s="2">
        <v>9935</v>
      </c>
      <c r="C61" s="2" t="s">
        <v>1515</v>
      </c>
      <c r="D61" s="2" t="s">
        <v>1516</v>
      </c>
      <c r="E61" s="4" t="s">
        <v>1343</v>
      </c>
      <c r="F61" s="2" t="s">
        <v>1719</v>
      </c>
      <c r="G61" s="2" t="s">
        <v>1720</v>
      </c>
      <c r="H61" s="2" t="s">
        <v>338</v>
      </c>
      <c r="I61" s="2" t="s">
        <v>985</v>
      </c>
      <c r="J61" s="2" t="s">
        <v>30</v>
      </c>
      <c r="K61" s="2" t="s">
        <v>30</v>
      </c>
      <c r="L61" s="2" t="s">
        <v>344</v>
      </c>
      <c r="M61" s="2" t="s">
        <v>56</v>
      </c>
      <c r="N61" s="2" t="s">
        <v>461</v>
      </c>
      <c r="O61" s="2" t="s">
        <v>153</v>
      </c>
      <c r="P61" s="2" t="s">
        <v>1718</v>
      </c>
      <c r="Q61" s="2" t="s">
        <v>430</v>
      </c>
      <c r="R61" s="2" t="s">
        <v>423</v>
      </c>
      <c r="S61" s="2" t="s">
        <v>44</v>
      </c>
      <c r="T61" s="153">
        <v>2.6160000000000001</v>
      </c>
      <c r="U61" s="2" t="s">
        <v>1721</v>
      </c>
      <c r="V61" s="166">
        <v>1.0800000000000001E-2</v>
      </c>
      <c r="W61" s="168">
        <v>5.2200000000000003E-2</v>
      </c>
      <c r="X61" s="4" t="s">
        <v>429</v>
      </c>
      <c r="Y61" s="4" t="s">
        <v>153</v>
      </c>
      <c r="Z61" s="153">
        <v>1235750</v>
      </c>
      <c r="AA61" s="162">
        <v>1</v>
      </c>
      <c r="AB61" s="179">
        <v>90.15</v>
      </c>
      <c r="AD61" s="153">
        <v>1114.029</v>
      </c>
      <c r="AG61" s="2" t="s">
        <v>36</v>
      </c>
      <c r="AH61" s="168">
        <v>1.3179999999999999E-3</v>
      </c>
      <c r="AI61" s="168">
        <v>7.2516356736634603E-3</v>
      </c>
      <c r="AJ61" s="168">
        <v>1.0283394345074099E-3</v>
      </c>
    </row>
    <row r="62" spans="1:36">
      <c r="A62" s="2">
        <v>158</v>
      </c>
      <c r="B62" s="2">
        <v>9935</v>
      </c>
      <c r="C62" s="2" t="s">
        <v>1519</v>
      </c>
      <c r="D62" s="2" t="s">
        <v>1520</v>
      </c>
      <c r="E62" s="4" t="s">
        <v>1343</v>
      </c>
      <c r="F62" s="2" t="s">
        <v>1722</v>
      </c>
      <c r="G62" s="2" t="s">
        <v>1723</v>
      </c>
      <c r="H62" s="2" t="s">
        <v>338</v>
      </c>
      <c r="I62" s="2" t="s">
        <v>772</v>
      </c>
      <c r="J62" s="2" t="s">
        <v>30</v>
      </c>
      <c r="K62" s="2" t="s">
        <v>30</v>
      </c>
      <c r="L62" s="2" t="s">
        <v>344</v>
      </c>
      <c r="M62" s="2" t="s">
        <v>56</v>
      </c>
      <c r="N62" s="2" t="s">
        <v>479</v>
      </c>
      <c r="O62" s="2" t="s">
        <v>153</v>
      </c>
      <c r="P62" s="2" t="s">
        <v>1724</v>
      </c>
      <c r="Q62" s="2" t="s">
        <v>430</v>
      </c>
      <c r="R62" s="2" t="s">
        <v>423</v>
      </c>
      <c r="S62" s="2" t="s">
        <v>44</v>
      </c>
      <c r="T62" s="153">
        <v>6.9109999999999996</v>
      </c>
      <c r="U62" s="2" t="s">
        <v>1725</v>
      </c>
      <c r="V62" s="166">
        <v>2.5600000000000001E-2</v>
      </c>
      <c r="W62" s="168">
        <v>4.2349999999999999E-2</v>
      </c>
      <c r="X62" s="4" t="s">
        <v>429</v>
      </c>
      <c r="Y62" s="4" t="s">
        <v>153</v>
      </c>
      <c r="Z62" s="153">
        <v>520000</v>
      </c>
      <c r="AA62" s="162">
        <v>1</v>
      </c>
      <c r="AB62" s="179">
        <v>97.49</v>
      </c>
      <c r="AD62" s="153">
        <v>506.94799999999998</v>
      </c>
      <c r="AG62" s="2" t="s">
        <v>36</v>
      </c>
      <c r="AH62" s="168">
        <v>4.95E-4</v>
      </c>
      <c r="AI62" s="168">
        <v>3.2999171825520601E-3</v>
      </c>
      <c r="AJ62" s="168">
        <v>4.6795442051110898E-4</v>
      </c>
    </row>
    <row r="63" spans="1:36">
      <c r="A63" s="2">
        <v>158</v>
      </c>
      <c r="B63" s="2">
        <v>9935</v>
      </c>
      <c r="C63" s="2" t="s">
        <v>1519</v>
      </c>
      <c r="D63" s="2" t="s">
        <v>1520</v>
      </c>
      <c r="E63" s="4" t="s">
        <v>1343</v>
      </c>
      <c r="F63" s="2" t="s">
        <v>1726</v>
      </c>
      <c r="G63" s="2" t="s">
        <v>1727</v>
      </c>
      <c r="H63" s="2" t="s">
        <v>338</v>
      </c>
      <c r="I63" s="2" t="s">
        <v>985</v>
      </c>
      <c r="J63" s="2" t="s">
        <v>30</v>
      </c>
      <c r="K63" s="2" t="s">
        <v>30</v>
      </c>
      <c r="L63" s="2" t="s">
        <v>344</v>
      </c>
      <c r="M63" s="2" t="s">
        <v>56</v>
      </c>
      <c r="N63" s="2" t="s">
        <v>479</v>
      </c>
      <c r="O63" s="2" t="s">
        <v>153</v>
      </c>
      <c r="P63" s="2" t="s">
        <v>1724</v>
      </c>
      <c r="Q63" s="2" t="s">
        <v>430</v>
      </c>
      <c r="R63" s="2" t="s">
        <v>423</v>
      </c>
      <c r="S63" s="2" t="s">
        <v>44</v>
      </c>
      <c r="T63" s="153">
        <v>3.9049999999999998</v>
      </c>
      <c r="U63" s="2" t="s">
        <v>1728</v>
      </c>
      <c r="V63" s="166">
        <v>2.41E-2</v>
      </c>
      <c r="W63" s="168">
        <v>6.3320000000000001E-2</v>
      </c>
      <c r="X63" s="4" t="s">
        <v>429</v>
      </c>
      <c r="Y63" s="4" t="s">
        <v>153</v>
      </c>
      <c r="Z63" s="153">
        <v>1762550.36</v>
      </c>
      <c r="AA63" s="162">
        <v>1</v>
      </c>
      <c r="AB63" s="179">
        <v>86.08</v>
      </c>
      <c r="AD63" s="153">
        <v>1517.203</v>
      </c>
      <c r="AG63" s="2" t="s">
        <v>36</v>
      </c>
      <c r="AH63" s="168">
        <v>8.5800000000000004E-4</v>
      </c>
      <c r="AI63" s="168">
        <v>9.8760531725560693E-3</v>
      </c>
      <c r="AJ63" s="168">
        <v>1.40050264404703E-3</v>
      </c>
    </row>
    <row r="64" spans="1:36">
      <c r="A64" s="2">
        <v>158</v>
      </c>
      <c r="B64" s="2">
        <v>9935</v>
      </c>
      <c r="C64" s="2" t="s">
        <v>1729</v>
      </c>
      <c r="D64" s="2" t="s">
        <v>1730</v>
      </c>
      <c r="E64" s="4" t="s">
        <v>1343</v>
      </c>
      <c r="F64" s="2" t="s">
        <v>1948</v>
      </c>
      <c r="G64" s="2" t="s">
        <v>1949</v>
      </c>
      <c r="H64" s="2" t="s">
        <v>338</v>
      </c>
      <c r="I64" s="2" t="s">
        <v>985</v>
      </c>
      <c r="J64" s="2" t="s">
        <v>30</v>
      </c>
      <c r="K64" s="2" t="s">
        <v>30</v>
      </c>
      <c r="L64" s="2" t="s">
        <v>344</v>
      </c>
      <c r="M64" s="2" t="s">
        <v>56</v>
      </c>
      <c r="N64" s="2" t="s">
        <v>466</v>
      </c>
      <c r="O64" s="2" t="s">
        <v>153</v>
      </c>
      <c r="P64" s="2" t="s">
        <v>32</v>
      </c>
      <c r="Q64" s="2" t="s">
        <v>430</v>
      </c>
      <c r="R64" s="2" t="s">
        <v>423</v>
      </c>
      <c r="S64" s="2" t="s">
        <v>44</v>
      </c>
      <c r="T64" s="153">
        <v>1.208</v>
      </c>
      <c r="U64" s="2" t="s">
        <v>1760</v>
      </c>
      <c r="V64" s="166">
        <v>0.04</v>
      </c>
      <c r="W64" s="168">
        <v>5.4780000000000002E-2</v>
      </c>
      <c r="X64" s="4" t="s">
        <v>429</v>
      </c>
      <c r="Y64" s="4" t="s">
        <v>153</v>
      </c>
      <c r="Z64" s="153">
        <v>1075897.99</v>
      </c>
      <c r="AA64" s="162">
        <v>1</v>
      </c>
      <c r="AB64" s="179">
        <v>99.35</v>
      </c>
      <c r="AD64" s="153">
        <v>1068.905</v>
      </c>
      <c r="AG64" s="2" t="s">
        <v>36</v>
      </c>
      <c r="AH64" s="168">
        <v>8.1659999999999996E-3</v>
      </c>
      <c r="AI64" s="168">
        <v>6.9579065923113196E-3</v>
      </c>
      <c r="AJ64" s="168">
        <v>9.8668632188441394E-4</v>
      </c>
    </row>
    <row r="65" spans="1:36">
      <c r="A65" s="2">
        <v>158</v>
      </c>
      <c r="B65" s="2">
        <v>9935</v>
      </c>
      <c r="C65" s="2" t="s">
        <v>1729</v>
      </c>
      <c r="D65" s="2" t="s">
        <v>1730</v>
      </c>
      <c r="E65" s="4" t="s">
        <v>1343</v>
      </c>
      <c r="F65" s="2" t="s">
        <v>1731</v>
      </c>
      <c r="G65" s="2" t="s">
        <v>1732</v>
      </c>
      <c r="H65" s="2" t="s">
        <v>338</v>
      </c>
      <c r="I65" s="2" t="s">
        <v>985</v>
      </c>
      <c r="J65" s="2" t="s">
        <v>30</v>
      </c>
      <c r="K65" s="2" t="s">
        <v>30</v>
      </c>
      <c r="L65" s="2" t="s">
        <v>344</v>
      </c>
      <c r="M65" s="2" t="s">
        <v>56</v>
      </c>
      <c r="N65" s="2" t="s">
        <v>466</v>
      </c>
      <c r="O65" s="2" t="s">
        <v>153</v>
      </c>
      <c r="P65" s="2" t="s">
        <v>32</v>
      </c>
      <c r="Q65" s="2" t="s">
        <v>430</v>
      </c>
      <c r="R65" s="2" t="s">
        <v>423</v>
      </c>
      <c r="S65" s="2" t="s">
        <v>44</v>
      </c>
      <c r="T65" s="153">
        <v>2.2240000000000002</v>
      </c>
      <c r="U65" s="2" t="s">
        <v>1733</v>
      </c>
      <c r="V65" s="166">
        <v>0.04</v>
      </c>
      <c r="W65" s="168">
        <v>5.774E-2</v>
      </c>
      <c r="X65" s="4" t="s">
        <v>429</v>
      </c>
      <c r="Y65" s="4" t="s">
        <v>153</v>
      </c>
      <c r="Z65" s="153">
        <v>437500.07</v>
      </c>
      <c r="AA65" s="162">
        <v>1</v>
      </c>
      <c r="AB65" s="179">
        <v>96.04</v>
      </c>
      <c r="AD65" s="153">
        <v>420.17500000000001</v>
      </c>
      <c r="AG65" s="2" t="s">
        <v>36</v>
      </c>
      <c r="AH65" s="168">
        <v>6.4599999999999998E-4</v>
      </c>
      <c r="AI65" s="168">
        <v>2.7350791876595698E-3</v>
      </c>
      <c r="AJ65" s="168">
        <v>3.8785591440915998E-4</v>
      </c>
    </row>
    <row r="66" spans="1:36">
      <c r="A66" s="2">
        <v>158</v>
      </c>
      <c r="B66" s="2">
        <v>9935</v>
      </c>
      <c r="C66" s="2" t="s">
        <v>1523</v>
      </c>
      <c r="D66" s="2" t="s">
        <v>1524</v>
      </c>
      <c r="E66" s="4" t="s">
        <v>1343</v>
      </c>
      <c r="F66" s="2" t="s">
        <v>1734</v>
      </c>
      <c r="G66" s="2" t="s">
        <v>1735</v>
      </c>
      <c r="H66" s="2" t="s">
        <v>338</v>
      </c>
      <c r="I66" s="2" t="s">
        <v>772</v>
      </c>
      <c r="J66" s="2" t="s">
        <v>30</v>
      </c>
      <c r="K66" s="2" t="s">
        <v>30</v>
      </c>
      <c r="L66" s="2" t="s">
        <v>344</v>
      </c>
      <c r="M66" s="2" t="s">
        <v>56</v>
      </c>
      <c r="N66" s="2" t="s">
        <v>479</v>
      </c>
      <c r="O66" s="2" t="s">
        <v>153</v>
      </c>
      <c r="P66" s="2" t="s">
        <v>1718</v>
      </c>
      <c r="Q66" s="2" t="s">
        <v>430</v>
      </c>
      <c r="R66" s="2" t="s">
        <v>423</v>
      </c>
      <c r="S66" s="2" t="s">
        <v>44</v>
      </c>
      <c r="T66" s="153">
        <v>2.1819999999999999</v>
      </c>
      <c r="U66" s="2" t="s">
        <v>1736</v>
      </c>
      <c r="V66" s="166">
        <v>3.2000000000000001E-2</v>
      </c>
      <c r="W66" s="168">
        <v>2.647E-2</v>
      </c>
      <c r="X66" s="4" t="s">
        <v>429</v>
      </c>
      <c r="Y66" s="4" t="s">
        <v>153</v>
      </c>
      <c r="Z66" s="153">
        <v>970928.4</v>
      </c>
      <c r="AA66" s="162">
        <v>1</v>
      </c>
      <c r="AB66" s="179">
        <v>117.37</v>
      </c>
      <c r="AD66" s="153">
        <v>1139.579</v>
      </c>
      <c r="AG66" s="2" t="s">
        <v>36</v>
      </c>
      <c r="AH66" s="168">
        <v>9.2299999999999999E-4</v>
      </c>
      <c r="AI66" s="168">
        <v>7.4179505810603704E-3</v>
      </c>
      <c r="AJ66" s="168">
        <v>1.0519242070358801E-3</v>
      </c>
    </row>
    <row r="67" spans="1:36">
      <c r="A67" s="2">
        <v>158</v>
      </c>
      <c r="B67" s="2">
        <v>9935</v>
      </c>
      <c r="C67" s="2" t="s">
        <v>1527</v>
      </c>
      <c r="D67" s="2" t="s">
        <v>1528</v>
      </c>
      <c r="E67" s="4" t="s">
        <v>1343</v>
      </c>
      <c r="F67" s="2" t="s">
        <v>1950</v>
      </c>
      <c r="G67" s="2" t="s">
        <v>1951</v>
      </c>
      <c r="H67" s="2" t="s">
        <v>338</v>
      </c>
      <c r="I67" s="2" t="s">
        <v>985</v>
      </c>
      <c r="J67" s="2" t="s">
        <v>30</v>
      </c>
      <c r="K67" s="2" t="s">
        <v>107</v>
      </c>
      <c r="L67" s="2" t="s">
        <v>344</v>
      </c>
      <c r="M67" s="2" t="s">
        <v>56</v>
      </c>
      <c r="N67" s="2" t="s">
        <v>456</v>
      </c>
      <c r="O67" s="2" t="s">
        <v>153</v>
      </c>
      <c r="P67" s="2" t="s">
        <v>98</v>
      </c>
      <c r="Q67" s="2" t="s">
        <v>110</v>
      </c>
      <c r="R67" s="2" t="s">
        <v>423</v>
      </c>
      <c r="S67" s="2" t="s">
        <v>44</v>
      </c>
      <c r="T67" s="153">
        <v>1.736</v>
      </c>
      <c r="U67" s="2" t="s">
        <v>1952</v>
      </c>
      <c r="V67" s="166">
        <v>3.4500000000000003E-2</v>
      </c>
      <c r="W67" s="168">
        <v>5.7250000000000002E-2</v>
      </c>
      <c r="X67" s="4" t="s">
        <v>429</v>
      </c>
      <c r="Y67" s="4" t="s">
        <v>153</v>
      </c>
      <c r="Z67" s="153">
        <v>2022039.13</v>
      </c>
      <c r="AA67" s="162">
        <v>1</v>
      </c>
      <c r="AB67" s="179">
        <v>96.61</v>
      </c>
      <c r="AD67" s="153">
        <v>1953.492</v>
      </c>
      <c r="AG67" s="2" t="s">
        <v>36</v>
      </c>
      <c r="AH67" s="168">
        <v>3.1459999999999999E-3</v>
      </c>
      <c r="AI67" s="168">
        <v>1.2716021817434101E-2</v>
      </c>
      <c r="AJ67" s="168">
        <v>1.80323271512592E-3</v>
      </c>
    </row>
    <row r="68" spans="1:36">
      <c r="A68" s="2">
        <v>158</v>
      </c>
      <c r="B68" s="2">
        <v>9935</v>
      </c>
      <c r="C68" s="2" t="s">
        <v>1531</v>
      </c>
      <c r="D68" s="2" t="s">
        <v>1532</v>
      </c>
      <c r="E68" s="4" t="s">
        <v>1343</v>
      </c>
      <c r="F68" s="2" t="s">
        <v>1953</v>
      </c>
      <c r="G68" s="2" t="s">
        <v>1954</v>
      </c>
      <c r="H68" s="2" t="s">
        <v>338</v>
      </c>
      <c r="I68" s="2" t="s">
        <v>985</v>
      </c>
      <c r="J68" s="2" t="s">
        <v>30</v>
      </c>
      <c r="K68" s="2" t="s">
        <v>30</v>
      </c>
      <c r="L68" s="2" t="s">
        <v>344</v>
      </c>
      <c r="M68" s="2" t="s">
        <v>56</v>
      </c>
      <c r="N68" s="2" t="s">
        <v>456</v>
      </c>
      <c r="O68" s="2" t="s">
        <v>153</v>
      </c>
      <c r="P68" s="2" t="s">
        <v>98</v>
      </c>
      <c r="Q68" s="2" t="s">
        <v>430</v>
      </c>
      <c r="R68" s="2" t="s">
        <v>423</v>
      </c>
      <c r="S68" s="2" t="s">
        <v>44</v>
      </c>
      <c r="T68" s="153">
        <v>2.859</v>
      </c>
      <c r="U68" s="2" t="s">
        <v>1955</v>
      </c>
      <c r="V68" s="166">
        <v>2.0500000000000001E-2</v>
      </c>
      <c r="W68" s="168">
        <v>5.9229999999999998E-2</v>
      </c>
      <c r="X68" s="4" t="s">
        <v>429</v>
      </c>
      <c r="Y68" s="4" t="s">
        <v>153</v>
      </c>
      <c r="Z68" s="153">
        <v>2159733.08</v>
      </c>
      <c r="AA68" s="162">
        <v>1</v>
      </c>
      <c r="AB68" s="179">
        <v>90.04</v>
      </c>
      <c r="AD68" s="153">
        <v>1944.624</v>
      </c>
      <c r="AG68" s="2" t="s">
        <v>36</v>
      </c>
      <c r="AH68" s="168">
        <v>4.8320000000000004E-3</v>
      </c>
      <c r="AI68" s="168">
        <v>1.26582944335443E-2</v>
      </c>
      <c r="AJ68" s="168">
        <v>1.7950465143877299E-3</v>
      </c>
    </row>
    <row r="69" spans="1:36">
      <c r="A69" s="2">
        <v>158</v>
      </c>
      <c r="B69" s="2">
        <v>9935</v>
      </c>
      <c r="C69" s="2" t="s">
        <v>1539</v>
      </c>
      <c r="D69" s="2" t="s">
        <v>1540</v>
      </c>
      <c r="E69" s="4" t="s">
        <v>1343</v>
      </c>
      <c r="F69" s="2" t="s">
        <v>1956</v>
      </c>
      <c r="G69" s="2" t="s">
        <v>1957</v>
      </c>
      <c r="H69" s="2" t="s">
        <v>338</v>
      </c>
      <c r="I69" s="2" t="s">
        <v>772</v>
      </c>
      <c r="J69" s="2" t="s">
        <v>30</v>
      </c>
      <c r="K69" s="2" t="s">
        <v>30</v>
      </c>
      <c r="L69" s="2" t="s">
        <v>344</v>
      </c>
      <c r="M69" s="2" t="s">
        <v>56</v>
      </c>
      <c r="N69" s="2" t="s">
        <v>500</v>
      </c>
      <c r="O69" s="2" t="s">
        <v>153</v>
      </c>
      <c r="P69" s="2" t="s">
        <v>1718</v>
      </c>
      <c r="Q69" s="2" t="s">
        <v>430</v>
      </c>
      <c r="R69" s="2" t="s">
        <v>423</v>
      </c>
      <c r="S69" s="2" t="s">
        <v>44</v>
      </c>
      <c r="T69" s="153">
        <v>0.65900000000000003</v>
      </c>
      <c r="U69" s="2" t="s">
        <v>1958</v>
      </c>
      <c r="V69" s="166">
        <v>2.1999999999999999E-2</v>
      </c>
      <c r="W69" s="168">
        <v>2.1149999999999999E-2</v>
      </c>
      <c r="X69" s="4" t="s">
        <v>429</v>
      </c>
      <c r="Y69" s="4" t="s">
        <v>153</v>
      </c>
      <c r="Z69" s="153">
        <v>1412472.6</v>
      </c>
      <c r="AA69" s="162">
        <v>1</v>
      </c>
      <c r="AB69" s="179">
        <v>116.47</v>
      </c>
      <c r="AD69" s="153">
        <v>1645.107</v>
      </c>
      <c r="AG69" s="2" t="s">
        <v>36</v>
      </c>
      <c r="AH69" s="168">
        <v>2.6700000000000001E-3</v>
      </c>
      <c r="AI69" s="168">
        <v>1.0708625577527E-2</v>
      </c>
      <c r="AJ69" s="168">
        <v>1.51856801228163E-3</v>
      </c>
    </row>
    <row r="70" spans="1:36">
      <c r="A70" s="2">
        <v>158</v>
      </c>
      <c r="B70" s="2">
        <v>9935</v>
      </c>
      <c r="C70" s="2" t="s">
        <v>1737</v>
      </c>
      <c r="D70" s="2" t="s">
        <v>1738</v>
      </c>
      <c r="E70" s="4" t="s">
        <v>1343</v>
      </c>
      <c r="F70" s="2" t="s">
        <v>1739</v>
      </c>
      <c r="G70" s="2" t="s">
        <v>1740</v>
      </c>
      <c r="H70" s="2" t="s">
        <v>338</v>
      </c>
      <c r="I70" s="2" t="s">
        <v>772</v>
      </c>
      <c r="J70" s="2" t="s">
        <v>30</v>
      </c>
      <c r="K70" s="2" t="s">
        <v>30</v>
      </c>
      <c r="L70" s="2" t="s">
        <v>344</v>
      </c>
      <c r="M70" s="2" t="s">
        <v>56</v>
      </c>
      <c r="N70" s="2" t="s">
        <v>479</v>
      </c>
      <c r="O70" s="2" t="s">
        <v>153</v>
      </c>
      <c r="P70" s="2" t="s">
        <v>1724</v>
      </c>
      <c r="Q70" s="2" t="s">
        <v>430</v>
      </c>
      <c r="R70" s="2" t="s">
        <v>423</v>
      </c>
      <c r="S70" s="2" t="s">
        <v>44</v>
      </c>
      <c r="T70" s="153">
        <v>0.60199999999999998</v>
      </c>
      <c r="U70" s="2" t="s">
        <v>1741</v>
      </c>
      <c r="V70" s="166">
        <v>2.5000000000000001E-2</v>
      </c>
      <c r="W70" s="168">
        <v>2.8119999999999999E-2</v>
      </c>
      <c r="X70" s="4" t="s">
        <v>429</v>
      </c>
      <c r="Y70" s="4" t="s">
        <v>153</v>
      </c>
      <c r="Z70" s="153">
        <v>400101.26</v>
      </c>
      <c r="AA70" s="162">
        <v>1</v>
      </c>
      <c r="AB70" s="179">
        <v>116.48</v>
      </c>
      <c r="AD70" s="153">
        <v>466.03800000000001</v>
      </c>
      <c r="AG70" s="2" t="s">
        <v>36</v>
      </c>
      <c r="AH70" s="168">
        <v>1.699E-3</v>
      </c>
      <c r="AI70" s="168">
        <v>3.0336181051408301E-3</v>
      </c>
      <c r="AJ70" s="168">
        <v>4.3019109993097199E-4</v>
      </c>
    </row>
    <row r="71" spans="1:36">
      <c r="A71" s="2">
        <v>158</v>
      </c>
      <c r="B71" s="2">
        <v>9935</v>
      </c>
      <c r="C71" s="2" t="s">
        <v>1737</v>
      </c>
      <c r="D71" s="2" t="s">
        <v>1738</v>
      </c>
      <c r="E71" s="4" t="s">
        <v>1343</v>
      </c>
      <c r="F71" s="2" t="s">
        <v>1959</v>
      </c>
      <c r="G71" s="2" t="s">
        <v>1960</v>
      </c>
      <c r="H71" s="2" t="s">
        <v>338</v>
      </c>
      <c r="I71" s="2" t="s">
        <v>772</v>
      </c>
      <c r="J71" s="2" t="s">
        <v>30</v>
      </c>
      <c r="K71" s="2" t="s">
        <v>30</v>
      </c>
      <c r="L71" s="2" t="s">
        <v>344</v>
      </c>
      <c r="M71" s="2" t="s">
        <v>56</v>
      </c>
      <c r="N71" s="2" t="s">
        <v>479</v>
      </c>
      <c r="O71" s="2" t="s">
        <v>153</v>
      </c>
      <c r="P71" s="2" t="s">
        <v>1718</v>
      </c>
      <c r="Q71" s="2" t="s">
        <v>430</v>
      </c>
      <c r="R71" s="2" t="s">
        <v>423</v>
      </c>
      <c r="S71" s="2" t="s">
        <v>44</v>
      </c>
      <c r="T71" s="153">
        <v>1.115</v>
      </c>
      <c r="U71" s="2" t="s">
        <v>1961</v>
      </c>
      <c r="V71" s="166">
        <v>2E-3</v>
      </c>
      <c r="W71" s="168">
        <v>2.4230000000000002E-2</v>
      </c>
      <c r="X71" s="4" t="s">
        <v>429</v>
      </c>
      <c r="Y71" s="4" t="s">
        <v>153</v>
      </c>
      <c r="Z71" s="153">
        <v>882000</v>
      </c>
      <c r="AA71" s="162">
        <v>1</v>
      </c>
      <c r="AB71" s="179">
        <v>111.51</v>
      </c>
      <c r="AD71" s="153">
        <v>983.51800000000003</v>
      </c>
      <c r="AG71" s="2" t="s">
        <v>36</v>
      </c>
      <c r="AH71" s="168">
        <v>2.8E-3</v>
      </c>
      <c r="AI71" s="168">
        <v>6.4020937207221896E-3</v>
      </c>
      <c r="AJ71" s="168">
        <v>9.0786764982429997E-4</v>
      </c>
    </row>
    <row r="72" spans="1:36">
      <c r="A72" s="2">
        <v>158</v>
      </c>
      <c r="B72" s="2">
        <v>9935</v>
      </c>
      <c r="C72" s="2" t="s">
        <v>1742</v>
      </c>
      <c r="D72" s="2" t="s">
        <v>1743</v>
      </c>
      <c r="E72" s="4" t="s">
        <v>1343</v>
      </c>
      <c r="F72" s="2" t="s">
        <v>1744</v>
      </c>
      <c r="G72" s="2" t="s">
        <v>1745</v>
      </c>
      <c r="H72" s="2" t="s">
        <v>338</v>
      </c>
      <c r="I72" s="2" t="s">
        <v>985</v>
      </c>
      <c r="J72" s="2" t="s">
        <v>30</v>
      </c>
      <c r="K72" s="2" t="s">
        <v>30</v>
      </c>
      <c r="L72" s="2" t="s">
        <v>344</v>
      </c>
      <c r="M72" s="2" t="s">
        <v>56</v>
      </c>
      <c r="N72" s="2" t="s">
        <v>455</v>
      </c>
      <c r="O72" s="2" t="s">
        <v>153</v>
      </c>
      <c r="P72" s="2" t="s">
        <v>1746</v>
      </c>
      <c r="Q72" s="2" t="s">
        <v>110</v>
      </c>
      <c r="R72" s="2" t="s">
        <v>423</v>
      </c>
      <c r="S72" s="2" t="s">
        <v>44</v>
      </c>
      <c r="T72" s="153">
        <v>3.0009999999999999</v>
      </c>
      <c r="U72" s="2" t="s">
        <v>1747</v>
      </c>
      <c r="V72" s="166">
        <v>7.2499999999999995E-2</v>
      </c>
      <c r="W72" s="168">
        <v>6.3950000000000007E-2</v>
      </c>
      <c r="X72" s="4" t="s">
        <v>429</v>
      </c>
      <c r="Y72" s="4" t="s">
        <v>153</v>
      </c>
      <c r="Z72" s="153">
        <v>412075.8</v>
      </c>
      <c r="AA72" s="162">
        <v>1</v>
      </c>
      <c r="AB72" s="179">
        <v>105.92</v>
      </c>
      <c r="AD72" s="153">
        <v>436.471</v>
      </c>
      <c r="AG72" s="2" t="s">
        <v>36</v>
      </c>
      <c r="AH72" s="168">
        <v>5.7200000000000003E-4</v>
      </c>
      <c r="AI72" s="168">
        <v>2.8411535717658802E-3</v>
      </c>
      <c r="AJ72" s="168">
        <v>4.0289810310650099E-4</v>
      </c>
    </row>
    <row r="73" spans="1:36">
      <c r="A73" s="2">
        <v>158</v>
      </c>
      <c r="B73" s="2">
        <v>9935</v>
      </c>
      <c r="C73" s="2" t="s">
        <v>1962</v>
      </c>
      <c r="D73" s="2" t="s">
        <v>1963</v>
      </c>
      <c r="E73" s="4" t="s">
        <v>1343</v>
      </c>
      <c r="F73" s="2" t="s">
        <v>1964</v>
      </c>
      <c r="G73" s="2" t="s">
        <v>1965</v>
      </c>
      <c r="H73" s="2" t="s">
        <v>338</v>
      </c>
      <c r="I73" s="2" t="s">
        <v>772</v>
      </c>
      <c r="J73" s="2" t="s">
        <v>30</v>
      </c>
      <c r="K73" s="2" t="s">
        <v>30</v>
      </c>
      <c r="L73" s="2" t="s">
        <v>344</v>
      </c>
      <c r="M73" s="2" t="s">
        <v>56</v>
      </c>
      <c r="N73" s="2" t="s">
        <v>479</v>
      </c>
      <c r="O73" s="2" t="s">
        <v>153</v>
      </c>
      <c r="P73" s="2" t="s">
        <v>1718</v>
      </c>
      <c r="Q73" s="2" t="s">
        <v>430</v>
      </c>
      <c r="R73" s="2" t="s">
        <v>423</v>
      </c>
      <c r="S73" s="2" t="s">
        <v>44</v>
      </c>
      <c r="T73" s="153">
        <v>3.9689999999999999</v>
      </c>
      <c r="U73" s="2" t="s">
        <v>1966</v>
      </c>
      <c r="V73" s="166">
        <v>5.0000000000000001E-3</v>
      </c>
      <c r="W73" s="168">
        <v>3.1890000000000002E-2</v>
      </c>
      <c r="X73" s="4" t="s">
        <v>429</v>
      </c>
      <c r="Y73" s="4" t="s">
        <v>153</v>
      </c>
      <c r="Z73" s="153">
        <v>811137.44</v>
      </c>
      <c r="AA73" s="162">
        <v>1</v>
      </c>
      <c r="AB73" s="179">
        <v>103.53</v>
      </c>
      <c r="AD73" s="153">
        <v>839.77099999999996</v>
      </c>
      <c r="AG73" s="2" t="s">
        <v>36</v>
      </c>
      <c r="AH73" s="168">
        <v>5.04E-4</v>
      </c>
      <c r="AI73" s="168">
        <v>5.4663859108396596E-3</v>
      </c>
      <c r="AJ73" s="168">
        <v>7.7517686344442396E-4</v>
      </c>
    </row>
    <row r="74" spans="1:36">
      <c r="A74" s="2">
        <v>158</v>
      </c>
      <c r="B74" s="2">
        <v>9935</v>
      </c>
      <c r="C74" s="2" t="s">
        <v>1967</v>
      </c>
      <c r="D74" s="2" t="s">
        <v>1968</v>
      </c>
      <c r="E74" s="4" t="s">
        <v>1343</v>
      </c>
      <c r="F74" s="2" t="s">
        <v>1969</v>
      </c>
      <c r="G74" s="2" t="s">
        <v>1970</v>
      </c>
      <c r="H74" s="2" t="s">
        <v>338</v>
      </c>
      <c r="I74" s="2" t="s">
        <v>772</v>
      </c>
      <c r="J74" s="2" t="s">
        <v>30</v>
      </c>
      <c r="K74" s="2" t="s">
        <v>30</v>
      </c>
      <c r="L74" s="2" t="s">
        <v>344</v>
      </c>
      <c r="M74" s="2" t="s">
        <v>56</v>
      </c>
      <c r="N74" s="2" t="s">
        <v>479</v>
      </c>
      <c r="O74" s="2" t="s">
        <v>153</v>
      </c>
      <c r="P74" s="2" t="s">
        <v>32</v>
      </c>
      <c r="Q74" s="2" t="s">
        <v>110</v>
      </c>
      <c r="R74" s="2" t="s">
        <v>423</v>
      </c>
      <c r="S74" s="2" t="s">
        <v>44</v>
      </c>
      <c r="T74" s="153">
        <v>1.155</v>
      </c>
      <c r="U74" s="2" t="s">
        <v>1971</v>
      </c>
      <c r="V74" s="166">
        <v>2.5000000000000001E-2</v>
      </c>
      <c r="W74" s="168">
        <v>2.5839999999999998E-2</v>
      </c>
      <c r="X74" s="4" t="s">
        <v>429</v>
      </c>
      <c r="Y74" s="4" t="s">
        <v>153</v>
      </c>
      <c r="Z74" s="153">
        <v>952058.84</v>
      </c>
      <c r="AA74" s="162">
        <v>1</v>
      </c>
      <c r="AB74" s="179">
        <v>117.36</v>
      </c>
      <c r="AD74" s="153">
        <v>1117.336</v>
      </c>
      <c r="AG74" s="2" t="s">
        <v>36</v>
      </c>
      <c r="AH74" s="168">
        <v>2.8830000000000001E-3</v>
      </c>
      <c r="AI74" s="168">
        <v>7.27316629185261E-3</v>
      </c>
      <c r="AJ74" s="168">
        <v>1.0313926468762599E-3</v>
      </c>
    </row>
    <row r="75" spans="1:36">
      <c r="A75" s="2">
        <v>158</v>
      </c>
      <c r="B75" s="2">
        <v>9935</v>
      </c>
      <c r="C75" s="2" t="s">
        <v>1748</v>
      </c>
      <c r="D75" s="2" t="s">
        <v>1749</v>
      </c>
      <c r="E75" s="4" t="s">
        <v>1343</v>
      </c>
      <c r="F75" s="2" t="s">
        <v>1750</v>
      </c>
      <c r="G75" s="2" t="s">
        <v>1751</v>
      </c>
      <c r="H75" s="2" t="s">
        <v>338</v>
      </c>
      <c r="I75" s="2" t="s">
        <v>772</v>
      </c>
      <c r="J75" s="2" t="s">
        <v>30</v>
      </c>
      <c r="K75" s="2" t="s">
        <v>30</v>
      </c>
      <c r="L75" s="2" t="s">
        <v>344</v>
      </c>
      <c r="M75" s="2" t="s">
        <v>56</v>
      </c>
      <c r="N75" s="2" t="s">
        <v>463</v>
      </c>
      <c r="O75" s="2" t="s">
        <v>153</v>
      </c>
      <c r="P75" s="2" t="s">
        <v>109</v>
      </c>
      <c r="Q75" s="2" t="s">
        <v>430</v>
      </c>
      <c r="R75" s="2" t="s">
        <v>423</v>
      </c>
      <c r="S75" s="2" t="s">
        <v>44</v>
      </c>
      <c r="T75" s="153">
        <v>3.9830000000000001</v>
      </c>
      <c r="U75" s="2" t="s">
        <v>1752</v>
      </c>
      <c r="V75" s="166">
        <v>2E-3</v>
      </c>
      <c r="W75" s="168">
        <v>2.5190000000000001E-2</v>
      </c>
      <c r="X75" s="4" t="s">
        <v>429</v>
      </c>
      <c r="Y75" s="4" t="s">
        <v>153</v>
      </c>
      <c r="Z75" s="153">
        <v>1052631.5900000001</v>
      </c>
      <c r="AA75" s="162">
        <v>1</v>
      </c>
      <c r="AB75" s="179">
        <v>102.6</v>
      </c>
      <c r="AD75" s="153">
        <v>1080</v>
      </c>
      <c r="AG75" s="2" t="s">
        <v>36</v>
      </c>
      <c r="AH75" s="168">
        <v>2.9E-4</v>
      </c>
      <c r="AI75" s="168">
        <v>7.0301304957851403E-3</v>
      </c>
      <c r="AJ75" s="168">
        <v>9.9692824403804911E-4</v>
      </c>
    </row>
    <row r="76" spans="1:36">
      <c r="A76" s="2">
        <v>158</v>
      </c>
      <c r="B76" s="2">
        <v>9935</v>
      </c>
      <c r="C76" s="2" t="s">
        <v>1748</v>
      </c>
      <c r="D76" s="2" t="s">
        <v>1749</v>
      </c>
      <c r="E76" s="4" t="s">
        <v>1343</v>
      </c>
      <c r="F76" s="2" t="s">
        <v>1753</v>
      </c>
      <c r="G76" s="2" t="s">
        <v>1754</v>
      </c>
      <c r="H76" s="2" t="s">
        <v>338</v>
      </c>
      <c r="I76" s="2" t="s">
        <v>772</v>
      </c>
      <c r="J76" s="2" t="s">
        <v>30</v>
      </c>
      <c r="K76" s="2" t="s">
        <v>30</v>
      </c>
      <c r="L76" s="2" t="s">
        <v>344</v>
      </c>
      <c r="M76" s="2" t="s">
        <v>56</v>
      </c>
      <c r="N76" s="2" t="s">
        <v>463</v>
      </c>
      <c r="O76" s="2" t="s">
        <v>153</v>
      </c>
      <c r="P76" s="2" t="s">
        <v>109</v>
      </c>
      <c r="Q76" s="2" t="s">
        <v>430</v>
      </c>
      <c r="R76" s="2" t="s">
        <v>423</v>
      </c>
      <c r="S76" s="2" t="s">
        <v>44</v>
      </c>
      <c r="T76" s="153">
        <v>4.9290000000000003</v>
      </c>
      <c r="U76" s="2" t="s">
        <v>1755</v>
      </c>
      <c r="V76" s="166">
        <v>2.47E-2</v>
      </c>
      <c r="W76" s="168">
        <v>2.5839999999999998E-2</v>
      </c>
      <c r="X76" s="4" t="s">
        <v>429</v>
      </c>
      <c r="Y76" s="4" t="s">
        <v>153</v>
      </c>
      <c r="Z76" s="153">
        <v>1200000</v>
      </c>
      <c r="AA76" s="162">
        <v>1</v>
      </c>
      <c r="AB76" s="179">
        <v>102.7</v>
      </c>
      <c r="AD76" s="153">
        <v>1232.4000000000001</v>
      </c>
      <c r="AG76" s="2" t="s">
        <v>36</v>
      </c>
      <c r="AH76" s="168">
        <v>4.2000000000000002E-4</v>
      </c>
      <c r="AI76" s="168">
        <v>8.0221599370688002E-3</v>
      </c>
      <c r="AJ76" s="168">
        <v>1.13760588430745E-3</v>
      </c>
    </row>
    <row r="77" spans="1:36">
      <c r="A77" s="2">
        <v>158</v>
      </c>
      <c r="B77" s="2">
        <v>9935</v>
      </c>
      <c r="C77" s="2" t="s">
        <v>1756</v>
      </c>
      <c r="D77" s="2" t="s">
        <v>1757</v>
      </c>
      <c r="E77" s="4" t="s">
        <v>1343</v>
      </c>
      <c r="F77" s="2" t="s">
        <v>1758</v>
      </c>
      <c r="G77" s="2" t="s">
        <v>1759</v>
      </c>
      <c r="H77" s="2" t="s">
        <v>338</v>
      </c>
      <c r="I77" s="2" t="s">
        <v>985</v>
      </c>
      <c r="J77" s="2" t="s">
        <v>30</v>
      </c>
      <c r="K77" s="2" t="s">
        <v>30</v>
      </c>
      <c r="L77" s="2" t="s">
        <v>344</v>
      </c>
      <c r="M77" s="2" t="s">
        <v>56</v>
      </c>
      <c r="N77" s="2" t="s">
        <v>460</v>
      </c>
      <c r="O77" s="2" t="s">
        <v>153</v>
      </c>
      <c r="P77" s="2" t="s">
        <v>1724</v>
      </c>
      <c r="Q77" s="2" t="s">
        <v>430</v>
      </c>
      <c r="R77" s="2" t="s">
        <v>423</v>
      </c>
      <c r="S77" s="2" t="s">
        <v>44</v>
      </c>
      <c r="T77" s="153">
        <v>1.702</v>
      </c>
      <c r="U77" s="2" t="s">
        <v>1760</v>
      </c>
      <c r="V77" s="166">
        <v>2.9100000000000001E-2</v>
      </c>
      <c r="W77" s="168">
        <v>5.3460000000000001E-2</v>
      </c>
      <c r="X77" s="4" t="s">
        <v>429</v>
      </c>
      <c r="Y77" s="4" t="s">
        <v>153</v>
      </c>
      <c r="Z77" s="153">
        <v>32000</v>
      </c>
      <c r="AA77" s="162">
        <v>1</v>
      </c>
      <c r="AB77" s="179">
        <v>96.84</v>
      </c>
      <c r="AD77" s="153">
        <v>30.989000000000001</v>
      </c>
      <c r="AG77" s="2" t="s">
        <v>36</v>
      </c>
      <c r="AH77" s="168">
        <v>5.3000000000000001E-5</v>
      </c>
      <c r="AI77" s="168">
        <v>2.0171787557435699E-4</v>
      </c>
      <c r="AJ77" s="168">
        <v>2.86051941152439E-5</v>
      </c>
    </row>
    <row r="78" spans="1:36">
      <c r="A78" s="2">
        <v>158</v>
      </c>
      <c r="B78" s="2">
        <v>9935</v>
      </c>
      <c r="C78" s="2" t="s">
        <v>1756</v>
      </c>
      <c r="D78" s="2" t="s">
        <v>1757</v>
      </c>
      <c r="E78" s="4" t="s">
        <v>1343</v>
      </c>
      <c r="F78" s="2" t="s">
        <v>1761</v>
      </c>
      <c r="G78" s="2" t="s">
        <v>1762</v>
      </c>
      <c r="H78" s="2" t="s">
        <v>338</v>
      </c>
      <c r="I78" s="2" t="s">
        <v>985</v>
      </c>
      <c r="J78" s="2" t="s">
        <v>30</v>
      </c>
      <c r="K78" s="2" t="s">
        <v>30</v>
      </c>
      <c r="L78" s="2" t="s">
        <v>344</v>
      </c>
      <c r="M78" s="2" t="s">
        <v>56</v>
      </c>
      <c r="N78" s="2" t="s">
        <v>460</v>
      </c>
      <c r="O78" s="2" t="s">
        <v>153</v>
      </c>
      <c r="P78" s="2" t="s">
        <v>1724</v>
      </c>
      <c r="Q78" s="2" t="s">
        <v>430</v>
      </c>
      <c r="R78" s="2" t="s">
        <v>423</v>
      </c>
      <c r="S78" s="2" t="s">
        <v>44</v>
      </c>
      <c r="T78" s="153">
        <v>4.681</v>
      </c>
      <c r="U78" s="2" t="s">
        <v>1763</v>
      </c>
      <c r="V78" s="166">
        <v>4.3799999999999999E-2</v>
      </c>
      <c r="W78" s="168">
        <v>5.527E-2</v>
      </c>
      <c r="X78" s="4" t="s">
        <v>429</v>
      </c>
      <c r="Y78" s="4" t="s">
        <v>153</v>
      </c>
      <c r="Z78" s="153">
        <v>668000</v>
      </c>
      <c r="AA78" s="162">
        <v>1</v>
      </c>
      <c r="AB78" s="179">
        <v>96.24</v>
      </c>
      <c r="AD78" s="153">
        <v>642.88300000000004</v>
      </c>
      <c r="AG78" s="2" t="s">
        <v>36</v>
      </c>
      <c r="AH78" s="168">
        <v>1.3359999999999999E-3</v>
      </c>
      <c r="AI78" s="168">
        <v>4.1847710574931798E-3</v>
      </c>
      <c r="AJ78" s="168">
        <v>5.9343371571113303E-4</v>
      </c>
    </row>
    <row r="79" spans="1:36">
      <c r="A79" s="2">
        <v>158</v>
      </c>
      <c r="B79" s="2">
        <v>9935</v>
      </c>
      <c r="C79" s="2" t="s">
        <v>1764</v>
      </c>
      <c r="D79" s="2" t="s">
        <v>1765</v>
      </c>
      <c r="E79" s="4" t="s">
        <v>1343</v>
      </c>
      <c r="F79" s="2" t="s">
        <v>1766</v>
      </c>
      <c r="G79" s="2" t="s">
        <v>1767</v>
      </c>
      <c r="H79" s="2" t="s">
        <v>338</v>
      </c>
      <c r="I79" s="2" t="s">
        <v>985</v>
      </c>
      <c r="J79" s="2" t="s">
        <v>30</v>
      </c>
      <c r="K79" s="2" t="s">
        <v>30</v>
      </c>
      <c r="L79" s="2" t="s">
        <v>344</v>
      </c>
      <c r="M79" s="2" t="s">
        <v>56</v>
      </c>
      <c r="N79" s="2" t="s">
        <v>460</v>
      </c>
      <c r="O79" s="2" t="s">
        <v>153</v>
      </c>
      <c r="P79" s="2" t="s">
        <v>1718</v>
      </c>
      <c r="Q79" s="2" t="s">
        <v>110</v>
      </c>
      <c r="R79" s="2" t="s">
        <v>423</v>
      </c>
      <c r="S79" s="2" t="s">
        <v>44</v>
      </c>
      <c r="T79" s="153">
        <v>4.95</v>
      </c>
      <c r="U79" s="2" t="s">
        <v>1768</v>
      </c>
      <c r="V79" s="166">
        <v>1.95E-2</v>
      </c>
      <c r="W79" s="168">
        <v>5.7970000000000001E-2</v>
      </c>
      <c r="X79" s="4" t="s">
        <v>429</v>
      </c>
      <c r="Y79" s="4" t="s">
        <v>153</v>
      </c>
      <c r="Z79" s="153">
        <v>1298365.93</v>
      </c>
      <c r="AA79" s="162">
        <v>1</v>
      </c>
      <c r="AB79" s="179">
        <v>83.08</v>
      </c>
      <c r="AD79" s="153">
        <v>1078.682</v>
      </c>
      <c r="AG79" s="2" t="s">
        <v>36</v>
      </c>
      <c r="AH79" s="168">
        <v>1.238E-3</v>
      </c>
      <c r="AI79" s="168">
        <v>7.0215537581773202E-3</v>
      </c>
      <c r="AJ79" s="168">
        <v>9.9571199464295506E-4</v>
      </c>
    </row>
    <row r="80" spans="1:36">
      <c r="A80" s="2">
        <v>158</v>
      </c>
      <c r="B80" s="2">
        <v>9935</v>
      </c>
      <c r="C80" s="2" t="s">
        <v>1972</v>
      </c>
      <c r="D80" s="2" t="s">
        <v>1973</v>
      </c>
      <c r="E80" s="4" t="s">
        <v>1343</v>
      </c>
      <c r="F80" s="2" t="s">
        <v>1974</v>
      </c>
      <c r="G80" s="2" t="s">
        <v>1975</v>
      </c>
      <c r="H80" s="2" t="s">
        <v>338</v>
      </c>
      <c r="I80" s="2" t="s">
        <v>985</v>
      </c>
      <c r="J80" s="2" t="s">
        <v>30</v>
      </c>
      <c r="K80" s="2" t="s">
        <v>30</v>
      </c>
      <c r="L80" s="2" t="s">
        <v>344</v>
      </c>
      <c r="M80" s="2" t="s">
        <v>56</v>
      </c>
      <c r="N80" s="2" t="s">
        <v>466</v>
      </c>
      <c r="O80" s="2" t="s">
        <v>153</v>
      </c>
      <c r="P80" s="2" t="s">
        <v>32</v>
      </c>
      <c r="Q80" s="2" t="s">
        <v>430</v>
      </c>
      <c r="R80" s="2" t="s">
        <v>423</v>
      </c>
      <c r="S80" s="2" t="s">
        <v>44</v>
      </c>
      <c r="T80" s="153">
        <v>1.859</v>
      </c>
      <c r="U80" s="2" t="s">
        <v>1796</v>
      </c>
      <c r="V80" s="166">
        <v>2.1999999999999999E-2</v>
      </c>
      <c r="W80" s="168">
        <v>5.6399999999999999E-2</v>
      </c>
      <c r="X80" s="4" t="s">
        <v>429</v>
      </c>
      <c r="Y80" s="4" t="s">
        <v>153</v>
      </c>
      <c r="Z80" s="153">
        <v>1750000</v>
      </c>
      <c r="AA80" s="162">
        <v>1</v>
      </c>
      <c r="AB80" s="179">
        <v>93.06</v>
      </c>
      <c r="AD80" s="153">
        <v>1628.55</v>
      </c>
      <c r="AG80" s="2" t="s">
        <v>36</v>
      </c>
      <c r="AH80" s="168">
        <v>1.6149999999999999E-3</v>
      </c>
      <c r="AI80" s="168">
        <v>1.06008508321271E-2</v>
      </c>
      <c r="AJ80" s="168">
        <v>1.5032846988712199E-3</v>
      </c>
    </row>
    <row r="81" spans="1:36">
      <c r="A81" s="2">
        <v>158</v>
      </c>
      <c r="B81" s="2">
        <v>9935</v>
      </c>
      <c r="C81" s="2" t="s">
        <v>1769</v>
      </c>
      <c r="D81" s="2" t="s">
        <v>1770</v>
      </c>
      <c r="E81" s="4" t="s">
        <v>1343</v>
      </c>
      <c r="F81" s="2" t="s">
        <v>1976</v>
      </c>
      <c r="G81" s="2" t="s">
        <v>1977</v>
      </c>
      <c r="H81" s="2" t="s">
        <v>338</v>
      </c>
      <c r="I81" s="2" t="s">
        <v>772</v>
      </c>
      <c r="J81" s="2" t="s">
        <v>30</v>
      </c>
      <c r="K81" s="2" t="s">
        <v>30</v>
      </c>
      <c r="L81" s="2" t="s">
        <v>344</v>
      </c>
      <c r="M81" s="2" t="s">
        <v>56</v>
      </c>
      <c r="N81" s="2" t="s">
        <v>455</v>
      </c>
      <c r="O81" s="2" t="s">
        <v>153</v>
      </c>
      <c r="P81" s="2" t="s">
        <v>1773</v>
      </c>
      <c r="Q81" s="2" t="s">
        <v>430</v>
      </c>
      <c r="R81" s="2" t="s">
        <v>423</v>
      </c>
      <c r="S81" s="2" t="s">
        <v>44</v>
      </c>
      <c r="T81" s="153">
        <v>0.81299999999999994</v>
      </c>
      <c r="U81" s="2" t="s">
        <v>1978</v>
      </c>
      <c r="V81" s="166">
        <v>4.4999999999999998E-2</v>
      </c>
      <c r="W81" s="168">
        <v>2.615E-2</v>
      </c>
      <c r="X81" s="4" t="s">
        <v>429</v>
      </c>
      <c r="Y81" s="4" t="s">
        <v>153</v>
      </c>
      <c r="Z81" s="153">
        <v>1100000</v>
      </c>
      <c r="AA81" s="162">
        <v>1</v>
      </c>
      <c r="AB81" s="179">
        <v>119.4</v>
      </c>
      <c r="AD81" s="153">
        <v>1313.4</v>
      </c>
      <c r="AG81" s="2" t="s">
        <v>36</v>
      </c>
      <c r="AH81" s="168">
        <v>3.7199999999999999E-4</v>
      </c>
      <c r="AI81" s="168">
        <v>8.5494197187164604E-3</v>
      </c>
      <c r="AJ81" s="168">
        <v>1.21237550182522E-3</v>
      </c>
    </row>
    <row r="82" spans="1:36">
      <c r="A82" s="2">
        <v>158</v>
      </c>
      <c r="B82" s="2">
        <v>9935</v>
      </c>
      <c r="C82" s="2" t="s">
        <v>1769</v>
      </c>
      <c r="D82" s="2" t="s">
        <v>1770</v>
      </c>
      <c r="E82" s="4" t="s">
        <v>1343</v>
      </c>
      <c r="F82" s="2" t="s">
        <v>1775</v>
      </c>
      <c r="G82" s="2" t="s">
        <v>1776</v>
      </c>
      <c r="H82" s="2" t="s">
        <v>338</v>
      </c>
      <c r="I82" s="2" t="s">
        <v>772</v>
      </c>
      <c r="J82" s="2" t="s">
        <v>30</v>
      </c>
      <c r="K82" s="2" t="s">
        <v>30</v>
      </c>
      <c r="L82" s="2" t="s">
        <v>344</v>
      </c>
      <c r="M82" s="2" t="s">
        <v>56</v>
      </c>
      <c r="N82" s="2" t="s">
        <v>455</v>
      </c>
      <c r="O82" s="2" t="s">
        <v>153</v>
      </c>
      <c r="P82" s="2" t="s">
        <v>1773</v>
      </c>
      <c r="Q82" s="2" t="s">
        <v>430</v>
      </c>
      <c r="R82" s="2" t="s">
        <v>423</v>
      </c>
      <c r="S82" s="2" t="s">
        <v>44</v>
      </c>
      <c r="T82" s="153">
        <v>5.798</v>
      </c>
      <c r="U82" s="2" t="s">
        <v>1777</v>
      </c>
      <c r="V82" s="166">
        <v>2.3900000000000001E-2</v>
      </c>
      <c r="W82" s="168">
        <v>2.9239999999999999E-2</v>
      </c>
      <c r="X82" s="4" t="s">
        <v>429</v>
      </c>
      <c r="Y82" s="4" t="s">
        <v>153</v>
      </c>
      <c r="Z82" s="153">
        <v>2710175</v>
      </c>
      <c r="AA82" s="162">
        <v>1</v>
      </c>
      <c r="AB82" s="179">
        <v>111.74</v>
      </c>
      <c r="AD82" s="153">
        <v>3028.35</v>
      </c>
      <c r="AG82" s="2" t="s">
        <v>36</v>
      </c>
      <c r="AH82" s="168">
        <v>6.9700000000000003E-4</v>
      </c>
      <c r="AI82" s="168">
        <v>1.9712678022833101E-2</v>
      </c>
      <c r="AJ82" s="168">
        <v>2.7954140393798899E-3</v>
      </c>
    </row>
    <row r="83" spans="1:36">
      <c r="A83" s="2">
        <v>158</v>
      </c>
      <c r="B83" s="2">
        <v>9935</v>
      </c>
      <c r="C83" s="2" t="s">
        <v>1769</v>
      </c>
      <c r="D83" s="2" t="s">
        <v>1770</v>
      </c>
      <c r="E83" s="4" t="s">
        <v>1343</v>
      </c>
      <c r="F83" s="2" t="s">
        <v>1979</v>
      </c>
      <c r="G83" s="2" t="s">
        <v>1980</v>
      </c>
      <c r="H83" s="2" t="s">
        <v>338</v>
      </c>
      <c r="I83" s="2" t="s">
        <v>772</v>
      </c>
      <c r="J83" s="2" t="s">
        <v>30</v>
      </c>
      <c r="K83" s="2" t="s">
        <v>30</v>
      </c>
      <c r="L83" s="2" t="s">
        <v>344</v>
      </c>
      <c r="M83" s="2" t="s">
        <v>56</v>
      </c>
      <c r="N83" s="2" t="s">
        <v>455</v>
      </c>
      <c r="O83" s="2" t="s">
        <v>153</v>
      </c>
      <c r="P83" s="2" t="s">
        <v>1773</v>
      </c>
      <c r="Q83" s="2" t="s">
        <v>430</v>
      </c>
      <c r="R83" s="2" t="s">
        <v>423</v>
      </c>
      <c r="S83" s="2" t="s">
        <v>44</v>
      </c>
      <c r="T83" s="153">
        <v>10.627000000000001</v>
      </c>
      <c r="U83" s="2" t="s">
        <v>1981</v>
      </c>
      <c r="V83" s="166">
        <v>1.2500000000000001E-2</v>
      </c>
      <c r="W83" s="168">
        <v>3.4939999999999999E-2</v>
      </c>
      <c r="X83" s="4" t="s">
        <v>429</v>
      </c>
      <c r="Y83" s="4" t="s">
        <v>153</v>
      </c>
      <c r="Z83" s="153">
        <v>1500000</v>
      </c>
      <c r="AA83" s="162">
        <v>1</v>
      </c>
      <c r="AB83" s="179">
        <v>90</v>
      </c>
      <c r="AD83" s="153">
        <v>1350</v>
      </c>
      <c r="AG83" s="2" t="s">
        <v>36</v>
      </c>
      <c r="AH83" s="168">
        <v>3.4900000000000003E-4</v>
      </c>
      <c r="AI83" s="168">
        <v>8.78766302746096E-3</v>
      </c>
      <c r="AJ83" s="168">
        <v>1.2461602919628799E-3</v>
      </c>
    </row>
    <row r="84" spans="1:36">
      <c r="A84" s="2">
        <v>158</v>
      </c>
      <c r="B84" s="2">
        <v>9935</v>
      </c>
      <c r="C84" s="2" t="s">
        <v>1196</v>
      </c>
      <c r="D84" s="2" t="s">
        <v>1567</v>
      </c>
      <c r="E84" s="4" t="s">
        <v>1343</v>
      </c>
      <c r="F84" s="2" t="s">
        <v>1787</v>
      </c>
      <c r="G84" s="2" t="s">
        <v>1788</v>
      </c>
      <c r="H84" s="2" t="s">
        <v>338</v>
      </c>
      <c r="I84" s="2" t="s">
        <v>772</v>
      </c>
      <c r="J84" s="2" t="s">
        <v>30</v>
      </c>
      <c r="K84" s="2" t="s">
        <v>30</v>
      </c>
      <c r="L84" s="2" t="s">
        <v>344</v>
      </c>
      <c r="M84" s="2" t="s">
        <v>56</v>
      </c>
      <c r="N84" s="2" t="s">
        <v>463</v>
      </c>
      <c r="O84" s="2" t="s">
        <v>153</v>
      </c>
      <c r="P84" s="2" t="s">
        <v>109</v>
      </c>
      <c r="Q84" s="2" t="s">
        <v>430</v>
      </c>
      <c r="R84" s="2" t="s">
        <v>423</v>
      </c>
      <c r="S84" s="2" t="s">
        <v>44</v>
      </c>
      <c r="T84" s="153">
        <v>1.7370000000000001</v>
      </c>
      <c r="U84" s="2" t="s">
        <v>1760</v>
      </c>
      <c r="V84" s="166">
        <v>8.3000000000000001E-3</v>
      </c>
      <c r="W84" s="168">
        <v>2.0449999999999999E-2</v>
      </c>
      <c r="X84" s="4" t="s">
        <v>429</v>
      </c>
      <c r="Y84" s="4" t="s">
        <v>153</v>
      </c>
      <c r="Z84" s="153">
        <v>1500000</v>
      </c>
      <c r="AA84" s="162">
        <v>1</v>
      </c>
      <c r="AB84" s="179">
        <v>113.2</v>
      </c>
      <c r="AD84" s="153">
        <v>1698</v>
      </c>
      <c r="AG84" s="2" t="s">
        <v>36</v>
      </c>
      <c r="AH84" s="168">
        <v>9.859999999999999E-4</v>
      </c>
      <c r="AI84" s="168">
        <v>1.1052927274539799E-2</v>
      </c>
      <c r="AJ84" s="168">
        <v>1.5673927227799801E-3</v>
      </c>
    </row>
    <row r="85" spans="1:36">
      <c r="A85" s="2">
        <v>158</v>
      </c>
      <c r="B85" s="2">
        <v>9935</v>
      </c>
      <c r="C85" s="2" t="s">
        <v>1196</v>
      </c>
      <c r="D85" s="2" t="s">
        <v>1567</v>
      </c>
      <c r="E85" s="4" t="s">
        <v>1343</v>
      </c>
      <c r="F85" s="2" t="s">
        <v>1907</v>
      </c>
      <c r="G85" s="2" t="s">
        <v>1908</v>
      </c>
      <c r="H85" s="2" t="s">
        <v>338</v>
      </c>
      <c r="I85" s="2" t="s">
        <v>985</v>
      </c>
      <c r="J85" s="2" t="s">
        <v>30</v>
      </c>
      <c r="K85" s="2" t="s">
        <v>30</v>
      </c>
      <c r="L85" s="2" t="s">
        <v>344</v>
      </c>
      <c r="M85" s="2" t="s">
        <v>56</v>
      </c>
      <c r="N85" s="2" t="s">
        <v>463</v>
      </c>
      <c r="O85" s="2" t="s">
        <v>153</v>
      </c>
      <c r="P85" s="2" t="s">
        <v>109</v>
      </c>
      <c r="Q85" s="2" t="s">
        <v>430</v>
      </c>
      <c r="R85" s="2" t="s">
        <v>423</v>
      </c>
      <c r="S85" s="2" t="s">
        <v>44</v>
      </c>
      <c r="T85" s="153">
        <v>0.41099999999999998</v>
      </c>
      <c r="U85" s="2" t="s">
        <v>1909</v>
      </c>
      <c r="V85" s="166">
        <v>2.0199999999999999E-2</v>
      </c>
      <c r="W85" s="168">
        <v>4.4269999999999997E-2</v>
      </c>
      <c r="X85" s="4" t="s">
        <v>429</v>
      </c>
      <c r="Y85" s="4" t="s">
        <v>153</v>
      </c>
      <c r="Z85" s="153">
        <v>1450000</v>
      </c>
      <c r="AA85" s="162">
        <v>1</v>
      </c>
      <c r="AB85" s="179">
        <v>100.22</v>
      </c>
      <c r="AD85" s="153">
        <v>1453.19</v>
      </c>
      <c r="AG85" s="2" t="s">
        <v>36</v>
      </c>
      <c r="AH85" s="168">
        <v>1.7160000000000001E-3</v>
      </c>
      <c r="AI85" s="168">
        <v>9.4593659517599894E-3</v>
      </c>
      <c r="AJ85" s="168">
        <v>1.34141309235373E-3</v>
      </c>
    </row>
    <row r="86" spans="1:36">
      <c r="A86" s="2">
        <v>158</v>
      </c>
      <c r="B86" s="2">
        <v>9935</v>
      </c>
      <c r="C86" s="2" t="s">
        <v>1196</v>
      </c>
      <c r="D86" s="2" t="s">
        <v>1567</v>
      </c>
      <c r="E86" s="4" t="s">
        <v>1343</v>
      </c>
      <c r="F86" s="2" t="s">
        <v>1789</v>
      </c>
      <c r="G86" s="2" t="s">
        <v>1790</v>
      </c>
      <c r="H86" s="2" t="s">
        <v>338</v>
      </c>
      <c r="I86" s="2" t="s">
        <v>772</v>
      </c>
      <c r="J86" s="2" t="s">
        <v>30</v>
      </c>
      <c r="K86" s="2" t="s">
        <v>30</v>
      </c>
      <c r="L86" s="2" t="s">
        <v>344</v>
      </c>
      <c r="M86" s="2" t="s">
        <v>56</v>
      </c>
      <c r="N86" s="2" t="s">
        <v>463</v>
      </c>
      <c r="O86" s="2" t="s">
        <v>153</v>
      </c>
      <c r="P86" s="2" t="s">
        <v>109</v>
      </c>
      <c r="Q86" s="2" t="s">
        <v>430</v>
      </c>
      <c r="R86" s="2" t="s">
        <v>423</v>
      </c>
      <c r="S86" s="2" t="s">
        <v>44</v>
      </c>
      <c r="T86" s="153">
        <v>5.0449999999999999</v>
      </c>
      <c r="U86" s="2" t="s">
        <v>1791</v>
      </c>
      <c r="V86" s="166">
        <v>2.0199999999999999E-2</v>
      </c>
      <c r="W86" s="168">
        <v>2.5940000000000001E-2</v>
      </c>
      <c r="X86" s="4" t="s">
        <v>429</v>
      </c>
      <c r="Y86" s="4" t="s">
        <v>153</v>
      </c>
      <c r="Z86" s="153">
        <v>1500000</v>
      </c>
      <c r="AA86" s="162">
        <v>1</v>
      </c>
      <c r="AB86" s="179">
        <v>101.35</v>
      </c>
      <c r="AD86" s="153">
        <v>1520.25</v>
      </c>
      <c r="AG86" s="2" t="s">
        <v>36</v>
      </c>
      <c r="AH86" s="168">
        <v>4.2000000000000002E-4</v>
      </c>
      <c r="AI86" s="168">
        <v>9.8958849759240904E-3</v>
      </c>
      <c r="AJ86" s="168">
        <v>1.4033149510048601E-3</v>
      </c>
    </row>
    <row r="87" spans="1:36">
      <c r="A87" s="2">
        <v>158</v>
      </c>
      <c r="B87" s="2">
        <v>9935</v>
      </c>
      <c r="C87" s="2" t="s">
        <v>1792</v>
      </c>
      <c r="D87" s="2" t="s">
        <v>1793</v>
      </c>
      <c r="E87" s="4" t="s">
        <v>1343</v>
      </c>
      <c r="F87" s="2" t="s">
        <v>1982</v>
      </c>
      <c r="G87" s="2" t="s">
        <v>1983</v>
      </c>
      <c r="H87" s="2" t="s">
        <v>338</v>
      </c>
      <c r="I87" s="2" t="s">
        <v>772</v>
      </c>
      <c r="J87" s="2" t="s">
        <v>30</v>
      </c>
      <c r="K87" s="2" t="s">
        <v>30</v>
      </c>
      <c r="L87" s="2" t="s">
        <v>344</v>
      </c>
      <c r="M87" s="2" t="s">
        <v>56</v>
      </c>
      <c r="N87" s="2" t="s">
        <v>479</v>
      </c>
      <c r="O87" s="2" t="s">
        <v>153</v>
      </c>
      <c r="P87" s="2" t="s">
        <v>1718</v>
      </c>
      <c r="Q87" s="2" t="s">
        <v>430</v>
      </c>
      <c r="R87" s="2" t="s">
        <v>423</v>
      </c>
      <c r="S87" s="2" t="s">
        <v>44</v>
      </c>
      <c r="T87" s="153">
        <v>1.89</v>
      </c>
      <c r="U87" s="2" t="s">
        <v>1916</v>
      </c>
      <c r="V87" s="166">
        <v>2.4E-2</v>
      </c>
      <c r="W87" s="168">
        <v>2.487E-2</v>
      </c>
      <c r="X87" s="4" t="s">
        <v>429</v>
      </c>
      <c r="Y87" s="4" t="s">
        <v>153</v>
      </c>
      <c r="Z87" s="153">
        <v>1159090.92</v>
      </c>
      <c r="AA87" s="162">
        <v>1</v>
      </c>
      <c r="AB87" s="179">
        <v>115.87</v>
      </c>
      <c r="AD87" s="153">
        <v>1343.039</v>
      </c>
      <c r="AG87" s="2" t="s">
        <v>36</v>
      </c>
      <c r="AH87" s="168">
        <v>2.0089999999999999E-3</v>
      </c>
      <c r="AI87" s="168">
        <v>8.7423489483730108E-3</v>
      </c>
      <c r="AJ87" s="168">
        <v>1.23973439626686E-3</v>
      </c>
    </row>
    <row r="88" spans="1:36">
      <c r="A88" s="2">
        <v>158</v>
      </c>
      <c r="B88" s="2">
        <v>9935</v>
      </c>
      <c r="C88" s="2" t="s">
        <v>1792</v>
      </c>
      <c r="D88" s="2" t="s">
        <v>1793</v>
      </c>
      <c r="E88" s="4" t="s">
        <v>1343</v>
      </c>
      <c r="F88" s="2" t="s">
        <v>1797</v>
      </c>
      <c r="G88" s="2" t="s">
        <v>1798</v>
      </c>
      <c r="H88" s="2" t="s">
        <v>338</v>
      </c>
      <c r="I88" s="2" t="s">
        <v>772</v>
      </c>
      <c r="J88" s="2" t="s">
        <v>30</v>
      </c>
      <c r="K88" s="2" t="s">
        <v>30</v>
      </c>
      <c r="L88" s="2" t="s">
        <v>344</v>
      </c>
      <c r="M88" s="2" t="s">
        <v>56</v>
      </c>
      <c r="N88" s="2" t="s">
        <v>479</v>
      </c>
      <c r="O88" s="2" t="s">
        <v>153</v>
      </c>
      <c r="P88" s="2" t="s">
        <v>1718</v>
      </c>
      <c r="Q88" s="2" t="s">
        <v>430</v>
      </c>
      <c r="R88" s="2" t="s">
        <v>423</v>
      </c>
      <c r="S88" s="2" t="s">
        <v>44</v>
      </c>
      <c r="T88" s="153">
        <v>2.024</v>
      </c>
      <c r="U88" s="2" t="s">
        <v>1796</v>
      </c>
      <c r="V88" s="166">
        <v>3.6999999999999998E-2</v>
      </c>
      <c r="W88" s="168">
        <v>2.6419999999999999E-2</v>
      </c>
      <c r="X88" s="4" t="s">
        <v>429</v>
      </c>
      <c r="Y88" s="4" t="s">
        <v>153</v>
      </c>
      <c r="Z88" s="153">
        <v>877887.02</v>
      </c>
      <c r="AA88" s="162">
        <v>1</v>
      </c>
      <c r="AB88" s="179">
        <v>119.19</v>
      </c>
      <c r="AD88" s="153">
        <v>1046.354</v>
      </c>
      <c r="AG88" s="2" t="s">
        <v>36</v>
      </c>
      <c r="AH88" s="168">
        <v>2.9190000000000002E-3</v>
      </c>
      <c r="AI88" s="168">
        <v>6.8111128218784596E-3</v>
      </c>
      <c r="AJ88" s="168">
        <v>9.6586980135452002E-4</v>
      </c>
    </row>
    <row r="89" spans="1:36">
      <c r="A89" s="2">
        <v>158</v>
      </c>
      <c r="B89" s="2">
        <v>9935</v>
      </c>
      <c r="C89" s="2" t="s">
        <v>1804</v>
      </c>
      <c r="D89" s="2" t="s">
        <v>1805</v>
      </c>
      <c r="E89" s="4" t="s">
        <v>1343</v>
      </c>
      <c r="F89" s="2" t="s">
        <v>1984</v>
      </c>
      <c r="G89" s="2" t="s">
        <v>1985</v>
      </c>
      <c r="H89" s="2" t="s">
        <v>338</v>
      </c>
      <c r="I89" s="2" t="s">
        <v>772</v>
      </c>
      <c r="J89" s="2" t="s">
        <v>30</v>
      </c>
      <c r="K89" s="2" t="s">
        <v>30</v>
      </c>
      <c r="L89" s="2" t="s">
        <v>344</v>
      </c>
      <c r="M89" s="2" t="s">
        <v>56</v>
      </c>
      <c r="N89" s="2" t="s">
        <v>463</v>
      </c>
      <c r="O89" s="2" t="s">
        <v>153</v>
      </c>
      <c r="P89" s="2" t="s">
        <v>109</v>
      </c>
      <c r="Q89" s="2" t="s">
        <v>430</v>
      </c>
      <c r="R89" s="2" t="s">
        <v>423</v>
      </c>
      <c r="S89" s="2" t="s">
        <v>44</v>
      </c>
      <c r="T89" s="153">
        <v>4.0069999999999997</v>
      </c>
      <c r="U89" s="2" t="s">
        <v>1986</v>
      </c>
      <c r="V89" s="166">
        <v>1E-3</v>
      </c>
      <c r="W89" s="168">
        <v>2.5020000000000001E-2</v>
      </c>
      <c r="X89" s="4" t="s">
        <v>429</v>
      </c>
      <c r="Y89" s="4" t="s">
        <v>153</v>
      </c>
      <c r="Z89" s="153">
        <v>1040000</v>
      </c>
      <c r="AA89" s="162">
        <v>1</v>
      </c>
      <c r="AB89" s="179">
        <v>102.41</v>
      </c>
      <c r="AD89" s="153">
        <v>1065.0640000000001</v>
      </c>
      <c r="AG89" s="2" t="s">
        <v>36</v>
      </c>
      <c r="AH89" s="168">
        <v>3.0800000000000001E-4</v>
      </c>
      <c r="AI89" s="168">
        <v>6.93290632198495E-3</v>
      </c>
      <c r="AJ89" s="168">
        <v>9.8314108533270497E-4</v>
      </c>
    </row>
    <row r="90" spans="1:36">
      <c r="A90" s="2">
        <v>158</v>
      </c>
      <c r="B90" s="2">
        <v>9935</v>
      </c>
      <c r="C90" s="2" t="s">
        <v>1804</v>
      </c>
      <c r="D90" s="2" t="s">
        <v>1805</v>
      </c>
      <c r="E90" s="4" t="s">
        <v>1343</v>
      </c>
      <c r="F90" s="2" t="s">
        <v>1809</v>
      </c>
      <c r="G90" s="2" t="s">
        <v>1810</v>
      </c>
      <c r="H90" s="2" t="s">
        <v>338</v>
      </c>
      <c r="I90" s="2" t="s">
        <v>772</v>
      </c>
      <c r="J90" s="2" t="s">
        <v>30</v>
      </c>
      <c r="K90" s="2" t="s">
        <v>30</v>
      </c>
      <c r="L90" s="2" t="s">
        <v>344</v>
      </c>
      <c r="M90" s="2" t="s">
        <v>56</v>
      </c>
      <c r="N90" s="2" t="s">
        <v>463</v>
      </c>
      <c r="O90" s="2" t="s">
        <v>153</v>
      </c>
      <c r="P90" s="2" t="s">
        <v>109</v>
      </c>
      <c r="Q90" s="2" t="s">
        <v>430</v>
      </c>
      <c r="R90" s="2" t="s">
        <v>423</v>
      </c>
      <c r="S90" s="2" t="s">
        <v>44</v>
      </c>
      <c r="T90" s="153">
        <v>4.4029999999999996</v>
      </c>
      <c r="U90" s="2" t="s">
        <v>1811</v>
      </c>
      <c r="V90" s="166">
        <v>2.06E-2</v>
      </c>
      <c r="W90" s="168">
        <v>2.6120000000000001E-2</v>
      </c>
      <c r="X90" s="4" t="s">
        <v>429</v>
      </c>
      <c r="Y90" s="4" t="s">
        <v>153</v>
      </c>
      <c r="Z90" s="153">
        <v>1125000</v>
      </c>
      <c r="AA90" s="162">
        <v>1</v>
      </c>
      <c r="AB90" s="179">
        <v>102.78</v>
      </c>
      <c r="AD90" s="153">
        <v>1156.2750000000001</v>
      </c>
      <c r="AG90" s="2" t="s">
        <v>36</v>
      </c>
      <c r="AH90" s="168">
        <v>6.2500000000000001E-4</v>
      </c>
      <c r="AI90" s="168">
        <v>7.5266333830203104E-3</v>
      </c>
      <c r="AJ90" s="168">
        <v>1.0673362900662101E-3</v>
      </c>
    </row>
    <row r="91" spans="1:36">
      <c r="A91" s="2">
        <v>158</v>
      </c>
      <c r="B91" s="2">
        <v>9935</v>
      </c>
      <c r="C91" s="2" t="s">
        <v>1804</v>
      </c>
      <c r="D91" s="2" t="s">
        <v>1805</v>
      </c>
      <c r="E91" s="4" t="s">
        <v>1343</v>
      </c>
      <c r="F91" s="2" t="s">
        <v>1812</v>
      </c>
      <c r="G91" s="2" t="s">
        <v>1813</v>
      </c>
      <c r="H91" s="2" t="s">
        <v>338</v>
      </c>
      <c r="I91" s="2" t="s">
        <v>772</v>
      </c>
      <c r="J91" s="2" t="s">
        <v>30</v>
      </c>
      <c r="K91" s="2" t="s">
        <v>30</v>
      </c>
      <c r="L91" s="2" t="s">
        <v>344</v>
      </c>
      <c r="M91" s="2" t="s">
        <v>56</v>
      </c>
      <c r="N91" s="2" t="s">
        <v>463</v>
      </c>
      <c r="O91" s="2" t="s">
        <v>153</v>
      </c>
      <c r="P91" s="2" t="s">
        <v>109</v>
      </c>
      <c r="Q91" s="2" t="s">
        <v>430</v>
      </c>
      <c r="R91" s="2" t="s">
        <v>423</v>
      </c>
      <c r="S91" s="2" t="s">
        <v>44</v>
      </c>
      <c r="T91" s="153">
        <v>4.3789999999999996</v>
      </c>
      <c r="U91" s="2" t="s">
        <v>1814</v>
      </c>
      <c r="V91" s="166">
        <v>1.9900000000000001E-2</v>
      </c>
      <c r="W91" s="168">
        <v>2.5700000000000001E-2</v>
      </c>
      <c r="X91" s="4" t="s">
        <v>429</v>
      </c>
      <c r="Y91" s="4" t="s">
        <v>153</v>
      </c>
      <c r="Z91" s="153">
        <v>1500000</v>
      </c>
      <c r="AA91" s="162">
        <v>1</v>
      </c>
      <c r="AB91" s="179">
        <v>102.5</v>
      </c>
      <c r="AD91" s="153">
        <v>1537.5</v>
      </c>
      <c r="AG91" s="2" t="s">
        <v>36</v>
      </c>
      <c r="AH91" s="168">
        <v>5.5599999999999996E-4</v>
      </c>
      <c r="AI91" s="168">
        <v>1.0008171781274999E-2</v>
      </c>
      <c r="AJ91" s="168">
        <v>1.4192381102910601E-3</v>
      </c>
    </row>
    <row r="92" spans="1:36">
      <c r="A92" s="2">
        <v>158</v>
      </c>
      <c r="B92" s="2">
        <v>9935</v>
      </c>
      <c r="C92" s="2" t="s">
        <v>1804</v>
      </c>
      <c r="D92" s="2" t="s">
        <v>1805</v>
      </c>
      <c r="E92" s="4" t="s">
        <v>1343</v>
      </c>
      <c r="F92" s="2" t="s">
        <v>1987</v>
      </c>
      <c r="G92" s="2" t="s">
        <v>1988</v>
      </c>
      <c r="H92" s="2" t="s">
        <v>338</v>
      </c>
      <c r="I92" s="2" t="s">
        <v>772</v>
      </c>
      <c r="J92" s="2" t="s">
        <v>30</v>
      </c>
      <c r="K92" s="2" t="s">
        <v>30</v>
      </c>
      <c r="L92" s="2" t="s">
        <v>344</v>
      </c>
      <c r="M92" s="2" t="s">
        <v>56</v>
      </c>
      <c r="N92" s="2" t="s">
        <v>463</v>
      </c>
      <c r="O92" s="2" t="s">
        <v>153</v>
      </c>
      <c r="P92" s="2" t="s">
        <v>109</v>
      </c>
      <c r="Q92" s="2" t="s">
        <v>430</v>
      </c>
      <c r="R92" s="2" t="s">
        <v>423</v>
      </c>
      <c r="S92" s="2" t="s">
        <v>44</v>
      </c>
      <c r="T92" s="153">
        <v>3.4809999999999999</v>
      </c>
      <c r="U92" s="2" t="s">
        <v>1989</v>
      </c>
      <c r="V92" s="166">
        <v>1.6400000000000001E-2</v>
      </c>
      <c r="W92" s="168">
        <v>2.4500000000000001E-2</v>
      </c>
      <c r="X92" s="4" t="s">
        <v>429</v>
      </c>
      <c r="Y92" s="4" t="s">
        <v>153</v>
      </c>
      <c r="Z92" s="153">
        <v>2577810</v>
      </c>
      <c r="AA92" s="162">
        <v>1</v>
      </c>
      <c r="AB92" s="179">
        <v>105.53</v>
      </c>
      <c r="AD92" s="153">
        <v>2720.3629999999998</v>
      </c>
      <c r="AG92" s="2" t="s">
        <v>36</v>
      </c>
      <c r="AH92" s="168">
        <v>2.3969999999999998E-3</v>
      </c>
      <c r="AI92" s="168">
        <v>1.7707875863772499E-2</v>
      </c>
      <c r="AJ92" s="168">
        <v>2.5111171977673001E-3</v>
      </c>
    </row>
    <row r="93" spans="1:36">
      <c r="A93" s="2">
        <v>158</v>
      </c>
      <c r="B93" s="2">
        <v>9935</v>
      </c>
      <c r="C93" s="2" t="s">
        <v>1804</v>
      </c>
      <c r="D93" s="2" t="s">
        <v>1805</v>
      </c>
      <c r="E93" s="4" t="s">
        <v>1343</v>
      </c>
      <c r="F93" s="2" t="s">
        <v>1990</v>
      </c>
      <c r="G93" s="2" t="s">
        <v>1991</v>
      </c>
      <c r="H93" s="2" t="s">
        <v>338</v>
      </c>
      <c r="I93" s="2" t="s">
        <v>772</v>
      </c>
      <c r="J93" s="2" t="s">
        <v>30</v>
      </c>
      <c r="K93" s="2" t="s">
        <v>30</v>
      </c>
      <c r="L93" s="2" t="s">
        <v>344</v>
      </c>
      <c r="M93" s="2" t="s">
        <v>56</v>
      </c>
      <c r="N93" s="2" t="s">
        <v>463</v>
      </c>
      <c r="O93" s="2" t="s">
        <v>153</v>
      </c>
      <c r="P93" s="2" t="s">
        <v>109</v>
      </c>
      <c r="Q93" s="2" t="s">
        <v>430</v>
      </c>
      <c r="R93" s="2" t="s">
        <v>423</v>
      </c>
      <c r="S93" s="2" t="s">
        <v>44</v>
      </c>
      <c r="T93" s="153">
        <v>1.681</v>
      </c>
      <c r="U93" s="2" t="s">
        <v>1992</v>
      </c>
      <c r="V93" s="166">
        <v>3.8E-3</v>
      </c>
      <c r="W93" s="168">
        <v>2.1440000000000001E-2</v>
      </c>
      <c r="X93" s="4" t="s">
        <v>429</v>
      </c>
      <c r="Y93" s="4" t="s">
        <v>153</v>
      </c>
      <c r="Z93" s="153">
        <v>2800000</v>
      </c>
      <c r="AA93" s="162">
        <v>1</v>
      </c>
      <c r="AB93" s="179">
        <v>110.39</v>
      </c>
      <c r="AD93" s="153">
        <v>3090.92</v>
      </c>
      <c r="AG93" s="2" t="s">
        <v>36</v>
      </c>
      <c r="AH93" s="168">
        <v>9.3300000000000002E-4</v>
      </c>
      <c r="AI93" s="168">
        <v>2.01199728924738E-2</v>
      </c>
      <c r="AJ93" s="168">
        <v>2.8531716812102998E-3</v>
      </c>
    </row>
    <row r="94" spans="1:36">
      <c r="A94" s="2">
        <v>158</v>
      </c>
      <c r="B94" s="2">
        <v>9935</v>
      </c>
      <c r="C94" s="2" t="s">
        <v>1815</v>
      </c>
      <c r="D94" s="2" t="s">
        <v>1816</v>
      </c>
      <c r="E94" s="4" t="s">
        <v>1343</v>
      </c>
      <c r="F94" s="2" t="s">
        <v>1817</v>
      </c>
      <c r="G94" s="2" t="s">
        <v>1818</v>
      </c>
      <c r="H94" s="2" t="s">
        <v>338</v>
      </c>
      <c r="I94" s="2" t="s">
        <v>772</v>
      </c>
      <c r="J94" s="2" t="s">
        <v>30</v>
      </c>
      <c r="K94" s="2" t="s">
        <v>30</v>
      </c>
      <c r="L94" s="2" t="s">
        <v>344</v>
      </c>
      <c r="M94" s="2" t="s">
        <v>56</v>
      </c>
      <c r="N94" s="2" t="s">
        <v>458</v>
      </c>
      <c r="O94" s="2" t="s">
        <v>153</v>
      </c>
      <c r="P94" s="2" t="s">
        <v>32</v>
      </c>
      <c r="Q94" s="2" t="s">
        <v>110</v>
      </c>
      <c r="R94" s="2" t="s">
        <v>423</v>
      </c>
      <c r="S94" s="2" t="s">
        <v>44</v>
      </c>
      <c r="T94" s="153">
        <v>1.6559999999999999</v>
      </c>
      <c r="U94" s="2" t="s">
        <v>1819</v>
      </c>
      <c r="V94" s="166">
        <v>3.5400000000000001E-2</v>
      </c>
      <c r="W94" s="168">
        <v>3.2190000000000003E-2</v>
      </c>
      <c r="X94" s="4" t="s">
        <v>429</v>
      </c>
      <c r="Y94" s="4" t="s">
        <v>153</v>
      </c>
      <c r="Z94" s="153">
        <v>964000</v>
      </c>
      <c r="AA94" s="162">
        <v>1</v>
      </c>
      <c r="AB94" s="179">
        <v>107.7</v>
      </c>
      <c r="AD94" s="153">
        <v>1038.2280000000001</v>
      </c>
      <c r="AG94" s="2" t="s">
        <v>36</v>
      </c>
      <c r="AH94" s="168">
        <v>8.6300000000000005E-4</v>
      </c>
      <c r="AI94" s="168">
        <v>6.7582205997590598E-3</v>
      </c>
      <c r="AJ94" s="168">
        <v>9.58369264891878E-4</v>
      </c>
    </row>
    <row r="95" spans="1:36">
      <c r="A95" s="2">
        <v>158</v>
      </c>
      <c r="B95" s="2">
        <v>9935</v>
      </c>
      <c r="C95" s="2" t="s">
        <v>1578</v>
      </c>
      <c r="D95" s="2" t="s">
        <v>1579</v>
      </c>
      <c r="E95" s="4" t="s">
        <v>1343</v>
      </c>
      <c r="F95" s="2" t="s">
        <v>1820</v>
      </c>
      <c r="G95" s="2" t="s">
        <v>1821</v>
      </c>
      <c r="H95" s="2" t="s">
        <v>338</v>
      </c>
      <c r="I95" s="2" t="s">
        <v>772</v>
      </c>
      <c r="J95" s="2" t="s">
        <v>30</v>
      </c>
      <c r="K95" s="2" t="s">
        <v>30</v>
      </c>
      <c r="L95" s="2" t="s">
        <v>344</v>
      </c>
      <c r="M95" s="2" t="s">
        <v>56</v>
      </c>
      <c r="N95" s="2" t="s">
        <v>479</v>
      </c>
      <c r="O95" s="2" t="s">
        <v>153</v>
      </c>
      <c r="P95" s="2" t="s">
        <v>1718</v>
      </c>
      <c r="Q95" s="2" t="s">
        <v>430</v>
      </c>
      <c r="R95" s="2" t="s">
        <v>423</v>
      </c>
      <c r="S95" s="2" t="s">
        <v>44</v>
      </c>
      <c r="T95" s="153">
        <v>3.548</v>
      </c>
      <c r="U95" s="2" t="s">
        <v>1736</v>
      </c>
      <c r="V95" s="166">
        <v>6.4999999999999997E-3</v>
      </c>
      <c r="W95" s="168">
        <v>2.6179999999999998E-2</v>
      </c>
      <c r="X95" s="4" t="s">
        <v>429</v>
      </c>
      <c r="Y95" s="4" t="s">
        <v>153</v>
      </c>
      <c r="Z95" s="153">
        <v>1674787.24</v>
      </c>
      <c r="AA95" s="162">
        <v>1</v>
      </c>
      <c r="AB95" s="179">
        <v>107.63</v>
      </c>
      <c r="AD95" s="153">
        <v>1802.5740000000001</v>
      </c>
      <c r="AG95" s="2" t="s">
        <v>36</v>
      </c>
      <c r="AH95" s="168">
        <v>3.3990000000000001E-3</v>
      </c>
      <c r="AI95" s="168">
        <v>1.1733635967835099E-2</v>
      </c>
      <c r="AJ95" s="168">
        <v>1.6639226126184601E-3</v>
      </c>
    </row>
    <row r="96" spans="1:36">
      <c r="A96" s="2">
        <v>158</v>
      </c>
      <c r="B96" s="2">
        <v>9935</v>
      </c>
      <c r="C96" s="2" t="s">
        <v>1578</v>
      </c>
      <c r="D96" s="2" t="s">
        <v>1579</v>
      </c>
      <c r="E96" s="4" t="s">
        <v>1343</v>
      </c>
      <c r="F96" s="2" t="s">
        <v>1822</v>
      </c>
      <c r="G96" s="2" t="s">
        <v>1823</v>
      </c>
      <c r="H96" s="2" t="s">
        <v>338</v>
      </c>
      <c r="I96" s="2" t="s">
        <v>772</v>
      </c>
      <c r="J96" s="2" t="s">
        <v>30</v>
      </c>
      <c r="K96" s="2" t="s">
        <v>30</v>
      </c>
      <c r="L96" s="2" t="s">
        <v>344</v>
      </c>
      <c r="M96" s="2" t="s">
        <v>56</v>
      </c>
      <c r="N96" s="2" t="s">
        <v>479</v>
      </c>
      <c r="O96" s="2" t="s">
        <v>153</v>
      </c>
      <c r="P96" s="2" t="s">
        <v>1718</v>
      </c>
      <c r="Q96" s="2" t="s">
        <v>430</v>
      </c>
      <c r="R96" s="2" t="s">
        <v>423</v>
      </c>
      <c r="S96" s="2" t="s">
        <v>44</v>
      </c>
      <c r="T96" s="153">
        <v>5.92</v>
      </c>
      <c r="U96" s="2" t="s">
        <v>1824</v>
      </c>
      <c r="V96" s="166">
        <v>3.61E-2</v>
      </c>
      <c r="W96" s="168">
        <v>3.4549999999999997E-2</v>
      </c>
      <c r="X96" s="4" t="s">
        <v>429</v>
      </c>
      <c r="Y96" s="4" t="s">
        <v>153</v>
      </c>
      <c r="Z96" s="153">
        <v>477260</v>
      </c>
      <c r="AA96" s="162">
        <v>1</v>
      </c>
      <c r="AB96" s="179">
        <v>107.95</v>
      </c>
      <c r="AD96" s="153">
        <v>515.202</v>
      </c>
      <c r="AG96" s="2" t="s">
        <v>36</v>
      </c>
      <c r="AH96" s="168">
        <v>4.4700000000000002E-4</v>
      </c>
      <c r="AI96" s="168">
        <v>3.3536467118345601E-3</v>
      </c>
      <c r="AJ96" s="168">
        <v>4.7557369376822898E-4</v>
      </c>
    </row>
    <row r="97" spans="1:36">
      <c r="A97" s="2">
        <v>158</v>
      </c>
      <c r="B97" s="2">
        <v>9935</v>
      </c>
      <c r="C97" s="2" t="s">
        <v>1578</v>
      </c>
      <c r="D97" s="2" t="s">
        <v>1579</v>
      </c>
      <c r="E97" s="4" t="s">
        <v>1343</v>
      </c>
      <c r="F97" s="2" t="s">
        <v>1993</v>
      </c>
      <c r="G97" s="2" t="s">
        <v>1994</v>
      </c>
      <c r="H97" s="2" t="s">
        <v>338</v>
      </c>
      <c r="I97" s="2" t="s">
        <v>772</v>
      </c>
      <c r="J97" s="2" t="s">
        <v>30</v>
      </c>
      <c r="K97" s="2" t="s">
        <v>30</v>
      </c>
      <c r="L97" s="2" t="s">
        <v>344</v>
      </c>
      <c r="M97" s="2" t="s">
        <v>56</v>
      </c>
      <c r="N97" s="2" t="s">
        <v>479</v>
      </c>
      <c r="O97" s="2" t="s">
        <v>153</v>
      </c>
      <c r="P97" s="2" t="s">
        <v>1718</v>
      </c>
      <c r="Q97" s="2" t="s">
        <v>430</v>
      </c>
      <c r="R97" s="2" t="s">
        <v>423</v>
      </c>
      <c r="S97" s="2" t="s">
        <v>44</v>
      </c>
      <c r="T97" s="153">
        <v>0.76200000000000001</v>
      </c>
      <c r="U97" s="2" t="s">
        <v>1827</v>
      </c>
      <c r="V97" s="166">
        <v>1.7600000000000001E-2</v>
      </c>
      <c r="W97" s="168">
        <v>2.5239999999999999E-2</v>
      </c>
      <c r="X97" s="4" t="s">
        <v>429</v>
      </c>
      <c r="Y97" s="4" t="s">
        <v>153</v>
      </c>
      <c r="Z97" s="153">
        <v>1151505</v>
      </c>
      <c r="AA97" s="162">
        <v>1</v>
      </c>
      <c r="AB97" s="179">
        <v>117</v>
      </c>
      <c r="AD97" s="153">
        <v>1347.261</v>
      </c>
      <c r="AG97" s="2" t="s">
        <v>36</v>
      </c>
      <c r="AH97" s="168">
        <v>1.4970000000000001E-3</v>
      </c>
      <c r="AI97" s="168">
        <v>8.7698328591782407E-3</v>
      </c>
      <c r="AJ97" s="168">
        <v>1.2436318327304901E-3</v>
      </c>
    </row>
    <row r="98" spans="1:36">
      <c r="A98" s="2">
        <v>158</v>
      </c>
      <c r="B98" s="2">
        <v>9935</v>
      </c>
      <c r="C98" s="2" t="s">
        <v>1578</v>
      </c>
      <c r="D98" s="2" t="s">
        <v>1579</v>
      </c>
      <c r="E98" s="4" t="s">
        <v>1343</v>
      </c>
      <c r="F98" s="2" t="s">
        <v>1828</v>
      </c>
      <c r="G98" s="2" t="s">
        <v>1829</v>
      </c>
      <c r="H98" s="2" t="s">
        <v>338</v>
      </c>
      <c r="I98" s="2" t="s">
        <v>772</v>
      </c>
      <c r="J98" s="2" t="s">
        <v>30</v>
      </c>
      <c r="K98" s="2" t="s">
        <v>30</v>
      </c>
      <c r="L98" s="2" t="s">
        <v>344</v>
      </c>
      <c r="M98" s="2" t="s">
        <v>56</v>
      </c>
      <c r="N98" s="2" t="s">
        <v>479</v>
      </c>
      <c r="O98" s="2" t="s">
        <v>153</v>
      </c>
      <c r="P98" s="2" t="s">
        <v>1718</v>
      </c>
      <c r="Q98" s="2" t="s">
        <v>430</v>
      </c>
      <c r="R98" s="2" t="s">
        <v>423</v>
      </c>
      <c r="S98" s="2" t="s">
        <v>44</v>
      </c>
      <c r="T98" s="153">
        <v>5.298</v>
      </c>
      <c r="U98" s="2" t="s">
        <v>1830</v>
      </c>
      <c r="V98" s="166">
        <v>2.5000000000000001E-3</v>
      </c>
      <c r="W98" s="168">
        <v>3.0300000000000001E-2</v>
      </c>
      <c r="X98" s="4" t="s">
        <v>429</v>
      </c>
      <c r="Y98" s="4" t="s">
        <v>153</v>
      </c>
      <c r="Z98" s="153">
        <v>1072660.1599999999</v>
      </c>
      <c r="AA98" s="162">
        <v>1</v>
      </c>
      <c r="AB98" s="179">
        <v>97.92</v>
      </c>
      <c r="AD98" s="153">
        <v>1050.3489999999999</v>
      </c>
      <c r="AG98" s="2" t="s">
        <v>36</v>
      </c>
      <c r="AH98" s="168">
        <v>8.6399999999999997E-4</v>
      </c>
      <c r="AI98" s="168">
        <v>6.8371196797465603E-3</v>
      </c>
      <c r="AJ98" s="168">
        <v>9.6955778000056795E-4</v>
      </c>
    </row>
    <row r="99" spans="1:36">
      <c r="A99" s="2">
        <v>158</v>
      </c>
      <c r="B99" s="2">
        <v>9935</v>
      </c>
      <c r="C99" s="2" t="s">
        <v>1995</v>
      </c>
      <c r="D99" s="2" t="s">
        <v>1996</v>
      </c>
      <c r="E99" s="4" t="s">
        <v>1343</v>
      </c>
      <c r="F99" s="2" t="s">
        <v>1997</v>
      </c>
      <c r="G99" s="2" t="s">
        <v>1998</v>
      </c>
      <c r="H99" s="2" t="s">
        <v>338</v>
      </c>
      <c r="I99" s="2" t="s">
        <v>985</v>
      </c>
      <c r="J99" s="2" t="s">
        <v>30</v>
      </c>
      <c r="K99" s="2" t="s">
        <v>30</v>
      </c>
      <c r="L99" s="2" t="s">
        <v>344</v>
      </c>
      <c r="M99" s="2" t="s">
        <v>56</v>
      </c>
      <c r="N99" s="2" t="s">
        <v>500</v>
      </c>
      <c r="O99" s="2" t="s">
        <v>153</v>
      </c>
      <c r="P99" s="2" t="s">
        <v>32</v>
      </c>
      <c r="Q99" s="2" t="s">
        <v>430</v>
      </c>
      <c r="R99" s="2" t="s">
        <v>423</v>
      </c>
      <c r="S99" s="2" t="s">
        <v>44</v>
      </c>
      <c r="T99" s="153">
        <v>0.71199999999999997</v>
      </c>
      <c r="U99" s="2" t="s">
        <v>1999</v>
      </c>
      <c r="V99" s="166">
        <v>4.1399999999999999E-2</v>
      </c>
      <c r="W99" s="168">
        <v>5.3629999999999997E-2</v>
      </c>
      <c r="X99" s="4" t="s">
        <v>429</v>
      </c>
      <c r="Y99" s="4" t="s">
        <v>153</v>
      </c>
      <c r="Z99" s="153">
        <v>679799.4</v>
      </c>
      <c r="AA99" s="162">
        <v>1</v>
      </c>
      <c r="AB99" s="179">
        <v>100.13</v>
      </c>
      <c r="AD99" s="153">
        <v>680.68299999999999</v>
      </c>
      <c r="AG99" s="2" t="s">
        <v>36</v>
      </c>
      <c r="AH99" s="168">
        <v>6.0390000000000001E-3</v>
      </c>
      <c r="AI99" s="168">
        <v>4.4308252266219697E-3</v>
      </c>
      <c r="AJ99" s="168">
        <v>6.2832614778118802E-4</v>
      </c>
    </row>
    <row r="100" spans="1:36">
      <c r="A100" s="2">
        <v>158</v>
      </c>
      <c r="B100" s="2">
        <v>9935</v>
      </c>
      <c r="C100" s="2" t="s">
        <v>1594</v>
      </c>
      <c r="D100" s="2" t="s">
        <v>1595</v>
      </c>
      <c r="E100" s="4" t="s">
        <v>1343</v>
      </c>
      <c r="F100" s="2" t="s">
        <v>2000</v>
      </c>
      <c r="G100" s="2" t="s">
        <v>2001</v>
      </c>
      <c r="H100" s="2" t="s">
        <v>338</v>
      </c>
      <c r="I100" s="2" t="s">
        <v>772</v>
      </c>
      <c r="J100" s="2" t="s">
        <v>30</v>
      </c>
      <c r="K100" s="2" t="s">
        <v>30</v>
      </c>
      <c r="L100" s="2" t="s">
        <v>344</v>
      </c>
      <c r="M100" s="2" t="s">
        <v>56</v>
      </c>
      <c r="N100" s="2" t="s">
        <v>479</v>
      </c>
      <c r="O100" s="2" t="s">
        <v>153</v>
      </c>
      <c r="P100" s="2" t="s">
        <v>1773</v>
      </c>
      <c r="Q100" s="2" t="s">
        <v>430</v>
      </c>
      <c r="R100" s="2" t="s">
        <v>423</v>
      </c>
      <c r="S100" s="2" t="s">
        <v>44</v>
      </c>
      <c r="T100" s="153">
        <v>6.7329999999999997</v>
      </c>
      <c r="U100" s="2" t="s">
        <v>2002</v>
      </c>
      <c r="V100" s="166">
        <v>8.9999999999999993E-3</v>
      </c>
      <c r="W100" s="168">
        <v>3.3419999999999998E-2</v>
      </c>
      <c r="X100" s="4" t="s">
        <v>429</v>
      </c>
      <c r="Y100" s="4" t="s">
        <v>153</v>
      </c>
      <c r="Z100" s="153">
        <v>980000</v>
      </c>
      <c r="AA100" s="162">
        <v>1</v>
      </c>
      <c r="AB100" s="179">
        <v>96.33</v>
      </c>
      <c r="AD100" s="153">
        <v>944.03399999999999</v>
      </c>
      <c r="AG100" s="2" t="s">
        <v>36</v>
      </c>
      <c r="AH100" s="168">
        <v>3.5599999999999998E-4</v>
      </c>
      <c r="AI100" s="168">
        <v>6.1450760581230196E-3</v>
      </c>
      <c r="AJ100" s="168">
        <v>8.7142050745398804E-4</v>
      </c>
    </row>
    <row r="101" spans="1:36">
      <c r="A101" s="2">
        <v>158</v>
      </c>
      <c r="B101" s="2">
        <v>9935</v>
      </c>
      <c r="C101" s="2" t="s">
        <v>1598</v>
      </c>
      <c r="D101" s="2" t="s">
        <v>1599</v>
      </c>
      <c r="E101" s="4" t="s">
        <v>1343</v>
      </c>
      <c r="F101" s="2" t="s">
        <v>2003</v>
      </c>
      <c r="G101" s="2" t="s">
        <v>2004</v>
      </c>
      <c r="H101" s="2" t="s">
        <v>338</v>
      </c>
      <c r="I101" s="2" t="s">
        <v>985</v>
      </c>
      <c r="J101" s="2" t="s">
        <v>30</v>
      </c>
      <c r="K101" s="2" t="s">
        <v>30</v>
      </c>
      <c r="L101" s="2" t="s">
        <v>344</v>
      </c>
      <c r="M101" s="2" t="s">
        <v>56</v>
      </c>
      <c r="N101" s="2" t="s">
        <v>463</v>
      </c>
      <c r="O101" s="2" t="s">
        <v>153</v>
      </c>
      <c r="P101" s="2" t="s">
        <v>109</v>
      </c>
      <c r="Q101" s="2" t="s">
        <v>430</v>
      </c>
      <c r="R101" s="2" t="s">
        <v>423</v>
      </c>
      <c r="S101" s="2" t="s">
        <v>44</v>
      </c>
      <c r="T101" s="153">
        <v>3.3130000000000002</v>
      </c>
      <c r="U101" s="2" t="s">
        <v>1840</v>
      </c>
      <c r="V101" s="166">
        <v>2.5000000000000001E-2</v>
      </c>
      <c r="W101" s="168">
        <v>5.117E-2</v>
      </c>
      <c r="X101" s="4" t="s">
        <v>429</v>
      </c>
      <c r="Y101" s="4" t="s">
        <v>153</v>
      </c>
      <c r="Z101" s="153">
        <v>1600000</v>
      </c>
      <c r="AA101" s="162">
        <v>1</v>
      </c>
      <c r="AB101" s="179">
        <v>93.69</v>
      </c>
      <c r="AD101" s="153">
        <v>1499.04</v>
      </c>
      <c r="AG101" s="2" t="s">
        <v>36</v>
      </c>
      <c r="AH101" s="168">
        <v>6.8999999999999997E-4</v>
      </c>
      <c r="AI101" s="168">
        <v>9.7578210256926493E-3</v>
      </c>
      <c r="AJ101" s="168">
        <v>1.3837363881955801E-3</v>
      </c>
    </row>
    <row r="102" spans="1:36">
      <c r="A102" s="2">
        <v>158</v>
      </c>
      <c r="B102" s="2">
        <v>9935</v>
      </c>
      <c r="C102" s="2" t="s">
        <v>1598</v>
      </c>
      <c r="D102" s="2" t="s">
        <v>1599</v>
      </c>
      <c r="E102" s="4" t="s">
        <v>1343</v>
      </c>
      <c r="F102" s="2" t="s">
        <v>2005</v>
      </c>
      <c r="G102" s="2" t="s">
        <v>2006</v>
      </c>
      <c r="H102" s="2" t="s">
        <v>338</v>
      </c>
      <c r="I102" s="2" t="s">
        <v>772</v>
      </c>
      <c r="J102" s="2" t="s">
        <v>30</v>
      </c>
      <c r="K102" s="2" t="s">
        <v>30</v>
      </c>
      <c r="L102" s="2" t="s">
        <v>344</v>
      </c>
      <c r="M102" s="2" t="s">
        <v>56</v>
      </c>
      <c r="N102" s="2" t="s">
        <v>463</v>
      </c>
      <c r="O102" s="2" t="s">
        <v>153</v>
      </c>
      <c r="P102" s="2" t="s">
        <v>109</v>
      </c>
      <c r="Q102" s="2" t="s">
        <v>430</v>
      </c>
      <c r="R102" s="2" t="s">
        <v>423</v>
      </c>
      <c r="S102" s="2" t="s">
        <v>44</v>
      </c>
      <c r="T102" s="153">
        <v>2.786</v>
      </c>
      <c r="U102" s="2" t="s">
        <v>2007</v>
      </c>
      <c r="V102" s="166">
        <v>1.7500000000000002E-2</v>
      </c>
      <c r="W102" s="168">
        <v>2.3460000000000002E-2</v>
      </c>
      <c r="X102" s="4" t="s">
        <v>429</v>
      </c>
      <c r="Y102" s="4" t="s">
        <v>153</v>
      </c>
      <c r="Z102" s="153">
        <v>525044.99</v>
      </c>
      <c r="AA102" s="162">
        <v>1</v>
      </c>
      <c r="AB102" s="179">
        <v>114.28</v>
      </c>
      <c r="AD102" s="153">
        <v>600.02099999999996</v>
      </c>
      <c r="AG102" s="2" t="s">
        <v>36</v>
      </c>
      <c r="AH102" s="168">
        <v>2.02E-4</v>
      </c>
      <c r="AI102" s="168">
        <v>3.9057674077919899E-3</v>
      </c>
      <c r="AJ102" s="168">
        <v>5.5386878604964703E-4</v>
      </c>
    </row>
    <row r="103" spans="1:36">
      <c r="A103" s="2">
        <v>158</v>
      </c>
      <c r="B103" s="2">
        <v>9935</v>
      </c>
      <c r="C103" s="2" t="s">
        <v>2008</v>
      </c>
      <c r="D103" s="2" t="s">
        <v>2009</v>
      </c>
      <c r="E103" s="4" t="s">
        <v>1343</v>
      </c>
      <c r="F103" s="2" t="s">
        <v>2010</v>
      </c>
      <c r="G103" s="2" t="s">
        <v>2011</v>
      </c>
      <c r="H103" s="2" t="s">
        <v>338</v>
      </c>
      <c r="I103" s="2" t="s">
        <v>772</v>
      </c>
      <c r="J103" s="2" t="s">
        <v>30</v>
      </c>
      <c r="K103" s="2" t="s">
        <v>30</v>
      </c>
      <c r="L103" s="2" t="s">
        <v>344</v>
      </c>
      <c r="M103" s="2" t="s">
        <v>56</v>
      </c>
      <c r="N103" s="2" t="s">
        <v>455</v>
      </c>
      <c r="O103" s="2" t="s">
        <v>153</v>
      </c>
      <c r="P103" s="2" t="s">
        <v>1724</v>
      </c>
      <c r="Q103" s="2" t="s">
        <v>430</v>
      </c>
      <c r="R103" s="2" t="s">
        <v>423</v>
      </c>
      <c r="S103" s="2" t="s">
        <v>44</v>
      </c>
      <c r="T103" s="153">
        <v>2.8180000000000001</v>
      </c>
      <c r="U103" s="2" t="s">
        <v>2012</v>
      </c>
      <c r="V103" s="166">
        <v>1.23E-2</v>
      </c>
      <c r="W103" s="168">
        <v>2.6040000000000001E-2</v>
      </c>
      <c r="X103" s="4" t="s">
        <v>429</v>
      </c>
      <c r="Y103" s="4" t="s">
        <v>153</v>
      </c>
      <c r="Z103" s="153">
        <v>2869066.88</v>
      </c>
      <c r="AA103" s="162">
        <v>1</v>
      </c>
      <c r="AB103" s="179">
        <v>111.75</v>
      </c>
      <c r="AD103" s="153">
        <v>3206.1819999999998</v>
      </c>
      <c r="AG103" s="2" t="s">
        <v>36</v>
      </c>
      <c r="AH103" s="168">
        <v>2.5730000000000002E-3</v>
      </c>
      <c r="AI103" s="168">
        <v>2.0870258604214601E-2</v>
      </c>
      <c r="AJ103" s="168">
        <v>2.9595681439190699E-3</v>
      </c>
    </row>
    <row r="104" spans="1:36">
      <c r="A104" s="2">
        <v>158</v>
      </c>
      <c r="B104" s="2">
        <v>9935</v>
      </c>
      <c r="C104" s="2" t="s">
        <v>2013</v>
      </c>
      <c r="D104" s="2" t="s">
        <v>2014</v>
      </c>
      <c r="E104" s="4" t="s">
        <v>1343</v>
      </c>
      <c r="F104" s="2" t="s">
        <v>2015</v>
      </c>
      <c r="G104" s="2" t="s">
        <v>2016</v>
      </c>
      <c r="H104" s="2" t="s">
        <v>338</v>
      </c>
      <c r="I104" s="2" t="s">
        <v>985</v>
      </c>
      <c r="J104" s="2" t="s">
        <v>30</v>
      </c>
      <c r="K104" s="2" t="s">
        <v>30</v>
      </c>
      <c r="L104" s="2" t="s">
        <v>344</v>
      </c>
      <c r="M104" s="2" t="s">
        <v>56</v>
      </c>
      <c r="N104" s="2" t="s">
        <v>500</v>
      </c>
      <c r="O104" s="2" t="s">
        <v>153</v>
      </c>
      <c r="P104" s="2" t="s">
        <v>1724</v>
      </c>
      <c r="Q104" s="2" t="s">
        <v>430</v>
      </c>
      <c r="R104" s="2" t="s">
        <v>423</v>
      </c>
      <c r="S104" s="2" t="s">
        <v>44</v>
      </c>
      <c r="T104" s="153">
        <v>2.077</v>
      </c>
      <c r="U104" s="2" t="s">
        <v>2017</v>
      </c>
      <c r="V104" s="166">
        <v>0.04</v>
      </c>
      <c r="W104" s="168">
        <v>5.2440000000000001E-2</v>
      </c>
      <c r="X104" s="4" t="s">
        <v>429</v>
      </c>
      <c r="Y104" s="4" t="s">
        <v>153</v>
      </c>
      <c r="Z104" s="153">
        <v>1067826.2</v>
      </c>
      <c r="AA104" s="162">
        <v>1</v>
      </c>
      <c r="AB104" s="179">
        <v>98.59</v>
      </c>
      <c r="AD104" s="153">
        <v>1052.77</v>
      </c>
      <c r="AG104" s="2" t="s">
        <v>36</v>
      </c>
      <c r="AH104" s="168">
        <v>1.7930000000000001E-3</v>
      </c>
      <c r="AI104" s="168">
        <v>6.8528790313833101E-3</v>
      </c>
      <c r="AJ104" s="168">
        <v>9.71792581013696E-4</v>
      </c>
    </row>
    <row r="105" spans="1:36">
      <c r="A105" s="2">
        <v>158</v>
      </c>
      <c r="B105" s="2">
        <v>9935</v>
      </c>
      <c r="C105" s="2" t="s">
        <v>2018</v>
      </c>
      <c r="D105" s="2" t="s">
        <v>2019</v>
      </c>
      <c r="E105" s="4" t="s">
        <v>1343</v>
      </c>
      <c r="F105" s="2" t="s">
        <v>2020</v>
      </c>
      <c r="G105" s="2" t="s">
        <v>2021</v>
      </c>
      <c r="H105" s="2" t="s">
        <v>338</v>
      </c>
      <c r="I105" s="2" t="s">
        <v>985</v>
      </c>
      <c r="J105" s="2" t="s">
        <v>30</v>
      </c>
      <c r="K105" s="2" t="s">
        <v>30</v>
      </c>
      <c r="L105" s="2" t="s">
        <v>344</v>
      </c>
      <c r="M105" s="2" t="s">
        <v>56</v>
      </c>
      <c r="N105" s="2" t="s">
        <v>477</v>
      </c>
      <c r="O105" s="2" t="s">
        <v>153</v>
      </c>
      <c r="P105" s="2" t="s">
        <v>1724</v>
      </c>
      <c r="Q105" s="2" t="s">
        <v>430</v>
      </c>
      <c r="R105" s="2" t="s">
        <v>423</v>
      </c>
      <c r="S105" s="2" t="s">
        <v>44</v>
      </c>
      <c r="T105" s="153">
        <v>1.9950000000000001</v>
      </c>
      <c r="U105" s="2" t="s">
        <v>2022</v>
      </c>
      <c r="V105" s="166">
        <v>2.3E-2</v>
      </c>
      <c r="W105" s="168">
        <v>5.5800000000000002E-2</v>
      </c>
      <c r="X105" s="4" t="s">
        <v>429</v>
      </c>
      <c r="Y105" s="4" t="s">
        <v>153</v>
      </c>
      <c r="Z105" s="153">
        <v>1422580.64</v>
      </c>
      <c r="AA105" s="162">
        <v>1</v>
      </c>
      <c r="AB105" s="179">
        <v>94.07</v>
      </c>
      <c r="AD105" s="153">
        <v>1338.222</v>
      </c>
      <c r="AG105" s="2" t="s">
        <v>36</v>
      </c>
      <c r="AH105" s="168">
        <v>1.315E-3</v>
      </c>
      <c r="AI105" s="168">
        <v>8.7109929982168606E-3</v>
      </c>
      <c r="AJ105" s="168">
        <v>1.2352878739230601E-3</v>
      </c>
    </row>
    <row r="106" spans="1:36">
      <c r="A106" s="2">
        <v>158</v>
      </c>
      <c r="B106" s="2">
        <v>9935</v>
      </c>
      <c r="C106" s="2" t="s">
        <v>1852</v>
      </c>
      <c r="D106" s="2" t="s">
        <v>1853</v>
      </c>
      <c r="E106" s="4" t="s">
        <v>1343</v>
      </c>
      <c r="F106" s="2" t="s">
        <v>2023</v>
      </c>
      <c r="G106" s="2" t="s">
        <v>2024</v>
      </c>
      <c r="H106" s="2" t="s">
        <v>338</v>
      </c>
      <c r="I106" s="2" t="s">
        <v>772</v>
      </c>
      <c r="J106" s="2" t="s">
        <v>30</v>
      </c>
      <c r="K106" s="2" t="s">
        <v>30</v>
      </c>
      <c r="L106" s="2" t="s">
        <v>344</v>
      </c>
      <c r="M106" s="2" t="s">
        <v>56</v>
      </c>
      <c r="N106" s="2" t="s">
        <v>491</v>
      </c>
      <c r="O106" s="2" t="s">
        <v>153</v>
      </c>
      <c r="P106" s="2" t="s">
        <v>1718</v>
      </c>
      <c r="Q106" s="2" t="s">
        <v>430</v>
      </c>
      <c r="R106" s="2" t="s">
        <v>423</v>
      </c>
      <c r="S106" s="2" t="s">
        <v>44</v>
      </c>
      <c r="T106" s="153">
        <v>2.9209999999999998</v>
      </c>
      <c r="U106" s="2" t="s">
        <v>1856</v>
      </c>
      <c r="V106" s="166">
        <v>2.9899999999999999E-2</v>
      </c>
      <c r="W106" s="168">
        <v>2.2720000000000001E-2</v>
      </c>
      <c r="X106" s="4" t="s">
        <v>429</v>
      </c>
      <c r="Y106" s="4" t="s">
        <v>153</v>
      </c>
      <c r="Z106" s="153">
        <v>1087596.68</v>
      </c>
      <c r="AA106" s="162">
        <v>1</v>
      </c>
      <c r="AB106" s="179">
        <v>117.4</v>
      </c>
      <c r="AC106" s="153">
        <v>295.27499999999998</v>
      </c>
      <c r="AD106" s="153">
        <v>1572.114</v>
      </c>
      <c r="AG106" s="2" t="s">
        <v>36</v>
      </c>
      <c r="AH106" s="168">
        <v>6.1399999999999996E-3</v>
      </c>
      <c r="AI106" s="168">
        <v>1.02334855886806E-2</v>
      </c>
      <c r="AJ106" s="168">
        <v>1.45118939462484E-3</v>
      </c>
    </row>
    <row r="107" spans="1:36">
      <c r="A107" s="2">
        <v>158</v>
      </c>
      <c r="B107" s="2">
        <v>9935</v>
      </c>
      <c r="C107" s="2" t="s">
        <v>1852</v>
      </c>
      <c r="D107" s="2" t="s">
        <v>1853</v>
      </c>
      <c r="E107" s="4" t="s">
        <v>1343</v>
      </c>
      <c r="F107" s="2" t="s">
        <v>1854</v>
      </c>
      <c r="G107" s="2" t="s">
        <v>1855</v>
      </c>
      <c r="H107" s="2" t="s">
        <v>338</v>
      </c>
      <c r="I107" s="2" t="s">
        <v>985</v>
      </c>
      <c r="J107" s="2" t="s">
        <v>30</v>
      </c>
      <c r="K107" s="2" t="s">
        <v>30</v>
      </c>
      <c r="L107" s="2" t="s">
        <v>344</v>
      </c>
      <c r="M107" s="2" t="s">
        <v>56</v>
      </c>
      <c r="N107" s="2" t="s">
        <v>491</v>
      </c>
      <c r="O107" s="2" t="s">
        <v>153</v>
      </c>
      <c r="P107" s="2" t="s">
        <v>1718</v>
      </c>
      <c r="Q107" s="2" t="s">
        <v>430</v>
      </c>
      <c r="R107" s="2" t="s">
        <v>423</v>
      </c>
      <c r="S107" s="2" t="s">
        <v>44</v>
      </c>
      <c r="T107" s="153">
        <v>2.863</v>
      </c>
      <c r="U107" s="2" t="s">
        <v>1856</v>
      </c>
      <c r="V107" s="166">
        <v>5.0900000000000001E-2</v>
      </c>
      <c r="W107" s="168">
        <v>5.2699999999999997E-2</v>
      </c>
      <c r="X107" s="4" t="s">
        <v>429</v>
      </c>
      <c r="Y107" s="4" t="s">
        <v>153</v>
      </c>
      <c r="Z107" s="153">
        <v>1699992.71</v>
      </c>
      <c r="AA107" s="162">
        <v>1</v>
      </c>
      <c r="AB107" s="179">
        <v>99.41</v>
      </c>
      <c r="AC107" s="153">
        <v>443.834</v>
      </c>
      <c r="AD107" s="153">
        <v>2133.797</v>
      </c>
      <c r="AG107" s="2" t="s">
        <v>36</v>
      </c>
      <c r="AH107" s="168">
        <v>2.7439999999999999E-3</v>
      </c>
      <c r="AI107" s="168">
        <v>1.38896945373635E-2</v>
      </c>
      <c r="AJ107" s="168">
        <v>1.9696688125007801E-3</v>
      </c>
    </row>
    <row r="108" spans="1:36">
      <c r="A108" s="2">
        <v>158</v>
      </c>
      <c r="B108" s="2">
        <v>9935</v>
      </c>
      <c r="C108" s="2" t="s">
        <v>2025</v>
      </c>
      <c r="D108" s="2" t="s">
        <v>2026</v>
      </c>
      <c r="E108" s="4" t="s">
        <v>1343</v>
      </c>
      <c r="F108" s="2" t="s">
        <v>2027</v>
      </c>
      <c r="G108" s="2" t="s">
        <v>2028</v>
      </c>
      <c r="H108" s="2" t="s">
        <v>338</v>
      </c>
      <c r="I108" s="2" t="s">
        <v>985</v>
      </c>
      <c r="J108" s="2" t="s">
        <v>30</v>
      </c>
      <c r="K108" s="2" t="s">
        <v>30</v>
      </c>
      <c r="L108" s="2" t="s">
        <v>344</v>
      </c>
      <c r="M108" s="2" t="s">
        <v>56</v>
      </c>
      <c r="N108" s="2" t="s">
        <v>462</v>
      </c>
      <c r="O108" s="2" t="s">
        <v>153</v>
      </c>
      <c r="P108" s="2" t="s">
        <v>98</v>
      </c>
      <c r="Q108" s="2" t="s">
        <v>430</v>
      </c>
      <c r="R108" s="2" t="s">
        <v>423</v>
      </c>
      <c r="S108" s="2" t="s">
        <v>44</v>
      </c>
      <c r="T108" s="153">
        <v>0.499</v>
      </c>
      <c r="U108" s="2" t="s">
        <v>2029</v>
      </c>
      <c r="V108" s="166">
        <v>6.2300000000000001E-2</v>
      </c>
      <c r="W108" s="168">
        <v>6.3450000000000006E-2</v>
      </c>
      <c r="X108" s="4" t="s">
        <v>429</v>
      </c>
      <c r="Y108" s="4" t="s">
        <v>153</v>
      </c>
      <c r="Z108" s="153">
        <v>592006.5</v>
      </c>
      <c r="AA108" s="162">
        <v>1</v>
      </c>
      <c r="AB108" s="179">
        <v>100</v>
      </c>
      <c r="AC108" s="153">
        <v>18.440999999999999</v>
      </c>
      <c r="AD108" s="153">
        <v>610.447</v>
      </c>
      <c r="AG108" s="2" t="s">
        <v>36</v>
      </c>
      <c r="AH108" s="168">
        <v>3.7230000000000002E-3</v>
      </c>
      <c r="AI108" s="168">
        <v>3.9736347599673904E-3</v>
      </c>
      <c r="AJ108" s="168">
        <v>5.6349291468741399E-4</v>
      </c>
    </row>
    <row r="109" spans="1:36">
      <c r="A109" s="2">
        <v>158</v>
      </c>
      <c r="B109" s="2">
        <v>9935</v>
      </c>
      <c r="C109" s="2" t="s">
        <v>1857</v>
      </c>
      <c r="D109" s="2" t="s">
        <v>1858</v>
      </c>
      <c r="E109" s="4" t="s">
        <v>1343</v>
      </c>
      <c r="F109" s="2" t="s">
        <v>1859</v>
      </c>
      <c r="G109" s="2" t="s">
        <v>1860</v>
      </c>
      <c r="H109" s="2" t="s">
        <v>338</v>
      </c>
      <c r="I109" s="2" t="s">
        <v>985</v>
      </c>
      <c r="J109" s="2" t="s">
        <v>30</v>
      </c>
      <c r="K109" s="2" t="s">
        <v>30</v>
      </c>
      <c r="L109" s="2" t="s">
        <v>344</v>
      </c>
      <c r="M109" s="2" t="s">
        <v>56</v>
      </c>
      <c r="N109" s="2" t="s">
        <v>455</v>
      </c>
      <c r="O109" s="2" t="s">
        <v>153</v>
      </c>
      <c r="P109" s="2" t="s">
        <v>1746</v>
      </c>
      <c r="Q109" s="2" t="s">
        <v>110</v>
      </c>
      <c r="R109" s="2" t="s">
        <v>423</v>
      </c>
      <c r="S109" s="2" t="s">
        <v>44</v>
      </c>
      <c r="T109" s="153">
        <v>4.2539999999999996</v>
      </c>
      <c r="U109" s="2" t="s">
        <v>1861</v>
      </c>
      <c r="V109" s="166">
        <v>6.7699999999999996E-2</v>
      </c>
      <c r="W109" s="168">
        <v>6.6390000000000005E-2</v>
      </c>
      <c r="X109" s="4" t="s">
        <v>429</v>
      </c>
      <c r="Y109" s="4" t="s">
        <v>153</v>
      </c>
      <c r="Z109" s="153">
        <v>900000</v>
      </c>
      <c r="AA109" s="162">
        <v>1</v>
      </c>
      <c r="AB109" s="179">
        <v>102.69</v>
      </c>
      <c r="AD109" s="153">
        <v>924.21</v>
      </c>
      <c r="AG109" s="2" t="s">
        <v>36</v>
      </c>
      <c r="AH109" s="168">
        <v>1.1999999999999999E-3</v>
      </c>
      <c r="AI109" s="168">
        <v>6.0160341085997698E-3</v>
      </c>
      <c r="AJ109" s="168">
        <v>8.5312133587778704E-4</v>
      </c>
    </row>
    <row r="110" spans="1:36">
      <c r="A110" s="2">
        <v>158</v>
      </c>
      <c r="B110" s="2">
        <v>9935</v>
      </c>
      <c r="C110" s="2" t="s">
        <v>2030</v>
      </c>
      <c r="D110" s="2" t="s">
        <v>2031</v>
      </c>
      <c r="E110" s="4" t="s">
        <v>1343</v>
      </c>
      <c r="F110" s="2" t="s">
        <v>2032</v>
      </c>
      <c r="G110" s="2" t="s">
        <v>2033</v>
      </c>
      <c r="H110" s="2" t="s">
        <v>338</v>
      </c>
      <c r="I110" s="2" t="s">
        <v>773</v>
      </c>
      <c r="J110" s="2" t="s">
        <v>30</v>
      </c>
      <c r="K110" s="2" t="s">
        <v>30</v>
      </c>
      <c r="L110" s="2" t="s">
        <v>344</v>
      </c>
      <c r="M110" s="2" t="s">
        <v>56</v>
      </c>
      <c r="N110" s="2" t="s">
        <v>469</v>
      </c>
      <c r="O110" s="2" t="s">
        <v>153</v>
      </c>
      <c r="P110" s="2" t="s">
        <v>32</v>
      </c>
      <c r="Q110" s="2" t="s">
        <v>110</v>
      </c>
      <c r="R110" s="2" t="s">
        <v>423</v>
      </c>
      <c r="S110" s="2" t="s">
        <v>44</v>
      </c>
      <c r="T110" s="153">
        <v>2.9740000000000002</v>
      </c>
      <c r="U110" s="2" t="s">
        <v>2034</v>
      </c>
      <c r="V110" s="166">
        <v>4.6899999999999997E-2</v>
      </c>
      <c r="W110" s="168">
        <v>7.6020000000000004E-2</v>
      </c>
      <c r="X110" s="4" t="s">
        <v>429</v>
      </c>
      <c r="Y110" s="4" t="s">
        <v>153</v>
      </c>
      <c r="Z110" s="153">
        <v>1983079.75</v>
      </c>
      <c r="AA110" s="162">
        <v>1</v>
      </c>
      <c r="AB110" s="179">
        <v>97.95</v>
      </c>
      <c r="AD110" s="153">
        <v>1942.4269999999999</v>
      </c>
      <c r="AG110" s="2" t="s">
        <v>36</v>
      </c>
      <c r="AH110" s="168">
        <v>1.4679999999999999E-3</v>
      </c>
      <c r="AI110" s="168">
        <v>1.26439929994741E-2</v>
      </c>
      <c r="AJ110" s="168">
        <v>1.79301845764492E-3</v>
      </c>
    </row>
    <row r="111" spans="1:36">
      <c r="A111" s="2">
        <v>158</v>
      </c>
      <c r="B111" s="2">
        <v>9935</v>
      </c>
      <c r="C111" s="2" t="s">
        <v>1878</v>
      </c>
      <c r="D111" s="2" t="s">
        <v>1879</v>
      </c>
      <c r="E111" s="4" t="s">
        <v>1343</v>
      </c>
      <c r="F111" s="2" t="s">
        <v>1880</v>
      </c>
      <c r="G111" s="2" t="s">
        <v>1881</v>
      </c>
      <c r="H111" s="2" t="s">
        <v>338</v>
      </c>
      <c r="I111" s="2" t="s">
        <v>772</v>
      </c>
      <c r="J111" s="2" t="s">
        <v>30</v>
      </c>
      <c r="K111" s="2" t="s">
        <v>30</v>
      </c>
      <c r="L111" s="2" t="s">
        <v>344</v>
      </c>
      <c r="M111" s="2" t="s">
        <v>56</v>
      </c>
      <c r="N111" s="2" t="s">
        <v>462</v>
      </c>
      <c r="O111" s="2" t="s">
        <v>153</v>
      </c>
      <c r="P111" s="2" t="s">
        <v>1746</v>
      </c>
      <c r="Q111" s="2" t="s">
        <v>430</v>
      </c>
      <c r="R111" s="2" t="s">
        <v>423</v>
      </c>
      <c r="S111" s="2" t="s">
        <v>44</v>
      </c>
      <c r="T111" s="153">
        <v>2.82</v>
      </c>
      <c r="U111" s="2" t="s">
        <v>1882</v>
      </c>
      <c r="V111" s="166">
        <v>3.85E-2</v>
      </c>
      <c r="W111" s="168">
        <v>3.2169999999999997E-2</v>
      </c>
      <c r="X111" s="4" t="s">
        <v>429</v>
      </c>
      <c r="Y111" s="4" t="s">
        <v>153</v>
      </c>
      <c r="Z111" s="153">
        <v>330000</v>
      </c>
      <c r="AA111" s="162">
        <v>1</v>
      </c>
      <c r="AB111" s="179">
        <v>108.99</v>
      </c>
      <c r="AD111" s="153">
        <v>359.66699999999997</v>
      </c>
      <c r="AG111" s="2" t="s">
        <v>36</v>
      </c>
      <c r="AH111" s="168">
        <v>1.1000000000000001E-3</v>
      </c>
      <c r="AI111" s="168">
        <v>2.34120918377615E-3</v>
      </c>
      <c r="AJ111" s="168">
        <v>3.3200202498475002E-4</v>
      </c>
    </row>
    <row r="112" spans="1:36">
      <c r="A112" s="2">
        <v>158</v>
      </c>
      <c r="B112" s="2">
        <v>9935</v>
      </c>
      <c r="C112" s="2" t="s">
        <v>1878</v>
      </c>
      <c r="D112" s="2" t="s">
        <v>1879</v>
      </c>
      <c r="E112" s="4" t="s">
        <v>1343</v>
      </c>
      <c r="F112" s="2" t="s">
        <v>2035</v>
      </c>
      <c r="G112" s="2" t="s">
        <v>1881</v>
      </c>
      <c r="H112" s="2" t="s">
        <v>338</v>
      </c>
      <c r="I112" s="2" t="s">
        <v>772</v>
      </c>
      <c r="J112" s="2" t="s">
        <v>30</v>
      </c>
      <c r="K112" s="2" t="s">
        <v>30</v>
      </c>
      <c r="L112" s="2" t="s">
        <v>346</v>
      </c>
      <c r="M112" s="2" t="s">
        <v>56</v>
      </c>
      <c r="N112" s="2" t="s">
        <v>462</v>
      </c>
      <c r="O112" s="2" t="s">
        <v>153</v>
      </c>
      <c r="P112" s="2" t="s">
        <v>1746</v>
      </c>
      <c r="Q112" s="2" t="s">
        <v>430</v>
      </c>
      <c r="R112" s="2" t="s">
        <v>423</v>
      </c>
      <c r="S112" s="2" t="s">
        <v>44</v>
      </c>
      <c r="T112" s="153">
        <v>3.45</v>
      </c>
      <c r="U112" s="2" t="s">
        <v>1882</v>
      </c>
      <c r="V112" s="166">
        <v>3.85E-2</v>
      </c>
      <c r="W112" s="168">
        <v>2.9700000000000001E-2</v>
      </c>
      <c r="X112" s="4" t="s">
        <v>429</v>
      </c>
      <c r="Y112" s="4" t="s">
        <v>153</v>
      </c>
      <c r="Z112" s="153">
        <v>416000</v>
      </c>
      <c r="AA112" s="162">
        <v>1</v>
      </c>
      <c r="AB112" s="179">
        <v>106.79</v>
      </c>
      <c r="AD112" s="153">
        <v>444.24599999999998</v>
      </c>
      <c r="AG112" s="2" t="s">
        <v>36</v>
      </c>
      <c r="AH112" s="168">
        <v>2.3500000000000001E-3</v>
      </c>
      <c r="AI112" s="168">
        <v>2.8917686402686201E-3</v>
      </c>
      <c r="AJ112" s="168">
        <v>4.1007572113145E-4</v>
      </c>
    </row>
    <row r="113" spans="1:36">
      <c r="A113" s="2">
        <v>158</v>
      </c>
      <c r="B113" s="2">
        <v>9935</v>
      </c>
      <c r="C113" s="2" t="s">
        <v>2036</v>
      </c>
      <c r="D113" s="2" t="s">
        <v>2037</v>
      </c>
      <c r="E113" s="4" t="s">
        <v>1343</v>
      </c>
      <c r="F113" s="2" t="s">
        <v>2038</v>
      </c>
      <c r="G113" s="2" t="s">
        <v>2039</v>
      </c>
      <c r="H113" s="2" t="s">
        <v>338</v>
      </c>
      <c r="I113" s="2" t="s">
        <v>772</v>
      </c>
      <c r="J113" s="2" t="s">
        <v>30</v>
      </c>
      <c r="K113" s="2" t="s">
        <v>30</v>
      </c>
      <c r="L113" s="2" t="s">
        <v>344</v>
      </c>
      <c r="M113" s="2" t="s">
        <v>56</v>
      </c>
      <c r="N113" s="2" t="s">
        <v>471</v>
      </c>
      <c r="O113" s="2" t="s">
        <v>153</v>
      </c>
      <c r="P113" s="2" t="s">
        <v>1724</v>
      </c>
      <c r="Q113" s="2" t="s">
        <v>430</v>
      </c>
      <c r="R113" s="2" t="s">
        <v>423</v>
      </c>
      <c r="S113" s="2" t="s">
        <v>44</v>
      </c>
      <c r="T113" s="153">
        <v>4.1390000000000002</v>
      </c>
      <c r="U113" s="2" t="s">
        <v>2040</v>
      </c>
      <c r="V113" s="166">
        <v>5.1499999999999997E-2</v>
      </c>
      <c r="W113" s="168">
        <v>5.1479999999999998E-2</v>
      </c>
      <c r="X113" s="4" t="s">
        <v>429</v>
      </c>
      <c r="Y113" s="4" t="s">
        <v>153</v>
      </c>
      <c r="Z113" s="153">
        <v>0.7</v>
      </c>
      <c r="AA113" s="162">
        <v>1</v>
      </c>
      <c r="AB113" s="179">
        <v>141.9</v>
      </c>
      <c r="AD113" s="153">
        <v>1E-3</v>
      </c>
      <c r="AG113" s="2" t="s">
        <v>36</v>
      </c>
      <c r="AH113" s="168">
        <v>0</v>
      </c>
      <c r="AI113" s="168">
        <v>6.4657671742051609E-9</v>
      </c>
      <c r="AJ113" s="168">
        <v>9.1689705037535305E-10</v>
      </c>
    </row>
    <row r="114" spans="1:36">
      <c r="A114" s="2">
        <v>158</v>
      </c>
      <c r="B114" s="2">
        <v>9935</v>
      </c>
      <c r="C114" s="2" t="s">
        <v>1714</v>
      </c>
      <c r="D114" s="2" t="s">
        <v>1715</v>
      </c>
      <c r="E114" s="4" t="s">
        <v>1343</v>
      </c>
      <c r="F114" s="2" t="s">
        <v>1716</v>
      </c>
      <c r="G114" s="2" t="s">
        <v>1717</v>
      </c>
      <c r="H114" s="2" t="s">
        <v>338</v>
      </c>
      <c r="I114" s="2" t="s">
        <v>772</v>
      </c>
      <c r="J114" s="2" t="s">
        <v>30</v>
      </c>
      <c r="K114" s="2" t="s">
        <v>30</v>
      </c>
      <c r="L114" s="2" t="s">
        <v>344</v>
      </c>
      <c r="M114" s="2" t="s">
        <v>56</v>
      </c>
      <c r="N114" s="2" t="s">
        <v>479</v>
      </c>
      <c r="O114" s="2" t="s">
        <v>153</v>
      </c>
      <c r="P114" s="2" t="s">
        <v>1718</v>
      </c>
      <c r="Q114" s="2" t="s">
        <v>430</v>
      </c>
      <c r="R114" s="2" t="s">
        <v>423</v>
      </c>
      <c r="S114" s="2" t="s">
        <v>44</v>
      </c>
      <c r="T114" s="153">
        <v>2.012</v>
      </c>
      <c r="U114" s="2" t="s">
        <v>102</v>
      </c>
      <c r="V114" s="166">
        <v>2.3400000000000001E-2</v>
      </c>
      <c r="W114" s="168">
        <v>2.664E-2</v>
      </c>
      <c r="X114" s="4" t="s">
        <v>429</v>
      </c>
      <c r="Y114" s="4" t="s">
        <v>153</v>
      </c>
      <c r="Z114" s="153">
        <v>2139019.09</v>
      </c>
      <c r="AA114" s="162">
        <v>1</v>
      </c>
      <c r="AB114" s="179">
        <v>115.87</v>
      </c>
      <c r="AD114" s="153">
        <v>2478.4810000000002</v>
      </c>
      <c r="AG114" s="2" t="s">
        <v>36</v>
      </c>
      <c r="AH114" s="168">
        <v>1.0139999999999999E-3</v>
      </c>
      <c r="AI114" s="168">
        <v>1.6133377433421098E-2</v>
      </c>
      <c r="AJ114" s="168">
        <v>2.2878408366311998E-3</v>
      </c>
    </row>
    <row r="115" spans="1:36">
      <c r="A115" s="2">
        <v>158</v>
      </c>
      <c r="B115" s="2">
        <v>9935</v>
      </c>
      <c r="C115" s="2" t="s">
        <v>1519</v>
      </c>
      <c r="D115" s="2" t="s">
        <v>1520</v>
      </c>
      <c r="E115" s="4" t="s">
        <v>1343</v>
      </c>
      <c r="F115" s="2" t="s">
        <v>1726</v>
      </c>
      <c r="G115" s="2" t="s">
        <v>1727</v>
      </c>
      <c r="H115" s="2" t="s">
        <v>338</v>
      </c>
      <c r="I115" s="2" t="s">
        <v>985</v>
      </c>
      <c r="J115" s="2" t="s">
        <v>30</v>
      </c>
      <c r="K115" s="2" t="s">
        <v>30</v>
      </c>
      <c r="L115" s="2" t="s">
        <v>344</v>
      </c>
      <c r="M115" s="2" t="s">
        <v>56</v>
      </c>
      <c r="N115" s="2" t="s">
        <v>479</v>
      </c>
      <c r="O115" s="2" t="s">
        <v>153</v>
      </c>
      <c r="P115" s="2" t="s">
        <v>1724</v>
      </c>
      <c r="Q115" s="2" t="s">
        <v>430</v>
      </c>
      <c r="R115" s="2" t="s">
        <v>423</v>
      </c>
      <c r="S115" s="2" t="s">
        <v>44</v>
      </c>
      <c r="T115" s="153">
        <v>3.9049999999999998</v>
      </c>
      <c r="U115" s="2" t="s">
        <v>1728</v>
      </c>
      <c r="V115" s="166">
        <v>2.41E-2</v>
      </c>
      <c r="W115" s="168">
        <v>6.3320000000000001E-2</v>
      </c>
      <c r="X115" s="4" t="s">
        <v>429</v>
      </c>
      <c r="Y115" s="4" t="s">
        <v>153</v>
      </c>
      <c r="Z115" s="153">
        <v>1638000</v>
      </c>
      <c r="AA115" s="162">
        <v>1</v>
      </c>
      <c r="AB115" s="179">
        <v>86.08</v>
      </c>
      <c r="AD115" s="153">
        <v>1409.99</v>
      </c>
      <c r="AG115" s="2" t="s">
        <v>36</v>
      </c>
      <c r="AH115" s="168">
        <v>7.9699999999999997E-4</v>
      </c>
      <c r="AI115" s="168">
        <v>9.1781633386332495E-3</v>
      </c>
      <c r="AJ115" s="168">
        <v>1.3015363322436001E-3</v>
      </c>
    </row>
    <row r="116" spans="1:36">
      <c r="A116" s="2">
        <v>158</v>
      </c>
      <c r="B116" s="2">
        <v>9935</v>
      </c>
      <c r="C116" s="2" t="s">
        <v>1729</v>
      </c>
      <c r="D116" s="2" t="s">
        <v>1730</v>
      </c>
      <c r="E116" s="4" t="s">
        <v>1343</v>
      </c>
      <c r="F116" s="2" t="s">
        <v>1731</v>
      </c>
      <c r="G116" s="2" t="s">
        <v>1732</v>
      </c>
      <c r="H116" s="2" t="s">
        <v>338</v>
      </c>
      <c r="I116" s="2" t="s">
        <v>985</v>
      </c>
      <c r="J116" s="2" t="s">
        <v>30</v>
      </c>
      <c r="K116" s="2" t="s">
        <v>30</v>
      </c>
      <c r="L116" s="2" t="s">
        <v>344</v>
      </c>
      <c r="M116" s="2" t="s">
        <v>56</v>
      </c>
      <c r="N116" s="2" t="s">
        <v>466</v>
      </c>
      <c r="O116" s="2" t="s">
        <v>153</v>
      </c>
      <c r="P116" s="2" t="s">
        <v>32</v>
      </c>
      <c r="Q116" s="2" t="s">
        <v>430</v>
      </c>
      <c r="R116" s="2" t="s">
        <v>423</v>
      </c>
      <c r="S116" s="2" t="s">
        <v>44</v>
      </c>
      <c r="T116" s="153">
        <v>2.2240000000000002</v>
      </c>
      <c r="U116" s="2" t="s">
        <v>1733</v>
      </c>
      <c r="V116" s="166">
        <v>0.04</v>
      </c>
      <c r="W116" s="168">
        <v>5.774E-2</v>
      </c>
      <c r="X116" s="4" t="s">
        <v>429</v>
      </c>
      <c r="Y116" s="4" t="s">
        <v>153</v>
      </c>
      <c r="Z116" s="153">
        <v>1100000</v>
      </c>
      <c r="AA116" s="162">
        <v>1</v>
      </c>
      <c r="AB116" s="179">
        <v>96.04</v>
      </c>
      <c r="AD116" s="153">
        <v>1056.44</v>
      </c>
      <c r="AG116" s="2" t="s">
        <v>36</v>
      </c>
      <c r="AH116" s="168">
        <v>1.624E-3</v>
      </c>
      <c r="AI116" s="168">
        <v>6.8767694286895201E-3</v>
      </c>
      <c r="AJ116" s="168">
        <v>9.7518042877130597E-4</v>
      </c>
    </row>
    <row r="117" spans="1:36">
      <c r="A117" s="2">
        <v>158</v>
      </c>
      <c r="B117" s="2">
        <v>9935</v>
      </c>
      <c r="C117" s="2" t="s">
        <v>1527</v>
      </c>
      <c r="D117" s="2" t="s">
        <v>1528</v>
      </c>
      <c r="E117" s="4" t="s">
        <v>1343</v>
      </c>
      <c r="F117" s="2" t="s">
        <v>1950</v>
      </c>
      <c r="G117" s="2" t="s">
        <v>1951</v>
      </c>
      <c r="H117" s="2" t="s">
        <v>338</v>
      </c>
      <c r="I117" s="2" t="s">
        <v>985</v>
      </c>
      <c r="J117" s="2" t="s">
        <v>30</v>
      </c>
      <c r="K117" s="2" t="s">
        <v>107</v>
      </c>
      <c r="L117" s="2" t="s">
        <v>344</v>
      </c>
      <c r="M117" s="2" t="s">
        <v>56</v>
      </c>
      <c r="N117" s="2" t="s">
        <v>456</v>
      </c>
      <c r="O117" s="2" t="s">
        <v>153</v>
      </c>
      <c r="P117" s="2" t="s">
        <v>98</v>
      </c>
      <c r="Q117" s="2" t="s">
        <v>110</v>
      </c>
      <c r="R117" s="2" t="s">
        <v>423</v>
      </c>
      <c r="S117" s="2" t="s">
        <v>44</v>
      </c>
      <c r="T117" s="153">
        <v>1.736</v>
      </c>
      <c r="U117" s="2" t="s">
        <v>1952</v>
      </c>
      <c r="V117" s="166">
        <v>3.4500000000000003E-2</v>
      </c>
      <c r="W117" s="168">
        <v>5.7250000000000002E-2</v>
      </c>
      <c r="X117" s="4" t="s">
        <v>429</v>
      </c>
      <c r="Y117" s="4" t="s">
        <v>153</v>
      </c>
      <c r="Z117" s="153">
        <v>1020000</v>
      </c>
      <c r="AA117" s="162">
        <v>1</v>
      </c>
      <c r="AB117" s="179">
        <v>96.61</v>
      </c>
      <c r="AD117" s="153">
        <v>985.42200000000003</v>
      </c>
      <c r="AG117" s="2" t="s">
        <v>36</v>
      </c>
      <c r="AH117" s="168">
        <v>1.5870000000000001E-3</v>
      </c>
      <c r="AI117" s="168">
        <v>6.4144862784049099E-3</v>
      </c>
      <c r="AJ117" s="168">
        <v>9.0962501276047698E-4</v>
      </c>
    </row>
    <row r="118" spans="1:36">
      <c r="A118" s="2">
        <v>158</v>
      </c>
      <c r="B118" s="2">
        <v>9935</v>
      </c>
      <c r="C118" s="2" t="s">
        <v>1527</v>
      </c>
      <c r="D118" s="2" t="s">
        <v>1528</v>
      </c>
      <c r="E118" s="4" t="s">
        <v>1343</v>
      </c>
      <c r="F118" s="2" t="s">
        <v>2041</v>
      </c>
      <c r="G118" s="2" t="s">
        <v>2042</v>
      </c>
      <c r="H118" s="2" t="s">
        <v>338</v>
      </c>
      <c r="I118" s="2" t="s">
        <v>985</v>
      </c>
      <c r="J118" s="2" t="s">
        <v>30</v>
      </c>
      <c r="K118" s="2" t="s">
        <v>107</v>
      </c>
      <c r="L118" s="2" t="s">
        <v>344</v>
      </c>
      <c r="M118" s="2" t="s">
        <v>56</v>
      </c>
      <c r="N118" s="2" t="s">
        <v>456</v>
      </c>
      <c r="O118" s="2" t="s">
        <v>153</v>
      </c>
      <c r="P118" s="2" t="s">
        <v>98</v>
      </c>
      <c r="Q118" s="2" t="s">
        <v>110</v>
      </c>
      <c r="R118" s="2" t="s">
        <v>423</v>
      </c>
      <c r="S118" s="2" t="s">
        <v>44</v>
      </c>
      <c r="T118" s="153">
        <v>3.7589999999999999</v>
      </c>
      <c r="U118" s="2" t="s">
        <v>2043</v>
      </c>
      <c r="V118" s="166">
        <v>1.4999999999999999E-2</v>
      </c>
      <c r="W118" s="168">
        <v>5.9859999999999997E-2</v>
      </c>
      <c r="X118" s="4" t="s">
        <v>429</v>
      </c>
      <c r="Y118" s="4" t="s">
        <v>153</v>
      </c>
      <c r="Z118" s="153">
        <v>525000</v>
      </c>
      <c r="AA118" s="162">
        <v>1</v>
      </c>
      <c r="AB118" s="179">
        <v>85.02</v>
      </c>
      <c r="AD118" s="153">
        <v>446.35500000000002</v>
      </c>
      <c r="AG118" s="2" t="s">
        <v>36</v>
      </c>
      <c r="AH118" s="168">
        <v>1.3600000000000001E-3</v>
      </c>
      <c r="AI118" s="168">
        <v>2.9054943189795101E-3</v>
      </c>
      <c r="AJ118" s="168">
        <v>4.1202213119932599E-4</v>
      </c>
    </row>
    <row r="119" spans="1:36">
      <c r="A119" s="2">
        <v>158</v>
      </c>
      <c r="B119" s="2">
        <v>9935</v>
      </c>
      <c r="C119" s="2" t="s">
        <v>1531</v>
      </c>
      <c r="D119" s="2" t="s">
        <v>1532</v>
      </c>
      <c r="E119" s="4" t="s">
        <v>1343</v>
      </c>
      <c r="F119" s="2" t="s">
        <v>1953</v>
      </c>
      <c r="G119" s="2" t="s">
        <v>1954</v>
      </c>
      <c r="H119" s="2" t="s">
        <v>338</v>
      </c>
      <c r="I119" s="2" t="s">
        <v>985</v>
      </c>
      <c r="J119" s="2" t="s">
        <v>30</v>
      </c>
      <c r="K119" s="2" t="s">
        <v>30</v>
      </c>
      <c r="L119" s="2" t="s">
        <v>344</v>
      </c>
      <c r="M119" s="2" t="s">
        <v>56</v>
      </c>
      <c r="N119" s="2" t="s">
        <v>456</v>
      </c>
      <c r="O119" s="2" t="s">
        <v>153</v>
      </c>
      <c r="P119" s="2" t="s">
        <v>98</v>
      </c>
      <c r="Q119" s="2" t="s">
        <v>430</v>
      </c>
      <c r="R119" s="2" t="s">
        <v>423</v>
      </c>
      <c r="S119" s="2" t="s">
        <v>44</v>
      </c>
      <c r="T119" s="153">
        <v>2.859</v>
      </c>
      <c r="U119" s="2" t="s">
        <v>1955</v>
      </c>
      <c r="V119" s="166">
        <v>2.0500000000000001E-2</v>
      </c>
      <c r="W119" s="168">
        <v>5.9229999999999998E-2</v>
      </c>
      <c r="X119" s="4" t="s">
        <v>429</v>
      </c>
      <c r="Y119" s="4" t="s">
        <v>153</v>
      </c>
      <c r="Z119" s="153">
        <v>876923.18</v>
      </c>
      <c r="AA119" s="162">
        <v>1</v>
      </c>
      <c r="AB119" s="179">
        <v>90.04</v>
      </c>
      <c r="AD119" s="153">
        <v>789.58199999999999</v>
      </c>
      <c r="AG119" s="2" t="s">
        <v>36</v>
      </c>
      <c r="AH119" s="168">
        <v>1.9620000000000002E-3</v>
      </c>
      <c r="AI119" s="168">
        <v>5.1396868950305697E-3</v>
      </c>
      <c r="AJ119" s="168">
        <v>7.2884835270699397E-4</v>
      </c>
    </row>
    <row r="120" spans="1:36">
      <c r="A120" s="2">
        <v>158</v>
      </c>
      <c r="B120" s="2">
        <v>9935</v>
      </c>
      <c r="C120" s="2" t="s">
        <v>1883</v>
      </c>
      <c r="D120" s="2" t="s">
        <v>1884</v>
      </c>
      <c r="E120" s="4" t="s">
        <v>1343</v>
      </c>
      <c r="F120" s="2" t="s">
        <v>1885</v>
      </c>
      <c r="G120" s="2" t="s">
        <v>1886</v>
      </c>
      <c r="H120" s="2" t="s">
        <v>338</v>
      </c>
      <c r="I120" s="2" t="s">
        <v>772</v>
      </c>
      <c r="J120" s="2" t="s">
        <v>30</v>
      </c>
      <c r="K120" s="2" t="s">
        <v>30</v>
      </c>
      <c r="L120" s="2" t="s">
        <v>344</v>
      </c>
      <c r="M120" s="2" t="s">
        <v>56</v>
      </c>
      <c r="N120" s="2" t="s">
        <v>458</v>
      </c>
      <c r="O120" s="2" t="s">
        <v>153</v>
      </c>
      <c r="P120" s="2" t="s">
        <v>1746</v>
      </c>
      <c r="Q120" s="2" t="s">
        <v>110</v>
      </c>
      <c r="R120" s="2" t="s">
        <v>423</v>
      </c>
      <c r="S120" s="2" t="s">
        <v>44</v>
      </c>
      <c r="T120" s="153">
        <v>1.4570000000000001</v>
      </c>
      <c r="U120" s="2" t="s">
        <v>1887</v>
      </c>
      <c r="V120" s="166">
        <v>1.2500000000000001E-2</v>
      </c>
      <c r="W120" s="168">
        <v>4.3409999999999997E-2</v>
      </c>
      <c r="X120" s="4" t="s">
        <v>429</v>
      </c>
      <c r="Y120" s="4" t="s">
        <v>153</v>
      </c>
      <c r="Z120" s="153">
        <v>318666.67</v>
      </c>
      <c r="AA120" s="162">
        <v>1</v>
      </c>
      <c r="AB120" s="179">
        <v>104.83</v>
      </c>
      <c r="AD120" s="153">
        <v>334.05799999999999</v>
      </c>
      <c r="AG120" s="2" t="s">
        <v>36</v>
      </c>
      <c r="AH120" s="168">
        <v>1.7229999999999999E-3</v>
      </c>
      <c r="AI120" s="168">
        <v>2.17451222941584E-3</v>
      </c>
      <c r="AJ120" s="168">
        <v>3.08363075167738E-4</v>
      </c>
    </row>
    <row r="121" spans="1:36">
      <c r="A121" s="2">
        <v>158</v>
      </c>
      <c r="B121" s="2">
        <v>9935</v>
      </c>
      <c r="C121" s="2" t="s">
        <v>2044</v>
      </c>
      <c r="D121" s="2" t="s">
        <v>2045</v>
      </c>
      <c r="E121" s="4" t="s">
        <v>1343</v>
      </c>
      <c r="F121" s="2" t="s">
        <v>2046</v>
      </c>
      <c r="G121" s="2" t="s">
        <v>2047</v>
      </c>
      <c r="H121" s="2" t="s">
        <v>338</v>
      </c>
      <c r="I121" s="2" t="s">
        <v>772</v>
      </c>
      <c r="J121" s="2" t="s">
        <v>30</v>
      </c>
      <c r="K121" s="2" t="s">
        <v>30</v>
      </c>
      <c r="L121" s="2" t="s">
        <v>344</v>
      </c>
      <c r="M121" s="2" t="s">
        <v>56</v>
      </c>
      <c r="N121" s="2" t="s">
        <v>466</v>
      </c>
      <c r="O121" s="2" t="s">
        <v>153</v>
      </c>
      <c r="P121" s="2" t="s">
        <v>1746</v>
      </c>
      <c r="Q121" s="2" t="s">
        <v>430</v>
      </c>
      <c r="R121" s="2" t="s">
        <v>423</v>
      </c>
      <c r="S121" s="2" t="s">
        <v>44</v>
      </c>
      <c r="T121" s="153">
        <v>3.17</v>
      </c>
      <c r="U121" s="2" t="s">
        <v>2048</v>
      </c>
      <c r="V121" s="166">
        <v>2.8799999999999999E-2</v>
      </c>
      <c r="W121" s="168">
        <v>3.6900000000000002E-2</v>
      </c>
      <c r="X121" s="4" t="s">
        <v>429</v>
      </c>
      <c r="Y121" s="4" t="s">
        <v>153</v>
      </c>
      <c r="Z121" s="153">
        <v>723555.56</v>
      </c>
      <c r="AA121" s="162">
        <v>1</v>
      </c>
      <c r="AB121" s="179">
        <v>111.527</v>
      </c>
      <c r="AD121" s="153">
        <v>806.96</v>
      </c>
      <c r="AG121" s="2" t="s">
        <v>36</v>
      </c>
      <c r="AH121" s="168">
        <v>0</v>
      </c>
      <c r="AI121" s="168">
        <v>5.2528080605347199E-3</v>
      </c>
      <c r="AJ121" s="168">
        <v>7.4488983087830202E-4</v>
      </c>
    </row>
    <row r="122" spans="1:36">
      <c r="A122" s="2">
        <v>158</v>
      </c>
      <c r="B122" s="2">
        <v>9935</v>
      </c>
      <c r="C122" s="2" t="s">
        <v>1888</v>
      </c>
      <c r="D122" s="2" t="s">
        <v>1889</v>
      </c>
      <c r="E122" s="4" t="s">
        <v>330</v>
      </c>
      <c r="F122" s="2" t="s">
        <v>1890</v>
      </c>
      <c r="G122" s="2" t="s">
        <v>1891</v>
      </c>
      <c r="H122" s="2" t="s">
        <v>338</v>
      </c>
      <c r="I122" s="2" t="s">
        <v>985</v>
      </c>
      <c r="J122" s="2" t="s">
        <v>30</v>
      </c>
      <c r="K122" s="2" t="s">
        <v>30</v>
      </c>
      <c r="L122" s="2" t="s">
        <v>344</v>
      </c>
      <c r="M122" s="2" t="s">
        <v>56</v>
      </c>
      <c r="N122" s="2" t="s">
        <v>480</v>
      </c>
      <c r="O122" s="2" t="s">
        <v>153</v>
      </c>
      <c r="P122" s="2" t="s">
        <v>1746</v>
      </c>
      <c r="Q122" s="2" t="s">
        <v>110</v>
      </c>
      <c r="R122" s="2" t="s">
        <v>423</v>
      </c>
      <c r="S122" s="2" t="s">
        <v>44</v>
      </c>
      <c r="T122" s="153">
        <v>0.97099999999999997</v>
      </c>
      <c r="U122" s="2" t="s">
        <v>1892</v>
      </c>
      <c r="V122" s="166">
        <v>7.0000000000000007E-2</v>
      </c>
      <c r="W122" s="168">
        <v>7.2090000000000001E-2</v>
      </c>
      <c r="X122" s="4" t="s">
        <v>429</v>
      </c>
      <c r="Y122" s="4" t="s">
        <v>153</v>
      </c>
      <c r="Z122" s="153">
        <v>0.88</v>
      </c>
      <c r="AA122" s="162">
        <v>1</v>
      </c>
      <c r="AB122" s="179">
        <v>99.95</v>
      </c>
      <c r="AD122" s="153">
        <v>1E-3</v>
      </c>
      <c r="AG122" s="2" t="s">
        <v>36</v>
      </c>
      <c r="AH122" s="168">
        <v>0</v>
      </c>
      <c r="AI122" s="168">
        <v>5.7253902906915202E-9</v>
      </c>
      <c r="AJ122" s="168">
        <v>8.1190573807323702E-10</v>
      </c>
    </row>
    <row r="123" spans="1:36">
      <c r="A123" s="2">
        <v>158</v>
      </c>
      <c r="B123" s="2">
        <v>9935</v>
      </c>
      <c r="C123" s="2" t="s">
        <v>1888</v>
      </c>
      <c r="D123" s="2" t="s">
        <v>1889</v>
      </c>
      <c r="E123" s="4" t="s">
        <v>330</v>
      </c>
      <c r="F123" s="2" t="s">
        <v>1893</v>
      </c>
      <c r="G123" s="2" t="s">
        <v>1894</v>
      </c>
      <c r="H123" s="2" t="s">
        <v>338</v>
      </c>
      <c r="I123" s="2" t="s">
        <v>985</v>
      </c>
      <c r="J123" s="2" t="s">
        <v>30</v>
      </c>
      <c r="K123" s="2" t="s">
        <v>30</v>
      </c>
      <c r="L123" s="2" t="s">
        <v>346</v>
      </c>
      <c r="M123" s="2" t="s">
        <v>56</v>
      </c>
      <c r="N123" s="2" t="s">
        <v>462</v>
      </c>
      <c r="O123" s="2" t="s">
        <v>153</v>
      </c>
      <c r="P123" s="2" t="s">
        <v>1746</v>
      </c>
      <c r="Q123" s="2" t="s">
        <v>110</v>
      </c>
      <c r="R123" s="2" t="s">
        <v>423</v>
      </c>
      <c r="S123" s="2" t="s">
        <v>44</v>
      </c>
      <c r="T123" s="153">
        <v>3.15</v>
      </c>
      <c r="U123" s="2" t="s">
        <v>1895</v>
      </c>
      <c r="V123" s="166">
        <v>6.5000000000000002E-2</v>
      </c>
      <c r="W123" s="168">
        <v>8.9200000000000002E-2</v>
      </c>
      <c r="X123" s="4" t="s">
        <v>429</v>
      </c>
      <c r="Y123" s="4" t="s">
        <v>153</v>
      </c>
      <c r="Z123" s="153">
        <v>1381000</v>
      </c>
      <c r="AA123" s="162">
        <v>1</v>
      </c>
      <c r="AB123" s="179">
        <v>96.113</v>
      </c>
      <c r="AD123" s="153">
        <v>1327.3150000000001</v>
      </c>
      <c r="AG123" s="2" t="s">
        <v>36</v>
      </c>
      <c r="AH123" s="168">
        <v>0</v>
      </c>
      <c r="AI123" s="168">
        <v>8.6399977807557898E-3</v>
      </c>
      <c r="AJ123" s="168">
        <v>1.2252201891878999E-3</v>
      </c>
    </row>
    <row r="124" spans="1:36">
      <c r="A124" s="2">
        <v>158</v>
      </c>
      <c r="B124" s="2">
        <v>9935</v>
      </c>
      <c r="C124" s="2" t="s">
        <v>1714</v>
      </c>
      <c r="D124" s="2" t="s">
        <v>1715</v>
      </c>
      <c r="E124" s="4" t="s">
        <v>1343</v>
      </c>
      <c r="F124" s="2" t="s">
        <v>2049</v>
      </c>
      <c r="G124" s="2" t="s">
        <v>2050</v>
      </c>
      <c r="H124" s="2" t="s">
        <v>338</v>
      </c>
      <c r="I124" s="2" t="s">
        <v>772</v>
      </c>
      <c r="J124" s="2" t="s">
        <v>30</v>
      </c>
      <c r="K124" s="2" t="s">
        <v>30</v>
      </c>
      <c r="L124" s="2" t="s">
        <v>344</v>
      </c>
      <c r="M124" s="2" t="s">
        <v>56</v>
      </c>
      <c r="N124" s="2" t="s">
        <v>479</v>
      </c>
      <c r="O124" s="2" t="s">
        <v>153</v>
      </c>
      <c r="P124" s="2" t="s">
        <v>1718</v>
      </c>
      <c r="Q124" s="2" t="s">
        <v>430</v>
      </c>
      <c r="R124" s="2" t="s">
        <v>423</v>
      </c>
      <c r="S124" s="2" t="s">
        <v>44</v>
      </c>
      <c r="T124" s="153">
        <v>5.3609999999999998</v>
      </c>
      <c r="U124" s="2" t="s">
        <v>2051</v>
      </c>
      <c r="V124" s="166">
        <v>6.4999999999999997E-3</v>
      </c>
      <c r="W124" s="168">
        <v>3.3059999999999999E-2</v>
      </c>
      <c r="X124" s="4" t="s">
        <v>429</v>
      </c>
      <c r="Y124" s="4" t="s">
        <v>153</v>
      </c>
      <c r="Z124" s="153">
        <v>417469.88</v>
      </c>
      <c r="AA124" s="162">
        <v>1</v>
      </c>
      <c r="AB124" s="179">
        <v>99.45</v>
      </c>
      <c r="AD124" s="153">
        <v>415.17399999999998</v>
      </c>
      <c r="AG124" s="2" t="s">
        <v>36</v>
      </c>
      <c r="AH124" s="168">
        <v>1.85E-4</v>
      </c>
      <c r="AI124" s="168">
        <v>2.7025240104385298E-3</v>
      </c>
      <c r="AJ124" s="168">
        <v>3.8323933215926099E-4</v>
      </c>
    </row>
    <row r="125" spans="1:36">
      <c r="A125" s="2">
        <v>158</v>
      </c>
      <c r="B125" s="2">
        <v>9935</v>
      </c>
      <c r="C125" s="2" t="s">
        <v>1737</v>
      </c>
      <c r="D125" s="2" t="s">
        <v>1738</v>
      </c>
      <c r="E125" s="4" t="s">
        <v>1343</v>
      </c>
      <c r="F125" s="2" t="s">
        <v>2052</v>
      </c>
      <c r="G125" s="2" t="s">
        <v>2053</v>
      </c>
      <c r="H125" s="2" t="s">
        <v>338</v>
      </c>
      <c r="I125" s="2" t="s">
        <v>772</v>
      </c>
      <c r="J125" s="2" t="s">
        <v>30</v>
      </c>
      <c r="K125" s="2" t="s">
        <v>30</v>
      </c>
      <c r="L125" s="2" t="s">
        <v>344</v>
      </c>
      <c r="M125" s="2" t="s">
        <v>56</v>
      </c>
      <c r="N125" s="2" t="s">
        <v>479</v>
      </c>
      <c r="O125" s="2" t="s">
        <v>153</v>
      </c>
      <c r="P125" s="2" t="s">
        <v>1724</v>
      </c>
      <c r="Q125" s="2" t="s">
        <v>110</v>
      </c>
      <c r="R125" s="2" t="s">
        <v>423</v>
      </c>
      <c r="S125" s="2" t="s">
        <v>44</v>
      </c>
      <c r="T125" s="153">
        <v>4.4729999999999999</v>
      </c>
      <c r="U125" s="2" t="s">
        <v>2054</v>
      </c>
      <c r="V125" s="166">
        <v>1.17E-2</v>
      </c>
      <c r="W125" s="168">
        <v>3.1579999999999997E-2</v>
      </c>
      <c r="X125" s="4" t="s">
        <v>429</v>
      </c>
      <c r="Y125" s="4" t="s">
        <v>153</v>
      </c>
      <c r="Z125" s="153">
        <v>282240</v>
      </c>
      <c r="AA125" s="162">
        <v>1</v>
      </c>
      <c r="AB125" s="179">
        <v>105.29</v>
      </c>
      <c r="AD125" s="153">
        <v>297.17</v>
      </c>
      <c r="AG125" s="2" t="s">
        <v>36</v>
      </c>
      <c r="AH125" s="168">
        <v>4.0999999999999999E-4</v>
      </c>
      <c r="AI125" s="168">
        <v>1.9343956892973601E-3</v>
      </c>
      <c r="AJ125" s="168">
        <v>2.74312645968973E-4</v>
      </c>
    </row>
    <row r="126" spans="1:36">
      <c r="A126" s="2">
        <v>158</v>
      </c>
      <c r="B126" s="2">
        <v>9935</v>
      </c>
      <c r="C126" s="2" t="s">
        <v>1737</v>
      </c>
      <c r="D126" s="2" t="s">
        <v>1738</v>
      </c>
      <c r="E126" s="4" t="s">
        <v>1343</v>
      </c>
      <c r="F126" s="2" t="s">
        <v>2055</v>
      </c>
      <c r="G126" s="2" t="s">
        <v>2056</v>
      </c>
      <c r="H126" s="2" t="s">
        <v>338</v>
      </c>
      <c r="I126" s="2" t="s">
        <v>772</v>
      </c>
      <c r="J126" s="2" t="s">
        <v>30</v>
      </c>
      <c r="K126" s="2" t="s">
        <v>30</v>
      </c>
      <c r="L126" s="2" t="s">
        <v>344</v>
      </c>
      <c r="M126" s="2" t="s">
        <v>56</v>
      </c>
      <c r="N126" s="2" t="s">
        <v>479</v>
      </c>
      <c r="O126" s="2" t="s">
        <v>153</v>
      </c>
      <c r="P126" s="2" t="s">
        <v>1718</v>
      </c>
      <c r="Q126" s="2" t="s">
        <v>430</v>
      </c>
      <c r="R126" s="2" t="s">
        <v>423</v>
      </c>
      <c r="S126" s="2" t="s">
        <v>44</v>
      </c>
      <c r="T126" s="153">
        <v>2.8940000000000001</v>
      </c>
      <c r="U126" s="2" t="s">
        <v>2057</v>
      </c>
      <c r="V126" s="166">
        <v>1.8200000000000001E-2</v>
      </c>
      <c r="W126" s="168">
        <v>2.554E-2</v>
      </c>
      <c r="X126" s="4" t="s">
        <v>429</v>
      </c>
      <c r="Y126" s="4" t="s">
        <v>153</v>
      </c>
      <c r="Z126" s="153">
        <v>667243.31999999995</v>
      </c>
      <c r="AA126" s="162">
        <v>1</v>
      </c>
      <c r="AB126" s="179">
        <v>113.8</v>
      </c>
      <c r="AD126" s="153">
        <v>759.32299999999998</v>
      </c>
      <c r="AG126" s="2" t="s">
        <v>36</v>
      </c>
      <c r="AH126" s="168">
        <v>1.333E-3</v>
      </c>
      <c r="AI126" s="168">
        <v>4.9427213022704697E-3</v>
      </c>
      <c r="AJ126" s="168">
        <v>7.0091706997419605E-4</v>
      </c>
    </row>
    <row r="127" spans="1:36">
      <c r="A127" s="2">
        <v>158</v>
      </c>
      <c r="B127" s="2">
        <v>9935</v>
      </c>
      <c r="C127" s="2" t="s">
        <v>1742</v>
      </c>
      <c r="D127" s="2" t="s">
        <v>1743</v>
      </c>
      <c r="E127" s="4" t="s">
        <v>1343</v>
      </c>
      <c r="F127" s="2" t="s">
        <v>1744</v>
      </c>
      <c r="G127" s="2" t="s">
        <v>1745</v>
      </c>
      <c r="H127" s="2" t="s">
        <v>338</v>
      </c>
      <c r="I127" s="2" t="s">
        <v>985</v>
      </c>
      <c r="J127" s="2" t="s">
        <v>30</v>
      </c>
      <c r="K127" s="2" t="s">
        <v>30</v>
      </c>
      <c r="L127" s="2" t="s">
        <v>344</v>
      </c>
      <c r="M127" s="2" t="s">
        <v>56</v>
      </c>
      <c r="N127" s="2" t="s">
        <v>455</v>
      </c>
      <c r="O127" s="2" t="s">
        <v>153</v>
      </c>
      <c r="P127" s="2" t="s">
        <v>1746</v>
      </c>
      <c r="Q127" s="2" t="s">
        <v>110</v>
      </c>
      <c r="R127" s="2" t="s">
        <v>423</v>
      </c>
      <c r="S127" s="2" t="s">
        <v>44</v>
      </c>
      <c r="T127" s="153">
        <v>3.0009999999999999</v>
      </c>
      <c r="U127" s="2" t="s">
        <v>1747</v>
      </c>
      <c r="V127" s="166">
        <v>7.2499999999999995E-2</v>
      </c>
      <c r="W127" s="168">
        <v>6.3950000000000007E-2</v>
      </c>
      <c r="X127" s="4" t="s">
        <v>429</v>
      </c>
      <c r="Y127" s="4" t="s">
        <v>153</v>
      </c>
      <c r="Z127" s="153">
        <v>2039400</v>
      </c>
      <c r="AA127" s="162">
        <v>1</v>
      </c>
      <c r="AB127" s="179">
        <v>105.92</v>
      </c>
      <c r="AD127" s="153">
        <v>2160.1320000000001</v>
      </c>
      <c r="AG127" s="2" t="s">
        <v>36</v>
      </c>
      <c r="AH127" s="168">
        <v>2.8319999999999999E-3</v>
      </c>
      <c r="AI127" s="168">
        <v>1.40611232066026E-2</v>
      </c>
      <c r="AJ127" s="168">
        <v>1.99397875700392E-3</v>
      </c>
    </row>
    <row r="128" spans="1:36">
      <c r="A128" s="2">
        <v>158</v>
      </c>
      <c r="B128" s="2">
        <v>9935</v>
      </c>
      <c r="C128" s="2" t="s">
        <v>1962</v>
      </c>
      <c r="D128" s="2" t="s">
        <v>1963</v>
      </c>
      <c r="E128" s="4" t="s">
        <v>1343</v>
      </c>
      <c r="F128" s="2" t="s">
        <v>1964</v>
      </c>
      <c r="G128" s="2" t="s">
        <v>1965</v>
      </c>
      <c r="H128" s="2" t="s">
        <v>338</v>
      </c>
      <c r="I128" s="2" t="s">
        <v>772</v>
      </c>
      <c r="J128" s="2" t="s">
        <v>30</v>
      </c>
      <c r="K128" s="2" t="s">
        <v>30</v>
      </c>
      <c r="L128" s="2" t="s">
        <v>344</v>
      </c>
      <c r="M128" s="2" t="s">
        <v>56</v>
      </c>
      <c r="N128" s="2" t="s">
        <v>479</v>
      </c>
      <c r="O128" s="2" t="s">
        <v>153</v>
      </c>
      <c r="P128" s="2" t="s">
        <v>1718</v>
      </c>
      <c r="Q128" s="2" t="s">
        <v>430</v>
      </c>
      <c r="R128" s="2" t="s">
        <v>423</v>
      </c>
      <c r="S128" s="2" t="s">
        <v>44</v>
      </c>
      <c r="T128" s="153">
        <v>3.9689999999999999</v>
      </c>
      <c r="U128" s="2" t="s">
        <v>1966</v>
      </c>
      <c r="V128" s="166">
        <v>5.0000000000000001E-3</v>
      </c>
      <c r="W128" s="168">
        <v>3.1890000000000002E-2</v>
      </c>
      <c r="X128" s="4" t="s">
        <v>429</v>
      </c>
      <c r="Y128" s="4" t="s">
        <v>153</v>
      </c>
      <c r="Z128" s="153">
        <v>1681908.45</v>
      </c>
      <c r="AA128" s="162">
        <v>1</v>
      </c>
      <c r="AB128" s="179">
        <v>103.53</v>
      </c>
      <c r="AD128" s="153">
        <v>1741.28</v>
      </c>
      <c r="AG128" s="2" t="s">
        <v>36</v>
      </c>
      <c r="AH128" s="168">
        <v>1.0449999999999999E-3</v>
      </c>
      <c r="AI128" s="168">
        <v>1.1334652058968201E-2</v>
      </c>
      <c r="AJ128" s="168">
        <v>1.6073435309208199E-3</v>
      </c>
    </row>
    <row r="129" spans="1:36">
      <c r="A129" s="2">
        <v>158</v>
      </c>
      <c r="B129" s="2">
        <v>9935</v>
      </c>
      <c r="C129" s="2" t="s">
        <v>1962</v>
      </c>
      <c r="D129" s="2" t="s">
        <v>1963</v>
      </c>
      <c r="E129" s="4" t="s">
        <v>1343</v>
      </c>
      <c r="F129" s="2" t="s">
        <v>2058</v>
      </c>
      <c r="G129" s="2" t="s">
        <v>2059</v>
      </c>
      <c r="H129" s="2" t="s">
        <v>338</v>
      </c>
      <c r="I129" s="2" t="s">
        <v>772</v>
      </c>
      <c r="J129" s="2" t="s">
        <v>30</v>
      </c>
      <c r="K129" s="2" t="s">
        <v>30</v>
      </c>
      <c r="L129" s="2" t="s">
        <v>344</v>
      </c>
      <c r="M129" s="2" t="s">
        <v>56</v>
      </c>
      <c r="N129" s="2" t="s">
        <v>479</v>
      </c>
      <c r="O129" s="2" t="s">
        <v>153</v>
      </c>
      <c r="P129" s="2" t="s">
        <v>1718</v>
      </c>
      <c r="Q129" s="2" t="s">
        <v>430</v>
      </c>
      <c r="R129" s="2" t="s">
        <v>423</v>
      </c>
      <c r="S129" s="2" t="s">
        <v>44</v>
      </c>
      <c r="T129" s="153">
        <v>0.85199999999999998</v>
      </c>
      <c r="U129" s="2" t="s">
        <v>1892</v>
      </c>
      <c r="V129" s="166">
        <v>4.7500000000000001E-2</v>
      </c>
      <c r="W129" s="168">
        <v>2.555E-2</v>
      </c>
      <c r="X129" s="4" t="s">
        <v>429</v>
      </c>
      <c r="Y129" s="4" t="s">
        <v>153</v>
      </c>
      <c r="Z129" s="153">
        <v>1142462.26</v>
      </c>
      <c r="AA129" s="162">
        <v>1</v>
      </c>
      <c r="AB129" s="179">
        <v>142.99</v>
      </c>
      <c r="AD129" s="153">
        <v>1633.607</v>
      </c>
      <c r="AG129" s="2" t="s">
        <v>36</v>
      </c>
      <c r="AH129" s="168">
        <v>1.196E-3</v>
      </c>
      <c r="AI129" s="168">
        <v>1.06337673711096E-2</v>
      </c>
      <c r="AJ129" s="168">
        <v>1.50795252508403E-3</v>
      </c>
    </row>
    <row r="130" spans="1:36">
      <c r="A130" s="2">
        <v>158</v>
      </c>
      <c r="B130" s="2">
        <v>9935</v>
      </c>
      <c r="C130" s="2" t="s">
        <v>1896</v>
      </c>
      <c r="D130" s="2" t="s">
        <v>1897</v>
      </c>
      <c r="E130" s="4" t="s">
        <v>1343</v>
      </c>
      <c r="F130" s="2" t="s">
        <v>2060</v>
      </c>
      <c r="G130" s="2" t="s">
        <v>1899</v>
      </c>
      <c r="H130" s="2" t="s">
        <v>338</v>
      </c>
      <c r="I130" s="2" t="s">
        <v>985</v>
      </c>
      <c r="J130" s="2" t="s">
        <v>30</v>
      </c>
      <c r="K130" s="2" t="s">
        <v>30</v>
      </c>
      <c r="L130" s="2" t="s">
        <v>344</v>
      </c>
      <c r="M130" s="2" t="s">
        <v>56</v>
      </c>
      <c r="N130" s="2" t="s">
        <v>462</v>
      </c>
      <c r="O130" s="2" t="s">
        <v>153</v>
      </c>
      <c r="P130" s="2" t="s">
        <v>1900</v>
      </c>
      <c r="Q130" s="2" t="s">
        <v>426</v>
      </c>
      <c r="R130" s="2" t="s">
        <v>426</v>
      </c>
      <c r="S130" s="2" t="s">
        <v>44</v>
      </c>
      <c r="T130" s="153">
        <v>1.647</v>
      </c>
      <c r="U130" s="2" t="s">
        <v>1760</v>
      </c>
      <c r="V130" s="166">
        <v>3.8699999999999998E-2</v>
      </c>
      <c r="W130" s="168">
        <v>6.2489999999999997E-2</v>
      </c>
      <c r="X130" s="4" t="s">
        <v>429</v>
      </c>
      <c r="Y130" s="4" t="s">
        <v>153</v>
      </c>
      <c r="Z130" s="153">
        <v>152744.62</v>
      </c>
      <c r="AA130" s="162">
        <v>1</v>
      </c>
      <c r="AB130" s="179">
        <v>97.34</v>
      </c>
      <c r="AD130" s="153">
        <v>148.68199999999999</v>
      </c>
      <c r="AG130" s="2" t="s">
        <v>36</v>
      </c>
      <c r="AH130" s="168">
        <v>4.6000000000000001E-4</v>
      </c>
      <c r="AI130" s="168">
        <v>9.6782512175735296E-4</v>
      </c>
      <c r="AJ130" s="168">
        <v>1.37245275851983E-4</v>
      </c>
    </row>
    <row r="131" spans="1:36">
      <c r="A131" s="2">
        <v>158</v>
      </c>
      <c r="B131" s="2">
        <v>9935</v>
      </c>
      <c r="C131" s="2" t="s">
        <v>1896</v>
      </c>
      <c r="D131" s="2" t="s">
        <v>1897</v>
      </c>
      <c r="E131" s="4" t="s">
        <v>1343</v>
      </c>
      <c r="F131" s="2" t="s">
        <v>1898</v>
      </c>
      <c r="G131" s="2" t="s">
        <v>1899</v>
      </c>
      <c r="H131" s="2" t="s">
        <v>338</v>
      </c>
      <c r="I131" s="2" t="s">
        <v>985</v>
      </c>
      <c r="J131" s="2" t="s">
        <v>30</v>
      </c>
      <c r="K131" s="2" t="s">
        <v>30</v>
      </c>
      <c r="L131" s="2" t="s">
        <v>346</v>
      </c>
      <c r="M131" s="2" t="s">
        <v>56</v>
      </c>
      <c r="N131" s="2" t="s">
        <v>462</v>
      </c>
      <c r="O131" s="2" t="s">
        <v>153</v>
      </c>
      <c r="P131" s="2" t="s">
        <v>1900</v>
      </c>
      <c r="Q131" s="2" t="s">
        <v>426</v>
      </c>
      <c r="R131" s="2" t="s">
        <v>426</v>
      </c>
      <c r="S131" s="2" t="s">
        <v>44</v>
      </c>
      <c r="T131" s="153">
        <v>2.2799999999999998</v>
      </c>
      <c r="U131" s="2" t="s">
        <v>1760</v>
      </c>
      <c r="V131" s="166">
        <v>3.8699999999999998E-2</v>
      </c>
      <c r="W131" s="168">
        <v>5.8299999999999998E-2</v>
      </c>
      <c r="X131" s="4" t="s">
        <v>429</v>
      </c>
      <c r="Y131" s="4" t="s">
        <v>153</v>
      </c>
      <c r="Z131" s="153">
        <v>266000</v>
      </c>
      <c r="AA131" s="162">
        <v>1</v>
      </c>
      <c r="AB131" s="179">
        <v>97.53</v>
      </c>
      <c r="AD131" s="153">
        <v>259.43</v>
      </c>
      <c r="AG131" s="2" t="s">
        <v>36</v>
      </c>
      <c r="AH131" s="168">
        <v>8.1999999999999998E-4</v>
      </c>
      <c r="AI131" s="168">
        <v>1.68872715680118E-3</v>
      </c>
      <c r="AJ131" s="168">
        <v>2.39474900231016E-4</v>
      </c>
    </row>
    <row r="132" spans="1:36">
      <c r="A132" s="2">
        <v>158</v>
      </c>
      <c r="B132" s="2">
        <v>9935</v>
      </c>
      <c r="C132" s="2" t="s">
        <v>2061</v>
      </c>
      <c r="D132" s="2" t="s">
        <v>2062</v>
      </c>
      <c r="E132" s="4" t="s">
        <v>1343</v>
      </c>
      <c r="F132" s="2" t="s">
        <v>2063</v>
      </c>
      <c r="G132" s="2" t="s">
        <v>2064</v>
      </c>
      <c r="H132" s="2" t="s">
        <v>338</v>
      </c>
      <c r="I132" s="2" t="s">
        <v>772</v>
      </c>
      <c r="J132" s="2" t="s">
        <v>30</v>
      </c>
      <c r="K132" s="2" t="s">
        <v>315</v>
      </c>
      <c r="L132" s="2" t="s">
        <v>344</v>
      </c>
      <c r="M132" s="2" t="s">
        <v>56</v>
      </c>
      <c r="N132" s="2" t="s">
        <v>480</v>
      </c>
      <c r="O132" s="2" t="s">
        <v>153</v>
      </c>
      <c r="P132" s="2" t="s">
        <v>1746</v>
      </c>
      <c r="Q132" s="2" t="s">
        <v>430</v>
      </c>
      <c r="R132" s="2" t="s">
        <v>423</v>
      </c>
      <c r="S132" s="2" t="s">
        <v>44</v>
      </c>
      <c r="T132" s="153">
        <v>2.2320000000000002</v>
      </c>
      <c r="U132" s="2" t="s">
        <v>1796</v>
      </c>
      <c r="V132" s="166">
        <v>3.2800000000000003E-2</v>
      </c>
      <c r="W132" s="168">
        <v>4.3990000000000001E-2</v>
      </c>
      <c r="X132" s="4" t="s">
        <v>429</v>
      </c>
      <c r="Y132" s="4" t="s">
        <v>153</v>
      </c>
      <c r="Z132" s="153">
        <v>1100000</v>
      </c>
      <c r="AA132" s="162">
        <v>1</v>
      </c>
      <c r="AB132" s="179">
        <v>115.06</v>
      </c>
      <c r="AD132" s="153">
        <v>1265.6600000000001</v>
      </c>
      <c r="AG132" s="2" t="s">
        <v>36</v>
      </c>
      <c r="AH132" s="168">
        <v>6.87E-4</v>
      </c>
      <c r="AI132" s="168">
        <v>8.23866191654536E-3</v>
      </c>
      <c r="AJ132" s="168">
        <v>1.16830758157462E-3</v>
      </c>
    </row>
    <row r="133" spans="1:36">
      <c r="A133" s="2">
        <v>158</v>
      </c>
      <c r="B133" s="2">
        <v>9935</v>
      </c>
      <c r="C133" s="2" t="s">
        <v>1748</v>
      </c>
      <c r="D133" s="2" t="s">
        <v>1749</v>
      </c>
      <c r="E133" s="4" t="s">
        <v>1343</v>
      </c>
      <c r="F133" s="2" t="s">
        <v>1750</v>
      </c>
      <c r="G133" s="2" t="s">
        <v>1751</v>
      </c>
      <c r="H133" s="2" t="s">
        <v>338</v>
      </c>
      <c r="I133" s="2" t="s">
        <v>772</v>
      </c>
      <c r="J133" s="2" t="s">
        <v>30</v>
      </c>
      <c r="K133" s="2" t="s">
        <v>30</v>
      </c>
      <c r="L133" s="2" t="s">
        <v>344</v>
      </c>
      <c r="M133" s="2" t="s">
        <v>56</v>
      </c>
      <c r="N133" s="2" t="s">
        <v>463</v>
      </c>
      <c r="O133" s="2" t="s">
        <v>153</v>
      </c>
      <c r="P133" s="2" t="s">
        <v>109</v>
      </c>
      <c r="Q133" s="2" t="s">
        <v>430</v>
      </c>
      <c r="R133" s="2" t="s">
        <v>423</v>
      </c>
      <c r="S133" s="2" t="s">
        <v>44</v>
      </c>
      <c r="T133" s="153">
        <v>3.9830000000000001</v>
      </c>
      <c r="U133" s="2" t="s">
        <v>1752</v>
      </c>
      <c r="V133" s="166">
        <v>2E-3</v>
      </c>
      <c r="W133" s="168">
        <v>2.5190000000000001E-2</v>
      </c>
      <c r="X133" s="4" t="s">
        <v>429</v>
      </c>
      <c r="Y133" s="4" t="s">
        <v>153</v>
      </c>
      <c r="Z133" s="153">
        <v>4417761.92</v>
      </c>
      <c r="AA133" s="162">
        <v>1</v>
      </c>
      <c r="AB133" s="179">
        <v>102.6</v>
      </c>
      <c r="AD133" s="153">
        <v>4532.6239999999998</v>
      </c>
      <c r="AG133" s="2" t="s">
        <v>36</v>
      </c>
      <c r="AH133" s="168">
        <v>1.2149999999999999E-3</v>
      </c>
      <c r="AI133" s="168">
        <v>2.9504570347266799E-2</v>
      </c>
      <c r="AJ133" s="168">
        <v>4.1839820078777602E-3</v>
      </c>
    </row>
    <row r="134" spans="1:36">
      <c r="A134" s="2">
        <v>158</v>
      </c>
      <c r="B134" s="2">
        <v>9935</v>
      </c>
      <c r="C134" s="2" t="s">
        <v>1748</v>
      </c>
      <c r="D134" s="2" t="s">
        <v>1749</v>
      </c>
      <c r="E134" s="4" t="s">
        <v>1343</v>
      </c>
      <c r="F134" s="2" t="s">
        <v>1753</v>
      </c>
      <c r="G134" s="2" t="s">
        <v>1754</v>
      </c>
      <c r="H134" s="2" t="s">
        <v>338</v>
      </c>
      <c r="I134" s="2" t="s">
        <v>772</v>
      </c>
      <c r="J134" s="2" t="s">
        <v>30</v>
      </c>
      <c r="K134" s="2" t="s">
        <v>30</v>
      </c>
      <c r="L134" s="2" t="s">
        <v>344</v>
      </c>
      <c r="M134" s="2" t="s">
        <v>56</v>
      </c>
      <c r="N134" s="2" t="s">
        <v>463</v>
      </c>
      <c r="O134" s="2" t="s">
        <v>153</v>
      </c>
      <c r="P134" s="2" t="s">
        <v>109</v>
      </c>
      <c r="Q134" s="2" t="s">
        <v>430</v>
      </c>
      <c r="R134" s="2" t="s">
        <v>423</v>
      </c>
      <c r="S134" s="2" t="s">
        <v>44</v>
      </c>
      <c r="T134" s="153">
        <v>4.9290000000000003</v>
      </c>
      <c r="U134" s="2" t="s">
        <v>1755</v>
      </c>
      <c r="V134" s="166">
        <v>2.47E-2</v>
      </c>
      <c r="W134" s="168">
        <v>2.5839999999999998E-2</v>
      </c>
      <c r="X134" s="4" t="s">
        <v>429</v>
      </c>
      <c r="Y134" s="4" t="s">
        <v>153</v>
      </c>
      <c r="Z134" s="153">
        <v>1100000</v>
      </c>
      <c r="AA134" s="162">
        <v>1</v>
      </c>
      <c r="AB134" s="179">
        <v>102.7</v>
      </c>
      <c r="AD134" s="153">
        <v>1129.7</v>
      </c>
      <c r="AG134" s="2" t="s">
        <v>36</v>
      </c>
      <c r="AH134" s="168">
        <v>3.8499999999999998E-4</v>
      </c>
      <c r="AI134" s="168">
        <v>7.35364660897974E-3</v>
      </c>
      <c r="AJ134" s="168">
        <v>1.0428053939484901E-3</v>
      </c>
    </row>
    <row r="135" spans="1:36">
      <c r="A135" s="2">
        <v>158</v>
      </c>
      <c r="B135" s="2">
        <v>9935</v>
      </c>
      <c r="C135" s="2" t="s">
        <v>2065</v>
      </c>
      <c r="D135" s="2" t="s">
        <v>2066</v>
      </c>
      <c r="E135" s="4" t="s">
        <v>1343</v>
      </c>
      <c r="F135" s="2" t="s">
        <v>2067</v>
      </c>
      <c r="G135" s="2" t="s">
        <v>2068</v>
      </c>
      <c r="H135" s="2" t="s">
        <v>338</v>
      </c>
      <c r="I135" s="2" t="s">
        <v>772</v>
      </c>
      <c r="J135" s="2" t="s">
        <v>30</v>
      </c>
      <c r="K135" s="2" t="s">
        <v>30</v>
      </c>
      <c r="L135" s="2" t="s">
        <v>344</v>
      </c>
      <c r="M135" s="2" t="s">
        <v>56</v>
      </c>
      <c r="N135" s="2" t="s">
        <v>479</v>
      </c>
      <c r="O135" s="2" t="s">
        <v>153</v>
      </c>
      <c r="P135" s="2" t="s">
        <v>98</v>
      </c>
      <c r="Q135" s="2" t="s">
        <v>430</v>
      </c>
      <c r="R135" s="2" t="s">
        <v>423</v>
      </c>
      <c r="S135" s="2" t="s">
        <v>44</v>
      </c>
      <c r="T135" s="153">
        <v>3.1960000000000002</v>
      </c>
      <c r="U135" s="2" t="s">
        <v>1763</v>
      </c>
      <c r="V135" s="166">
        <v>2.7E-2</v>
      </c>
      <c r="W135" s="168">
        <v>3.3169999999999998E-2</v>
      </c>
      <c r="X135" s="4" t="s">
        <v>429</v>
      </c>
      <c r="Y135" s="4" t="s">
        <v>153</v>
      </c>
      <c r="Z135" s="153">
        <v>293000</v>
      </c>
      <c r="AA135" s="162">
        <v>1</v>
      </c>
      <c r="AB135" s="179">
        <v>105.81</v>
      </c>
      <c r="AD135" s="153">
        <v>310.02300000000002</v>
      </c>
      <c r="AG135" s="2" t="s">
        <v>36</v>
      </c>
      <c r="AH135" s="168">
        <v>6.7000000000000002E-4</v>
      </c>
      <c r="AI135" s="168">
        <v>2.0180594748603199E-3</v>
      </c>
      <c r="AJ135" s="168">
        <v>2.8617683410614398E-4</v>
      </c>
    </row>
    <row r="136" spans="1:36">
      <c r="A136" s="2">
        <v>158</v>
      </c>
      <c r="B136" s="2">
        <v>9935</v>
      </c>
      <c r="C136" s="2" t="s">
        <v>1756</v>
      </c>
      <c r="D136" s="2" t="s">
        <v>1757</v>
      </c>
      <c r="E136" s="4" t="s">
        <v>1343</v>
      </c>
      <c r="F136" s="2" t="s">
        <v>2069</v>
      </c>
      <c r="G136" s="2" t="s">
        <v>2070</v>
      </c>
      <c r="H136" s="2" t="s">
        <v>338</v>
      </c>
      <c r="I136" s="2" t="s">
        <v>985</v>
      </c>
      <c r="J136" s="2" t="s">
        <v>30</v>
      </c>
      <c r="K136" s="2" t="s">
        <v>30</v>
      </c>
      <c r="L136" s="2" t="s">
        <v>344</v>
      </c>
      <c r="M136" s="2" t="s">
        <v>56</v>
      </c>
      <c r="N136" s="2" t="s">
        <v>460</v>
      </c>
      <c r="O136" s="2" t="s">
        <v>153</v>
      </c>
      <c r="P136" s="2" t="s">
        <v>1724</v>
      </c>
      <c r="Q136" s="2" t="s">
        <v>430</v>
      </c>
      <c r="R136" s="2" t="s">
        <v>423</v>
      </c>
      <c r="S136" s="2" t="s">
        <v>44</v>
      </c>
      <c r="T136" s="153">
        <v>5.641</v>
      </c>
      <c r="U136" s="2" t="s">
        <v>2071</v>
      </c>
      <c r="V136" s="166">
        <v>3.0499999999999999E-2</v>
      </c>
      <c r="W136" s="168">
        <v>5.8069999999999997E-2</v>
      </c>
      <c r="X136" s="4" t="s">
        <v>429</v>
      </c>
      <c r="Y136" s="4" t="s">
        <v>153</v>
      </c>
      <c r="Z136" s="153">
        <v>1500000</v>
      </c>
      <c r="AA136" s="162">
        <v>1</v>
      </c>
      <c r="AB136" s="179">
        <v>86.86</v>
      </c>
      <c r="AD136" s="153">
        <v>1302.9000000000001</v>
      </c>
      <c r="AG136" s="2" t="s">
        <v>36</v>
      </c>
      <c r="AH136" s="168">
        <v>2.0579999999999999E-3</v>
      </c>
      <c r="AI136" s="168">
        <v>8.4810712285028796E-3</v>
      </c>
      <c r="AJ136" s="168">
        <v>1.2026831439988399E-3</v>
      </c>
    </row>
    <row r="137" spans="1:36">
      <c r="A137" s="2">
        <v>158</v>
      </c>
      <c r="B137" s="2">
        <v>9935</v>
      </c>
      <c r="C137" s="2" t="s">
        <v>1764</v>
      </c>
      <c r="D137" s="2" t="s">
        <v>1765</v>
      </c>
      <c r="E137" s="4" t="s">
        <v>1343</v>
      </c>
      <c r="F137" s="2" t="s">
        <v>1766</v>
      </c>
      <c r="G137" s="2" t="s">
        <v>1767</v>
      </c>
      <c r="H137" s="2" t="s">
        <v>338</v>
      </c>
      <c r="I137" s="2" t="s">
        <v>985</v>
      </c>
      <c r="J137" s="2" t="s">
        <v>30</v>
      </c>
      <c r="K137" s="2" t="s">
        <v>30</v>
      </c>
      <c r="L137" s="2" t="s">
        <v>344</v>
      </c>
      <c r="M137" s="2" t="s">
        <v>56</v>
      </c>
      <c r="N137" s="2" t="s">
        <v>460</v>
      </c>
      <c r="O137" s="2" t="s">
        <v>153</v>
      </c>
      <c r="P137" s="2" t="s">
        <v>1718</v>
      </c>
      <c r="Q137" s="2" t="s">
        <v>110</v>
      </c>
      <c r="R137" s="2" t="s">
        <v>423</v>
      </c>
      <c r="S137" s="2" t="s">
        <v>44</v>
      </c>
      <c r="T137" s="153">
        <v>4.95</v>
      </c>
      <c r="U137" s="2" t="s">
        <v>1768</v>
      </c>
      <c r="V137" s="166">
        <v>1.95E-2</v>
      </c>
      <c r="W137" s="168">
        <v>5.7970000000000001E-2</v>
      </c>
      <c r="X137" s="4" t="s">
        <v>429</v>
      </c>
      <c r="Y137" s="4" t="s">
        <v>153</v>
      </c>
      <c r="Z137" s="153">
        <v>1983790.25</v>
      </c>
      <c r="AA137" s="162">
        <v>1</v>
      </c>
      <c r="AB137" s="179">
        <v>83.08</v>
      </c>
      <c r="AD137" s="153">
        <v>1648.133</v>
      </c>
      <c r="AG137" s="2" t="s">
        <v>36</v>
      </c>
      <c r="AH137" s="168">
        <v>1.8910000000000001E-3</v>
      </c>
      <c r="AI137" s="168">
        <v>1.07283236285498E-2</v>
      </c>
      <c r="AJ137" s="168">
        <v>1.52136135209644E-3</v>
      </c>
    </row>
    <row r="138" spans="1:36">
      <c r="A138" s="2">
        <v>158</v>
      </c>
      <c r="B138" s="2">
        <v>9935</v>
      </c>
      <c r="C138" s="2" t="s">
        <v>1901</v>
      </c>
      <c r="D138" s="2" t="s">
        <v>1902</v>
      </c>
      <c r="E138" s="4" t="s">
        <v>1343</v>
      </c>
      <c r="F138" s="2" t="s">
        <v>1903</v>
      </c>
      <c r="G138" s="2" t="s">
        <v>1904</v>
      </c>
      <c r="H138" s="2" t="s">
        <v>338</v>
      </c>
      <c r="I138" s="2" t="s">
        <v>986</v>
      </c>
      <c r="J138" s="2" t="s">
        <v>30</v>
      </c>
      <c r="K138" s="2" t="s">
        <v>30</v>
      </c>
      <c r="L138" s="2" t="s">
        <v>344</v>
      </c>
      <c r="M138" s="2" t="s">
        <v>56</v>
      </c>
      <c r="N138" s="2" t="s">
        <v>462</v>
      </c>
      <c r="O138" s="2" t="s">
        <v>153</v>
      </c>
      <c r="P138" s="2" t="s">
        <v>1905</v>
      </c>
      <c r="Q138" s="2" t="s">
        <v>430</v>
      </c>
      <c r="R138" s="2" t="s">
        <v>423</v>
      </c>
      <c r="S138" s="2" t="s">
        <v>44</v>
      </c>
      <c r="T138" s="153">
        <v>0.249</v>
      </c>
      <c r="U138" s="2" t="s">
        <v>1906</v>
      </c>
      <c r="V138" s="166">
        <v>1.4999999999999999E-2</v>
      </c>
      <c r="W138" s="168">
        <v>6.8479999999999999E-2</v>
      </c>
      <c r="X138" s="4" t="s">
        <v>429</v>
      </c>
      <c r="Y138" s="4" t="s">
        <v>153</v>
      </c>
      <c r="Z138" s="153">
        <v>0.88</v>
      </c>
      <c r="AA138" s="162">
        <v>1</v>
      </c>
      <c r="AB138" s="179">
        <v>99.1</v>
      </c>
      <c r="AD138" s="153">
        <v>1E-3</v>
      </c>
      <c r="AG138" s="2" t="s">
        <v>36</v>
      </c>
      <c r="AH138" s="168">
        <v>0</v>
      </c>
      <c r="AI138" s="168">
        <v>5.6767001281393705E-9</v>
      </c>
      <c r="AJ138" s="168">
        <v>8.0500108697406404E-10</v>
      </c>
    </row>
    <row r="139" spans="1:36">
      <c r="A139" s="2">
        <v>158</v>
      </c>
      <c r="B139" s="2">
        <v>9935</v>
      </c>
      <c r="C139" s="2" t="s">
        <v>1769</v>
      </c>
      <c r="D139" s="2" t="s">
        <v>1770</v>
      </c>
      <c r="E139" s="4" t="s">
        <v>1343</v>
      </c>
      <c r="F139" s="2" t="s">
        <v>1976</v>
      </c>
      <c r="G139" s="2" t="s">
        <v>1977</v>
      </c>
      <c r="H139" s="2" t="s">
        <v>338</v>
      </c>
      <c r="I139" s="2" t="s">
        <v>772</v>
      </c>
      <c r="J139" s="2" t="s">
        <v>30</v>
      </c>
      <c r="K139" s="2" t="s">
        <v>30</v>
      </c>
      <c r="L139" s="2" t="s">
        <v>344</v>
      </c>
      <c r="M139" s="2" t="s">
        <v>56</v>
      </c>
      <c r="N139" s="2" t="s">
        <v>455</v>
      </c>
      <c r="O139" s="2" t="s">
        <v>153</v>
      </c>
      <c r="P139" s="2" t="s">
        <v>1773</v>
      </c>
      <c r="Q139" s="2" t="s">
        <v>430</v>
      </c>
      <c r="R139" s="2" t="s">
        <v>423</v>
      </c>
      <c r="S139" s="2" t="s">
        <v>44</v>
      </c>
      <c r="T139" s="153">
        <v>0.81299999999999994</v>
      </c>
      <c r="U139" s="2" t="s">
        <v>1978</v>
      </c>
      <c r="V139" s="166">
        <v>4.4999999999999998E-2</v>
      </c>
      <c r="W139" s="168">
        <v>2.615E-2</v>
      </c>
      <c r="X139" s="4" t="s">
        <v>429</v>
      </c>
      <c r="Y139" s="4" t="s">
        <v>153</v>
      </c>
      <c r="Z139" s="153">
        <v>1003000</v>
      </c>
      <c r="AA139" s="162">
        <v>1</v>
      </c>
      <c r="AB139" s="179">
        <v>119.4</v>
      </c>
      <c r="AD139" s="153">
        <v>1197.5820000000001</v>
      </c>
      <c r="AG139" s="2" t="s">
        <v>36</v>
      </c>
      <c r="AH139" s="168">
        <v>3.39E-4</v>
      </c>
      <c r="AI139" s="168">
        <v>7.7955163435205598E-3</v>
      </c>
      <c r="AJ139" s="168">
        <v>1.1054660257551799E-3</v>
      </c>
    </row>
    <row r="140" spans="1:36">
      <c r="A140" s="2">
        <v>158</v>
      </c>
      <c r="B140" s="2">
        <v>9935</v>
      </c>
      <c r="C140" s="2" t="s">
        <v>1769</v>
      </c>
      <c r="D140" s="2" t="s">
        <v>1770</v>
      </c>
      <c r="E140" s="4" t="s">
        <v>1343</v>
      </c>
      <c r="F140" s="2" t="s">
        <v>1775</v>
      </c>
      <c r="G140" s="2" t="s">
        <v>1776</v>
      </c>
      <c r="H140" s="2" t="s">
        <v>338</v>
      </c>
      <c r="I140" s="2" t="s">
        <v>772</v>
      </c>
      <c r="J140" s="2" t="s">
        <v>30</v>
      </c>
      <c r="K140" s="2" t="s">
        <v>30</v>
      </c>
      <c r="L140" s="2" t="s">
        <v>344</v>
      </c>
      <c r="M140" s="2" t="s">
        <v>56</v>
      </c>
      <c r="N140" s="2" t="s">
        <v>455</v>
      </c>
      <c r="O140" s="2" t="s">
        <v>153</v>
      </c>
      <c r="P140" s="2" t="s">
        <v>1773</v>
      </c>
      <c r="Q140" s="2" t="s">
        <v>430</v>
      </c>
      <c r="R140" s="2" t="s">
        <v>423</v>
      </c>
      <c r="S140" s="2" t="s">
        <v>44</v>
      </c>
      <c r="T140" s="153">
        <v>5.798</v>
      </c>
      <c r="U140" s="2" t="s">
        <v>1777</v>
      </c>
      <c r="V140" s="166">
        <v>2.3900000000000001E-2</v>
      </c>
      <c r="W140" s="168">
        <v>2.9239999999999999E-2</v>
      </c>
      <c r="X140" s="4" t="s">
        <v>429</v>
      </c>
      <c r="Y140" s="4" t="s">
        <v>153</v>
      </c>
      <c r="Z140" s="153">
        <v>1160000</v>
      </c>
      <c r="AA140" s="162">
        <v>1</v>
      </c>
      <c r="AB140" s="179">
        <v>111.74</v>
      </c>
      <c r="AD140" s="153">
        <v>1296.184</v>
      </c>
      <c r="AG140" s="2" t="s">
        <v>36</v>
      </c>
      <c r="AH140" s="168">
        <v>2.9799999999999998E-4</v>
      </c>
      <c r="AI140" s="168">
        <v>8.4373542322862607E-3</v>
      </c>
      <c r="AJ140" s="168">
        <v>1.1964837273167499E-3</v>
      </c>
    </row>
    <row r="141" spans="1:36">
      <c r="A141" s="2">
        <v>158</v>
      </c>
      <c r="B141" s="2">
        <v>9935</v>
      </c>
      <c r="C141" s="2" t="s">
        <v>2072</v>
      </c>
      <c r="D141" s="2" t="s">
        <v>2073</v>
      </c>
      <c r="E141" s="4" t="s">
        <v>1343</v>
      </c>
      <c r="F141" s="2" t="s">
        <v>2074</v>
      </c>
      <c r="G141" s="2" t="s">
        <v>2075</v>
      </c>
      <c r="H141" s="2" t="s">
        <v>338</v>
      </c>
      <c r="I141" s="2" t="s">
        <v>772</v>
      </c>
      <c r="J141" s="2" t="s">
        <v>30</v>
      </c>
      <c r="K141" s="2" t="s">
        <v>30</v>
      </c>
      <c r="L141" s="2" t="s">
        <v>344</v>
      </c>
      <c r="M141" s="2" t="s">
        <v>56</v>
      </c>
      <c r="N141" s="2" t="s">
        <v>477</v>
      </c>
      <c r="O141" s="2" t="s">
        <v>153</v>
      </c>
      <c r="P141" s="2" t="s">
        <v>1724</v>
      </c>
      <c r="Q141" s="2" t="s">
        <v>430</v>
      </c>
      <c r="R141" s="2" t="s">
        <v>423</v>
      </c>
      <c r="S141" s="2" t="s">
        <v>44</v>
      </c>
      <c r="T141" s="153">
        <v>3.0630000000000002</v>
      </c>
      <c r="U141" s="2" t="s">
        <v>2076</v>
      </c>
      <c r="V141" s="166">
        <v>2.1999999999999999E-2</v>
      </c>
      <c r="W141" s="168">
        <v>2.9000000000000001E-2</v>
      </c>
      <c r="X141" s="4" t="s">
        <v>429</v>
      </c>
      <c r="Y141" s="4" t="s">
        <v>153</v>
      </c>
      <c r="Z141" s="153">
        <v>744137.93</v>
      </c>
      <c r="AA141" s="162">
        <v>1</v>
      </c>
      <c r="AB141" s="179">
        <v>105.14</v>
      </c>
      <c r="AD141" s="153">
        <v>782.38699999999994</v>
      </c>
      <c r="AG141" s="2" t="s">
        <v>36</v>
      </c>
      <c r="AH141" s="168">
        <v>2.2030000000000001E-3</v>
      </c>
      <c r="AI141" s="168">
        <v>5.09285182981975E-3</v>
      </c>
      <c r="AJ141" s="168">
        <v>7.2220676911931704E-4</v>
      </c>
    </row>
    <row r="142" spans="1:36">
      <c r="A142" s="2">
        <v>158</v>
      </c>
      <c r="B142" s="2">
        <v>9935</v>
      </c>
      <c r="C142" s="2" t="s">
        <v>1778</v>
      </c>
      <c r="D142" s="2" t="s">
        <v>1779</v>
      </c>
      <c r="E142" s="4" t="s">
        <v>1343</v>
      </c>
      <c r="F142" s="2" t="s">
        <v>2077</v>
      </c>
      <c r="G142" s="2" t="s">
        <v>2078</v>
      </c>
      <c r="H142" s="2" t="s">
        <v>338</v>
      </c>
      <c r="I142" s="2" t="s">
        <v>772</v>
      </c>
      <c r="J142" s="2" t="s">
        <v>30</v>
      </c>
      <c r="K142" s="2" t="s">
        <v>30</v>
      </c>
      <c r="L142" s="2" t="s">
        <v>344</v>
      </c>
      <c r="M142" s="2" t="s">
        <v>56</v>
      </c>
      <c r="N142" s="2" t="s">
        <v>479</v>
      </c>
      <c r="O142" s="2" t="s">
        <v>153</v>
      </c>
      <c r="P142" s="2" t="s">
        <v>1718</v>
      </c>
      <c r="Q142" s="2" t="s">
        <v>430</v>
      </c>
      <c r="R142" s="2" t="s">
        <v>423</v>
      </c>
      <c r="S142" s="2" t="s">
        <v>44</v>
      </c>
      <c r="T142" s="153">
        <v>2.3170000000000002</v>
      </c>
      <c r="U142" s="2" t="s">
        <v>2079</v>
      </c>
      <c r="V142" s="166">
        <v>1.5800000000000002E-2</v>
      </c>
      <c r="W142" s="168">
        <v>2.3970000000000002E-2</v>
      </c>
      <c r="X142" s="4" t="s">
        <v>429</v>
      </c>
      <c r="Y142" s="4" t="s">
        <v>153</v>
      </c>
      <c r="Z142" s="153">
        <v>390300.86</v>
      </c>
      <c r="AA142" s="162">
        <v>1</v>
      </c>
      <c r="AB142" s="179">
        <v>115.04</v>
      </c>
      <c r="AD142" s="153">
        <v>449.00200000000001</v>
      </c>
      <c r="AG142" s="2" t="s">
        <v>36</v>
      </c>
      <c r="AH142" s="168">
        <v>9.0899999999999998E-4</v>
      </c>
      <c r="AI142" s="168">
        <v>2.9227253596549999E-3</v>
      </c>
      <c r="AJ142" s="168">
        <v>4.1446562938671699E-4</v>
      </c>
    </row>
    <row r="143" spans="1:36">
      <c r="A143" s="2">
        <v>158</v>
      </c>
      <c r="B143" s="2">
        <v>9935</v>
      </c>
      <c r="C143" s="2" t="s">
        <v>1778</v>
      </c>
      <c r="D143" s="2" t="s">
        <v>1779</v>
      </c>
      <c r="E143" s="4" t="s">
        <v>1343</v>
      </c>
      <c r="F143" s="2" t="s">
        <v>2080</v>
      </c>
      <c r="G143" s="2" t="s">
        <v>2081</v>
      </c>
      <c r="H143" s="2" t="s">
        <v>338</v>
      </c>
      <c r="I143" s="2" t="s">
        <v>772</v>
      </c>
      <c r="J143" s="2" t="s">
        <v>30</v>
      </c>
      <c r="K143" s="2" t="s">
        <v>30</v>
      </c>
      <c r="L143" s="2" t="s">
        <v>344</v>
      </c>
      <c r="M143" s="2" t="s">
        <v>56</v>
      </c>
      <c r="N143" s="2" t="s">
        <v>479</v>
      </c>
      <c r="O143" s="2" t="s">
        <v>153</v>
      </c>
      <c r="P143" s="2" t="s">
        <v>1718</v>
      </c>
      <c r="Q143" s="2" t="s">
        <v>430</v>
      </c>
      <c r="R143" s="2" t="s">
        <v>423</v>
      </c>
      <c r="S143" s="2" t="s">
        <v>44</v>
      </c>
      <c r="T143" s="153">
        <v>4.7450000000000001</v>
      </c>
      <c r="U143" s="2" t="s">
        <v>2082</v>
      </c>
      <c r="V143" s="166">
        <v>8.3999999999999995E-3</v>
      </c>
      <c r="W143" s="168">
        <v>2.921E-2</v>
      </c>
      <c r="X143" s="4" t="s">
        <v>429</v>
      </c>
      <c r="Y143" s="4" t="s">
        <v>153</v>
      </c>
      <c r="Z143" s="153">
        <v>861626.37</v>
      </c>
      <c r="AA143" s="162">
        <v>1</v>
      </c>
      <c r="AB143" s="179">
        <v>104.22</v>
      </c>
      <c r="AD143" s="153">
        <v>897.98699999999997</v>
      </c>
      <c r="AG143" s="2" t="s">
        <v>36</v>
      </c>
      <c r="AH143" s="168">
        <v>1.085E-3</v>
      </c>
      <c r="AI143" s="168">
        <v>5.8453386546437501E-3</v>
      </c>
      <c r="AJ143" s="168">
        <v>8.2891536711523302E-4</v>
      </c>
    </row>
    <row r="144" spans="1:36">
      <c r="A144" s="2">
        <v>158</v>
      </c>
      <c r="B144" s="2">
        <v>9935</v>
      </c>
      <c r="C144" s="2" t="s">
        <v>1563</v>
      </c>
      <c r="D144" s="2" t="s">
        <v>1564</v>
      </c>
      <c r="E144" s="4" t="s">
        <v>1343</v>
      </c>
      <c r="F144" s="2" t="s">
        <v>2083</v>
      </c>
      <c r="G144" s="2" t="s">
        <v>2084</v>
      </c>
      <c r="H144" s="2" t="s">
        <v>338</v>
      </c>
      <c r="I144" s="2" t="s">
        <v>985</v>
      </c>
      <c r="J144" s="2" t="s">
        <v>30</v>
      </c>
      <c r="K144" s="2" t="s">
        <v>30</v>
      </c>
      <c r="L144" s="2" t="s">
        <v>344</v>
      </c>
      <c r="M144" s="2" t="s">
        <v>56</v>
      </c>
      <c r="N144" s="2" t="s">
        <v>460</v>
      </c>
      <c r="O144" s="2" t="s">
        <v>153</v>
      </c>
      <c r="P144" s="2" t="s">
        <v>1724</v>
      </c>
      <c r="Q144" s="2" t="s">
        <v>430</v>
      </c>
      <c r="R144" s="2" t="s">
        <v>423</v>
      </c>
      <c r="S144" s="2" t="s">
        <v>44</v>
      </c>
      <c r="T144" s="153">
        <v>5.16</v>
      </c>
      <c r="U144" s="2" t="s">
        <v>2085</v>
      </c>
      <c r="V144" s="166">
        <v>5.2499999999999998E-2</v>
      </c>
      <c r="W144" s="168">
        <v>5.688E-2</v>
      </c>
      <c r="X144" s="4" t="s">
        <v>429</v>
      </c>
      <c r="Y144" s="4" t="s">
        <v>153</v>
      </c>
      <c r="Z144" s="153">
        <v>1060000</v>
      </c>
      <c r="AA144" s="162">
        <v>1</v>
      </c>
      <c r="AB144" s="179">
        <v>100.33</v>
      </c>
      <c r="AD144" s="153">
        <v>1063.498</v>
      </c>
      <c r="AG144" s="2" t="s">
        <v>36</v>
      </c>
      <c r="AH144" s="168">
        <v>2.1199999999999999E-3</v>
      </c>
      <c r="AI144" s="168">
        <v>6.92271263287309E-3</v>
      </c>
      <c r="AJ144" s="168">
        <v>9.8169553939402802E-4</v>
      </c>
    </row>
    <row r="145" spans="1:36">
      <c r="A145" s="2">
        <v>158</v>
      </c>
      <c r="B145" s="2">
        <v>9935</v>
      </c>
      <c r="C145" s="2" t="s">
        <v>1783</v>
      </c>
      <c r="D145" s="2" t="s">
        <v>1784</v>
      </c>
      <c r="E145" s="4" t="s">
        <v>1343</v>
      </c>
      <c r="F145" s="2" t="s">
        <v>2086</v>
      </c>
      <c r="G145" s="2" t="s">
        <v>2087</v>
      </c>
      <c r="H145" s="2" t="s">
        <v>338</v>
      </c>
      <c r="I145" s="2" t="s">
        <v>985</v>
      </c>
      <c r="J145" s="2" t="s">
        <v>30</v>
      </c>
      <c r="K145" s="2" t="s">
        <v>30</v>
      </c>
      <c r="L145" s="2" t="s">
        <v>344</v>
      </c>
      <c r="M145" s="2" t="s">
        <v>56</v>
      </c>
      <c r="N145" s="2" t="s">
        <v>460</v>
      </c>
      <c r="O145" s="2" t="s">
        <v>153</v>
      </c>
      <c r="P145" s="2" t="s">
        <v>1724</v>
      </c>
      <c r="Q145" s="2" t="s">
        <v>430</v>
      </c>
      <c r="R145" s="2" t="s">
        <v>423</v>
      </c>
      <c r="S145" s="2" t="s">
        <v>44</v>
      </c>
      <c r="T145" s="153">
        <v>9.0619999999999994</v>
      </c>
      <c r="U145" s="2" t="s">
        <v>2088</v>
      </c>
      <c r="V145" s="166">
        <v>2.5000000000000001E-2</v>
      </c>
      <c r="W145" s="168">
        <v>6.0569999999999999E-2</v>
      </c>
      <c r="X145" s="4" t="s">
        <v>429</v>
      </c>
      <c r="Y145" s="4" t="s">
        <v>153</v>
      </c>
      <c r="Z145" s="153">
        <v>672405</v>
      </c>
      <c r="AA145" s="162">
        <v>1</v>
      </c>
      <c r="AB145" s="179">
        <v>79.27</v>
      </c>
      <c r="AD145" s="153">
        <v>533.01499999999999</v>
      </c>
      <c r="AG145" s="2" t="s">
        <v>36</v>
      </c>
      <c r="AH145" s="168">
        <v>5.04E-4</v>
      </c>
      <c r="AI145" s="168">
        <v>3.4696000784523399E-3</v>
      </c>
      <c r="AJ145" s="168">
        <v>4.9201680051309902E-4</v>
      </c>
    </row>
    <row r="146" spans="1:36">
      <c r="A146" s="2">
        <v>158</v>
      </c>
      <c r="B146" s="2">
        <v>9935</v>
      </c>
      <c r="C146" s="2" t="s">
        <v>1783</v>
      </c>
      <c r="D146" s="2" t="s">
        <v>1784</v>
      </c>
      <c r="E146" s="4" t="s">
        <v>1343</v>
      </c>
      <c r="F146" s="2" t="s">
        <v>2089</v>
      </c>
      <c r="G146" s="2" t="s">
        <v>2090</v>
      </c>
      <c r="H146" s="2" t="s">
        <v>338</v>
      </c>
      <c r="I146" s="2" t="s">
        <v>772</v>
      </c>
      <c r="J146" s="2" t="s">
        <v>30</v>
      </c>
      <c r="K146" s="2" t="s">
        <v>30</v>
      </c>
      <c r="L146" s="2" t="s">
        <v>344</v>
      </c>
      <c r="M146" s="2" t="s">
        <v>56</v>
      </c>
      <c r="N146" s="2" t="s">
        <v>460</v>
      </c>
      <c r="O146" s="2" t="s">
        <v>153</v>
      </c>
      <c r="P146" s="2" t="s">
        <v>1724</v>
      </c>
      <c r="Q146" s="2" t="s">
        <v>430</v>
      </c>
      <c r="R146" s="2" t="s">
        <v>423</v>
      </c>
      <c r="S146" s="2" t="s">
        <v>44</v>
      </c>
      <c r="T146" s="153">
        <v>3.5760000000000001</v>
      </c>
      <c r="U146" s="2" t="s">
        <v>2091</v>
      </c>
      <c r="V146" s="166">
        <v>2.4799999999999999E-2</v>
      </c>
      <c r="W146" s="168">
        <v>2.5989999999999999E-2</v>
      </c>
      <c r="X146" s="4" t="s">
        <v>429</v>
      </c>
      <c r="Y146" s="4" t="s">
        <v>153</v>
      </c>
      <c r="Z146" s="153">
        <v>171394</v>
      </c>
      <c r="AA146" s="162">
        <v>1</v>
      </c>
      <c r="AB146" s="179">
        <v>115.94</v>
      </c>
      <c r="AD146" s="153">
        <v>198.714</v>
      </c>
      <c r="AG146" s="2" t="s">
        <v>36</v>
      </c>
      <c r="AH146" s="168">
        <v>4.0499999999999998E-4</v>
      </c>
      <c r="AI146" s="168">
        <v>1.2935062666719001E-3</v>
      </c>
      <c r="AJ146" s="168">
        <v>1.8342944442618301E-4</v>
      </c>
    </row>
    <row r="147" spans="1:36">
      <c r="A147" s="2">
        <v>158</v>
      </c>
      <c r="B147" s="2">
        <v>9935</v>
      </c>
      <c r="C147" s="2" t="s">
        <v>1196</v>
      </c>
      <c r="D147" s="2" t="s">
        <v>1567</v>
      </c>
      <c r="E147" s="4" t="s">
        <v>1343</v>
      </c>
      <c r="F147" s="2" t="s">
        <v>1787</v>
      </c>
      <c r="G147" s="2" t="s">
        <v>1788</v>
      </c>
      <c r="H147" s="2" t="s">
        <v>338</v>
      </c>
      <c r="I147" s="2" t="s">
        <v>772</v>
      </c>
      <c r="J147" s="2" t="s">
        <v>30</v>
      </c>
      <c r="K147" s="2" t="s">
        <v>30</v>
      </c>
      <c r="L147" s="2" t="s">
        <v>344</v>
      </c>
      <c r="M147" s="2" t="s">
        <v>56</v>
      </c>
      <c r="N147" s="2" t="s">
        <v>463</v>
      </c>
      <c r="O147" s="2" t="s">
        <v>153</v>
      </c>
      <c r="P147" s="2" t="s">
        <v>109</v>
      </c>
      <c r="Q147" s="2" t="s">
        <v>430</v>
      </c>
      <c r="R147" s="2" t="s">
        <v>423</v>
      </c>
      <c r="S147" s="2" t="s">
        <v>44</v>
      </c>
      <c r="T147" s="153">
        <v>1.7370000000000001</v>
      </c>
      <c r="U147" s="2" t="s">
        <v>1760</v>
      </c>
      <c r="V147" s="166">
        <v>8.3000000000000001E-3</v>
      </c>
      <c r="W147" s="168">
        <v>2.0449999999999999E-2</v>
      </c>
      <c r="X147" s="4" t="s">
        <v>429</v>
      </c>
      <c r="Y147" s="4" t="s">
        <v>153</v>
      </c>
      <c r="Z147" s="153">
        <v>1000000</v>
      </c>
      <c r="AA147" s="162">
        <v>1</v>
      </c>
      <c r="AB147" s="179">
        <v>113.2</v>
      </c>
      <c r="AD147" s="153">
        <v>1132</v>
      </c>
      <c r="AG147" s="2" t="s">
        <v>36</v>
      </c>
      <c r="AH147" s="168">
        <v>6.5700000000000003E-4</v>
      </c>
      <c r="AI147" s="168">
        <v>7.3686181830265197E-3</v>
      </c>
      <c r="AJ147" s="168">
        <v>1.0449284818533199E-3</v>
      </c>
    </row>
    <row r="148" spans="1:36">
      <c r="A148" s="2">
        <v>158</v>
      </c>
      <c r="B148" s="2">
        <v>9935</v>
      </c>
      <c r="C148" s="2" t="s">
        <v>1196</v>
      </c>
      <c r="D148" s="2" t="s">
        <v>1567</v>
      </c>
      <c r="E148" s="4" t="s">
        <v>1343</v>
      </c>
      <c r="F148" s="2" t="s">
        <v>2092</v>
      </c>
      <c r="G148" s="2" t="s">
        <v>2093</v>
      </c>
      <c r="H148" s="2" t="s">
        <v>338</v>
      </c>
      <c r="I148" s="2" t="s">
        <v>772</v>
      </c>
      <c r="J148" s="2" t="s">
        <v>30</v>
      </c>
      <c r="K148" s="2" t="s">
        <v>30</v>
      </c>
      <c r="L148" s="2" t="s">
        <v>344</v>
      </c>
      <c r="M148" s="2" t="s">
        <v>56</v>
      </c>
      <c r="N148" s="2" t="s">
        <v>463</v>
      </c>
      <c r="O148" s="2" t="s">
        <v>153</v>
      </c>
      <c r="P148" s="2" t="s">
        <v>109</v>
      </c>
      <c r="Q148" s="2" t="s">
        <v>430</v>
      </c>
      <c r="R148" s="2" t="s">
        <v>423</v>
      </c>
      <c r="S148" s="2" t="s">
        <v>44</v>
      </c>
      <c r="T148" s="153">
        <v>2.5819999999999999</v>
      </c>
      <c r="U148" s="2" t="s">
        <v>2094</v>
      </c>
      <c r="V148" s="166">
        <v>1.8599999999999998E-2</v>
      </c>
      <c r="W148" s="168">
        <v>2.257E-2</v>
      </c>
      <c r="X148" s="4" t="s">
        <v>429</v>
      </c>
      <c r="Y148" s="4" t="s">
        <v>153</v>
      </c>
      <c r="Z148" s="153">
        <v>646000</v>
      </c>
      <c r="AA148" s="162">
        <v>1</v>
      </c>
      <c r="AB148" s="179">
        <v>102.67</v>
      </c>
      <c r="AD148" s="153">
        <v>663.24800000000005</v>
      </c>
      <c r="AG148" s="2" t="s">
        <v>36</v>
      </c>
      <c r="AH148" s="168">
        <v>3.5E-4</v>
      </c>
      <c r="AI148" s="168">
        <v>4.3173345816074297E-3</v>
      </c>
      <c r="AJ148" s="168">
        <v>6.1223227448581796E-4</v>
      </c>
    </row>
    <row r="149" spans="1:36">
      <c r="A149" s="2">
        <v>158</v>
      </c>
      <c r="B149" s="2">
        <v>9935</v>
      </c>
      <c r="C149" s="2" t="s">
        <v>1196</v>
      </c>
      <c r="D149" s="2" t="s">
        <v>1567</v>
      </c>
      <c r="E149" s="4" t="s">
        <v>1343</v>
      </c>
      <c r="F149" s="2" t="s">
        <v>2095</v>
      </c>
      <c r="G149" s="2" t="s">
        <v>2096</v>
      </c>
      <c r="H149" s="2" t="s">
        <v>338</v>
      </c>
      <c r="I149" s="2" t="s">
        <v>772</v>
      </c>
      <c r="J149" s="2" t="s">
        <v>30</v>
      </c>
      <c r="K149" s="2" t="s">
        <v>30</v>
      </c>
      <c r="L149" s="2" t="s">
        <v>344</v>
      </c>
      <c r="M149" s="2" t="s">
        <v>56</v>
      </c>
      <c r="N149" s="2" t="s">
        <v>463</v>
      </c>
      <c r="O149" s="2" t="s">
        <v>153</v>
      </c>
      <c r="P149" s="2" t="s">
        <v>109</v>
      </c>
      <c r="Q149" s="2" t="s">
        <v>430</v>
      </c>
      <c r="R149" s="2" t="s">
        <v>423</v>
      </c>
      <c r="S149" s="2" t="s">
        <v>44</v>
      </c>
      <c r="T149" s="153">
        <v>3.1440000000000001</v>
      </c>
      <c r="U149" s="2" t="s">
        <v>2097</v>
      </c>
      <c r="V149" s="166">
        <v>1E-3</v>
      </c>
      <c r="W149" s="168">
        <v>2.307E-2</v>
      </c>
      <c r="X149" s="4" t="s">
        <v>429</v>
      </c>
      <c r="Y149" s="4" t="s">
        <v>153</v>
      </c>
      <c r="Z149" s="153">
        <v>3000000</v>
      </c>
      <c r="AA149" s="162">
        <v>1</v>
      </c>
      <c r="AB149" s="179">
        <v>105.15</v>
      </c>
      <c r="AD149" s="153">
        <v>3154.5</v>
      </c>
      <c r="AG149" s="2" t="s">
        <v>36</v>
      </c>
      <c r="AH149" s="168">
        <v>9.5600000000000004E-4</v>
      </c>
      <c r="AI149" s="168">
        <v>2.05338392741671E-2</v>
      </c>
      <c r="AJ149" s="168">
        <v>2.9118612155532601E-3</v>
      </c>
    </row>
    <row r="150" spans="1:36">
      <c r="A150" s="2">
        <v>158</v>
      </c>
      <c r="B150" s="2">
        <v>9935</v>
      </c>
      <c r="C150" s="2" t="s">
        <v>1196</v>
      </c>
      <c r="D150" s="2" t="s">
        <v>1567</v>
      </c>
      <c r="E150" s="4" t="s">
        <v>1343</v>
      </c>
      <c r="F150" s="2" t="s">
        <v>2098</v>
      </c>
      <c r="G150" s="2" t="s">
        <v>2099</v>
      </c>
      <c r="H150" s="2" t="s">
        <v>338</v>
      </c>
      <c r="I150" s="2" t="s">
        <v>985</v>
      </c>
      <c r="J150" s="2" t="s">
        <v>30</v>
      </c>
      <c r="K150" s="2" t="s">
        <v>30</v>
      </c>
      <c r="L150" s="2" t="s">
        <v>344</v>
      </c>
      <c r="M150" s="2" t="s">
        <v>56</v>
      </c>
      <c r="N150" s="2" t="s">
        <v>463</v>
      </c>
      <c r="O150" s="2" t="s">
        <v>153</v>
      </c>
      <c r="P150" s="2" t="s">
        <v>109</v>
      </c>
      <c r="Q150" s="2" t="s">
        <v>430</v>
      </c>
      <c r="R150" s="2" t="s">
        <v>423</v>
      </c>
      <c r="S150" s="2" t="s">
        <v>44</v>
      </c>
      <c r="T150" s="153">
        <v>3.1080000000000001</v>
      </c>
      <c r="U150" s="2" t="s">
        <v>2100</v>
      </c>
      <c r="V150" s="166">
        <v>2.76E-2</v>
      </c>
      <c r="W150" s="168">
        <v>5.0979999999999998E-2</v>
      </c>
      <c r="X150" s="4" t="s">
        <v>429</v>
      </c>
      <c r="Y150" s="4" t="s">
        <v>153</v>
      </c>
      <c r="Z150" s="153">
        <v>1400000</v>
      </c>
      <c r="AA150" s="162">
        <v>1</v>
      </c>
      <c r="AB150" s="179">
        <v>94.29</v>
      </c>
      <c r="AD150" s="153">
        <v>1320.06</v>
      </c>
      <c r="AG150" s="2" t="s">
        <v>36</v>
      </c>
      <c r="AH150" s="168">
        <v>1.0480000000000001E-3</v>
      </c>
      <c r="AI150" s="168">
        <v>8.5927721896519402E-3</v>
      </c>
      <c r="AJ150" s="168">
        <v>1.2185232259322399E-3</v>
      </c>
    </row>
    <row r="151" spans="1:36">
      <c r="A151" s="2">
        <v>158</v>
      </c>
      <c r="B151" s="2">
        <v>9935</v>
      </c>
      <c r="C151" s="2" t="s">
        <v>1196</v>
      </c>
      <c r="D151" s="2" t="s">
        <v>1567</v>
      </c>
      <c r="E151" s="4" t="s">
        <v>1343</v>
      </c>
      <c r="F151" s="2" t="s">
        <v>1789</v>
      </c>
      <c r="G151" s="2" t="s">
        <v>1790</v>
      </c>
      <c r="H151" s="2" t="s">
        <v>338</v>
      </c>
      <c r="I151" s="2" t="s">
        <v>772</v>
      </c>
      <c r="J151" s="2" t="s">
        <v>30</v>
      </c>
      <c r="K151" s="2" t="s">
        <v>30</v>
      </c>
      <c r="L151" s="2" t="s">
        <v>344</v>
      </c>
      <c r="M151" s="2" t="s">
        <v>56</v>
      </c>
      <c r="N151" s="2" t="s">
        <v>463</v>
      </c>
      <c r="O151" s="2" t="s">
        <v>153</v>
      </c>
      <c r="P151" s="2" t="s">
        <v>109</v>
      </c>
      <c r="Q151" s="2" t="s">
        <v>430</v>
      </c>
      <c r="R151" s="2" t="s">
        <v>423</v>
      </c>
      <c r="S151" s="2" t="s">
        <v>44</v>
      </c>
      <c r="T151" s="153">
        <v>5.0449999999999999</v>
      </c>
      <c r="U151" s="2" t="s">
        <v>1791</v>
      </c>
      <c r="V151" s="166">
        <v>2.0199999999999999E-2</v>
      </c>
      <c r="W151" s="168">
        <v>2.5940000000000001E-2</v>
      </c>
      <c r="X151" s="4" t="s">
        <v>429</v>
      </c>
      <c r="Y151" s="4" t="s">
        <v>153</v>
      </c>
      <c r="Z151" s="153">
        <v>3046000</v>
      </c>
      <c r="AA151" s="162">
        <v>1</v>
      </c>
      <c r="AB151" s="179">
        <v>101.35</v>
      </c>
      <c r="AD151" s="153">
        <v>3087.1210000000001</v>
      </c>
      <c r="AG151" s="2" t="s">
        <v>36</v>
      </c>
      <c r="AH151" s="168">
        <v>8.5400000000000005E-4</v>
      </c>
      <c r="AI151" s="168">
        <v>2.00952437577765E-2</v>
      </c>
      <c r="AJ151" s="168">
        <v>2.8496648938405398E-3</v>
      </c>
    </row>
    <row r="152" spans="1:36">
      <c r="A152" s="2">
        <v>158</v>
      </c>
      <c r="B152" s="2">
        <v>9935</v>
      </c>
      <c r="C152" s="2" t="s">
        <v>1792</v>
      </c>
      <c r="D152" s="2" t="s">
        <v>1793</v>
      </c>
      <c r="E152" s="4" t="s">
        <v>1343</v>
      </c>
      <c r="F152" s="2" t="s">
        <v>2101</v>
      </c>
      <c r="G152" s="2" t="s">
        <v>2102</v>
      </c>
      <c r="H152" s="2" t="s">
        <v>338</v>
      </c>
      <c r="I152" s="2" t="s">
        <v>772</v>
      </c>
      <c r="J152" s="2" t="s">
        <v>30</v>
      </c>
      <c r="K152" s="2" t="s">
        <v>30</v>
      </c>
      <c r="L152" s="2" t="s">
        <v>344</v>
      </c>
      <c r="M152" s="2" t="s">
        <v>56</v>
      </c>
      <c r="N152" s="2" t="s">
        <v>479</v>
      </c>
      <c r="O152" s="2" t="s">
        <v>153</v>
      </c>
      <c r="P152" s="2" t="s">
        <v>1718</v>
      </c>
      <c r="Q152" s="2" t="s">
        <v>430</v>
      </c>
      <c r="R152" s="2" t="s">
        <v>423</v>
      </c>
      <c r="S152" s="2" t="s">
        <v>44</v>
      </c>
      <c r="T152" s="153">
        <v>3.4409999999999998</v>
      </c>
      <c r="U152" s="2" t="s">
        <v>1763</v>
      </c>
      <c r="V152" s="166">
        <v>2.81E-2</v>
      </c>
      <c r="W152" s="168">
        <v>2.9329999999999998E-2</v>
      </c>
      <c r="X152" s="4" t="s">
        <v>429</v>
      </c>
      <c r="Y152" s="4" t="s">
        <v>153</v>
      </c>
      <c r="Z152" s="153">
        <v>473437.5</v>
      </c>
      <c r="AA152" s="162">
        <v>1</v>
      </c>
      <c r="AB152" s="179">
        <v>117.13</v>
      </c>
      <c r="AD152" s="153">
        <v>554.53700000000003</v>
      </c>
      <c r="AG152" s="2" t="s">
        <v>36</v>
      </c>
      <c r="AH152" s="168">
        <v>3.4400000000000001E-4</v>
      </c>
      <c r="AI152" s="168">
        <v>3.60969430593947E-3</v>
      </c>
      <c r="AJ152" s="168">
        <v>5.1188327273468095E-4</v>
      </c>
    </row>
    <row r="153" spans="1:36">
      <c r="A153" s="2">
        <v>158</v>
      </c>
      <c r="B153" s="2">
        <v>9935</v>
      </c>
      <c r="C153" s="2" t="s">
        <v>1792</v>
      </c>
      <c r="D153" s="2" t="s">
        <v>1793</v>
      </c>
      <c r="E153" s="4" t="s">
        <v>1343</v>
      </c>
      <c r="F153" s="2" t="s">
        <v>1794</v>
      </c>
      <c r="G153" s="2" t="s">
        <v>1795</v>
      </c>
      <c r="H153" s="2" t="s">
        <v>338</v>
      </c>
      <c r="I153" s="2" t="s">
        <v>985</v>
      </c>
      <c r="J153" s="2" t="s">
        <v>30</v>
      </c>
      <c r="K153" s="2" t="s">
        <v>30</v>
      </c>
      <c r="L153" s="2" t="s">
        <v>344</v>
      </c>
      <c r="M153" s="2" t="s">
        <v>56</v>
      </c>
      <c r="N153" s="2" t="s">
        <v>479</v>
      </c>
      <c r="O153" s="2" t="s">
        <v>153</v>
      </c>
      <c r="P153" s="2" t="s">
        <v>1718</v>
      </c>
      <c r="Q153" s="2" t="s">
        <v>430</v>
      </c>
      <c r="R153" s="2" t="s">
        <v>423</v>
      </c>
      <c r="S153" s="2" t="s">
        <v>44</v>
      </c>
      <c r="T153" s="153">
        <v>2.0859999999999999</v>
      </c>
      <c r="U153" s="2" t="s">
        <v>1796</v>
      </c>
      <c r="V153" s="166">
        <v>5.6500000000000002E-2</v>
      </c>
      <c r="W153" s="168">
        <v>5.339E-2</v>
      </c>
      <c r="X153" s="4" t="s">
        <v>429</v>
      </c>
      <c r="Y153" s="4" t="s">
        <v>153</v>
      </c>
      <c r="Z153" s="153">
        <v>172844.61</v>
      </c>
      <c r="AA153" s="162">
        <v>1</v>
      </c>
      <c r="AB153" s="179">
        <v>102.21</v>
      </c>
      <c r="AD153" s="153">
        <v>176.66399999999999</v>
      </c>
      <c r="AG153" s="2" t="s">
        <v>36</v>
      </c>
      <c r="AH153" s="168">
        <v>1.1069999999999999E-3</v>
      </c>
      <c r="AI153" s="168">
        <v>1.1499762096038801E-3</v>
      </c>
      <c r="AJ153" s="168">
        <v>1.6307574432839701E-4</v>
      </c>
    </row>
    <row r="154" spans="1:36">
      <c r="A154" s="2">
        <v>158</v>
      </c>
      <c r="B154" s="2">
        <v>9935</v>
      </c>
      <c r="C154" s="2" t="s">
        <v>1792</v>
      </c>
      <c r="D154" s="2" t="s">
        <v>1793</v>
      </c>
      <c r="E154" s="4" t="s">
        <v>1343</v>
      </c>
      <c r="F154" s="2" t="s">
        <v>1797</v>
      </c>
      <c r="G154" s="2" t="s">
        <v>1798</v>
      </c>
      <c r="H154" s="2" t="s">
        <v>338</v>
      </c>
      <c r="I154" s="2" t="s">
        <v>772</v>
      </c>
      <c r="J154" s="2" t="s">
        <v>30</v>
      </c>
      <c r="K154" s="2" t="s">
        <v>30</v>
      </c>
      <c r="L154" s="2" t="s">
        <v>344</v>
      </c>
      <c r="M154" s="2" t="s">
        <v>56</v>
      </c>
      <c r="N154" s="2" t="s">
        <v>479</v>
      </c>
      <c r="O154" s="2" t="s">
        <v>153</v>
      </c>
      <c r="P154" s="2" t="s">
        <v>1718</v>
      </c>
      <c r="Q154" s="2" t="s">
        <v>430</v>
      </c>
      <c r="R154" s="2" t="s">
        <v>423</v>
      </c>
      <c r="S154" s="2" t="s">
        <v>44</v>
      </c>
      <c r="T154" s="153">
        <v>2.024</v>
      </c>
      <c r="U154" s="2" t="s">
        <v>1796</v>
      </c>
      <c r="V154" s="166">
        <v>3.6999999999999998E-2</v>
      </c>
      <c r="W154" s="168">
        <v>2.6419999999999999E-2</v>
      </c>
      <c r="X154" s="4" t="s">
        <v>429</v>
      </c>
      <c r="Y154" s="4" t="s">
        <v>153</v>
      </c>
      <c r="Z154" s="153">
        <v>600000</v>
      </c>
      <c r="AA154" s="162">
        <v>1</v>
      </c>
      <c r="AB154" s="179">
        <v>119.19</v>
      </c>
      <c r="AD154" s="153">
        <v>715.14</v>
      </c>
      <c r="AG154" s="2" t="s">
        <v>36</v>
      </c>
      <c r="AH154" s="168">
        <v>1.9949999999999998E-3</v>
      </c>
      <c r="AI154" s="168">
        <v>4.6551180277469798E-3</v>
      </c>
      <c r="AJ154" s="168">
        <v>6.6013264532913596E-4</v>
      </c>
    </row>
    <row r="155" spans="1:36">
      <c r="A155" s="2">
        <v>158</v>
      </c>
      <c r="B155" s="2">
        <v>9935</v>
      </c>
      <c r="C155" s="2" t="s">
        <v>1799</v>
      </c>
      <c r="D155" s="2" t="s">
        <v>1800</v>
      </c>
      <c r="E155" s="4" t="s">
        <v>1343</v>
      </c>
      <c r="F155" s="2" t="s">
        <v>1801</v>
      </c>
      <c r="G155" s="2" t="s">
        <v>1802</v>
      </c>
      <c r="H155" s="2" t="s">
        <v>338</v>
      </c>
      <c r="I155" s="2" t="s">
        <v>772</v>
      </c>
      <c r="J155" s="2" t="s">
        <v>30</v>
      </c>
      <c r="K155" s="2" t="s">
        <v>30</v>
      </c>
      <c r="L155" s="2" t="s">
        <v>344</v>
      </c>
      <c r="M155" s="2" t="s">
        <v>56</v>
      </c>
      <c r="N155" s="2" t="s">
        <v>479</v>
      </c>
      <c r="O155" s="2" t="s">
        <v>153</v>
      </c>
      <c r="P155" s="2" t="s">
        <v>32</v>
      </c>
      <c r="Q155" s="2" t="s">
        <v>430</v>
      </c>
      <c r="R155" s="2" t="s">
        <v>423</v>
      </c>
      <c r="S155" s="2" t="s">
        <v>44</v>
      </c>
      <c r="T155" s="153">
        <v>1.8720000000000001</v>
      </c>
      <c r="U155" s="2" t="s">
        <v>1803</v>
      </c>
      <c r="V155" s="166">
        <v>2.0500000000000001E-2</v>
      </c>
      <c r="W155" s="168">
        <v>2.6960000000000001E-2</v>
      </c>
      <c r="X155" s="4" t="s">
        <v>429</v>
      </c>
      <c r="Y155" s="4" t="s">
        <v>153</v>
      </c>
      <c r="Z155" s="153">
        <v>686571.43</v>
      </c>
      <c r="AA155" s="162">
        <v>1</v>
      </c>
      <c r="AB155" s="179">
        <v>115.69</v>
      </c>
      <c r="AD155" s="153">
        <v>794.29399999999998</v>
      </c>
      <c r="AG155" s="2" t="s">
        <v>36</v>
      </c>
      <c r="AH155" s="168">
        <v>9.0899999999999998E-4</v>
      </c>
      <c r="AI155" s="168">
        <v>5.1703646663341001E-3</v>
      </c>
      <c r="AJ155" s="168">
        <v>7.3319870391241903E-4</v>
      </c>
    </row>
    <row r="156" spans="1:36">
      <c r="A156" s="2">
        <v>158</v>
      </c>
      <c r="B156" s="2">
        <v>9935</v>
      </c>
      <c r="C156" s="2" t="s">
        <v>1804</v>
      </c>
      <c r="D156" s="2" t="s">
        <v>1805</v>
      </c>
      <c r="E156" s="4" t="s">
        <v>1343</v>
      </c>
      <c r="F156" s="2" t="s">
        <v>2103</v>
      </c>
      <c r="G156" s="2" t="s">
        <v>2104</v>
      </c>
      <c r="H156" s="2" t="s">
        <v>338</v>
      </c>
      <c r="I156" s="2" t="s">
        <v>772</v>
      </c>
      <c r="J156" s="2" t="s">
        <v>30</v>
      </c>
      <c r="K156" s="2" t="s">
        <v>30</v>
      </c>
      <c r="L156" s="2" t="s">
        <v>344</v>
      </c>
      <c r="M156" s="2" t="s">
        <v>56</v>
      </c>
      <c r="N156" s="2" t="s">
        <v>463</v>
      </c>
      <c r="O156" s="2" t="s">
        <v>153</v>
      </c>
      <c r="P156" s="2" t="s">
        <v>109</v>
      </c>
      <c r="Q156" s="2" t="s">
        <v>110</v>
      </c>
      <c r="R156" s="2" t="s">
        <v>423</v>
      </c>
      <c r="S156" s="2" t="s">
        <v>44</v>
      </c>
      <c r="T156" s="153">
        <v>2.16</v>
      </c>
      <c r="U156" s="2" t="s">
        <v>2105</v>
      </c>
      <c r="V156" s="166">
        <v>5.0000000000000001E-3</v>
      </c>
      <c r="W156" s="168">
        <v>2.1420000000000002E-2</v>
      </c>
      <c r="X156" s="4" t="s">
        <v>429</v>
      </c>
      <c r="Y156" s="4" t="s">
        <v>153</v>
      </c>
      <c r="Z156" s="153">
        <v>1012000</v>
      </c>
      <c r="AA156" s="162">
        <v>1</v>
      </c>
      <c r="AB156" s="179">
        <v>110.72</v>
      </c>
      <c r="AD156" s="153">
        <v>1120.4860000000001</v>
      </c>
      <c r="AG156" s="2" t="s">
        <v>36</v>
      </c>
      <c r="AH156" s="168">
        <v>1.3259999999999999E-3</v>
      </c>
      <c r="AI156" s="168">
        <v>7.2936717852243203E-3</v>
      </c>
      <c r="AJ156" s="168">
        <v>1.0343004884181E-3</v>
      </c>
    </row>
    <row r="157" spans="1:36">
      <c r="A157" s="2">
        <v>158</v>
      </c>
      <c r="B157" s="2">
        <v>9935</v>
      </c>
      <c r="C157" s="2" t="s">
        <v>1804</v>
      </c>
      <c r="D157" s="2" t="s">
        <v>1805</v>
      </c>
      <c r="E157" s="4" t="s">
        <v>1343</v>
      </c>
      <c r="F157" s="2" t="s">
        <v>2106</v>
      </c>
      <c r="G157" s="2" t="s">
        <v>2107</v>
      </c>
      <c r="H157" s="2" t="s">
        <v>338</v>
      </c>
      <c r="I157" s="2" t="s">
        <v>772</v>
      </c>
      <c r="J157" s="2" t="s">
        <v>30</v>
      </c>
      <c r="K157" s="2" t="s">
        <v>30</v>
      </c>
      <c r="L157" s="2" t="s">
        <v>344</v>
      </c>
      <c r="M157" s="2" t="s">
        <v>56</v>
      </c>
      <c r="N157" s="2" t="s">
        <v>463</v>
      </c>
      <c r="O157" s="2" t="s">
        <v>153</v>
      </c>
      <c r="P157" s="2" t="s">
        <v>109</v>
      </c>
      <c r="Q157" s="2" t="s">
        <v>430</v>
      </c>
      <c r="R157" s="2" t="s">
        <v>423</v>
      </c>
      <c r="S157" s="2" t="s">
        <v>44</v>
      </c>
      <c r="T157" s="153">
        <v>3.43</v>
      </c>
      <c r="U157" s="2" t="s">
        <v>2108</v>
      </c>
      <c r="V157" s="166">
        <v>1E-3</v>
      </c>
      <c r="W157" s="168">
        <v>2.4819999999999998E-2</v>
      </c>
      <c r="X157" s="4" t="s">
        <v>429</v>
      </c>
      <c r="Y157" s="4" t="s">
        <v>153</v>
      </c>
      <c r="Z157" s="153">
        <v>4270000</v>
      </c>
      <c r="AA157" s="162">
        <v>1</v>
      </c>
      <c r="AB157" s="179">
        <v>102.63</v>
      </c>
      <c r="AD157" s="153">
        <v>4382.3010000000004</v>
      </c>
      <c r="AG157" s="2" t="s">
        <v>36</v>
      </c>
      <c r="AH157" s="168">
        <v>1.64E-3</v>
      </c>
      <c r="AI157" s="168">
        <v>2.8526062572522399E-2</v>
      </c>
      <c r="AJ157" s="168">
        <v>4.0452218471327501E-3</v>
      </c>
    </row>
    <row r="158" spans="1:36">
      <c r="A158" s="2">
        <v>158</v>
      </c>
      <c r="B158" s="2">
        <v>9935</v>
      </c>
      <c r="C158" s="2" t="s">
        <v>1815</v>
      </c>
      <c r="D158" s="2" t="s">
        <v>1816</v>
      </c>
      <c r="E158" s="4" t="s">
        <v>1343</v>
      </c>
      <c r="F158" s="2" t="s">
        <v>2109</v>
      </c>
      <c r="G158" s="2" t="s">
        <v>2110</v>
      </c>
      <c r="H158" s="2" t="s">
        <v>338</v>
      </c>
      <c r="I158" s="2" t="s">
        <v>772</v>
      </c>
      <c r="J158" s="2" t="s">
        <v>30</v>
      </c>
      <c r="K158" s="2" t="s">
        <v>30</v>
      </c>
      <c r="L158" s="2" t="s">
        <v>344</v>
      </c>
      <c r="M158" s="2" t="s">
        <v>56</v>
      </c>
      <c r="N158" s="2" t="s">
        <v>458</v>
      </c>
      <c r="O158" s="2" t="s">
        <v>153</v>
      </c>
      <c r="P158" s="2" t="s">
        <v>32</v>
      </c>
      <c r="Q158" s="2" t="s">
        <v>110</v>
      </c>
      <c r="R158" s="2" t="s">
        <v>423</v>
      </c>
      <c r="S158" s="2" t="s">
        <v>44</v>
      </c>
      <c r="T158" s="153">
        <v>3.2530000000000001</v>
      </c>
      <c r="U158" s="2" t="s">
        <v>2111</v>
      </c>
      <c r="V158" s="166">
        <v>0.01</v>
      </c>
      <c r="W158" s="168">
        <v>3.3340000000000002E-2</v>
      </c>
      <c r="X158" s="4" t="s">
        <v>429</v>
      </c>
      <c r="Y158" s="4" t="s">
        <v>153</v>
      </c>
      <c r="Z158" s="153">
        <v>729468.75</v>
      </c>
      <c r="AA158" s="162">
        <v>1</v>
      </c>
      <c r="AB158" s="179">
        <v>104.54</v>
      </c>
      <c r="AD158" s="153">
        <v>762.58699999999999</v>
      </c>
      <c r="AG158" s="2" t="s">
        <v>36</v>
      </c>
      <c r="AH158" s="168">
        <v>4.6099999999999998E-4</v>
      </c>
      <c r="AI158" s="168">
        <v>4.9639661812382399E-3</v>
      </c>
      <c r="AJ158" s="168">
        <v>7.0392976225591697E-4</v>
      </c>
    </row>
    <row r="159" spans="1:36">
      <c r="A159" s="2">
        <v>158</v>
      </c>
      <c r="B159" s="2">
        <v>9935</v>
      </c>
      <c r="C159" s="2" t="s">
        <v>1815</v>
      </c>
      <c r="D159" s="2" t="s">
        <v>1816</v>
      </c>
      <c r="E159" s="4" t="s">
        <v>1343</v>
      </c>
      <c r="F159" s="2" t="s">
        <v>1817</v>
      </c>
      <c r="G159" s="2" t="s">
        <v>1818</v>
      </c>
      <c r="H159" s="2" t="s">
        <v>338</v>
      </c>
      <c r="I159" s="2" t="s">
        <v>772</v>
      </c>
      <c r="J159" s="2" t="s">
        <v>30</v>
      </c>
      <c r="K159" s="2" t="s">
        <v>30</v>
      </c>
      <c r="L159" s="2" t="s">
        <v>344</v>
      </c>
      <c r="M159" s="2" t="s">
        <v>56</v>
      </c>
      <c r="N159" s="2" t="s">
        <v>458</v>
      </c>
      <c r="O159" s="2" t="s">
        <v>153</v>
      </c>
      <c r="P159" s="2" t="s">
        <v>32</v>
      </c>
      <c r="Q159" s="2" t="s">
        <v>110</v>
      </c>
      <c r="R159" s="2" t="s">
        <v>423</v>
      </c>
      <c r="S159" s="2" t="s">
        <v>44</v>
      </c>
      <c r="T159" s="153">
        <v>1.6559999999999999</v>
      </c>
      <c r="U159" s="2" t="s">
        <v>1819</v>
      </c>
      <c r="V159" s="166">
        <v>3.5400000000000001E-2</v>
      </c>
      <c r="W159" s="168">
        <v>3.2190000000000003E-2</v>
      </c>
      <c r="X159" s="4" t="s">
        <v>429</v>
      </c>
      <c r="Y159" s="4" t="s">
        <v>153</v>
      </c>
      <c r="Z159" s="153">
        <v>861000</v>
      </c>
      <c r="AA159" s="162">
        <v>1</v>
      </c>
      <c r="AB159" s="179">
        <v>107.7</v>
      </c>
      <c r="AD159" s="153">
        <v>927.29700000000003</v>
      </c>
      <c r="AG159" s="2" t="s">
        <v>36</v>
      </c>
      <c r="AH159" s="168">
        <v>7.7099999999999998E-4</v>
      </c>
      <c r="AI159" s="168">
        <v>6.0361285647225604E-3</v>
      </c>
      <c r="AJ159" s="168">
        <v>8.55970889078742E-4</v>
      </c>
    </row>
    <row r="160" spans="1:36">
      <c r="A160" s="2">
        <v>158</v>
      </c>
      <c r="B160" s="2">
        <v>9935</v>
      </c>
      <c r="C160" s="2" t="s">
        <v>1815</v>
      </c>
      <c r="D160" s="2" t="s">
        <v>1816</v>
      </c>
      <c r="E160" s="4" t="s">
        <v>1343</v>
      </c>
      <c r="F160" s="2" t="s">
        <v>2112</v>
      </c>
      <c r="G160" s="2" t="s">
        <v>2113</v>
      </c>
      <c r="H160" s="2" t="s">
        <v>338</v>
      </c>
      <c r="I160" s="2" t="s">
        <v>772</v>
      </c>
      <c r="J160" s="2" t="s">
        <v>30</v>
      </c>
      <c r="K160" s="2" t="s">
        <v>30</v>
      </c>
      <c r="L160" s="2" t="s">
        <v>344</v>
      </c>
      <c r="M160" s="2" t="s">
        <v>56</v>
      </c>
      <c r="N160" s="2" t="s">
        <v>458</v>
      </c>
      <c r="O160" s="2" t="s">
        <v>153</v>
      </c>
      <c r="P160" s="2" t="s">
        <v>32</v>
      </c>
      <c r="Q160" s="2" t="s">
        <v>110</v>
      </c>
      <c r="R160" s="2" t="s">
        <v>423</v>
      </c>
      <c r="S160" s="2" t="s">
        <v>44</v>
      </c>
      <c r="T160" s="153">
        <v>0.66200000000000003</v>
      </c>
      <c r="U160" s="2" t="s">
        <v>2114</v>
      </c>
      <c r="V160" s="166">
        <v>0.01</v>
      </c>
      <c r="W160" s="168">
        <v>2.707E-2</v>
      </c>
      <c r="X160" s="4" t="s">
        <v>429</v>
      </c>
      <c r="Y160" s="4" t="s">
        <v>153</v>
      </c>
      <c r="Z160" s="153">
        <v>808842.23999999999</v>
      </c>
      <c r="AA160" s="162">
        <v>1</v>
      </c>
      <c r="AB160" s="179">
        <v>113.12</v>
      </c>
      <c r="AD160" s="153">
        <v>914.96199999999999</v>
      </c>
      <c r="AG160" s="2" t="s">
        <v>36</v>
      </c>
      <c r="AH160" s="168">
        <v>2.6570000000000001E-3</v>
      </c>
      <c r="AI160" s="168">
        <v>5.95583758765057E-3</v>
      </c>
      <c r="AJ160" s="168">
        <v>8.4458499192754802E-4</v>
      </c>
    </row>
    <row r="161" spans="1:36">
      <c r="A161" s="2">
        <v>158</v>
      </c>
      <c r="B161" s="2">
        <v>9935</v>
      </c>
      <c r="C161" s="2" t="s">
        <v>1578</v>
      </c>
      <c r="D161" s="2" t="s">
        <v>1579</v>
      </c>
      <c r="E161" s="4" t="s">
        <v>1343</v>
      </c>
      <c r="F161" s="2" t="s">
        <v>1822</v>
      </c>
      <c r="G161" s="2" t="s">
        <v>1823</v>
      </c>
      <c r="H161" s="2" t="s">
        <v>338</v>
      </c>
      <c r="I161" s="2" t="s">
        <v>772</v>
      </c>
      <c r="J161" s="2" t="s">
        <v>30</v>
      </c>
      <c r="K161" s="2" t="s">
        <v>30</v>
      </c>
      <c r="L161" s="2" t="s">
        <v>344</v>
      </c>
      <c r="M161" s="2" t="s">
        <v>56</v>
      </c>
      <c r="N161" s="2" t="s">
        <v>479</v>
      </c>
      <c r="O161" s="2" t="s">
        <v>153</v>
      </c>
      <c r="P161" s="2" t="s">
        <v>1718</v>
      </c>
      <c r="Q161" s="2" t="s">
        <v>430</v>
      </c>
      <c r="R161" s="2" t="s">
        <v>423</v>
      </c>
      <c r="S161" s="2" t="s">
        <v>44</v>
      </c>
      <c r="T161" s="153">
        <v>5.92</v>
      </c>
      <c r="U161" s="2" t="s">
        <v>1824</v>
      </c>
      <c r="V161" s="166">
        <v>3.61E-2</v>
      </c>
      <c r="W161" s="168">
        <v>3.4549999999999997E-2</v>
      </c>
      <c r="X161" s="4" t="s">
        <v>429</v>
      </c>
      <c r="Y161" s="4" t="s">
        <v>153</v>
      </c>
      <c r="Z161" s="153">
        <v>989898.99</v>
      </c>
      <c r="AA161" s="162">
        <v>1</v>
      </c>
      <c r="AB161" s="179">
        <v>107.95</v>
      </c>
      <c r="AD161" s="153">
        <v>1068.596</v>
      </c>
      <c r="AG161" s="2" t="s">
        <v>36</v>
      </c>
      <c r="AH161" s="168">
        <v>9.2599999999999996E-4</v>
      </c>
      <c r="AI161" s="168">
        <v>6.9558971899213199E-3</v>
      </c>
      <c r="AJ161" s="168">
        <v>9.8640137269358197E-4</v>
      </c>
    </row>
    <row r="162" spans="1:36">
      <c r="A162" s="2">
        <v>158</v>
      </c>
      <c r="B162" s="2">
        <v>9935</v>
      </c>
      <c r="C162" s="2" t="s">
        <v>1578</v>
      </c>
      <c r="D162" s="2" t="s">
        <v>1579</v>
      </c>
      <c r="E162" s="4" t="s">
        <v>1343</v>
      </c>
      <c r="F162" s="2" t="s">
        <v>2115</v>
      </c>
      <c r="G162" s="2" t="s">
        <v>2116</v>
      </c>
      <c r="H162" s="2" t="s">
        <v>338</v>
      </c>
      <c r="I162" s="2" t="s">
        <v>772</v>
      </c>
      <c r="J162" s="2" t="s">
        <v>30</v>
      </c>
      <c r="K162" s="2" t="s">
        <v>30</v>
      </c>
      <c r="L162" s="2" t="s">
        <v>344</v>
      </c>
      <c r="M162" s="2" t="s">
        <v>56</v>
      </c>
      <c r="N162" s="2" t="s">
        <v>479</v>
      </c>
      <c r="O162" s="2" t="s">
        <v>153</v>
      </c>
      <c r="P162" s="2" t="s">
        <v>1718</v>
      </c>
      <c r="Q162" s="2" t="s">
        <v>430</v>
      </c>
      <c r="R162" s="2" t="s">
        <v>423</v>
      </c>
      <c r="S162" s="2" t="s">
        <v>44</v>
      </c>
      <c r="T162" s="153">
        <v>1.5029999999999999</v>
      </c>
      <c r="U162" s="2" t="s">
        <v>2117</v>
      </c>
      <c r="V162" s="166">
        <v>2.1499999999999998E-2</v>
      </c>
      <c r="W162" s="168">
        <v>2.529E-2</v>
      </c>
      <c r="X162" s="4" t="s">
        <v>429</v>
      </c>
      <c r="Y162" s="4" t="s">
        <v>153</v>
      </c>
      <c r="Z162" s="153">
        <v>147000</v>
      </c>
      <c r="AA162" s="162">
        <v>1</v>
      </c>
      <c r="AB162" s="179">
        <v>117.88</v>
      </c>
      <c r="AD162" s="153">
        <v>173.28399999999999</v>
      </c>
      <c r="AG162" s="2" t="s">
        <v>36</v>
      </c>
      <c r="AH162" s="168">
        <v>1.2300000000000001E-4</v>
      </c>
      <c r="AI162" s="168">
        <v>1.12796880369284E-3</v>
      </c>
      <c r="AJ162" s="168">
        <v>1.5995491968028E-4</v>
      </c>
    </row>
    <row r="163" spans="1:36">
      <c r="A163" s="2">
        <v>158</v>
      </c>
      <c r="B163" s="2">
        <v>9935</v>
      </c>
      <c r="C163" s="2" t="s">
        <v>1578</v>
      </c>
      <c r="D163" s="2" t="s">
        <v>1579</v>
      </c>
      <c r="E163" s="4" t="s">
        <v>1343</v>
      </c>
      <c r="F163" s="2" t="s">
        <v>1828</v>
      </c>
      <c r="G163" s="2" t="s">
        <v>1829</v>
      </c>
      <c r="H163" s="2" t="s">
        <v>338</v>
      </c>
      <c r="I163" s="2" t="s">
        <v>772</v>
      </c>
      <c r="J163" s="2" t="s">
        <v>30</v>
      </c>
      <c r="K163" s="2" t="s">
        <v>30</v>
      </c>
      <c r="L163" s="2" t="s">
        <v>344</v>
      </c>
      <c r="M163" s="2" t="s">
        <v>56</v>
      </c>
      <c r="N163" s="2" t="s">
        <v>479</v>
      </c>
      <c r="O163" s="2" t="s">
        <v>153</v>
      </c>
      <c r="P163" s="2" t="s">
        <v>1718</v>
      </c>
      <c r="Q163" s="2" t="s">
        <v>430</v>
      </c>
      <c r="R163" s="2" t="s">
        <v>423</v>
      </c>
      <c r="S163" s="2" t="s">
        <v>44</v>
      </c>
      <c r="T163" s="153">
        <v>5.298</v>
      </c>
      <c r="U163" s="2" t="s">
        <v>1830</v>
      </c>
      <c r="V163" s="166">
        <v>2.5000000000000001E-3</v>
      </c>
      <c r="W163" s="168">
        <v>3.0300000000000001E-2</v>
      </c>
      <c r="X163" s="4" t="s">
        <v>429</v>
      </c>
      <c r="Y163" s="4" t="s">
        <v>153</v>
      </c>
      <c r="Z163" s="153">
        <v>933680</v>
      </c>
      <c r="AA163" s="162">
        <v>1</v>
      </c>
      <c r="AB163" s="179">
        <v>97.92</v>
      </c>
      <c r="AD163" s="153">
        <v>914.25900000000001</v>
      </c>
      <c r="AG163" s="2" t="s">
        <v>36</v>
      </c>
      <c r="AH163" s="168">
        <v>7.5199999999999996E-4</v>
      </c>
      <c r="AI163" s="168">
        <v>5.9512622362946398E-3</v>
      </c>
      <c r="AJ163" s="168">
        <v>8.43936170828728E-4</v>
      </c>
    </row>
    <row r="164" spans="1:36">
      <c r="A164" s="2">
        <v>158</v>
      </c>
      <c r="B164" s="2">
        <v>9935</v>
      </c>
      <c r="C164" s="2" t="s">
        <v>2118</v>
      </c>
      <c r="D164" s="2" t="s">
        <v>2119</v>
      </c>
      <c r="E164" s="4" t="s">
        <v>1343</v>
      </c>
      <c r="F164" s="2" t="s">
        <v>2120</v>
      </c>
      <c r="G164" s="2" t="s">
        <v>2121</v>
      </c>
      <c r="H164" s="2" t="s">
        <v>338</v>
      </c>
      <c r="I164" s="2" t="s">
        <v>772</v>
      </c>
      <c r="J164" s="2" t="s">
        <v>30</v>
      </c>
      <c r="K164" s="2" t="s">
        <v>30</v>
      </c>
      <c r="L164" s="2" t="s">
        <v>344</v>
      </c>
      <c r="M164" s="2" t="s">
        <v>56</v>
      </c>
      <c r="N164" s="2" t="s">
        <v>463</v>
      </c>
      <c r="O164" s="2" t="s">
        <v>153</v>
      </c>
      <c r="P164" s="2" t="s">
        <v>109</v>
      </c>
      <c r="Q164" s="2" t="s">
        <v>430</v>
      </c>
      <c r="R164" s="2" t="s">
        <v>423</v>
      </c>
      <c r="S164" s="2" t="s">
        <v>44</v>
      </c>
      <c r="T164" s="153">
        <v>2.5339999999999998</v>
      </c>
      <c r="U164" s="2" t="s">
        <v>2122</v>
      </c>
      <c r="V164" s="166">
        <v>1.4999999999999999E-2</v>
      </c>
      <c r="W164" s="168">
        <v>2.2360000000000001E-2</v>
      </c>
      <c r="X164" s="4" t="s">
        <v>429</v>
      </c>
      <c r="Y164" s="4" t="s">
        <v>153</v>
      </c>
      <c r="Z164" s="153">
        <v>1042029.41</v>
      </c>
      <c r="AA164" s="162">
        <v>1</v>
      </c>
      <c r="AB164" s="179">
        <v>114.19</v>
      </c>
      <c r="AD164" s="153">
        <v>1189.893</v>
      </c>
      <c r="AG164" s="2" t="s">
        <v>36</v>
      </c>
      <c r="AH164" s="168">
        <v>3.7330000000000002E-3</v>
      </c>
      <c r="AI164" s="168">
        <v>7.7454682154528103E-3</v>
      </c>
      <c r="AJ164" s="168">
        <v>1.098368804379E-3</v>
      </c>
    </row>
    <row r="165" spans="1:36">
      <c r="A165" s="2">
        <v>158</v>
      </c>
      <c r="B165" s="2">
        <v>9935</v>
      </c>
      <c r="C165" s="2" t="s">
        <v>2123</v>
      </c>
      <c r="D165" s="2" t="s">
        <v>2124</v>
      </c>
      <c r="E165" s="4" t="s">
        <v>1343</v>
      </c>
      <c r="F165" s="2" t="s">
        <v>2125</v>
      </c>
      <c r="G165" s="2" t="s">
        <v>2126</v>
      </c>
      <c r="H165" s="2" t="s">
        <v>338</v>
      </c>
      <c r="I165" s="2" t="s">
        <v>772</v>
      </c>
      <c r="J165" s="2" t="s">
        <v>30</v>
      </c>
      <c r="K165" s="2" t="s">
        <v>30</v>
      </c>
      <c r="L165" s="2" t="s">
        <v>344</v>
      </c>
      <c r="M165" s="2" t="s">
        <v>56</v>
      </c>
      <c r="N165" s="2" t="s">
        <v>479</v>
      </c>
      <c r="O165" s="2" t="s">
        <v>153</v>
      </c>
      <c r="P165" s="2" t="s">
        <v>98</v>
      </c>
      <c r="Q165" s="2" t="s">
        <v>430</v>
      </c>
      <c r="R165" s="2" t="s">
        <v>423</v>
      </c>
      <c r="S165" s="2" t="s">
        <v>44</v>
      </c>
      <c r="T165" s="153">
        <v>4.048</v>
      </c>
      <c r="U165" s="2" t="s">
        <v>1721</v>
      </c>
      <c r="V165" s="166">
        <v>3.6200000000000003E-2</v>
      </c>
      <c r="W165" s="168">
        <v>3.9030000000000002E-2</v>
      </c>
      <c r="X165" s="4" t="s">
        <v>429</v>
      </c>
      <c r="Y165" s="4" t="s">
        <v>153</v>
      </c>
      <c r="Z165" s="153">
        <v>413515</v>
      </c>
      <c r="AA165" s="162">
        <v>1</v>
      </c>
      <c r="AB165" s="179">
        <v>106.27</v>
      </c>
      <c r="AD165" s="153">
        <v>439.44200000000001</v>
      </c>
      <c r="AG165" s="2" t="s">
        <v>36</v>
      </c>
      <c r="AH165" s="168">
        <v>2.4000000000000001E-4</v>
      </c>
      <c r="AI165" s="168">
        <v>2.86049751681178E-3</v>
      </c>
      <c r="AJ165" s="168">
        <v>4.0564122788618203E-4</v>
      </c>
    </row>
    <row r="166" spans="1:36">
      <c r="A166" s="2">
        <v>158</v>
      </c>
      <c r="B166" s="2">
        <v>9935</v>
      </c>
      <c r="C166" s="2" t="s">
        <v>1912</v>
      </c>
      <c r="D166" s="2" t="s">
        <v>1913</v>
      </c>
      <c r="E166" s="4" t="s">
        <v>330</v>
      </c>
      <c r="F166" s="2" t="s">
        <v>1914</v>
      </c>
      <c r="G166" s="2" t="s">
        <v>1915</v>
      </c>
      <c r="H166" s="2" t="s">
        <v>338</v>
      </c>
      <c r="I166" s="2" t="s">
        <v>985</v>
      </c>
      <c r="J166" s="2" t="s">
        <v>30</v>
      </c>
      <c r="K166" s="2" t="s">
        <v>107</v>
      </c>
      <c r="L166" s="2" t="s">
        <v>344</v>
      </c>
      <c r="M166" s="2" t="s">
        <v>56</v>
      </c>
      <c r="N166" s="2" t="s">
        <v>480</v>
      </c>
      <c r="O166" s="2" t="s">
        <v>153</v>
      </c>
      <c r="P166" s="2" t="s">
        <v>32</v>
      </c>
      <c r="Q166" s="2" t="s">
        <v>430</v>
      </c>
      <c r="R166" s="2" t="s">
        <v>423</v>
      </c>
      <c r="S166" s="2" t="s">
        <v>44</v>
      </c>
      <c r="T166" s="153">
        <v>1.8169999999999999</v>
      </c>
      <c r="U166" s="2" t="s">
        <v>1916</v>
      </c>
      <c r="V166" s="166">
        <v>9.0999999999999998E-2</v>
      </c>
      <c r="W166" s="168">
        <v>7.1499999999999994E-2</v>
      </c>
      <c r="X166" s="4" t="s">
        <v>429</v>
      </c>
      <c r="Y166" s="4" t="s">
        <v>153</v>
      </c>
      <c r="Z166" s="153">
        <v>419240</v>
      </c>
      <c r="AA166" s="162">
        <v>1</v>
      </c>
      <c r="AB166" s="179">
        <v>103.71</v>
      </c>
      <c r="AD166" s="153">
        <v>434.79399999999998</v>
      </c>
      <c r="AG166" s="2" t="s">
        <v>36</v>
      </c>
      <c r="AH166" s="168">
        <v>2.232E-3</v>
      </c>
      <c r="AI166" s="168">
        <v>2.8302381007258601E-3</v>
      </c>
      <c r="AJ166" s="168">
        <v>4.0135020276762298E-4</v>
      </c>
    </row>
    <row r="167" spans="1:36">
      <c r="A167" s="2">
        <v>158</v>
      </c>
      <c r="B167" s="2">
        <v>9935</v>
      </c>
      <c r="C167" s="2" t="s">
        <v>1917</v>
      </c>
      <c r="D167" s="2" t="s">
        <v>1918</v>
      </c>
      <c r="E167" s="4" t="s">
        <v>43</v>
      </c>
      <c r="F167" s="2" t="s">
        <v>1919</v>
      </c>
      <c r="G167" s="2" t="s">
        <v>1920</v>
      </c>
      <c r="H167" s="2" t="s">
        <v>338</v>
      </c>
      <c r="I167" s="2" t="s">
        <v>773</v>
      </c>
      <c r="J167" s="2" t="s">
        <v>30</v>
      </c>
      <c r="K167" s="2" t="s">
        <v>107</v>
      </c>
      <c r="L167" s="2" t="s">
        <v>344</v>
      </c>
      <c r="M167" s="2" t="s">
        <v>56</v>
      </c>
      <c r="N167" s="2" t="s">
        <v>458</v>
      </c>
      <c r="O167" s="2" t="s">
        <v>153</v>
      </c>
      <c r="P167" s="2" t="s">
        <v>32</v>
      </c>
      <c r="Q167" s="2" t="s">
        <v>110</v>
      </c>
      <c r="R167" s="2" t="s">
        <v>423</v>
      </c>
      <c r="S167" s="2" t="s">
        <v>44</v>
      </c>
      <c r="T167" s="153">
        <v>2.4</v>
      </c>
      <c r="U167" s="2" t="s">
        <v>1921</v>
      </c>
      <c r="V167" s="166">
        <v>8.43E-2</v>
      </c>
      <c r="W167" s="168">
        <v>6.5500000000000003E-2</v>
      </c>
      <c r="X167" s="4" t="s">
        <v>429</v>
      </c>
      <c r="Y167" s="4" t="s">
        <v>153</v>
      </c>
      <c r="Z167" s="153">
        <v>671000</v>
      </c>
      <c r="AA167" s="162">
        <v>1</v>
      </c>
      <c r="AB167" s="179">
        <v>106.035</v>
      </c>
      <c r="AD167" s="153">
        <v>711.49199999999996</v>
      </c>
      <c r="AG167" s="2" t="s">
        <v>36</v>
      </c>
      <c r="AH167" s="168">
        <v>0</v>
      </c>
      <c r="AI167" s="168">
        <v>4.6313728899898604E-3</v>
      </c>
      <c r="AJ167" s="168">
        <v>6.5676539652730396E-4</v>
      </c>
    </row>
    <row r="168" spans="1:36">
      <c r="A168" s="2">
        <v>158</v>
      </c>
      <c r="B168" s="2">
        <v>9935</v>
      </c>
      <c r="C168" s="2" t="s">
        <v>2127</v>
      </c>
      <c r="D168" s="2" t="s">
        <v>2128</v>
      </c>
      <c r="E168" s="4" t="s">
        <v>1343</v>
      </c>
      <c r="F168" s="2" t="s">
        <v>2129</v>
      </c>
      <c r="G168" s="2" t="s">
        <v>2130</v>
      </c>
      <c r="H168" s="2" t="s">
        <v>338</v>
      </c>
      <c r="I168" s="2" t="s">
        <v>772</v>
      </c>
      <c r="J168" s="2" t="s">
        <v>30</v>
      </c>
      <c r="K168" s="2" t="s">
        <v>30</v>
      </c>
      <c r="L168" s="2" t="s">
        <v>344</v>
      </c>
      <c r="M168" s="2" t="s">
        <v>56</v>
      </c>
      <c r="N168" s="2" t="s">
        <v>479</v>
      </c>
      <c r="O168" s="2" t="s">
        <v>153</v>
      </c>
      <c r="P168" s="2" t="s">
        <v>1724</v>
      </c>
      <c r="Q168" s="2" t="s">
        <v>110</v>
      </c>
      <c r="R168" s="2" t="s">
        <v>423</v>
      </c>
      <c r="S168" s="2" t="s">
        <v>44</v>
      </c>
      <c r="T168" s="153">
        <v>2.91</v>
      </c>
      <c r="U168" s="2" t="s">
        <v>2131</v>
      </c>
      <c r="V168" s="166">
        <v>1.9599999999999999E-2</v>
      </c>
      <c r="W168" s="168">
        <v>2.7640000000000001E-2</v>
      </c>
      <c r="X168" s="4" t="s">
        <v>429</v>
      </c>
      <c r="Y168" s="4" t="s">
        <v>153</v>
      </c>
      <c r="Z168" s="153">
        <v>1000000</v>
      </c>
      <c r="AA168" s="162">
        <v>1</v>
      </c>
      <c r="AB168" s="179">
        <v>114.46</v>
      </c>
      <c r="AD168" s="153">
        <v>1144.5999999999999</v>
      </c>
      <c r="AG168" s="2" t="s">
        <v>36</v>
      </c>
      <c r="AH168" s="168">
        <v>8.7299999999999997E-4</v>
      </c>
      <c r="AI168" s="168">
        <v>7.4506363712828197E-3</v>
      </c>
      <c r="AJ168" s="168">
        <v>1.05655931124497E-3</v>
      </c>
    </row>
    <row r="169" spans="1:36">
      <c r="A169" s="2">
        <v>158</v>
      </c>
      <c r="B169" s="2">
        <v>9935</v>
      </c>
      <c r="C169" s="2" t="s">
        <v>1594</v>
      </c>
      <c r="D169" s="2" t="s">
        <v>1595</v>
      </c>
      <c r="E169" s="4" t="s">
        <v>1343</v>
      </c>
      <c r="F169" s="2" t="s">
        <v>2132</v>
      </c>
      <c r="G169" s="2" t="s">
        <v>2133</v>
      </c>
      <c r="H169" s="2" t="s">
        <v>338</v>
      </c>
      <c r="I169" s="2" t="s">
        <v>772</v>
      </c>
      <c r="J169" s="2" t="s">
        <v>30</v>
      </c>
      <c r="K169" s="2" t="s">
        <v>30</v>
      </c>
      <c r="L169" s="2" t="s">
        <v>344</v>
      </c>
      <c r="M169" s="2" t="s">
        <v>56</v>
      </c>
      <c r="N169" s="2" t="s">
        <v>479</v>
      </c>
      <c r="O169" s="2" t="s">
        <v>153</v>
      </c>
      <c r="P169" s="2" t="s">
        <v>1773</v>
      </c>
      <c r="Q169" s="2" t="s">
        <v>110</v>
      </c>
      <c r="R169" s="2" t="s">
        <v>423</v>
      </c>
      <c r="S169" s="2" t="s">
        <v>44</v>
      </c>
      <c r="T169" s="153">
        <v>2.6890000000000001</v>
      </c>
      <c r="U169" s="2" t="s">
        <v>2134</v>
      </c>
      <c r="V169" s="166">
        <v>1.34E-2</v>
      </c>
      <c r="W169" s="168">
        <v>2.819E-2</v>
      </c>
      <c r="X169" s="4" t="s">
        <v>429</v>
      </c>
      <c r="Y169" s="4" t="s">
        <v>153</v>
      </c>
      <c r="Z169" s="153">
        <v>2337808.5299999998</v>
      </c>
      <c r="AA169" s="162">
        <v>1</v>
      </c>
      <c r="AB169" s="179">
        <v>112.38</v>
      </c>
      <c r="AD169" s="153">
        <v>2627.2289999999998</v>
      </c>
      <c r="AG169" s="2" t="s">
        <v>36</v>
      </c>
      <c r="AH169" s="168">
        <v>8.8199999999999997E-4</v>
      </c>
      <c r="AI169" s="168">
        <v>1.7101633432672701E-2</v>
      </c>
      <c r="AJ169" s="168">
        <v>2.4251472143281601E-3</v>
      </c>
    </row>
    <row r="170" spans="1:36">
      <c r="A170" s="2">
        <v>158</v>
      </c>
      <c r="B170" s="2">
        <v>9935</v>
      </c>
      <c r="C170" s="2" t="s">
        <v>1594</v>
      </c>
      <c r="D170" s="2" t="s">
        <v>1595</v>
      </c>
      <c r="E170" s="4" t="s">
        <v>1343</v>
      </c>
      <c r="F170" s="2" t="s">
        <v>1836</v>
      </c>
      <c r="G170" s="2" t="s">
        <v>1837</v>
      </c>
      <c r="H170" s="2" t="s">
        <v>338</v>
      </c>
      <c r="I170" s="2" t="s">
        <v>772</v>
      </c>
      <c r="J170" s="2" t="s">
        <v>30</v>
      </c>
      <c r="K170" s="2" t="s">
        <v>30</v>
      </c>
      <c r="L170" s="2" t="s">
        <v>344</v>
      </c>
      <c r="M170" s="2" t="s">
        <v>56</v>
      </c>
      <c r="N170" s="2" t="s">
        <v>479</v>
      </c>
      <c r="O170" s="2" t="s">
        <v>153</v>
      </c>
      <c r="P170" s="2" t="s">
        <v>1773</v>
      </c>
      <c r="Q170" s="2" t="s">
        <v>110</v>
      </c>
      <c r="R170" s="2" t="s">
        <v>423</v>
      </c>
      <c r="S170" s="2" t="s">
        <v>44</v>
      </c>
      <c r="T170" s="153">
        <v>2.456</v>
      </c>
      <c r="U170" s="2" t="s">
        <v>1796</v>
      </c>
      <c r="V170" s="166">
        <v>1.77E-2</v>
      </c>
      <c r="W170" s="168">
        <v>2.7099999999999999E-2</v>
      </c>
      <c r="X170" s="4" t="s">
        <v>429</v>
      </c>
      <c r="Y170" s="4" t="s">
        <v>153</v>
      </c>
      <c r="Z170" s="153">
        <v>1252800</v>
      </c>
      <c r="AA170" s="162">
        <v>1</v>
      </c>
      <c r="AB170" s="179">
        <v>113.19</v>
      </c>
      <c r="AD170" s="153">
        <v>1418.0440000000001</v>
      </c>
      <c r="AG170" s="2" t="s">
        <v>36</v>
      </c>
      <c r="AH170" s="168">
        <v>4.8299999999999998E-4</v>
      </c>
      <c r="AI170" s="168">
        <v>9.2305893645666798E-3</v>
      </c>
      <c r="AJ170" s="168">
        <v>1.30897075839074E-3</v>
      </c>
    </row>
    <row r="171" spans="1:36">
      <c r="A171" s="2">
        <v>158</v>
      </c>
      <c r="B171" s="2">
        <v>9935</v>
      </c>
      <c r="C171" s="2" t="s">
        <v>1594</v>
      </c>
      <c r="D171" s="2" t="s">
        <v>1595</v>
      </c>
      <c r="E171" s="4" t="s">
        <v>1343</v>
      </c>
      <c r="F171" s="2" t="s">
        <v>2000</v>
      </c>
      <c r="G171" s="2" t="s">
        <v>2001</v>
      </c>
      <c r="H171" s="2" t="s">
        <v>338</v>
      </c>
      <c r="I171" s="2" t="s">
        <v>772</v>
      </c>
      <c r="J171" s="2" t="s">
        <v>30</v>
      </c>
      <c r="K171" s="2" t="s">
        <v>30</v>
      </c>
      <c r="L171" s="2" t="s">
        <v>344</v>
      </c>
      <c r="M171" s="2" t="s">
        <v>56</v>
      </c>
      <c r="N171" s="2" t="s">
        <v>479</v>
      </c>
      <c r="O171" s="2" t="s">
        <v>153</v>
      </c>
      <c r="P171" s="2" t="s">
        <v>1773</v>
      </c>
      <c r="Q171" s="2" t="s">
        <v>430</v>
      </c>
      <c r="R171" s="2" t="s">
        <v>423</v>
      </c>
      <c r="S171" s="2" t="s">
        <v>44</v>
      </c>
      <c r="T171" s="153">
        <v>6.7329999999999997</v>
      </c>
      <c r="U171" s="2" t="s">
        <v>2002</v>
      </c>
      <c r="V171" s="166">
        <v>8.9999999999999993E-3</v>
      </c>
      <c r="W171" s="168">
        <v>3.3419999999999998E-2</v>
      </c>
      <c r="X171" s="4" t="s">
        <v>429</v>
      </c>
      <c r="Y171" s="4" t="s">
        <v>153</v>
      </c>
      <c r="Z171" s="153">
        <v>443940</v>
      </c>
      <c r="AA171" s="162">
        <v>1</v>
      </c>
      <c r="AB171" s="179">
        <v>96.33</v>
      </c>
      <c r="AD171" s="153">
        <v>427.64699999999999</v>
      </c>
      <c r="AG171" s="2" t="s">
        <v>36</v>
      </c>
      <c r="AH171" s="168">
        <v>1.6100000000000001E-4</v>
      </c>
      <c r="AI171" s="168">
        <v>2.7837194543297301E-3</v>
      </c>
      <c r="AJ171" s="168">
        <v>3.94753489876657E-4</v>
      </c>
    </row>
    <row r="172" spans="1:36">
      <c r="A172" s="2">
        <v>158</v>
      </c>
      <c r="B172" s="2">
        <v>9935</v>
      </c>
      <c r="C172" s="2" t="s">
        <v>1594</v>
      </c>
      <c r="D172" s="2" t="s">
        <v>1595</v>
      </c>
      <c r="E172" s="4" t="s">
        <v>1343</v>
      </c>
      <c r="F172" s="2" t="s">
        <v>2135</v>
      </c>
      <c r="G172" s="2" t="s">
        <v>2136</v>
      </c>
      <c r="H172" s="2" t="s">
        <v>338</v>
      </c>
      <c r="I172" s="2" t="s">
        <v>772</v>
      </c>
      <c r="J172" s="2" t="s">
        <v>30</v>
      </c>
      <c r="K172" s="2" t="s">
        <v>30</v>
      </c>
      <c r="L172" s="2" t="s">
        <v>344</v>
      </c>
      <c r="M172" s="2" t="s">
        <v>56</v>
      </c>
      <c r="N172" s="2" t="s">
        <v>479</v>
      </c>
      <c r="O172" s="2" t="s">
        <v>153</v>
      </c>
      <c r="P172" s="2" t="s">
        <v>1773</v>
      </c>
      <c r="Q172" s="2" t="s">
        <v>430</v>
      </c>
      <c r="R172" s="2" t="s">
        <v>423</v>
      </c>
      <c r="S172" s="2" t="s">
        <v>44</v>
      </c>
      <c r="T172" s="153">
        <v>0.45800000000000002</v>
      </c>
      <c r="U172" s="2" t="s">
        <v>2029</v>
      </c>
      <c r="V172" s="166">
        <v>6.4999999999999997E-3</v>
      </c>
      <c r="W172" s="168">
        <v>2.793E-2</v>
      </c>
      <c r="X172" s="4" t="s">
        <v>429</v>
      </c>
      <c r="Y172" s="4" t="s">
        <v>153</v>
      </c>
      <c r="Z172" s="153">
        <v>397101</v>
      </c>
      <c r="AA172" s="162">
        <v>1</v>
      </c>
      <c r="AB172" s="179">
        <v>114.12</v>
      </c>
      <c r="AC172" s="153">
        <v>1.488</v>
      </c>
      <c r="AD172" s="153">
        <v>454.66</v>
      </c>
      <c r="AG172" s="2" t="s">
        <v>36</v>
      </c>
      <c r="AH172" s="168">
        <v>7.27E-4</v>
      </c>
      <c r="AI172" s="168">
        <v>2.9595547278597001E-3</v>
      </c>
      <c r="AJ172" s="168">
        <v>4.1968832580684102E-4</v>
      </c>
    </row>
    <row r="173" spans="1:36">
      <c r="A173" s="2">
        <v>158</v>
      </c>
      <c r="B173" s="2">
        <v>9935</v>
      </c>
      <c r="C173" s="2" t="s">
        <v>1922</v>
      </c>
      <c r="D173" s="2" t="s">
        <v>1923</v>
      </c>
      <c r="E173" s="4" t="s">
        <v>1343</v>
      </c>
      <c r="F173" s="2" t="s">
        <v>1924</v>
      </c>
      <c r="G173" s="2" t="s">
        <v>1925</v>
      </c>
      <c r="H173" s="2" t="s">
        <v>338</v>
      </c>
      <c r="I173" s="2" t="s">
        <v>985</v>
      </c>
      <c r="J173" s="2" t="s">
        <v>30</v>
      </c>
      <c r="K173" s="2" t="s">
        <v>30</v>
      </c>
      <c r="L173" s="2" t="s">
        <v>344</v>
      </c>
      <c r="M173" s="2" t="s">
        <v>56</v>
      </c>
      <c r="N173" s="2" t="s">
        <v>462</v>
      </c>
      <c r="O173" s="2" t="s">
        <v>153</v>
      </c>
      <c r="P173" s="2" t="s">
        <v>1900</v>
      </c>
      <c r="Q173" s="2" t="s">
        <v>426</v>
      </c>
      <c r="R173" s="2" t="s">
        <v>426</v>
      </c>
      <c r="S173" s="2" t="s">
        <v>44</v>
      </c>
      <c r="T173" s="153">
        <v>1.585</v>
      </c>
      <c r="U173" s="2" t="s">
        <v>57</v>
      </c>
      <c r="V173" s="166">
        <v>0.06</v>
      </c>
      <c r="W173" s="168">
        <v>6.3109999999999999E-2</v>
      </c>
      <c r="X173" s="4" t="s">
        <v>429</v>
      </c>
      <c r="Y173" s="4" t="s">
        <v>153</v>
      </c>
      <c r="Z173" s="153">
        <v>588351.11</v>
      </c>
      <c r="AA173" s="162">
        <v>1</v>
      </c>
      <c r="AB173" s="179">
        <v>101.67</v>
      </c>
      <c r="AD173" s="153">
        <v>598.17700000000002</v>
      </c>
      <c r="AG173" s="2" t="s">
        <v>36</v>
      </c>
      <c r="AH173" s="168">
        <v>2.3540000000000002E-3</v>
      </c>
      <c r="AI173" s="168">
        <v>3.8937586364180599E-3</v>
      </c>
      <c r="AJ173" s="168">
        <v>5.5216584705497897E-4</v>
      </c>
    </row>
    <row r="174" spans="1:36">
      <c r="A174" s="2">
        <v>158</v>
      </c>
      <c r="B174" s="2">
        <v>9935</v>
      </c>
      <c r="C174" s="2" t="s">
        <v>1598</v>
      </c>
      <c r="D174" s="2" t="s">
        <v>1599</v>
      </c>
      <c r="E174" s="4" t="s">
        <v>1343</v>
      </c>
      <c r="F174" s="2" t="s">
        <v>2003</v>
      </c>
      <c r="G174" s="2" t="s">
        <v>2004</v>
      </c>
      <c r="H174" s="2" t="s">
        <v>338</v>
      </c>
      <c r="I174" s="2" t="s">
        <v>985</v>
      </c>
      <c r="J174" s="2" t="s">
        <v>30</v>
      </c>
      <c r="K174" s="2" t="s">
        <v>30</v>
      </c>
      <c r="L174" s="2" t="s">
        <v>344</v>
      </c>
      <c r="M174" s="2" t="s">
        <v>56</v>
      </c>
      <c r="N174" s="2" t="s">
        <v>463</v>
      </c>
      <c r="O174" s="2" t="s">
        <v>153</v>
      </c>
      <c r="P174" s="2" t="s">
        <v>109</v>
      </c>
      <c r="Q174" s="2" t="s">
        <v>430</v>
      </c>
      <c r="R174" s="2" t="s">
        <v>423</v>
      </c>
      <c r="S174" s="2" t="s">
        <v>44</v>
      </c>
      <c r="T174" s="153">
        <v>3.3130000000000002</v>
      </c>
      <c r="U174" s="2" t="s">
        <v>1840</v>
      </c>
      <c r="V174" s="166">
        <v>2.5000000000000001E-2</v>
      </c>
      <c r="W174" s="168">
        <v>5.117E-2</v>
      </c>
      <c r="X174" s="4" t="s">
        <v>429</v>
      </c>
      <c r="Y174" s="4" t="s">
        <v>153</v>
      </c>
      <c r="Z174" s="153">
        <v>1900000</v>
      </c>
      <c r="AA174" s="162">
        <v>1</v>
      </c>
      <c r="AB174" s="179">
        <v>93.69</v>
      </c>
      <c r="AD174" s="153">
        <v>1780.11</v>
      </c>
      <c r="AG174" s="2" t="s">
        <v>36</v>
      </c>
      <c r="AH174" s="168">
        <v>8.1999999999999998E-4</v>
      </c>
      <c r="AI174" s="168">
        <v>1.1587412468010001E-2</v>
      </c>
      <c r="AJ174" s="168">
        <v>1.64318696098225E-3</v>
      </c>
    </row>
    <row r="175" spans="1:36">
      <c r="A175" s="2">
        <v>158</v>
      </c>
      <c r="B175" s="2">
        <v>9935</v>
      </c>
      <c r="C175" s="2" t="s">
        <v>1598</v>
      </c>
      <c r="D175" s="2" t="s">
        <v>1599</v>
      </c>
      <c r="E175" s="4" t="s">
        <v>1343</v>
      </c>
      <c r="F175" s="2" t="s">
        <v>1838</v>
      </c>
      <c r="G175" s="2" t="s">
        <v>1839</v>
      </c>
      <c r="H175" s="2" t="s">
        <v>338</v>
      </c>
      <c r="I175" s="2" t="s">
        <v>772</v>
      </c>
      <c r="J175" s="2" t="s">
        <v>30</v>
      </c>
      <c r="K175" s="2" t="s">
        <v>30</v>
      </c>
      <c r="L175" s="2" t="s">
        <v>344</v>
      </c>
      <c r="M175" s="2" t="s">
        <v>56</v>
      </c>
      <c r="N175" s="2" t="s">
        <v>463</v>
      </c>
      <c r="O175" s="2" t="s">
        <v>153</v>
      </c>
      <c r="P175" s="2" t="s">
        <v>109</v>
      </c>
      <c r="Q175" s="2" t="s">
        <v>430</v>
      </c>
      <c r="R175" s="2" t="s">
        <v>423</v>
      </c>
      <c r="S175" s="2" t="s">
        <v>44</v>
      </c>
      <c r="T175" s="153">
        <v>3.5609999999999999</v>
      </c>
      <c r="U175" s="2" t="s">
        <v>1840</v>
      </c>
      <c r="V175" s="166">
        <v>1E-3</v>
      </c>
      <c r="W175" s="168">
        <v>2.3970000000000002E-2</v>
      </c>
      <c r="X175" s="4" t="s">
        <v>429</v>
      </c>
      <c r="Y175" s="4" t="s">
        <v>153</v>
      </c>
      <c r="Z175" s="153">
        <v>5239535.5599999996</v>
      </c>
      <c r="AA175" s="162">
        <v>1</v>
      </c>
      <c r="AB175" s="179">
        <v>103.73</v>
      </c>
      <c r="AD175" s="153">
        <v>5434.97</v>
      </c>
      <c r="AG175" s="2" t="s">
        <v>36</v>
      </c>
      <c r="AH175" s="168">
        <v>4.6579999999999998E-3</v>
      </c>
      <c r="AI175" s="168">
        <v>3.5378286667894498E-2</v>
      </c>
      <c r="AJ175" s="168">
        <v>5.0169215530272799E-3</v>
      </c>
    </row>
    <row r="176" spans="1:36">
      <c r="A176" s="2">
        <v>158</v>
      </c>
      <c r="B176" s="2">
        <v>9935</v>
      </c>
      <c r="C176" s="2" t="s">
        <v>1598</v>
      </c>
      <c r="D176" s="2" t="s">
        <v>1599</v>
      </c>
      <c r="E176" s="4" t="s">
        <v>1343</v>
      </c>
      <c r="F176" s="2" t="s">
        <v>1841</v>
      </c>
      <c r="G176" s="2" t="s">
        <v>1842</v>
      </c>
      <c r="H176" s="2" t="s">
        <v>338</v>
      </c>
      <c r="I176" s="2" t="s">
        <v>772</v>
      </c>
      <c r="J176" s="2" t="s">
        <v>30</v>
      </c>
      <c r="K176" s="2" t="s">
        <v>30</v>
      </c>
      <c r="L176" s="2" t="s">
        <v>344</v>
      </c>
      <c r="M176" s="2" t="s">
        <v>56</v>
      </c>
      <c r="N176" s="2" t="s">
        <v>463</v>
      </c>
      <c r="O176" s="2" t="s">
        <v>153</v>
      </c>
      <c r="P176" s="2" t="s">
        <v>109</v>
      </c>
      <c r="Q176" s="2" t="s">
        <v>430</v>
      </c>
      <c r="R176" s="2" t="s">
        <v>423</v>
      </c>
      <c r="S176" s="2" t="s">
        <v>44</v>
      </c>
      <c r="T176" s="153">
        <v>3.9140000000000001</v>
      </c>
      <c r="U176" s="2" t="s">
        <v>1843</v>
      </c>
      <c r="V176" s="166">
        <v>1.3899999999999999E-2</v>
      </c>
      <c r="W176" s="168">
        <v>2.4809999999999999E-2</v>
      </c>
      <c r="X176" s="4" t="s">
        <v>429</v>
      </c>
      <c r="Y176" s="4" t="s">
        <v>153</v>
      </c>
      <c r="Z176" s="153">
        <v>1935200</v>
      </c>
      <c r="AA176" s="162">
        <v>1</v>
      </c>
      <c r="AB176" s="179">
        <v>103.84</v>
      </c>
      <c r="AD176" s="153">
        <v>2009.5119999999999</v>
      </c>
      <c r="AG176" s="2" t="s">
        <v>36</v>
      </c>
      <c r="AH176" s="168">
        <v>1.075E-3</v>
      </c>
      <c r="AI176" s="168">
        <v>1.3080675180434801E-2</v>
      </c>
      <c r="AJ176" s="168">
        <v>1.8549434532234199E-3</v>
      </c>
    </row>
    <row r="177" spans="1:36">
      <c r="A177" s="2">
        <v>158</v>
      </c>
      <c r="B177" s="2">
        <v>9935</v>
      </c>
      <c r="C177" s="2" t="s">
        <v>1598</v>
      </c>
      <c r="D177" s="2" t="s">
        <v>1599</v>
      </c>
      <c r="E177" s="4" t="s">
        <v>1343</v>
      </c>
      <c r="F177" s="2" t="s">
        <v>2005</v>
      </c>
      <c r="G177" s="2" t="s">
        <v>2006</v>
      </c>
      <c r="H177" s="2" t="s">
        <v>338</v>
      </c>
      <c r="I177" s="2" t="s">
        <v>772</v>
      </c>
      <c r="J177" s="2" t="s">
        <v>30</v>
      </c>
      <c r="K177" s="2" t="s">
        <v>30</v>
      </c>
      <c r="L177" s="2" t="s">
        <v>344</v>
      </c>
      <c r="M177" s="2" t="s">
        <v>56</v>
      </c>
      <c r="N177" s="2" t="s">
        <v>463</v>
      </c>
      <c r="O177" s="2" t="s">
        <v>153</v>
      </c>
      <c r="P177" s="2" t="s">
        <v>109</v>
      </c>
      <c r="Q177" s="2" t="s">
        <v>430</v>
      </c>
      <c r="R177" s="2" t="s">
        <v>423</v>
      </c>
      <c r="S177" s="2" t="s">
        <v>44</v>
      </c>
      <c r="T177" s="153">
        <v>2.786</v>
      </c>
      <c r="U177" s="2" t="s">
        <v>2007</v>
      </c>
      <c r="V177" s="166">
        <v>1.7500000000000002E-2</v>
      </c>
      <c r="W177" s="168">
        <v>2.3460000000000002E-2</v>
      </c>
      <c r="X177" s="4" t="s">
        <v>429</v>
      </c>
      <c r="Y177" s="4" t="s">
        <v>153</v>
      </c>
      <c r="Z177" s="153">
        <v>1012372.5</v>
      </c>
      <c r="AA177" s="162">
        <v>1</v>
      </c>
      <c r="AB177" s="179">
        <v>114.28</v>
      </c>
      <c r="AD177" s="153">
        <v>1156.9390000000001</v>
      </c>
      <c r="AG177" s="2" t="s">
        <v>36</v>
      </c>
      <c r="AH177" s="168">
        <v>3.8900000000000002E-4</v>
      </c>
      <c r="AI177" s="168">
        <v>7.5309575186021599E-3</v>
      </c>
      <c r="AJ177" s="168">
        <v>1.06794948677645E-3</v>
      </c>
    </row>
    <row r="178" spans="1:36">
      <c r="A178" s="2">
        <v>158</v>
      </c>
      <c r="B178" s="2">
        <v>9935</v>
      </c>
      <c r="C178" s="2" t="s">
        <v>1598</v>
      </c>
      <c r="D178" s="2" t="s">
        <v>1599</v>
      </c>
      <c r="E178" s="4" t="s">
        <v>1343</v>
      </c>
      <c r="F178" s="2" t="s">
        <v>2137</v>
      </c>
      <c r="G178" s="2" t="s">
        <v>2138</v>
      </c>
      <c r="H178" s="2" t="s">
        <v>338</v>
      </c>
      <c r="I178" s="2" t="s">
        <v>772</v>
      </c>
      <c r="J178" s="2" t="s">
        <v>30</v>
      </c>
      <c r="K178" s="2" t="s">
        <v>30</v>
      </c>
      <c r="L178" s="2" t="s">
        <v>344</v>
      </c>
      <c r="M178" s="2" t="s">
        <v>56</v>
      </c>
      <c r="N178" s="2" t="s">
        <v>463</v>
      </c>
      <c r="O178" s="2" t="s">
        <v>153</v>
      </c>
      <c r="P178" s="2" t="s">
        <v>1724</v>
      </c>
      <c r="Q178" s="2" t="s">
        <v>430</v>
      </c>
      <c r="R178" s="2" t="s">
        <v>423</v>
      </c>
      <c r="S178" s="2" t="s">
        <v>44</v>
      </c>
      <c r="T178" s="153">
        <v>8.0980000000000008</v>
      </c>
      <c r="U178" s="2" t="s">
        <v>2139</v>
      </c>
      <c r="V178" s="166">
        <v>8.3999999999999995E-3</v>
      </c>
      <c r="W178" s="168">
        <v>2.955E-2</v>
      </c>
      <c r="X178" s="4" t="s">
        <v>429</v>
      </c>
      <c r="Y178" s="4" t="s">
        <v>153</v>
      </c>
      <c r="Z178" s="153">
        <v>1050000</v>
      </c>
      <c r="AA178" s="162">
        <v>1</v>
      </c>
      <c r="AB178" s="179">
        <v>104.93</v>
      </c>
      <c r="AD178" s="153">
        <v>1101.7650000000001</v>
      </c>
      <c r="AG178" s="2" t="s">
        <v>36</v>
      </c>
      <c r="AH178" s="168">
        <v>2.6410000000000001E-3</v>
      </c>
      <c r="AI178" s="168">
        <v>7.1718070781114996E-3</v>
      </c>
      <c r="AJ178" s="168">
        <v>1.01701910672184E-3</v>
      </c>
    </row>
    <row r="179" spans="1:36">
      <c r="A179" s="2">
        <v>158</v>
      </c>
      <c r="B179" s="2">
        <v>9935</v>
      </c>
      <c r="C179" s="2" t="s">
        <v>1929</v>
      </c>
      <c r="D179" s="2" t="s">
        <v>1930</v>
      </c>
      <c r="E179" s="4" t="s">
        <v>330</v>
      </c>
      <c r="F179" s="2" t="s">
        <v>1931</v>
      </c>
      <c r="G179" s="2" t="s">
        <v>1932</v>
      </c>
      <c r="H179" s="2" t="s">
        <v>338</v>
      </c>
      <c r="I179" s="2" t="s">
        <v>985</v>
      </c>
      <c r="J179" s="2" t="s">
        <v>30</v>
      </c>
      <c r="K179" s="2" t="s">
        <v>107</v>
      </c>
      <c r="L179" s="2" t="s">
        <v>344</v>
      </c>
      <c r="M179" s="2" t="s">
        <v>56</v>
      </c>
      <c r="N179" s="2" t="s">
        <v>480</v>
      </c>
      <c r="O179" s="2" t="s">
        <v>153</v>
      </c>
      <c r="P179" s="2" t="s">
        <v>1718</v>
      </c>
      <c r="Q179" s="2" t="s">
        <v>430</v>
      </c>
      <c r="R179" s="2" t="s">
        <v>423</v>
      </c>
      <c r="S179" s="2" t="s">
        <v>44</v>
      </c>
      <c r="T179" s="153">
        <v>1.6220000000000001</v>
      </c>
      <c r="U179" s="2" t="s">
        <v>1760</v>
      </c>
      <c r="V179" s="166">
        <v>0.09</v>
      </c>
      <c r="W179" s="168">
        <v>7.3069999999999996E-2</v>
      </c>
      <c r="X179" s="4" t="s">
        <v>429</v>
      </c>
      <c r="Y179" s="4" t="s">
        <v>153</v>
      </c>
      <c r="Z179" s="153">
        <v>527000</v>
      </c>
      <c r="AA179" s="162">
        <v>1</v>
      </c>
      <c r="AB179" s="179">
        <v>105.21</v>
      </c>
      <c r="AD179" s="153">
        <v>554.45699999999999</v>
      </c>
      <c r="AG179" s="2" t="s">
        <v>36</v>
      </c>
      <c r="AH179" s="168">
        <v>1.464E-3</v>
      </c>
      <c r="AI179" s="168">
        <v>3.60916936512445E-3</v>
      </c>
      <c r="AJ179" s="168">
        <v>5.1180883196501803E-4</v>
      </c>
    </row>
    <row r="180" spans="1:36">
      <c r="A180" s="2">
        <v>158</v>
      </c>
      <c r="B180" s="2">
        <v>9935</v>
      </c>
      <c r="C180" s="2" t="s">
        <v>2140</v>
      </c>
      <c r="D180" s="2" t="s">
        <v>2141</v>
      </c>
      <c r="E180" s="4" t="s">
        <v>1343</v>
      </c>
      <c r="F180" s="2" t="s">
        <v>2142</v>
      </c>
      <c r="G180" s="2" t="s">
        <v>2143</v>
      </c>
      <c r="H180" s="2" t="s">
        <v>338</v>
      </c>
      <c r="I180" s="2" t="s">
        <v>985</v>
      </c>
      <c r="J180" s="2" t="s">
        <v>30</v>
      </c>
      <c r="K180" s="2" t="s">
        <v>30</v>
      </c>
      <c r="L180" s="2" t="s">
        <v>344</v>
      </c>
      <c r="M180" s="2" t="s">
        <v>56</v>
      </c>
      <c r="N180" s="2" t="s">
        <v>480</v>
      </c>
      <c r="O180" s="2" t="s">
        <v>153</v>
      </c>
      <c r="P180" s="2" t="s">
        <v>98</v>
      </c>
      <c r="Q180" s="2" t="s">
        <v>110</v>
      </c>
      <c r="R180" s="2" t="s">
        <v>423</v>
      </c>
      <c r="S180" s="2" t="s">
        <v>44</v>
      </c>
      <c r="T180" s="153">
        <v>1.7050000000000001</v>
      </c>
      <c r="U180" s="2" t="s">
        <v>1803</v>
      </c>
      <c r="V180" s="166">
        <v>2.6499999999999999E-2</v>
      </c>
      <c r="W180" s="168">
        <v>5.5120000000000002E-2</v>
      </c>
      <c r="X180" s="4" t="s">
        <v>429</v>
      </c>
      <c r="Y180" s="4" t="s">
        <v>153</v>
      </c>
      <c r="Z180" s="153">
        <v>0.05</v>
      </c>
      <c r="AA180" s="162">
        <v>1</v>
      </c>
      <c r="AB180" s="179">
        <v>94.77</v>
      </c>
      <c r="AD180" s="153">
        <v>0</v>
      </c>
      <c r="AG180" s="2" t="s">
        <v>36</v>
      </c>
      <c r="AH180" s="168">
        <v>0</v>
      </c>
      <c r="AI180" s="168">
        <v>3.0844697226388001E-10</v>
      </c>
      <c r="AJ180" s="168">
        <v>4.3740226247896999E-11</v>
      </c>
    </row>
    <row r="181" spans="1:36">
      <c r="A181" s="2">
        <v>158</v>
      </c>
      <c r="B181" s="2">
        <v>9935</v>
      </c>
      <c r="C181" s="2" t="s">
        <v>2144</v>
      </c>
      <c r="D181" s="2" t="s">
        <v>2145</v>
      </c>
      <c r="E181" s="4" t="s">
        <v>1343</v>
      </c>
      <c r="F181" s="2" t="s">
        <v>2146</v>
      </c>
      <c r="G181" s="2" t="s">
        <v>2147</v>
      </c>
      <c r="H181" s="2" t="s">
        <v>338</v>
      </c>
      <c r="I181" s="2" t="s">
        <v>772</v>
      </c>
      <c r="J181" s="2" t="s">
        <v>30</v>
      </c>
      <c r="K181" s="2" t="s">
        <v>30</v>
      </c>
      <c r="L181" s="2" t="s">
        <v>344</v>
      </c>
      <c r="M181" s="2" t="s">
        <v>56</v>
      </c>
      <c r="N181" s="2" t="s">
        <v>479</v>
      </c>
      <c r="O181" s="2" t="s">
        <v>153</v>
      </c>
      <c r="P181" s="2" t="s">
        <v>1718</v>
      </c>
      <c r="Q181" s="2" t="s">
        <v>430</v>
      </c>
      <c r="R181" s="2" t="s">
        <v>423</v>
      </c>
      <c r="S181" s="2" t="s">
        <v>44</v>
      </c>
      <c r="T181" s="153">
        <v>0.01</v>
      </c>
      <c r="U181" s="2" t="s">
        <v>2148</v>
      </c>
      <c r="V181" s="166">
        <v>0.04</v>
      </c>
      <c r="W181" s="168">
        <v>0.1149</v>
      </c>
      <c r="X181" s="4" t="s">
        <v>429</v>
      </c>
      <c r="Y181" s="4" t="s">
        <v>153</v>
      </c>
      <c r="Z181" s="153">
        <v>-0.03</v>
      </c>
      <c r="AA181" s="162">
        <v>1</v>
      </c>
      <c r="AB181" s="179">
        <v>117.34</v>
      </c>
      <c r="AD181" s="153">
        <v>0</v>
      </c>
      <c r="AG181" s="2" t="s">
        <v>36</v>
      </c>
      <c r="AH181" s="168">
        <v>0</v>
      </c>
      <c r="AI181" s="168">
        <v>-2.2914319547606001E-10</v>
      </c>
      <c r="AJ181" s="168">
        <v>-3.2494321924205398E-11</v>
      </c>
    </row>
    <row r="182" spans="1:36">
      <c r="A182" s="2">
        <v>158</v>
      </c>
      <c r="B182" s="2">
        <v>9935</v>
      </c>
      <c r="C182" s="2" t="s">
        <v>2144</v>
      </c>
      <c r="D182" s="2" t="s">
        <v>2145</v>
      </c>
      <c r="E182" s="4" t="s">
        <v>1343</v>
      </c>
      <c r="F182" s="2" t="s">
        <v>2149</v>
      </c>
      <c r="G182" s="2" t="s">
        <v>2150</v>
      </c>
      <c r="H182" s="2" t="s">
        <v>338</v>
      </c>
      <c r="I182" s="2" t="s">
        <v>772</v>
      </c>
      <c r="J182" s="2" t="s">
        <v>30</v>
      </c>
      <c r="K182" s="2" t="s">
        <v>30</v>
      </c>
      <c r="L182" s="2" t="s">
        <v>344</v>
      </c>
      <c r="M182" s="2" t="s">
        <v>56</v>
      </c>
      <c r="N182" s="2" t="s">
        <v>479</v>
      </c>
      <c r="O182" s="2" t="s">
        <v>153</v>
      </c>
      <c r="P182" s="2" t="s">
        <v>1718</v>
      </c>
      <c r="Q182" s="2" t="s">
        <v>430</v>
      </c>
      <c r="R182" s="2" t="s">
        <v>423</v>
      </c>
      <c r="S182" s="2" t="s">
        <v>44</v>
      </c>
      <c r="T182" s="153">
        <v>3.4790000000000001</v>
      </c>
      <c r="U182" s="2" t="s">
        <v>1777</v>
      </c>
      <c r="V182" s="166">
        <v>3.5000000000000003E-2</v>
      </c>
      <c r="W182" s="168">
        <v>2.8889999999999999E-2</v>
      </c>
      <c r="X182" s="4" t="s">
        <v>429</v>
      </c>
      <c r="Y182" s="4" t="s">
        <v>153</v>
      </c>
      <c r="Z182" s="153">
        <v>708139.54</v>
      </c>
      <c r="AA182" s="162">
        <v>1</v>
      </c>
      <c r="AB182" s="179">
        <v>119.87</v>
      </c>
      <c r="AD182" s="153">
        <v>848.84699999999998</v>
      </c>
      <c r="AG182" s="2" t="s">
        <v>36</v>
      </c>
      <c r="AH182" s="168">
        <v>8.2200000000000003E-4</v>
      </c>
      <c r="AI182" s="168">
        <v>5.5254668337624702E-3</v>
      </c>
      <c r="AJ182" s="168">
        <v>7.8355500674928799E-4</v>
      </c>
    </row>
    <row r="183" spans="1:36">
      <c r="A183" s="2">
        <v>158</v>
      </c>
      <c r="B183" s="2">
        <v>9935</v>
      </c>
      <c r="C183" s="2" t="s">
        <v>1857</v>
      </c>
      <c r="D183" s="2" t="s">
        <v>1858</v>
      </c>
      <c r="E183" s="4" t="s">
        <v>1343</v>
      </c>
      <c r="F183" s="2" t="s">
        <v>1859</v>
      </c>
      <c r="G183" s="2" t="s">
        <v>1860</v>
      </c>
      <c r="H183" s="2" t="s">
        <v>338</v>
      </c>
      <c r="I183" s="2" t="s">
        <v>985</v>
      </c>
      <c r="J183" s="2" t="s">
        <v>30</v>
      </c>
      <c r="K183" s="2" t="s">
        <v>30</v>
      </c>
      <c r="L183" s="2" t="s">
        <v>344</v>
      </c>
      <c r="M183" s="2" t="s">
        <v>56</v>
      </c>
      <c r="N183" s="2" t="s">
        <v>455</v>
      </c>
      <c r="O183" s="2" t="s">
        <v>153</v>
      </c>
      <c r="P183" s="2" t="s">
        <v>1746</v>
      </c>
      <c r="Q183" s="2" t="s">
        <v>110</v>
      </c>
      <c r="R183" s="2" t="s">
        <v>423</v>
      </c>
      <c r="S183" s="2" t="s">
        <v>44</v>
      </c>
      <c r="T183" s="153">
        <v>4.2539999999999996</v>
      </c>
      <c r="U183" s="2" t="s">
        <v>1861</v>
      </c>
      <c r="V183" s="166">
        <v>6.7699999999999996E-2</v>
      </c>
      <c r="W183" s="168">
        <v>6.6390000000000005E-2</v>
      </c>
      <c r="X183" s="4" t="s">
        <v>429</v>
      </c>
      <c r="Y183" s="4" t="s">
        <v>153</v>
      </c>
      <c r="Z183" s="153">
        <v>1000000</v>
      </c>
      <c r="AA183" s="162">
        <v>1</v>
      </c>
      <c r="AB183" s="179">
        <v>102.69</v>
      </c>
      <c r="AD183" s="153">
        <v>1026.9000000000001</v>
      </c>
      <c r="AG183" s="2" t="s">
        <v>36</v>
      </c>
      <c r="AH183" s="168">
        <v>1.333E-3</v>
      </c>
      <c r="AI183" s="168">
        <v>6.6844823428886396E-3</v>
      </c>
      <c r="AJ183" s="168">
        <v>9.4791259541976295E-4</v>
      </c>
    </row>
    <row r="184" spans="1:36">
      <c r="A184" s="2">
        <v>158</v>
      </c>
      <c r="B184" s="2">
        <v>9935</v>
      </c>
      <c r="C184" s="2" t="s">
        <v>2030</v>
      </c>
      <c r="D184" s="2" t="s">
        <v>2031</v>
      </c>
      <c r="E184" s="4" t="s">
        <v>1343</v>
      </c>
      <c r="F184" s="2" t="s">
        <v>2151</v>
      </c>
      <c r="G184" s="2" t="s">
        <v>2152</v>
      </c>
      <c r="H184" s="2" t="s">
        <v>338</v>
      </c>
      <c r="I184" s="2" t="s">
        <v>773</v>
      </c>
      <c r="J184" s="2" t="s">
        <v>30</v>
      </c>
      <c r="K184" s="2" t="s">
        <v>30</v>
      </c>
      <c r="L184" s="2" t="s">
        <v>344</v>
      </c>
      <c r="M184" s="2" t="s">
        <v>56</v>
      </c>
      <c r="N184" s="2" t="s">
        <v>469</v>
      </c>
      <c r="O184" s="2" t="s">
        <v>153</v>
      </c>
      <c r="P184" s="2" t="s">
        <v>32</v>
      </c>
      <c r="Q184" s="2" t="s">
        <v>110</v>
      </c>
      <c r="R184" s="2" t="s">
        <v>423</v>
      </c>
      <c r="S184" s="2" t="s">
        <v>44</v>
      </c>
      <c r="T184" s="153">
        <v>3.129</v>
      </c>
      <c r="U184" s="2" t="s">
        <v>2034</v>
      </c>
      <c r="V184" s="166">
        <v>4.6899999999999997E-2</v>
      </c>
      <c r="W184" s="168">
        <v>7.5190000000000007E-2</v>
      </c>
      <c r="X184" s="4" t="s">
        <v>429</v>
      </c>
      <c r="Y184" s="4" t="s">
        <v>153</v>
      </c>
      <c r="Z184" s="153">
        <v>807583.09</v>
      </c>
      <c r="AA184" s="162">
        <v>1</v>
      </c>
      <c r="AB184" s="179">
        <v>99.56</v>
      </c>
      <c r="AD184" s="153">
        <v>804.03</v>
      </c>
      <c r="AG184" s="2" t="s">
        <v>36</v>
      </c>
      <c r="AH184" s="168">
        <v>7.0299999999999996E-4</v>
      </c>
      <c r="AI184" s="168">
        <v>5.2337350237960396E-3</v>
      </c>
      <c r="AJ184" s="168">
        <v>7.42185123044534E-4</v>
      </c>
    </row>
    <row r="185" spans="1:36">
      <c r="A185" s="2">
        <v>158</v>
      </c>
      <c r="B185" s="2">
        <v>9935</v>
      </c>
      <c r="C185" s="2" t="s">
        <v>1867</v>
      </c>
      <c r="D185" s="2" t="s">
        <v>1868</v>
      </c>
      <c r="E185" s="4" t="s">
        <v>331</v>
      </c>
      <c r="F185" s="2" t="s">
        <v>1869</v>
      </c>
      <c r="G185" s="2" t="s">
        <v>1870</v>
      </c>
      <c r="H185" s="2" t="s">
        <v>338</v>
      </c>
      <c r="I185" s="2" t="s">
        <v>773</v>
      </c>
      <c r="J185" s="2" t="s">
        <v>106</v>
      </c>
      <c r="K185" s="2" t="s">
        <v>107</v>
      </c>
      <c r="L185" s="2" t="s">
        <v>344</v>
      </c>
      <c r="M185" s="2" t="s">
        <v>31</v>
      </c>
      <c r="N185" s="2" t="s">
        <v>494</v>
      </c>
      <c r="O185" s="2" t="s">
        <v>153</v>
      </c>
      <c r="P185" s="2" t="s">
        <v>32</v>
      </c>
      <c r="Q185" s="2" t="s">
        <v>448</v>
      </c>
      <c r="R185" s="2" t="s">
        <v>423</v>
      </c>
      <c r="S185" s="2" t="s">
        <v>34</v>
      </c>
      <c r="T185" s="153">
        <v>3.6970000000000001</v>
      </c>
      <c r="U185" s="2" t="s">
        <v>1871</v>
      </c>
      <c r="V185" s="166">
        <v>1.985E-2</v>
      </c>
      <c r="W185" s="168">
        <v>4.8860000000000001E-2</v>
      </c>
      <c r="X185" s="4" t="s">
        <v>429</v>
      </c>
      <c r="Y185" s="4" t="s">
        <v>153</v>
      </c>
      <c r="Z185" s="153">
        <v>600000</v>
      </c>
      <c r="AA185" s="162">
        <v>3.71</v>
      </c>
      <c r="AB185" s="179">
        <v>91.308000000000007</v>
      </c>
      <c r="AD185" s="153">
        <v>2032.508</v>
      </c>
      <c r="AG185" s="2" t="s">
        <v>36</v>
      </c>
      <c r="AH185" s="168">
        <v>9.6000000000000002E-4</v>
      </c>
      <c r="AI185" s="168">
        <v>1.3230367640105E-2</v>
      </c>
      <c r="AJ185" s="168">
        <v>1.87617103086998E-3</v>
      </c>
    </row>
    <row r="186" spans="1:36">
      <c r="A186" s="2">
        <v>158</v>
      </c>
      <c r="B186" s="2">
        <v>9935</v>
      </c>
      <c r="C186" s="2" t="s">
        <v>2153</v>
      </c>
      <c r="D186" s="2" t="s">
        <v>2154</v>
      </c>
      <c r="E186" s="4" t="s">
        <v>330</v>
      </c>
      <c r="F186" s="2" t="s">
        <v>2155</v>
      </c>
      <c r="G186" s="2" t="s">
        <v>2156</v>
      </c>
      <c r="H186" s="2" t="s">
        <v>338</v>
      </c>
      <c r="I186" s="2" t="s">
        <v>773</v>
      </c>
      <c r="J186" s="2" t="s">
        <v>106</v>
      </c>
      <c r="K186" s="2" t="s">
        <v>315</v>
      </c>
      <c r="L186" s="2" t="s">
        <v>344</v>
      </c>
      <c r="M186" s="2" t="s">
        <v>31</v>
      </c>
      <c r="N186" s="2" t="s">
        <v>469</v>
      </c>
      <c r="O186" s="2" t="s">
        <v>153</v>
      </c>
      <c r="P186" s="2" t="s">
        <v>1876</v>
      </c>
      <c r="Q186" s="2" t="s">
        <v>448</v>
      </c>
      <c r="R186" s="2" t="s">
        <v>423</v>
      </c>
      <c r="S186" s="2" t="s">
        <v>34</v>
      </c>
      <c r="T186" s="153">
        <v>5.3319999999999999</v>
      </c>
      <c r="U186" s="2" t="s">
        <v>2157</v>
      </c>
      <c r="V186" s="166">
        <v>5.8749999999999997E-2</v>
      </c>
      <c r="W186" s="168">
        <v>8.3099999999999993E-2</v>
      </c>
      <c r="X186" s="4" t="s">
        <v>429</v>
      </c>
      <c r="Y186" s="4" t="s">
        <v>153</v>
      </c>
      <c r="Z186" s="153">
        <v>670000</v>
      </c>
      <c r="AA186" s="162">
        <v>3.71</v>
      </c>
      <c r="AB186" s="179">
        <v>85.474000000000004</v>
      </c>
      <c r="AD186" s="153">
        <v>2124.6350000000002</v>
      </c>
      <c r="AG186" s="2" t="s">
        <v>36</v>
      </c>
      <c r="AH186" s="168">
        <v>1.072E-3</v>
      </c>
      <c r="AI186" s="168">
        <v>1.38300545046206E-2</v>
      </c>
      <c r="AJ186" s="168">
        <v>1.9612113829904198E-3</v>
      </c>
    </row>
    <row r="187" spans="1:36">
      <c r="A187" s="2">
        <v>158</v>
      </c>
      <c r="B187" s="2">
        <v>9935</v>
      </c>
      <c r="C187" s="2" t="s">
        <v>2158</v>
      </c>
      <c r="D187" s="2" t="s">
        <v>2159</v>
      </c>
      <c r="E187" s="4" t="s">
        <v>331</v>
      </c>
      <c r="F187" s="2" t="s">
        <v>2160</v>
      </c>
      <c r="G187" s="2" t="s">
        <v>2161</v>
      </c>
      <c r="H187" s="2" t="s">
        <v>338</v>
      </c>
      <c r="I187" s="2" t="s">
        <v>773</v>
      </c>
      <c r="J187" s="2" t="s">
        <v>106</v>
      </c>
      <c r="K187" s="2" t="s">
        <v>107</v>
      </c>
      <c r="L187" s="2" t="s">
        <v>344</v>
      </c>
      <c r="M187" s="2" t="s">
        <v>31</v>
      </c>
      <c r="N187" s="2" t="s">
        <v>552</v>
      </c>
      <c r="O187" s="2" t="s">
        <v>153</v>
      </c>
      <c r="P187" s="2" t="s">
        <v>1746</v>
      </c>
      <c r="Q187" s="2" t="s">
        <v>448</v>
      </c>
      <c r="R187" s="2" t="s">
        <v>423</v>
      </c>
      <c r="S187" s="2" t="s">
        <v>34</v>
      </c>
      <c r="T187" s="153">
        <v>6.492</v>
      </c>
      <c r="U187" s="2" t="s">
        <v>2162</v>
      </c>
      <c r="V187" s="166">
        <v>4.9119999999999997E-2</v>
      </c>
      <c r="W187" s="168">
        <v>4.9750000000000003E-2</v>
      </c>
      <c r="X187" s="4" t="s">
        <v>429</v>
      </c>
      <c r="Y187" s="4" t="s">
        <v>153</v>
      </c>
      <c r="Z187" s="153">
        <v>131000</v>
      </c>
      <c r="AA187" s="162">
        <v>3.71</v>
      </c>
      <c r="AB187" s="179">
        <v>103.09399999999999</v>
      </c>
      <c r="AD187" s="153">
        <v>501.04500000000002</v>
      </c>
      <c r="AG187" s="2" t="s">
        <v>36</v>
      </c>
      <c r="AH187" s="168">
        <v>3.6999999999999998E-5</v>
      </c>
      <c r="AI187" s="168">
        <v>3.2614904854344801E-3</v>
      </c>
      <c r="AJ187" s="168">
        <v>4.6250521018641102E-4</v>
      </c>
    </row>
    <row r="188" spans="1:36">
      <c r="A188" s="2">
        <v>158</v>
      </c>
      <c r="B188" s="2">
        <v>9935</v>
      </c>
      <c r="C188" s="2" t="s">
        <v>1196</v>
      </c>
      <c r="D188" s="2" t="s">
        <v>1567</v>
      </c>
      <c r="E188" s="4" t="s">
        <v>1343</v>
      </c>
      <c r="F188" s="2" t="s">
        <v>1933</v>
      </c>
      <c r="G188" s="2" t="s">
        <v>1934</v>
      </c>
      <c r="H188" s="2" t="s">
        <v>338</v>
      </c>
      <c r="I188" s="2" t="s">
        <v>773</v>
      </c>
      <c r="J188" s="2" t="s">
        <v>106</v>
      </c>
      <c r="K188" s="2" t="s">
        <v>30</v>
      </c>
      <c r="L188" s="2" t="s">
        <v>344</v>
      </c>
      <c r="M188" s="2" t="s">
        <v>31</v>
      </c>
      <c r="N188" s="2" t="s">
        <v>552</v>
      </c>
      <c r="O188" s="2" t="s">
        <v>153</v>
      </c>
      <c r="P188" s="2" t="s">
        <v>1935</v>
      </c>
      <c r="Q188" s="2" t="s">
        <v>448</v>
      </c>
      <c r="R188" s="2" t="s">
        <v>423</v>
      </c>
      <c r="S188" s="2" t="s">
        <v>34</v>
      </c>
      <c r="T188" s="153">
        <v>5.4939999999999998</v>
      </c>
      <c r="U188" s="2" t="s">
        <v>1936</v>
      </c>
      <c r="V188" s="166">
        <v>3.2750000000000001E-2</v>
      </c>
      <c r="W188" s="168">
        <v>6.0199999999999997E-2</v>
      </c>
      <c r="X188" s="4" t="s">
        <v>429</v>
      </c>
      <c r="Y188" s="4" t="s">
        <v>153</v>
      </c>
      <c r="Z188" s="153">
        <v>104000</v>
      </c>
      <c r="AA188" s="162">
        <v>3.71</v>
      </c>
      <c r="AB188" s="179">
        <v>95.807000000000002</v>
      </c>
      <c r="AD188" s="153">
        <v>369.66199999999998</v>
      </c>
      <c r="AG188" s="2" t="s">
        <v>36</v>
      </c>
      <c r="AH188" s="168">
        <v>1.3899999999999999E-4</v>
      </c>
      <c r="AI188" s="168">
        <v>2.4062711833147902E-3</v>
      </c>
      <c r="AJ188" s="168">
        <v>3.4122833237584999E-4</v>
      </c>
    </row>
    <row r="189" spans="1:36">
      <c r="A189" s="2">
        <v>158</v>
      </c>
      <c r="B189" s="2">
        <v>9935</v>
      </c>
      <c r="C189" s="2" t="s">
        <v>1872</v>
      </c>
      <c r="D189" s="2" t="s">
        <v>1873</v>
      </c>
      <c r="E189" s="4" t="s">
        <v>1343</v>
      </c>
      <c r="F189" s="2" t="s">
        <v>1937</v>
      </c>
      <c r="G189" s="2" t="s">
        <v>1938</v>
      </c>
      <c r="H189" s="2" t="s">
        <v>338</v>
      </c>
      <c r="I189" s="2" t="s">
        <v>773</v>
      </c>
      <c r="J189" s="2" t="s">
        <v>106</v>
      </c>
      <c r="K189" s="2" t="s">
        <v>30</v>
      </c>
      <c r="L189" s="2" t="s">
        <v>344</v>
      </c>
      <c r="M189" s="2" t="s">
        <v>31</v>
      </c>
      <c r="N189" s="2" t="s">
        <v>502</v>
      </c>
      <c r="O189" s="2" t="s">
        <v>153</v>
      </c>
      <c r="P189" s="2" t="s">
        <v>1876</v>
      </c>
      <c r="Q189" s="2" t="s">
        <v>430</v>
      </c>
      <c r="R189" s="2" t="s">
        <v>423</v>
      </c>
      <c r="S189" s="2" t="s">
        <v>34</v>
      </c>
      <c r="T189" s="153">
        <v>2.4660000000000002</v>
      </c>
      <c r="U189" s="2" t="s">
        <v>1887</v>
      </c>
      <c r="V189" s="166">
        <v>6.5000000000000002E-2</v>
      </c>
      <c r="W189" s="168">
        <v>8.4129999999999996E-2</v>
      </c>
      <c r="X189" s="4" t="s">
        <v>429</v>
      </c>
      <c r="Y189" s="4" t="s">
        <v>153</v>
      </c>
      <c r="Z189" s="153">
        <v>70000</v>
      </c>
      <c r="AA189" s="162">
        <v>3.71</v>
      </c>
      <c r="AB189" s="179">
        <v>96.786000000000001</v>
      </c>
      <c r="AD189" s="153">
        <v>251.35400000000001</v>
      </c>
      <c r="AG189" s="2" t="s">
        <v>36</v>
      </c>
      <c r="AH189" s="168">
        <v>1.17E-4</v>
      </c>
      <c r="AI189" s="168">
        <v>1.6361554620088401E-3</v>
      </c>
      <c r="AJ189" s="168">
        <v>2.3201981708471399E-4</v>
      </c>
    </row>
    <row r="190" spans="1:36">
      <c r="A190" s="2">
        <v>158</v>
      </c>
      <c r="B190" s="2">
        <v>9935</v>
      </c>
      <c r="C190" s="2" t="s">
        <v>1570</v>
      </c>
      <c r="D190" s="2" t="s">
        <v>1571</v>
      </c>
      <c r="E190" s="4" t="s">
        <v>1343</v>
      </c>
      <c r="F190" s="2" t="s">
        <v>1939</v>
      </c>
      <c r="G190" s="2" t="s">
        <v>1940</v>
      </c>
      <c r="H190" s="2" t="s">
        <v>338</v>
      </c>
      <c r="I190" s="2" t="s">
        <v>773</v>
      </c>
      <c r="J190" s="2" t="s">
        <v>106</v>
      </c>
      <c r="K190" s="2" t="s">
        <v>30</v>
      </c>
      <c r="L190" s="2" t="s">
        <v>344</v>
      </c>
      <c r="M190" s="2" t="s">
        <v>31</v>
      </c>
      <c r="N190" s="2" t="s">
        <v>552</v>
      </c>
      <c r="O190" s="2" t="s">
        <v>153</v>
      </c>
      <c r="P190" s="2" t="s">
        <v>1935</v>
      </c>
      <c r="Q190" s="2" t="s">
        <v>448</v>
      </c>
      <c r="R190" s="2" t="s">
        <v>423</v>
      </c>
      <c r="S190" s="2" t="s">
        <v>34</v>
      </c>
      <c r="T190" s="153">
        <v>5.6210000000000004</v>
      </c>
      <c r="U190" s="2" t="s">
        <v>1941</v>
      </c>
      <c r="V190" s="166">
        <v>3.0769999999999999E-2</v>
      </c>
      <c r="W190" s="168">
        <v>6.5729999999999997E-2</v>
      </c>
      <c r="X190" s="4" t="s">
        <v>429</v>
      </c>
      <c r="Y190" s="4" t="s">
        <v>153</v>
      </c>
      <c r="Z190" s="153">
        <v>104000</v>
      </c>
      <c r="AA190" s="162">
        <v>3.71</v>
      </c>
      <c r="AB190" s="179">
        <v>95.573999999999998</v>
      </c>
      <c r="AD190" s="153">
        <v>368.76299999999998</v>
      </c>
      <c r="AG190" s="2" t="s">
        <v>36</v>
      </c>
      <c r="AH190" s="168">
        <v>1.73E-4</v>
      </c>
      <c r="AI190" s="168">
        <v>2.4004192038089602E-3</v>
      </c>
      <c r="AJ190" s="168">
        <v>3.40398475283384E-4</v>
      </c>
    </row>
    <row r="191" spans="1:36">
      <c r="A191" s="2">
        <v>158</v>
      </c>
      <c r="B191" s="2">
        <v>9935</v>
      </c>
      <c r="C191" s="2" t="s">
        <v>2163</v>
      </c>
      <c r="D191" s="2" t="s">
        <v>2164</v>
      </c>
      <c r="E191" s="4" t="s">
        <v>329</v>
      </c>
      <c r="F191" s="2" t="s">
        <v>2165</v>
      </c>
      <c r="G191" s="2" t="s">
        <v>2166</v>
      </c>
      <c r="H191" s="2" t="s">
        <v>338</v>
      </c>
      <c r="I191" s="2" t="s">
        <v>985</v>
      </c>
      <c r="J191" s="2" t="s">
        <v>106</v>
      </c>
      <c r="K191" s="2" t="s">
        <v>107</v>
      </c>
      <c r="L191" s="2" t="s">
        <v>346</v>
      </c>
      <c r="M191" s="2" t="s">
        <v>56</v>
      </c>
      <c r="N191" s="2" t="s">
        <v>469</v>
      </c>
      <c r="O191" s="2" t="s">
        <v>153</v>
      </c>
      <c r="P191" s="2" t="s">
        <v>1746</v>
      </c>
      <c r="Q191" s="2" t="s">
        <v>430</v>
      </c>
      <c r="R191" s="2" t="s">
        <v>423</v>
      </c>
      <c r="S191" s="2" t="s">
        <v>44</v>
      </c>
      <c r="T191" s="153">
        <v>0</v>
      </c>
      <c r="U191" s="2" t="s">
        <v>2167</v>
      </c>
      <c r="V191" s="166">
        <v>6.5000000000000002E-2</v>
      </c>
      <c r="W191" s="168">
        <v>0</v>
      </c>
      <c r="X191" s="4" t="s">
        <v>429</v>
      </c>
      <c r="Y191" s="4" t="s">
        <v>153</v>
      </c>
      <c r="Z191" s="153">
        <v>867000</v>
      </c>
      <c r="AA191" s="162">
        <v>1</v>
      </c>
      <c r="AB191" s="179">
        <v>100.236</v>
      </c>
      <c r="AD191" s="153">
        <v>869.05</v>
      </c>
      <c r="AG191" s="2" t="s">
        <v>36</v>
      </c>
      <c r="AH191" s="168">
        <v>0</v>
      </c>
      <c r="AI191" s="168">
        <v>5.6569740248131701E-3</v>
      </c>
      <c r="AJ191" s="168">
        <v>8.0220376912022197E-4</v>
      </c>
    </row>
    <row r="192" spans="1:36">
      <c r="A192" s="2">
        <v>158</v>
      </c>
      <c r="B192" s="2">
        <v>9936</v>
      </c>
      <c r="C192" s="2" t="s">
        <v>1872</v>
      </c>
      <c r="D192" s="2" t="s">
        <v>1873</v>
      </c>
      <c r="E192" s="4" t="s">
        <v>1343</v>
      </c>
      <c r="F192" s="2" t="s">
        <v>1874</v>
      </c>
      <c r="G192" s="2" t="s">
        <v>1875</v>
      </c>
      <c r="H192" s="2" t="s">
        <v>338</v>
      </c>
      <c r="I192" s="2" t="s">
        <v>773</v>
      </c>
      <c r="J192" s="2" t="s">
        <v>106</v>
      </c>
      <c r="K192" s="2" t="s">
        <v>30</v>
      </c>
      <c r="L192" s="2" t="s">
        <v>344</v>
      </c>
      <c r="M192" s="2" t="s">
        <v>31</v>
      </c>
      <c r="N192" s="2" t="s">
        <v>502</v>
      </c>
      <c r="O192" s="2" t="s">
        <v>153</v>
      </c>
      <c r="P192" s="2" t="s">
        <v>1876</v>
      </c>
      <c r="Q192" s="2" t="s">
        <v>448</v>
      </c>
      <c r="R192" s="2" t="s">
        <v>423</v>
      </c>
      <c r="S192" s="2" t="s">
        <v>34</v>
      </c>
      <c r="T192" s="153">
        <v>0.68799999999999994</v>
      </c>
      <c r="U192" s="2" t="s">
        <v>1877</v>
      </c>
      <c r="V192" s="166">
        <v>6.1249999999999999E-2</v>
      </c>
      <c r="W192" s="168">
        <v>8.8069999999999996E-2</v>
      </c>
      <c r="X192" s="4" t="s">
        <v>429</v>
      </c>
      <c r="Y192" s="4" t="s">
        <v>153</v>
      </c>
      <c r="Z192" s="153">
        <v>6000</v>
      </c>
      <c r="AA192" s="162">
        <v>3.71</v>
      </c>
      <c r="AB192" s="179">
        <v>100.217</v>
      </c>
      <c r="AD192" s="153">
        <v>22.308</v>
      </c>
      <c r="AG192" s="2" t="s">
        <v>36</v>
      </c>
      <c r="AH192" s="168">
        <v>1.0000000000000001E-5</v>
      </c>
      <c r="AI192" s="168">
        <v>7.6429902304028597E-3</v>
      </c>
      <c r="AJ192" s="168">
        <v>1.3954207357332201E-3</v>
      </c>
    </row>
    <row r="193" spans="1:36">
      <c r="A193" s="2">
        <v>158</v>
      </c>
      <c r="B193" s="2">
        <v>9936</v>
      </c>
      <c r="C193" s="2" t="s">
        <v>1878</v>
      </c>
      <c r="D193" s="2" t="s">
        <v>1879</v>
      </c>
      <c r="E193" s="4" t="s">
        <v>1343</v>
      </c>
      <c r="F193" s="2" t="s">
        <v>1880</v>
      </c>
      <c r="G193" s="2" t="s">
        <v>1881</v>
      </c>
      <c r="H193" s="2" t="s">
        <v>338</v>
      </c>
      <c r="I193" s="2" t="s">
        <v>772</v>
      </c>
      <c r="J193" s="2" t="s">
        <v>30</v>
      </c>
      <c r="K193" s="2" t="s">
        <v>30</v>
      </c>
      <c r="L193" s="2" t="s">
        <v>344</v>
      </c>
      <c r="M193" s="2" t="s">
        <v>56</v>
      </c>
      <c r="N193" s="2" t="s">
        <v>462</v>
      </c>
      <c r="O193" s="2" t="s">
        <v>153</v>
      </c>
      <c r="P193" s="2" t="s">
        <v>1746</v>
      </c>
      <c r="Q193" s="2" t="s">
        <v>430</v>
      </c>
      <c r="R193" s="2" t="s">
        <v>423</v>
      </c>
      <c r="S193" s="2" t="s">
        <v>44</v>
      </c>
      <c r="T193" s="153">
        <v>2.82</v>
      </c>
      <c r="U193" s="2" t="s">
        <v>1882</v>
      </c>
      <c r="V193" s="166">
        <v>3.85E-2</v>
      </c>
      <c r="W193" s="168">
        <v>3.2169999999999997E-2</v>
      </c>
      <c r="X193" s="4" t="s">
        <v>429</v>
      </c>
      <c r="Y193" s="4" t="s">
        <v>153</v>
      </c>
      <c r="Z193" s="153">
        <v>9000</v>
      </c>
      <c r="AA193" s="162">
        <v>1</v>
      </c>
      <c r="AB193" s="179">
        <v>108.99</v>
      </c>
      <c r="AD193" s="153">
        <v>9.8089999999999993</v>
      </c>
      <c r="AG193" s="2" t="s">
        <v>36</v>
      </c>
      <c r="AH193" s="168">
        <v>3.0000000000000001E-5</v>
      </c>
      <c r="AI193" s="168">
        <v>3.36066024436558E-3</v>
      </c>
      <c r="AJ193" s="168">
        <v>6.13573333129172E-4</v>
      </c>
    </row>
    <row r="194" spans="1:36">
      <c r="A194" s="2">
        <v>158</v>
      </c>
      <c r="B194" s="2">
        <v>9936</v>
      </c>
      <c r="C194" s="2" t="s">
        <v>1878</v>
      </c>
      <c r="D194" s="2" t="s">
        <v>1879</v>
      </c>
      <c r="E194" s="4" t="s">
        <v>1343</v>
      </c>
      <c r="F194" s="2" t="s">
        <v>2035</v>
      </c>
      <c r="G194" s="2" t="s">
        <v>1881</v>
      </c>
      <c r="H194" s="2" t="s">
        <v>338</v>
      </c>
      <c r="I194" s="2" t="s">
        <v>772</v>
      </c>
      <c r="J194" s="2" t="s">
        <v>30</v>
      </c>
      <c r="K194" s="2" t="s">
        <v>30</v>
      </c>
      <c r="L194" s="2" t="s">
        <v>346</v>
      </c>
      <c r="M194" s="2" t="s">
        <v>56</v>
      </c>
      <c r="N194" s="2" t="s">
        <v>462</v>
      </c>
      <c r="O194" s="2" t="s">
        <v>153</v>
      </c>
      <c r="P194" s="2" t="s">
        <v>1746</v>
      </c>
      <c r="Q194" s="2" t="s">
        <v>430</v>
      </c>
      <c r="R194" s="2" t="s">
        <v>423</v>
      </c>
      <c r="S194" s="2" t="s">
        <v>44</v>
      </c>
      <c r="T194" s="153">
        <v>3.45</v>
      </c>
      <c r="U194" s="2" t="s">
        <v>1882</v>
      </c>
      <c r="V194" s="166">
        <v>3.85E-2</v>
      </c>
      <c r="W194" s="168">
        <v>2.9700000000000001E-2</v>
      </c>
      <c r="X194" s="4" t="s">
        <v>429</v>
      </c>
      <c r="Y194" s="4" t="s">
        <v>153</v>
      </c>
      <c r="Z194" s="153">
        <v>14000</v>
      </c>
      <c r="AA194" s="162">
        <v>1</v>
      </c>
      <c r="AB194" s="179">
        <v>106.79</v>
      </c>
      <c r="AD194" s="153">
        <v>14.951000000000001</v>
      </c>
      <c r="AG194" s="2" t="s">
        <v>36</v>
      </c>
      <c r="AH194" s="168">
        <v>7.8999999999999996E-5</v>
      </c>
      <c r="AI194" s="168">
        <v>5.1221709483451096E-3</v>
      </c>
      <c r="AJ194" s="168">
        <v>9.3518156347483503E-4</v>
      </c>
    </row>
    <row r="195" spans="1:36">
      <c r="A195" s="2">
        <v>158</v>
      </c>
      <c r="B195" s="2">
        <v>9936</v>
      </c>
      <c r="C195" s="2" t="s">
        <v>2168</v>
      </c>
      <c r="D195" s="2" t="s">
        <v>2169</v>
      </c>
      <c r="E195" s="4" t="s">
        <v>1343</v>
      </c>
      <c r="F195" s="2" t="s">
        <v>2170</v>
      </c>
      <c r="G195" s="2" t="s">
        <v>2171</v>
      </c>
      <c r="H195" s="2" t="s">
        <v>338</v>
      </c>
      <c r="I195" s="2" t="s">
        <v>772</v>
      </c>
      <c r="J195" s="2" t="s">
        <v>30</v>
      </c>
      <c r="K195" s="2" t="s">
        <v>315</v>
      </c>
      <c r="L195" s="2" t="s">
        <v>344</v>
      </c>
      <c r="M195" s="2" t="s">
        <v>56</v>
      </c>
      <c r="N195" s="2" t="s">
        <v>480</v>
      </c>
      <c r="O195" s="2" t="s">
        <v>153</v>
      </c>
      <c r="P195" s="2" t="s">
        <v>98</v>
      </c>
      <c r="Q195" s="2" t="s">
        <v>110</v>
      </c>
      <c r="R195" s="2" t="s">
        <v>423</v>
      </c>
      <c r="S195" s="2" t="s">
        <v>44</v>
      </c>
      <c r="T195" s="153">
        <v>1.867</v>
      </c>
      <c r="U195" s="2" t="s">
        <v>2022</v>
      </c>
      <c r="V195" s="166">
        <v>2.8500000000000001E-2</v>
      </c>
      <c r="W195" s="168">
        <v>2.8060000000000002E-2</v>
      </c>
      <c r="X195" s="4" t="s">
        <v>429</v>
      </c>
      <c r="Y195" s="4" t="s">
        <v>153</v>
      </c>
      <c r="Z195" s="153">
        <v>15000</v>
      </c>
      <c r="AA195" s="162">
        <v>1</v>
      </c>
      <c r="AB195" s="179">
        <v>117.13</v>
      </c>
      <c r="AD195" s="153">
        <v>17.57</v>
      </c>
      <c r="AG195" s="2" t="s">
        <v>36</v>
      </c>
      <c r="AH195" s="168">
        <v>3.6999999999999998E-5</v>
      </c>
      <c r="AI195" s="168">
        <v>6.0194227975431999E-3</v>
      </c>
      <c r="AJ195" s="168">
        <v>1.0989975304985201E-3</v>
      </c>
    </row>
    <row r="196" spans="1:36">
      <c r="A196" s="2">
        <v>158</v>
      </c>
      <c r="B196" s="2">
        <v>9936</v>
      </c>
      <c r="C196" s="2" t="s">
        <v>2036</v>
      </c>
      <c r="D196" s="2" t="s">
        <v>2037</v>
      </c>
      <c r="E196" s="4" t="s">
        <v>1343</v>
      </c>
      <c r="F196" s="2" t="s">
        <v>2038</v>
      </c>
      <c r="G196" s="2" t="s">
        <v>2039</v>
      </c>
      <c r="H196" s="2" t="s">
        <v>338</v>
      </c>
      <c r="I196" s="2" t="s">
        <v>772</v>
      </c>
      <c r="J196" s="2" t="s">
        <v>30</v>
      </c>
      <c r="K196" s="2" t="s">
        <v>30</v>
      </c>
      <c r="L196" s="2" t="s">
        <v>344</v>
      </c>
      <c r="M196" s="2" t="s">
        <v>56</v>
      </c>
      <c r="N196" s="2" t="s">
        <v>471</v>
      </c>
      <c r="O196" s="2" t="s">
        <v>153</v>
      </c>
      <c r="P196" s="2" t="s">
        <v>1724</v>
      </c>
      <c r="Q196" s="2" t="s">
        <v>430</v>
      </c>
      <c r="R196" s="2" t="s">
        <v>423</v>
      </c>
      <c r="S196" s="2" t="s">
        <v>44</v>
      </c>
      <c r="T196" s="153">
        <v>4.1390000000000002</v>
      </c>
      <c r="U196" s="2" t="s">
        <v>2040</v>
      </c>
      <c r="V196" s="166">
        <v>5.1499999999999997E-2</v>
      </c>
      <c r="W196" s="168">
        <v>5.1479999999999998E-2</v>
      </c>
      <c r="X196" s="4" t="s">
        <v>429</v>
      </c>
      <c r="Y196" s="4" t="s">
        <v>153</v>
      </c>
      <c r="Z196" s="153">
        <v>0.14000000000000001</v>
      </c>
      <c r="AA196" s="162">
        <v>1</v>
      </c>
      <c r="AB196" s="179">
        <v>141.9</v>
      </c>
      <c r="AD196" s="153">
        <v>0</v>
      </c>
      <c r="AG196" s="2" t="s">
        <v>36</v>
      </c>
      <c r="AH196" s="168">
        <v>0</v>
      </c>
      <c r="AI196" s="168">
        <v>6.8062183497534494E-8</v>
      </c>
      <c r="AJ196" s="168">
        <v>1.24264691316677E-8</v>
      </c>
    </row>
    <row r="197" spans="1:36">
      <c r="A197" s="2">
        <v>158</v>
      </c>
      <c r="B197" s="2">
        <v>9936</v>
      </c>
      <c r="C197" s="2" t="s">
        <v>1714</v>
      </c>
      <c r="D197" s="2" t="s">
        <v>1715</v>
      </c>
      <c r="E197" s="4" t="s">
        <v>1343</v>
      </c>
      <c r="F197" s="2" t="s">
        <v>1716</v>
      </c>
      <c r="G197" s="2" t="s">
        <v>1717</v>
      </c>
      <c r="H197" s="2" t="s">
        <v>338</v>
      </c>
      <c r="I197" s="2" t="s">
        <v>772</v>
      </c>
      <c r="J197" s="2" t="s">
        <v>30</v>
      </c>
      <c r="K197" s="2" t="s">
        <v>30</v>
      </c>
      <c r="L197" s="2" t="s">
        <v>344</v>
      </c>
      <c r="M197" s="2" t="s">
        <v>56</v>
      </c>
      <c r="N197" s="2" t="s">
        <v>479</v>
      </c>
      <c r="O197" s="2" t="s">
        <v>153</v>
      </c>
      <c r="P197" s="2" t="s">
        <v>1718</v>
      </c>
      <c r="Q197" s="2" t="s">
        <v>430</v>
      </c>
      <c r="R197" s="2" t="s">
        <v>423</v>
      </c>
      <c r="S197" s="2" t="s">
        <v>44</v>
      </c>
      <c r="T197" s="153">
        <v>2.012</v>
      </c>
      <c r="U197" s="2" t="s">
        <v>102</v>
      </c>
      <c r="V197" s="166">
        <v>2.3400000000000001E-2</v>
      </c>
      <c r="W197" s="168">
        <v>2.664E-2</v>
      </c>
      <c r="X197" s="4" t="s">
        <v>429</v>
      </c>
      <c r="Y197" s="4" t="s">
        <v>153</v>
      </c>
      <c r="Z197" s="153">
        <v>34375</v>
      </c>
      <c r="AA197" s="162">
        <v>1</v>
      </c>
      <c r="AB197" s="179">
        <v>115.87</v>
      </c>
      <c r="AD197" s="153">
        <v>39.83</v>
      </c>
      <c r="AG197" s="2" t="s">
        <v>36</v>
      </c>
      <c r="AH197" s="168">
        <v>1.5999999999999999E-5</v>
      </c>
      <c r="AI197" s="168">
        <v>1.3646119189263801E-2</v>
      </c>
      <c r="AJ197" s="168">
        <v>2.4914434148088499E-3</v>
      </c>
    </row>
    <row r="198" spans="1:36">
      <c r="A198" s="2">
        <v>158</v>
      </c>
      <c r="B198" s="2">
        <v>9936</v>
      </c>
      <c r="C198" s="2" t="s">
        <v>1714</v>
      </c>
      <c r="D198" s="2" t="s">
        <v>1715</v>
      </c>
      <c r="E198" s="4" t="s">
        <v>1343</v>
      </c>
      <c r="F198" s="2" t="s">
        <v>2172</v>
      </c>
      <c r="G198" s="2" t="s">
        <v>2173</v>
      </c>
      <c r="H198" s="2" t="s">
        <v>338</v>
      </c>
      <c r="I198" s="2" t="s">
        <v>985</v>
      </c>
      <c r="J198" s="2" t="s">
        <v>30</v>
      </c>
      <c r="K198" s="2" t="s">
        <v>30</v>
      </c>
      <c r="L198" s="2" t="s">
        <v>344</v>
      </c>
      <c r="M198" s="2" t="s">
        <v>56</v>
      </c>
      <c r="N198" s="2" t="s">
        <v>479</v>
      </c>
      <c r="O198" s="2" t="s">
        <v>153</v>
      </c>
      <c r="P198" s="2" t="s">
        <v>1718</v>
      </c>
      <c r="Q198" s="2" t="s">
        <v>430</v>
      </c>
      <c r="R198" s="2" t="s">
        <v>423</v>
      </c>
      <c r="S198" s="2" t="s">
        <v>44</v>
      </c>
      <c r="T198" s="153">
        <v>2.681</v>
      </c>
      <c r="U198" s="2" t="s">
        <v>1747</v>
      </c>
      <c r="V198" s="166">
        <v>0.05</v>
      </c>
      <c r="W198" s="168">
        <v>5.5370000000000003E-2</v>
      </c>
      <c r="X198" s="4" t="s">
        <v>429</v>
      </c>
      <c r="Y198" s="4" t="s">
        <v>153</v>
      </c>
      <c r="Z198" s="153">
        <v>45000</v>
      </c>
      <c r="AA198" s="162">
        <v>1</v>
      </c>
      <c r="AB198" s="179">
        <v>100.87</v>
      </c>
      <c r="AD198" s="153">
        <v>45.392000000000003</v>
      </c>
      <c r="AG198" s="2" t="s">
        <v>36</v>
      </c>
      <c r="AH198" s="168">
        <v>1.12E-4</v>
      </c>
      <c r="AI198" s="168">
        <v>1.55514175084483E-2</v>
      </c>
      <c r="AJ198" s="168">
        <v>2.83930370275895E-3</v>
      </c>
    </row>
    <row r="199" spans="1:36">
      <c r="A199" s="2">
        <v>158</v>
      </c>
      <c r="B199" s="2">
        <v>9936</v>
      </c>
      <c r="C199" s="2" t="s">
        <v>1519</v>
      </c>
      <c r="D199" s="2" t="s">
        <v>1520</v>
      </c>
      <c r="E199" s="4" t="s">
        <v>1343</v>
      </c>
      <c r="F199" s="2" t="s">
        <v>1726</v>
      </c>
      <c r="G199" s="2" t="s">
        <v>1727</v>
      </c>
      <c r="H199" s="2" t="s">
        <v>338</v>
      </c>
      <c r="I199" s="2" t="s">
        <v>985</v>
      </c>
      <c r="J199" s="2" t="s">
        <v>30</v>
      </c>
      <c r="K199" s="2" t="s">
        <v>30</v>
      </c>
      <c r="L199" s="2" t="s">
        <v>344</v>
      </c>
      <c r="M199" s="2" t="s">
        <v>56</v>
      </c>
      <c r="N199" s="2" t="s">
        <v>479</v>
      </c>
      <c r="O199" s="2" t="s">
        <v>153</v>
      </c>
      <c r="P199" s="2" t="s">
        <v>1724</v>
      </c>
      <c r="Q199" s="2" t="s">
        <v>430</v>
      </c>
      <c r="R199" s="2" t="s">
        <v>423</v>
      </c>
      <c r="S199" s="2" t="s">
        <v>44</v>
      </c>
      <c r="T199" s="153">
        <v>3.9049999999999998</v>
      </c>
      <c r="U199" s="2" t="s">
        <v>1728</v>
      </c>
      <c r="V199" s="166">
        <v>2.41E-2</v>
      </c>
      <c r="W199" s="168">
        <v>6.3320000000000001E-2</v>
      </c>
      <c r="X199" s="4" t="s">
        <v>429</v>
      </c>
      <c r="Y199" s="4" t="s">
        <v>153</v>
      </c>
      <c r="Z199" s="153">
        <v>52650</v>
      </c>
      <c r="AA199" s="162">
        <v>1</v>
      </c>
      <c r="AB199" s="179">
        <v>86.08</v>
      </c>
      <c r="AD199" s="153">
        <v>45.320999999999998</v>
      </c>
      <c r="AG199" s="2" t="s">
        <v>36</v>
      </c>
      <c r="AH199" s="168">
        <v>2.5999999999999998E-5</v>
      </c>
      <c r="AI199" s="168">
        <v>1.5527304871407299E-2</v>
      </c>
      <c r="AJ199" s="168">
        <v>2.8349013323900399E-3</v>
      </c>
    </row>
    <row r="200" spans="1:36">
      <c r="A200" s="2">
        <v>158</v>
      </c>
      <c r="B200" s="2">
        <v>9936</v>
      </c>
      <c r="C200" s="2" t="s">
        <v>1729</v>
      </c>
      <c r="D200" s="2" t="s">
        <v>1730</v>
      </c>
      <c r="E200" s="4" t="s">
        <v>1343</v>
      </c>
      <c r="F200" s="2" t="s">
        <v>1731</v>
      </c>
      <c r="G200" s="2" t="s">
        <v>1732</v>
      </c>
      <c r="H200" s="2" t="s">
        <v>338</v>
      </c>
      <c r="I200" s="2" t="s">
        <v>985</v>
      </c>
      <c r="J200" s="2" t="s">
        <v>30</v>
      </c>
      <c r="K200" s="2" t="s">
        <v>30</v>
      </c>
      <c r="L200" s="2" t="s">
        <v>344</v>
      </c>
      <c r="M200" s="2" t="s">
        <v>56</v>
      </c>
      <c r="N200" s="2" t="s">
        <v>466</v>
      </c>
      <c r="O200" s="2" t="s">
        <v>153</v>
      </c>
      <c r="P200" s="2" t="s">
        <v>32</v>
      </c>
      <c r="Q200" s="2" t="s">
        <v>430</v>
      </c>
      <c r="R200" s="2" t="s">
        <v>423</v>
      </c>
      <c r="S200" s="2" t="s">
        <v>44</v>
      </c>
      <c r="T200" s="153">
        <v>2.2240000000000002</v>
      </c>
      <c r="U200" s="2" t="s">
        <v>1733</v>
      </c>
      <c r="V200" s="166">
        <v>0.04</v>
      </c>
      <c r="W200" s="168">
        <v>5.774E-2</v>
      </c>
      <c r="X200" s="4" t="s">
        <v>429</v>
      </c>
      <c r="Y200" s="4" t="s">
        <v>153</v>
      </c>
      <c r="Z200" s="153">
        <v>51375</v>
      </c>
      <c r="AA200" s="162">
        <v>1</v>
      </c>
      <c r="AB200" s="179">
        <v>96.04</v>
      </c>
      <c r="AD200" s="153">
        <v>49.341000000000001</v>
      </c>
      <c r="AG200" s="2" t="s">
        <v>36</v>
      </c>
      <c r="AH200" s="168">
        <v>7.6000000000000004E-5</v>
      </c>
      <c r="AI200" s="168">
        <v>1.6904387234316299E-2</v>
      </c>
      <c r="AJ200" s="168">
        <v>3.0863224681088601E-3</v>
      </c>
    </row>
    <row r="201" spans="1:36">
      <c r="A201" s="2">
        <v>158</v>
      </c>
      <c r="B201" s="2">
        <v>9936</v>
      </c>
      <c r="C201" s="2" t="s">
        <v>1523</v>
      </c>
      <c r="D201" s="2" t="s">
        <v>1524</v>
      </c>
      <c r="E201" s="4" t="s">
        <v>1343</v>
      </c>
      <c r="F201" s="2" t="s">
        <v>2174</v>
      </c>
      <c r="G201" s="2" t="s">
        <v>2175</v>
      </c>
      <c r="H201" s="2" t="s">
        <v>338</v>
      </c>
      <c r="I201" s="2" t="s">
        <v>772</v>
      </c>
      <c r="J201" s="2" t="s">
        <v>30</v>
      </c>
      <c r="K201" s="2" t="s">
        <v>30</v>
      </c>
      <c r="L201" s="2" t="s">
        <v>344</v>
      </c>
      <c r="M201" s="2" t="s">
        <v>56</v>
      </c>
      <c r="N201" s="2" t="s">
        <v>479</v>
      </c>
      <c r="O201" s="2" t="s">
        <v>153</v>
      </c>
      <c r="P201" s="2" t="s">
        <v>1718</v>
      </c>
      <c r="Q201" s="2" t="s">
        <v>430</v>
      </c>
      <c r="R201" s="2" t="s">
        <v>423</v>
      </c>
      <c r="S201" s="2" t="s">
        <v>44</v>
      </c>
      <c r="T201" s="153">
        <v>3.3279999999999998</v>
      </c>
      <c r="U201" s="2" t="s">
        <v>2176</v>
      </c>
      <c r="V201" s="166">
        <v>1.14E-2</v>
      </c>
      <c r="W201" s="168">
        <v>2.9170000000000001E-2</v>
      </c>
      <c r="X201" s="4" t="s">
        <v>429</v>
      </c>
      <c r="Y201" s="4" t="s">
        <v>153</v>
      </c>
      <c r="Z201" s="153">
        <v>40000</v>
      </c>
      <c r="AA201" s="162">
        <v>1</v>
      </c>
      <c r="AB201" s="179">
        <v>107.2</v>
      </c>
      <c r="AC201" s="153">
        <v>0.51800000000000002</v>
      </c>
      <c r="AD201" s="153">
        <v>43.398000000000003</v>
      </c>
      <c r="AG201" s="2" t="s">
        <v>36</v>
      </c>
      <c r="AH201" s="168">
        <v>1.7E-5</v>
      </c>
      <c r="AI201" s="168">
        <v>1.4868489932534E-2</v>
      </c>
      <c r="AJ201" s="168">
        <v>2.7146180402490001E-3</v>
      </c>
    </row>
    <row r="202" spans="1:36">
      <c r="A202" s="2">
        <v>158</v>
      </c>
      <c r="B202" s="2">
        <v>9936</v>
      </c>
      <c r="C202" s="2" t="s">
        <v>1527</v>
      </c>
      <c r="D202" s="2" t="s">
        <v>1528</v>
      </c>
      <c r="E202" s="4" t="s">
        <v>1343</v>
      </c>
      <c r="F202" s="2" t="s">
        <v>1950</v>
      </c>
      <c r="G202" s="2" t="s">
        <v>1951</v>
      </c>
      <c r="H202" s="2" t="s">
        <v>338</v>
      </c>
      <c r="I202" s="2" t="s">
        <v>985</v>
      </c>
      <c r="J202" s="2" t="s">
        <v>30</v>
      </c>
      <c r="K202" s="2" t="s">
        <v>107</v>
      </c>
      <c r="L202" s="2" t="s">
        <v>344</v>
      </c>
      <c r="M202" s="2" t="s">
        <v>56</v>
      </c>
      <c r="N202" s="2" t="s">
        <v>456</v>
      </c>
      <c r="O202" s="2" t="s">
        <v>153</v>
      </c>
      <c r="P202" s="2" t="s">
        <v>98</v>
      </c>
      <c r="Q202" s="2" t="s">
        <v>110</v>
      </c>
      <c r="R202" s="2" t="s">
        <v>423</v>
      </c>
      <c r="S202" s="2" t="s">
        <v>44</v>
      </c>
      <c r="T202" s="153">
        <v>1.736</v>
      </c>
      <c r="U202" s="2" t="s">
        <v>1952</v>
      </c>
      <c r="V202" s="166">
        <v>3.4500000000000003E-2</v>
      </c>
      <c r="W202" s="168">
        <v>5.7250000000000002E-2</v>
      </c>
      <c r="X202" s="4" t="s">
        <v>429</v>
      </c>
      <c r="Y202" s="4" t="s">
        <v>153</v>
      </c>
      <c r="Z202" s="153">
        <v>30000</v>
      </c>
      <c r="AA202" s="162">
        <v>1</v>
      </c>
      <c r="AB202" s="179">
        <v>96.61</v>
      </c>
      <c r="AD202" s="153">
        <v>28.983000000000001</v>
      </c>
      <c r="AG202" s="2" t="s">
        <v>36</v>
      </c>
      <c r="AH202" s="168">
        <v>4.6999999999999997E-5</v>
      </c>
      <c r="AI202" s="168">
        <v>9.9297607183582107E-3</v>
      </c>
      <c r="AJ202" s="168">
        <v>1.8129283944584901E-3</v>
      </c>
    </row>
    <row r="203" spans="1:36">
      <c r="A203" s="2">
        <v>158</v>
      </c>
      <c r="B203" s="2">
        <v>9936</v>
      </c>
      <c r="C203" s="2" t="s">
        <v>1527</v>
      </c>
      <c r="D203" s="2" t="s">
        <v>1528</v>
      </c>
      <c r="E203" s="4" t="s">
        <v>1343</v>
      </c>
      <c r="F203" s="2" t="s">
        <v>2041</v>
      </c>
      <c r="G203" s="2" t="s">
        <v>2042</v>
      </c>
      <c r="H203" s="2" t="s">
        <v>338</v>
      </c>
      <c r="I203" s="2" t="s">
        <v>985</v>
      </c>
      <c r="J203" s="2" t="s">
        <v>30</v>
      </c>
      <c r="K203" s="2" t="s">
        <v>107</v>
      </c>
      <c r="L203" s="2" t="s">
        <v>344</v>
      </c>
      <c r="M203" s="2" t="s">
        <v>56</v>
      </c>
      <c r="N203" s="2" t="s">
        <v>456</v>
      </c>
      <c r="O203" s="2" t="s">
        <v>153</v>
      </c>
      <c r="P203" s="2" t="s">
        <v>98</v>
      </c>
      <c r="Q203" s="2" t="s">
        <v>110</v>
      </c>
      <c r="R203" s="2" t="s">
        <v>423</v>
      </c>
      <c r="S203" s="2" t="s">
        <v>44</v>
      </c>
      <c r="T203" s="153">
        <v>3.7589999999999999</v>
      </c>
      <c r="U203" s="2" t="s">
        <v>2043</v>
      </c>
      <c r="V203" s="166">
        <v>1.4999999999999999E-2</v>
      </c>
      <c r="W203" s="168">
        <v>5.9859999999999997E-2</v>
      </c>
      <c r="X203" s="4" t="s">
        <v>429</v>
      </c>
      <c r="Y203" s="4" t="s">
        <v>153</v>
      </c>
      <c r="Z203" s="153">
        <v>16000</v>
      </c>
      <c r="AA203" s="162">
        <v>1</v>
      </c>
      <c r="AB203" s="179">
        <v>85.02</v>
      </c>
      <c r="AD203" s="153">
        <v>13.603</v>
      </c>
      <c r="AG203" s="2" t="s">
        <v>36</v>
      </c>
      <c r="AH203" s="168">
        <v>4.1E-5</v>
      </c>
      <c r="AI203" s="168">
        <v>4.66054311161613E-3</v>
      </c>
      <c r="AJ203" s="168">
        <v>8.5089975280328999E-4</v>
      </c>
    </row>
    <row r="204" spans="1:36">
      <c r="A204" s="2">
        <v>158</v>
      </c>
      <c r="B204" s="2">
        <v>9936</v>
      </c>
      <c r="C204" s="2" t="s">
        <v>1531</v>
      </c>
      <c r="D204" s="2" t="s">
        <v>1532</v>
      </c>
      <c r="E204" s="4" t="s">
        <v>1343</v>
      </c>
      <c r="F204" s="2" t="s">
        <v>1953</v>
      </c>
      <c r="G204" s="2" t="s">
        <v>1954</v>
      </c>
      <c r="H204" s="2" t="s">
        <v>338</v>
      </c>
      <c r="I204" s="2" t="s">
        <v>985</v>
      </c>
      <c r="J204" s="2" t="s">
        <v>30</v>
      </c>
      <c r="K204" s="2" t="s">
        <v>30</v>
      </c>
      <c r="L204" s="2" t="s">
        <v>344</v>
      </c>
      <c r="M204" s="2" t="s">
        <v>56</v>
      </c>
      <c r="N204" s="2" t="s">
        <v>456</v>
      </c>
      <c r="O204" s="2" t="s">
        <v>153</v>
      </c>
      <c r="P204" s="2" t="s">
        <v>98</v>
      </c>
      <c r="Q204" s="2" t="s">
        <v>430</v>
      </c>
      <c r="R204" s="2" t="s">
        <v>423</v>
      </c>
      <c r="S204" s="2" t="s">
        <v>44</v>
      </c>
      <c r="T204" s="153">
        <v>2.859</v>
      </c>
      <c r="U204" s="2" t="s">
        <v>1955</v>
      </c>
      <c r="V204" s="166">
        <v>2.0500000000000001E-2</v>
      </c>
      <c r="W204" s="168">
        <v>5.9229999999999998E-2</v>
      </c>
      <c r="X204" s="4" t="s">
        <v>429</v>
      </c>
      <c r="Y204" s="4" t="s">
        <v>153</v>
      </c>
      <c r="Z204" s="153">
        <v>27692.31</v>
      </c>
      <c r="AA204" s="162">
        <v>1</v>
      </c>
      <c r="AB204" s="179">
        <v>90.04</v>
      </c>
      <c r="AD204" s="153">
        <v>24.934000000000001</v>
      </c>
      <c r="AG204" s="2" t="s">
        <v>36</v>
      </c>
      <c r="AH204" s="168">
        <v>6.2000000000000003E-5</v>
      </c>
      <c r="AI204" s="168">
        <v>8.5426009053429196E-3</v>
      </c>
      <c r="AJ204" s="168">
        <v>1.55966736592054E-3</v>
      </c>
    </row>
    <row r="205" spans="1:36">
      <c r="A205" s="2">
        <v>158</v>
      </c>
      <c r="B205" s="2">
        <v>9936</v>
      </c>
      <c r="C205" s="2" t="s">
        <v>1883</v>
      </c>
      <c r="D205" s="2" t="s">
        <v>1884</v>
      </c>
      <c r="E205" s="4" t="s">
        <v>1343</v>
      </c>
      <c r="F205" s="2" t="s">
        <v>1885</v>
      </c>
      <c r="G205" s="2" t="s">
        <v>1886</v>
      </c>
      <c r="H205" s="2" t="s">
        <v>338</v>
      </c>
      <c r="I205" s="2" t="s">
        <v>772</v>
      </c>
      <c r="J205" s="2" t="s">
        <v>30</v>
      </c>
      <c r="K205" s="2" t="s">
        <v>30</v>
      </c>
      <c r="L205" s="2" t="s">
        <v>344</v>
      </c>
      <c r="M205" s="2" t="s">
        <v>56</v>
      </c>
      <c r="N205" s="2" t="s">
        <v>458</v>
      </c>
      <c r="O205" s="2" t="s">
        <v>153</v>
      </c>
      <c r="P205" s="2" t="s">
        <v>1746</v>
      </c>
      <c r="Q205" s="2" t="s">
        <v>110</v>
      </c>
      <c r="R205" s="2" t="s">
        <v>423</v>
      </c>
      <c r="S205" s="2" t="s">
        <v>44</v>
      </c>
      <c r="T205" s="153">
        <v>1.4570000000000001</v>
      </c>
      <c r="U205" s="2" t="s">
        <v>1887</v>
      </c>
      <c r="V205" s="166">
        <v>1.2500000000000001E-2</v>
      </c>
      <c r="W205" s="168">
        <v>4.3409999999999997E-2</v>
      </c>
      <c r="X205" s="4" t="s">
        <v>429</v>
      </c>
      <c r="Y205" s="4" t="s">
        <v>153</v>
      </c>
      <c r="Z205" s="153">
        <v>8666.67</v>
      </c>
      <c r="AA205" s="162">
        <v>1</v>
      </c>
      <c r="AB205" s="179">
        <v>104.83</v>
      </c>
      <c r="AD205" s="153">
        <v>9.0850000000000009</v>
      </c>
      <c r="AG205" s="2" t="s">
        <v>36</v>
      </c>
      <c r="AH205" s="168">
        <v>4.6999999999999997E-5</v>
      </c>
      <c r="AI205" s="168">
        <v>3.1126715233195201E-3</v>
      </c>
      <c r="AJ205" s="168">
        <v>5.6829673416152198E-4</v>
      </c>
    </row>
    <row r="206" spans="1:36">
      <c r="A206" s="2">
        <v>158</v>
      </c>
      <c r="B206" s="2">
        <v>9936</v>
      </c>
      <c r="C206" s="2" t="s">
        <v>2177</v>
      </c>
      <c r="D206" s="2" t="s">
        <v>2178</v>
      </c>
      <c r="E206" s="4" t="s">
        <v>1343</v>
      </c>
      <c r="F206" s="2" t="s">
        <v>2179</v>
      </c>
      <c r="G206" s="2" t="s">
        <v>2180</v>
      </c>
      <c r="H206" s="2" t="s">
        <v>338</v>
      </c>
      <c r="I206" s="2" t="s">
        <v>772</v>
      </c>
      <c r="J206" s="2" t="s">
        <v>30</v>
      </c>
      <c r="K206" s="2" t="s">
        <v>30</v>
      </c>
      <c r="L206" s="2" t="s">
        <v>344</v>
      </c>
      <c r="M206" s="2" t="s">
        <v>56</v>
      </c>
      <c r="N206" s="2" t="s">
        <v>480</v>
      </c>
      <c r="O206" s="2" t="s">
        <v>153</v>
      </c>
      <c r="P206" s="2" t="s">
        <v>98</v>
      </c>
      <c r="Q206" s="2" t="s">
        <v>110</v>
      </c>
      <c r="R206" s="2" t="s">
        <v>423</v>
      </c>
      <c r="S206" s="2" t="s">
        <v>44</v>
      </c>
      <c r="T206" s="153">
        <v>1.7330000000000001</v>
      </c>
      <c r="U206" s="2" t="s">
        <v>2181</v>
      </c>
      <c r="V206" s="166">
        <v>2.5700000000000001E-2</v>
      </c>
      <c r="W206" s="168">
        <v>3.109E-2</v>
      </c>
      <c r="X206" s="4" t="s">
        <v>429</v>
      </c>
      <c r="Y206" s="4" t="s">
        <v>153</v>
      </c>
      <c r="Z206" s="153">
        <v>25000</v>
      </c>
      <c r="AA206" s="162">
        <v>1</v>
      </c>
      <c r="AB206" s="179">
        <v>116.88</v>
      </c>
      <c r="AD206" s="153">
        <v>29.22</v>
      </c>
      <c r="AG206" s="2" t="s">
        <v>36</v>
      </c>
      <c r="AH206" s="168">
        <v>1.9000000000000001E-5</v>
      </c>
      <c r="AI206" s="168">
        <v>1.0010958430474001E-2</v>
      </c>
      <c r="AJ206" s="168">
        <v>1.82775308581158E-3</v>
      </c>
    </row>
    <row r="207" spans="1:36">
      <c r="A207" s="2">
        <v>158</v>
      </c>
      <c r="B207" s="2">
        <v>9936</v>
      </c>
      <c r="C207" s="2" t="s">
        <v>2044</v>
      </c>
      <c r="D207" s="2" t="s">
        <v>2045</v>
      </c>
      <c r="E207" s="4" t="s">
        <v>1343</v>
      </c>
      <c r="F207" s="2" t="s">
        <v>2046</v>
      </c>
      <c r="G207" s="2" t="s">
        <v>2047</v>
      </c>
      <c r="H207" s="2" t="s">
        <v>338</v>
      </c>
      <c r="I207" s="2" t="s">
        <v>772</v>
      </c>
      <c r="J207" s="2" t="s">
        <v>30</v>
      </c>
      <c r="K207" s="2" t="s">
        <v>30</v>
      </c>
      <c r="L207" s="2" t="s">
        <v>344</v>
      </c>
      <c r="M207" s="2" t="s">
        <v>56</v>
      </c>
      <c r="N207" s="2" t="s">
        <v>466</v>
      </c>
      <c r="O207" s="2" t="s">
        <v>153</v>
      </c>
      <c r="P207" s="2" t="s">
        <v>1746</v>
      </c>
      <c r="Q207" s="2" t="s">
        <v>430</v>
      </c>
      <c r="R207" s="2" t="s">
        <v>423</v>
      </c>
      <c r="S207" s="2" t="s">
        <v>44</v>
      </c>
      <c r="T207" s="153">
        <v>3.17</v>
      </c>
      <c r="U207" s="2" t="s">
        <v>2048</v>
      </c>
      <c r="V207" s="166">
        <v>2.8799999999999999E-2</v>
      </c>
      <c r="W207" s="168">
        <v>3.6900000000000002E-2</v>
      </c>
      <c r="X207" s="4" t="s">
        <v>429</v>
      </c>
      <c r="Y207" s="4" t="s">
        <v>153</v>
      </c>
      <c r="Z207" s="153">
        <v>22222.22</v>
      </c>
      <c r="AA207" s="162">
        <v>1</v>
      </c>
      <c r="AB207" s="179">
        <v>111.527</v>
      </c>
      <c r="AD207" s="153">
        <v>24.783999999999999</v>
      </c>
      <c r="AG207" s="2" t="s">
        <v>36</v>
      </c>
      <c r="AH207" s="168">
        <v>0</v>
      </c>
      <c r="AI207" s="168">
        <v>8.4910795438911998E-3</v>
      </c>
      <c r="AJ207" s="168">
        <v>1.55026084125733E-3</v>
      </c>
    </row>
    <row r="208" spans="1:36">
      <c r="A208" s="2">
        <v>158</v>
      </c>
      <c r="B208" s="2">
        <v>9936</v>
      </c>
      <c r="C208" s="2" t="s">
        <v>1888</v>
      </c>
      <c r="D208" s="2" t="s">
        <v>1889</v>
      </c>
      <c r="E208" s="4" t="s">
        <v>330</v>
      </c>
      <c r="F208" s="2" t="s">
        <v>1890</v>
      </c>
      <c r="G208" s="2" t="s">
        <v>1891</v>
      </c>
      <c r="H208" s="2" t="s">
        <v>338</v>
      </c>
      <c r="I208" s="2" t="s">
        <v>985</v>
      </c>
      <c r="J208" s="2" t="s">
        <v>30</v>
      </c>
      <c r="K208" s="2" t="s">
        <v>30</v>
      </c>
      <c r="L208" s="2" t="s">
        <v>344</v>
      </c>
      <c r="M208" s="2" t="s">
        <v>56</v>
      </c>
      <c r="N208" s="2" t="s">
        <v>480</v>
      </c>
      <c r="O208" s="2" t="s">
        <v>153</v>
      </c>
      <c r="P208" s="2" t="s">
        <v>1746</v>
      </c>
      <c r="Q208" s="2" t="s">
        <v>110</v>
      </c>
      <c r="R208" s="2" t="s">
        <v>423</v>
      </c>
      <c r="S208" s="2" t="s">
        <v>44</v>
      </c>
      <c r="T208" s="153">
        <v>0.97099999999999997</v>
      </c>
      <c r="U208" s="2" t="s">
        <v>1892</v>
      </c>
      <c r="V208" s="166">
        <v>7.0000000000000007E-2</v>
      </c>
      <c r="W208" s="168">
        <v>7.2090000000000001E-2</v>
      </c>
      <c r="X208" s="4" t="s">
        <v>429</v>
      </c>
      <c r="Y208" s="4" t="s">
        <v>153</v>
      </c>
      <c r="Z208" s="153">
        <v>0.44</v>
      </c>
      <c r="AA208" s="162">
        <v>1</v>
      </c>
      <c r="AB208" s="179">
        <v>99.95</v>
      </c>
      <c r="AD208" s="153">
        <v>0</v>
      </c>
      <c r="AG208" s="2" t="s">
        <v>36</v>
      </c>
      <c r="AH208" s="168">
        <v>0</v>
      </c>
      <c r="AI208" s="168">
        <v>1.5067143389985799E-7</v>
      </c>
      <c r="AJ208" s="168">
        <v>2.7508872418830202E-8</v>
      </c>
    </row>
    <row r="209" spans="1:36">
      <c r="A209" s="2">
        <v>158</v>
      </c>
      <c r="B209" s="2">
        <v>9936</v>
      </c>
      <c r="C209" s="2" t="s">
        <v>1888</v>
      </c>
      <c r="D209" s="2" t="s">
        <v>1889</v>
      </c>
      <c r="E209" s="4" t="s">
        <v>330</v>
      </c>
      <c r="F209" s="2" t="s">
        <v>1893</v>
      </c>
      <c r="G209" s="2" t="s">
        <v>1894</v>
      </c>
      <c r="H209" s="2" t="s">
        <v>338</v>
      </c>
      <c r="I209" s="2" t="s">
        <v>985</v>
      </c>
      <c r="J209" s="2" t="s">
        <v>30</v>
      </c>
      <c r="K209" s="2" t="s">
        <v>30</v>
      </c>
      <c r="L209" s="2" t="s">
        <v>346</v>
      </c>
      <c r="M209" s="2" t="s">
        <v>56</v>
      </c>
      <c r="N209" s="2" t="s">
        <v>462</v>
      </c>
      <c r="O209" s="2" t="s">
        <v>153</v>
      </c>
      <c r="P209" s="2" t="s">
        <v>1746</v>
      </c>
      <c r="Q209" s="2" t="s">
        <v>110</v>
      </c>
      <c r="R209" s="2" t="s">
        <v>423</v>
      </c>
      <c r="S209" s="2" t="s">
        <v>44</v>
      </c>
      <c r="T209" s="153">
        <v>3.15</v>
      </c>
      <c r="U209" s="2" t="s">
        <v>1895</v>
      </c>
      <c r="V209" s="166">
        <v>6.5000000000000002E-2</v>
      </c>
      <c r="W209" s="168">
        <v>8.9200000000000002E-2</v>
      </c>
      <c r="X209" s="4" t="s">
        <v>429</v>
      </c>
      <c r="Y209" s="4" t="s">
        <v>153</v>
      </c>
      <c r="Z209" s="153">
        <v>45000</v>
      </c>
      <c r="AA209" s="162">
        <v>1</v>
      </c>
      <c r="AB209" s="179">
        <v>96.113</v>
      </c>
      <c r="AD209" s="153">
        <v>43.250999999999998</v>
      </c>
      <c r="AG209" s="2" t="s">
        <v>36</v>
      </c>
      <c r="AH209" s="168">
        <v>0</v>
      </c>
      <c r="AI209" s="168">
        <v>1.48179554914493E-2</v>
      </c>
      <c r="AJ209" s="168">
        <v>2.70539170280351E-3</v>
      </c>
    </row>
    <row r="210" spans="1:36">
      <c r="A210" s="2">
        <v>158</v>
      </c>
      <c r="B210" s="2">
        <v>9936</v>
      </c>
      <c r="C210" s="2" t="s">
        <v>1714</v>
      </c>
      <c r="D210" s="2" t="s">
        <v>1715</v>
      </c>
      <c r="E210" s="4" t="s">
        <v>1343</v>
      </c>
      <c r="F210" s="2" t="s">
        <v>2049</v>
      </c>
      <c r="G210" s="2" t="s">
        <v>2050</v>
      </c>
      <c r="H210" s="2" t="s">
        <v>338</v>
      </c>
      <c r="I210" s="2" t="s">
        <v>772</v>
      </c>
      <c r="J210" s="2" t="s">
        <v>30</v>
      </c>
      <c r="K210" s="2" t="s">
        <v>30</v>
      </c>
      <c r="L210" s="2" t="s">
        <v>344</v>
      </c>
      <c r="M210" s="2" t="s">
        <v>56</v>
      </c>
      <c r="N210" s="2" t="s">
        <v>479</v>
      </c>
      <c r="O210" s="2" t="s">
        <v>153</v>
      </c>
      <c r="P210" s="2" t="s">
        <v>1718</v>
      </c>
      <c r="Q210" s="2" t="s">
        <v>430</v>
      </c>
      <c r="R210" s="2" t="s">
        <v>423</v>
      </c>
      <c r="S210" s="2" t="s">
        <v>44</v>
      </c>
      <c r="T210" s="153">
        <v>5.3609999999999998</v>
      </c>
      <c r="U210" s="2" t="s">
        <v>2051</v>
      </c>
      <c r="V210" s="166">
        <v>6.4999999999999997E-3</v>
      </c>
      <c r="W210" s="168">
        <v>3.3059999999999999E-2</v>
      </c>
      <c r="X210" s="4" t="s">
        <v>429</v>
      </c>
      <c r="Y210" s="4" t="s">
        <v>153</v>
      </c>
      <c r="Z210" s="153">
        <v>13915.66</v>
      </c>
      <c r="AA210" s="162">
        <v>1</v>
      </c>
      <c r="AB210" s="179">
        <v>99.45</v>
      </c>
      <c r="AD210" s="153">
        <v>13.839</v>
      </c>
      <c r="AG210" s="2" t="s">
        <v>36</v>
      </c>
      <c r="AH210" s="168">
        <v>6.0000000000000002E-6</v>
      </c>
      <c r="AI210" s="168">
        <v>4.7413721347279196E-3</v>
      </c>
      <c r="AJ210" s="168">
        <v>8.6565713067492296E-4</v>
      </c>
    </row>
    <row r="211" spans="1:36">
      <c r="A211" s="2">
        <v>158</v>
      </c>
      <c r="B211" s="2">
        <v>9936</v>
      </c>
      <c r="C211" s="2" t="s">
        <v>2182</v>
      </c>
      <c r="D211" s="2" t="s">
        <v>2183</v>
      </c>
      <c r="E211" s="4" t="s">
        <v>1343</v>
      </c>
      <c r="F211" s="2" t="s">
        <v>2184</v>
      </c>
      <c r="G211" s="2" t="s">
        <v>2185</v>
      </c>
      <c r="H211" s="2" t="s">
        <v>338</v>
      </c>
      <c r="I211" s="2" t="s">
        <v>985</v>
      </c>
      <c r="J211" s="2" t="s">
        <v>30</v>
      </c>
      <c r="K211" s="2" t="s">
        <v>30</v>
      </c>
      <c r="L211" s="2" t="s">
        <v>344</v>
      </c>
      <c r="M211" s="2" t="s">
        <v>56</v>
      </c>
      <c r="N211" s="2" t="s">
        <v>455</v>
      </c>
      <c r="O211" s="2" t="s">
        <v>153</v>
      </c>
      <c r="P211" s="2" t="s">
        <v>32</v>
      </c>
      <c r="Q211" s="2" t="s">
        <v>430</v>
      </c>
      <c r="R211" s="2" t="s">
        <v>423</v>
      </c>
      <c r="S211" s="2" t="s">
        <v>44</v>
      </c>
      <c r="T211" s="153">
        <v>3.1779999999999999</v>
      </c>
      <c r="U211" s="2" t="s">
        <v>2186</v>
      </c>
      <c r="V211" s="166">
        <v>0.05</v>
      </c>
      <c r="W211" s="168">
        <v>6.191E-2</v>
      </c>
      <c r="X211" s="4" t="s">
        <v>429</v>
      </c>
      <c r="Y211" s="4" t="s">
        <v>153</v>
      </c>
      <c r="Z211" s="153">
        <v>17634.919999999998</v>
      </c>
      <c r="AA211" s="162">
        <v>1</v>
      </c>
      <c r="AB211" s="179">
        <v>96.73</v>
      </c>
      <c r="AD211" s="153">
        <v>17.058</v>
      </c>
      <c r="AG211" s="2" t="s">
        <v>36</v>
      </c>
      <c r="AH211" s="168">
        <v>1.7E-5</v>
      </c>
      <c r="AI211" s="168">
        <v>5.8442680662413099E-3</v>
      </c>
      <c r="AJ211" s="168">
        <v>1.06701861430833E-3</v>
      </c>
    </row>
    <row r="212" spans="1:36">
      <c r="A212" s="2">
        <v>158</v>
      </c>
      <c r="B212" s="2">
        <v>9936</v>
      </c>
      <c r="C212" s="2" t="s">
        <v>1742</v>
      </c>
      <c r="D212" s="2" t="s">
        <v>1743</v>
      </c>
      <c r="E212" s="4" t="s">
        <v>1343</v>
      </c>
      <c r="F212" s="2" t="s">
        <v>1744</v>
      </c>
      <c r="G212" s="2" t="s">
        <v>1745</v>
      </c>
      <c r="H212" s="2" t="s">
        <v>338</v>
      </c>
      <c r="I212" s="2" t="s">
        <v>985</v>
      </c>
      <c r="J212" s="2" t="s">
        <v>30</v>
      </c>
      <c r="K212" s="2" t="s">
        <v>30</v>
      </c>
      <c r="L212" s="2" t="s">
        <v>344</v>
      </c>
      <c r="M212" s="2" t="s">
        <v>56</v>
      </c>
      <c r="N212" s="2" t="s">
        <v>455</v>
      </c>
      <c r="O212" s="2" t="s">
        <v>153</v>
      </c>
      <c r="P212" s="2" t="s">
        <v>1746</v>
      </c>
      <c r="Q212" s="2" t="s">
        <v>110</v>
      </c>
      <c r="R212" s="2" t="s">
        <v>423</v>
      </c>
      <c r="S212" s="2" t="s">
        <v>44</v>
      </c>
      <c r="T212" s="153">
        <v>3.0009999999999999</v>
      </c>
      <c r="U212" s="2" t="s">
        <v>1747</v>
      </c>
      <c r="V212" s="166">
        <v>7.2499999999999995E-2</v>
      </c>
      <c r="W212" s="168">
        <v>6.3950000000000007E-2</v>
      </c>
      <c r="X212" s="4" t="s">
        <v>429</v>
      </c>
      <c r="Y212" s="4" t="s">
        <v>153</v>
      </c>
      <c r="Z212" s="153">
        <v>54000</v>
      </c>
      <c r="AA212" s="162">
        <v>1</v>
      </c>
      <c r="AB212" s="179">
        <v>105.92</v>
      </c>
      <c r="AD212" s="153">
        <v>57.197000000000003</v>
      </c>
      <c r="AG212" s="2" t="s">
        <v>36</v>
      </c>
      <c r="AH212" s="168">
        <v>7.4999999999999993E-5</v>
      </c>
      <c r="AI212" s="168">
        <v>1.9595988609039501E-2</v>
      </c>
      <c r="AJ212" s="168">
        <v>3.5777422210317598E-3</v>
      </c>
    </row>
    <row r="213" spans="1:36">
      <c r="A213" s="2">
        <v>158</v>
      </c>
      <c r="B213" s="2">
        <v>9936</v>
      </c>
      <c r="C213" s="2" t="s">
        <v>1962</v>
      </c>
      <c r="D213" s="2" t="s">
        <v>1963</v>
      </c>
      <c r="E213" s="4" t="s">
        <v>1343</v>
      </c>
      <c r="F213" s="2" t="s">
        <v>1964</v>
      </c>
      <c r="G213" s="2" t="s">
        <v>1965</v>
      </c>
      <c r="H213" s="2" t="s">
        <v>338</v>
      </c>
      <c r="I213" s="2" t="s">
        <v>772</v>
      </c>
      <c r="J213" s="2" t="s">
        <v>30</v>
      </c>
      <c r="K213" s="2" t="s">
        <v>30</v>
      </c>
      <c r="L213" s="2" t="s">
        <v>344</v>
      </c>
      <c r="M213" s="2" t="s">
        <v>56</v>
      </c>
      <c r="N213" s="2" t="s">
        <v>479</v>
      </c>
      <c r="O213" s="2" t="s">
        <v>153</v>
      </c>
      <c r="P213" s="2" t="s">
        <v>1718</v>
      </c>
      <c r="Q213" s="2" t="s">
        <v>430</v>
      </c>
      <c r="R213" s="2" t="s">
        <v>423</v>
      </c>
      <c r="S213" s="2" t="s">
        <v>44</v>
      </c>
      <c r="T213" s="153">
        <v>3.9689999999999999</v>
      </c>
      <c r="U213" s="2" t="s">
        <v>1966</v>
      </c>
      <c r="V213" s="166">
        <v>5.0000000000000001E-3</v>
      </c>
      <c r="W213" s="168">
        <v>3.1890000000000002E-2</v>
      </c>
      <c r="X213" s="4" t="s">
        <v>429</v>
      </c>
      <c r="Y213" s="4" t="s">
        <v>153</v>
      </c>
      <c r="Z213" s="153">
        <v>31869.58</v>
      </c>
      <c r="AA213" s="162">
        <v>1</v>
      </c>
      <c r="AB213" s="179">
        <v>103.53</v>
      </c>
      <c r="AD213" s="153">
        <v>32.994999999999997</v>
      </c>
      <c r="AG213" s="2" t="s">
        <v>36</v>
      </c>
      <c r="AH213" s="168">
        <v>2.0000000000000002E-5</v>
      </c>
      <c r="AI213" s="168">
        <v>1.13041523103703E-2</v>
      </c>
      <c r="AJ213" s="168">
        <v>2.06385826204907E-3</v>
      </c>
    </row>
    <row r="214" spans="1:36">
      <c r="A214" s="2">
        <v>158</v>
      </c>
      <c r="B214" s="2">
        <v>9936</v>
      </c>
      <c r="C214" s="2" t="s">
        <v>1962</v>
      </c>
      <c r="D214" s="2" t="s">
        <v>1963</v>
      </c>
      <c r="E214" s="4" t="s">
        <v>1343</v>
      </c>
      <c r="F214" s="2" t="s">
        <v>2058</v>
      </c>
      <c r="G214" s="2" t="s">
        <v>2059</v>
      </c>
      <c r="H214" s="2" t="s">
        <v>338</v>
      </c>
      <c r="I214" s="2" t="s">
        <v>772</v>
      </c>
      <c r="J214" s="2" t="s">
        <v>30</v>
      </c>
      <c r="K214" s="2" t="s">
        <v>30</v>
      </c>
      <c r="L214" s="2" t="s">
        <v>344</v>
      </c>
      <c r="M214" s="2" t="s">
        <v>56</v>
      </c>
      <c r="N214" s="2" t="s">
        <v>479</v>
      </c>
      <c r="O214" s="2" t="s">
        <v>153</v>
      </c>
      <c r="P214" s="2" t="s">
        <v>1718</v>
      </c>
      <c r="Q214" s="2" t="s">
        <v>430</v>
      </c>
      <c r="R214" s="2" t="s">
        <v>423</v>
      </c>
      <c r="S214" s="2" t="s">
        <v>44</v>
      </c>
      <c r="T214" s="153">
        <v>0.85199999999999998</v>
      </c>
      <c r="U214" s="2" t="s">
        <v>1892</v>
      </c>
      <c r="V214" s="166">
        <v>4.7500000000000001E-2</v>
      </c>
      <c r="W214" s="168">
        <v>2.555E-2</v>
      </c>
      <c r="X214" s="4" t="s">
        <v>429</v>
      </c>
      <c r="Y214" s="4" t="s">
        <v>153</v>
      </c>
      <c r="Z214" s="153">
        <v>36666.68</v>
      </c>
      <c r="AA214" s="162">
        <v>1</v>
      </c>
      <c r="AB214" s="179">
        <v>142.99</v>
      </c>
      <c r="AD214" s="153">
        <v>52.43</v>
      </c>
      <c r="AG214" s="2" t="s">
        <v>36</v>
      </c>
      <c r="AH214" s="168">
        <v>3.8000000000000002E-5</v>
      </c>
      <c r="AI214" s="168">
        <v>1.7962744845512201E-2</v>
      </c>
      <c r="AJ214" s="168">
        <v>3.2795523574536099E-3</v>
      </c>
    </row>
    <row r="215" spans="1:36">
      <c r="A215" s="2">
        <v>158</v>
      </c>
      <c r="B215" s="2">
        <v>9936</v>
      </c>
      <c r="C215" s="2" t="s">
        <v>1896</v>
      </c>
      <c r="D215" s="2" t="s">
        <v>1897</v>
      </c>
      <c r="E215" s="4" t="s">
        <v>1343</v>
      </c>
      <c r="F215" s="2" t="s">
        <v>2060</v>
      </c>
      <c r="G215" s="2" t="s">
        <v>1899</v>
      </c>
      <c r="H215" s="2" t="s">
        <v>338</v>
      </c>
      <c r="I215" s="2" t="s">
        <v>985</v>
      </c>
      <c r="J215" s="2" t="s">
        <v>30</v>
      </c>
      <c r="K215" s="2" t="s">
        <v>30</v>
      </c>
      <c r="L215" s="2" t="s">
        <v>344</v>
      </c>
      <c r="M215" s="2" t="s">
        <v>56</v>
      </c>
      <c r="N215" s="2" t="s">
        <v>462</v>
      </c>
      <c r="O215" s="2" t="s">
        <v>153</v>
      </c>
      <c r="P215" s="2" t="s">
        <v>1900</v>
      </c>
      <c r="Q215" s="2" t="s">
        <v>426</v>
      </c>
      <c r="R215" s="2" t="s">
        <v>426</v>
      </c>
      <c r="S215" s="2" t="s">
        <v>44</v>
      </c>
      <c r="T215" s="153">
        <v>1.647</v>
      </c>
      <c r="U215" s="2" t="s">
        <v>1760</v>
      </c>
      <c r="V215" s="166">
        <v>3.8699999999999998E-2</v>
      </c>
      <c r="W215" s="168">
        <v>6.2489999999999997E-2</v>
      </c>
      <c r="X215" s="4" t="s">
        <v>429</v>
      </c>
      <c r="Y215" s="4" t="s">
        <v>153</v>
      </c>
      <c r="Z215" s="153">
        <v>3332.3</v>
      </c>
      <c r="AA215" s="162">
        <v>1</v>
      </c>
      <c r="AB215" s="179">
        <v>97.34</v>
      </c>
      <c r="AD215" s="153">
        <v>3.2440000000000002</v>
      </c>
      <c r="AG215" s="2" t="s">
        <v>36</v>
      </c>
      <c r="AH215" s="168">
        <v>1.0000000000000001E-5</v>
      </c>
      <c r="AI215" s="168">
        <v>1.1112988922511E-3</v>
      </c>
      <c r="AJ215" s="168">
        <v>2.0289565616294101E-4</v>
      </c>
    </row>
    <row r="216" spans="1:36">
      <c r="A216" s="2">
        <v>158</v>
      </c>
      <c r="B216" s="2">
        <v>9936</v>
      </c>
      <c r="C216" s="2" t="s">
        <v>1896</v>
      </c>
      <c r="D216" s="2" t="s">
        <v>1897</v>
      </c>
      <c r="E216" s="4" t="s">
        <v>1343</v>
      </c>
      <c r="F216" s="2" t="s">
        <v>1898</v>
      </c>
      <c r="G216" s="2" t="s">
        <v>1899</v>
      </c>
      <c r="H216" s="2" t="s">
        <v>338</v>
      </c>
      <c r="I216" s="2" t="s">
        <v>985</v>
      </c>
      <c r="J216" s="2" t="s">
        <v>30</v>
      </c>
      <c r="K216" s="2" t="s">
        <v>30</v>
      </c>
      <c r="L216" s="2" t="s">
        <v>346</v>
      </c>
      <c r="M216" s="2" t="s">
        <v>56</v>
      </c>
      <c r="N216" s="2" t="s">
        <v>462</v>
      </c>
      <c r="O216" s="2" t="s">
        <v>153</v>
      </c>
      <c r="P216" s="2" t="s">
        <v>1900</v>
      </c>
      <c r="Q216" s="2" t="s">
        <v>426</v>
      </c>
      <c r="R216" s="2" t="s">
        <v>426</v>
      </c>
      <c r="S216" s="2" t="s">
        <v>44</v>
      </c>
      <c r="T216" s="153">
        <v>2.2799999999999998</v>
      </c>
      <c r="U216" s="2" t="s">
        <v>1760</v>
      </c>
      <c r="V216" s="166">
        <v>3.8699999999999998E-2</v>
      </c>
      <c r="W216" s="168">
        <v>5.8299999999999998E-2</v>
      </c>
      <c r="X216" s="4" t="s">
        <v>429</v>
      </c>
      <c r="Y216" s="4" t="s">
        <v>153</v>
      </c>
      <c r="Z216" s="153">
        <v>9000</v>
      </c>
      <c r="AA216" s="162">
        <v>1</v>
      </c>
      <c r="AB216" s="179">
        <v>97.53</v>
      </c>
      <c r="AD216" s="153">
        <v>8.7780000000000005</v>
      </c>
      <c r="AG216" s="2" t="s">
        <v>36</v>
      </c>
      <c r="AH216" s="168">
        <v>2.8E-5</v>
      </c>
      <c r="AI216" s="168">
        <v>3.0072960237909402E-3</v>
      </c>
      <c r="AJ216" s="168">
        <v>5.4905777759508396E-4</v>
      </c>
    </row>
    <row r="217" spans="1:36">
      <c r="A217" s="2">
        <v>158</v>
      </c>
      <c r="B217" s="2">
        <v>9936</v>
      </c>
      <c r="C217" s="2" t="s">
        <v>1748</v>
      </c>
      <c r="D217" s="2" t="s">
        <v>1749</v>
      </c>
      <c r="E217" s="4" t="s">
        <v>1343</v>
      </c>
      <c r="F217" s="2" t="s">
        <v>1750</v>
      </c>
      <c r="G217" s="2" t="s">
        <v>1751</v>
      </c>
      <c r="H217" s="2" t="s">
        <v>338</v>
      </c>
      <c r="I217" s="2" t="s">
        <v>772</v>
      </c>
      <c r="J217" s="2" t="s">
        <v>30</v>
      </c>
      <c r="K217" s="2" t="s">
        <v>30</v>
      </c>
      <c r="L217" s="2" t="s">
        <v>344</v>
      </c>
      <c r="M217" s="2" t="s">
        <v>56</v>
      </c>
      <c r="N217" s="2" t="s">
        <v>463</v>
      </c>
      <c r="O217" s="2" t="s">
        <v>153</v>
      </c>
      <c r="P217" s="2" t="s">
        <v>109</v>
      </c>
      <c r="Q217" s="2" t="s">
        <v>430</v>
      </c>
      <c r="R217" s="2" t="s">
        <v>423</v>
      </c>
      <c r="S217" s="2" t="s">
        <v>44</v>
      </c>
      <c r="T217" s="153">
        <v>3.9830000000000001</v>
      </c>
      <c r="U217" s="2" t="s">
        <v>1752</v>
      </c>
      <c r="V217" s="166">
        <v>2E-3</v>
      </c>
      <c r="W217" s="168">
        <v>2.5190000000000001E-2</v>
      </c>
      <c r="X217" s="4" t="s">
        <v>429</v>
      </c>
      <c r="Y217" s="4" t="s">
        <v>153</v>
      </c>
      <c r="Z217" s="153">
        <v>145816.31</v>
      </c>
      <c r="AA217" s="162">
        <v>1</v>
      </c>
      <c r="AB217" s="179">
        <v>102.6</v>
      </c>
      <c r="AD217" s="153">
        <v>149.608</v>
      </c>
      <c r="AG217" s="2" t="s">
        <v>36</v>
      </c>
      <c r="AH217" s="168">
        <v>4.0000000000000003E-5</v>
      </c>
      <c r="AI217" s="168">
        <v>5.1256495700218202E-2</v>
      </c>
      <c r="AJ217" s="168">
        <v>9.3581667364417108E-3</v>
      </c>
    </row>
    <row r="218" spans="1:36">
      <c r="A218" s="2">
        <v>158</v>
      </c>
      <c r="B218" s="2">
        <v>9936</v>
      </c>
      <c r="C218" s="2" t="s">
        <v>1748</v>
      </c>
      <c r="D218" s="2" t="s">
        <v>1749</v>
      </c>
      <c r="E218" s="4" t="s">
        <v>1343</v>
      </c>
      <c r="F218" s="2" t="s">
        <v>2187</v>
      </c>
      <c r="G218" s="2" t="s">
        <v>2188</v>
      </c>
      <c r="H218" s="2" t="s">
        <v>338</v>
      </c>
      <c r="I218" s="2" t="s">
        <v>985</v>
      </c>
      <c r="J218" s="2" t="s">
        <v>30</v>
      </c>
      <c r="K218" s="2" t="s">
        <v>30</v>
      </c>
      <c r="L218" s="2" t="s">
        <v>344</v>
      </c>
      <c r="M218" s="2" t="s">
        <v>56</v>
      </c>
      <c r="N218" s="2" t="s">
        <v>463</v>
      </c>
      <c r="O218" s="2" t="s">
        <v>153</v>
      </c>
      <c r="P218" s="2" t="s">
        <v>109</v>
      </c>
      <c r="Q218" s="2" t="s">
        <v>430</v>
      </c>
      <c r="R218" s="2" t="s">
        <v>423</v>
      </c>
      <c r="S218" s="2" t="s">
        <v>44</v>
      </c>
      <c r="T218" s="153">
        <v>2.1349999999999998</v>
      </c>
      <c r="U218" s="2" t="s">
        <v>2189</v>
      </c>
      <c r="V218" s="166">
        <v>2.6800000000000001E-2</v>
      </c>
      <c r="W218" s="168">
        <v>5.1090000000000003E-2</v>
      </c>
      <c r="X218" s="4" t="s">
        <v>429</v>
      </c>
      <c r="Y218" s="4" t="s">
        <v>153</v>
      </c>
      <c r="Z218" s="153">
        <v>30000</v>
      </c>
      <c r="AA218" s="162">
        <v>1</v>
      </c>
      <c r="AB218" s="179">
        <v>95.42</v>
      </c>
      <c r="AD218" s="153">
        <v>28.626000000000001</v>
      </c>
      <c r="AG218" s="2" t="s">
        <v>36</v>
      </c>
      <c r="AH218" s="168">
        <v>1.2999999999999999E-5</v>
      </c>
      <c r="AI218" s="168">
        <v>9.8074502406142201E-3</v>
      </c>
      <c r="AJ218" s="168">
        <v>1.7905975302683901E-3</v>
      </c>
    </row>
    <row r="219" spans="1:36">
      <c r="A219" s="2">
        <v>158</v>
      </c>
      <c r="B219" s="2">
        <v>9936</v>
      </c>
      <c r="C219" s="2" t="s">
        <v>2065</v>
      </c>
      <c r="D219" s="2" t="s">
        <v>2066</v>
      </c>
      <c r="E219" s="4" t="s">
        <v>1343</v>
      </c>
      <c r="F219" s="2" t="s">
        <v>2067</v>
      </c>
      <c r="G219" s="2" t="s">
        <v>2068</v>
      </c>
      <c r="H219" s="2" t="s">
        <v>338</v>
      </c>
      <c r="I219" s="2" t="s">
        <v>772</v>
      </c>
      <c r="J219" s="2" t="s">
        <v>30</v>
      </c>
      <c r="K219" s="2" t="s">
        <v>30</v>
      </c>
      <c r="L219" s="2" t="s">
        <v>344</v>
      </c>
      <c r="M219" s="2" t="s">
        <v>56</v>
      </c>
      <c r="N219" s="2" t="s">
        <v>479</v>
      </c>
      <c r="O219" s="2" t="s">
        <v>153</v>
      </c>
      <c r="P219" s="2" t="s">
        <v>98</v>
      </c>
      <c r="Q219" s="2" t="s">
        <v>430</v>
      </c>
      <c r="R219" s="2" t="s">
        <v>423</v>
      </c>
      <c r="S219" s="2" t="s">
        <v>44</v>
      </c>
      <c r="T219" s="153">
        <v>3.1960000000000002</v>
      </c>
      <c r="U219" s="2" t="s">
        <v>1763</v>
      </c>
      <c r="V219" s="166">
        <v>2.7E-2</v>
      </c>
      <c r="W219" s="168">
        <v>3.3169999999999998E-2</v>
      </c>
      <c r="X219" s="4" t="s">
        <v>429</v>
      </c>
      <c r="Y219" s="4" t="s">
        <v>153</v>
      </c>
      <c r="Z219" s="153">
        <v>10000</v>
      </c>
      <c r="AA219" s="162">
        <v>1</v>
      </c>
      <c r="AB219" s="179">
        <v>105.81</v>
      </c>
      <c r="AD219" s="153">
        <v>10.581</v>
      </c>
      <c r="AG219" s="2" t="s">
        <v>36</v>
      </c>
      <c r="AH219" s="168">
        <v>2.3E-5</v>
      </c>
      <c r="AI219" s="168">
        <v>3.6251181092691602E-3</v>
      </c>
      <c r="AJ219" s="168">
        <v>6.6185678990323001E-4</v>
      </c>
    </row>
    <row r="220" spans="1:36">
      <c r="A220" s="2">
        <v>158</v>
      </c>
      <c r="B220" s="2">
        <v>9936</v>
      </c>
      <c r="C220" s="2" t="s">
        <v>2065</v>
      </c>
      <c r="D220" s="2" t="s">
        <v>2066</v>
      </c>
      <c r="E220" s="4" t="s">
        <v>1343</v>
      </c>
      <c r="F220" s="2" t="s">
        <v>2190</v>
      </c>
      <c r="G220" s="2" t="s">
        <v>2191</v>
      </c>
      <c r="H220" s="2" t="s">
        <v>338</v>
      </c>
      <c r="I220" s="2" t="s">
        <v>772</v>
      </c>
      <c r="J220" s="2" t="s">
        <v>30</v>
      </c>
      <c r="K220" s="2" t="s">
        <v>30</v>
      </c>
      <c r="L220" s="2" t="s">
        <v>344</v>
      </c>
      <c r="M220" s="2" t="s">
        <v>56</v>
      </c>
      <c r="N220" s="2" t="s">
        <v>479</v>
      </c>
      <c r="O220" s="2" t="s">
        <v>153</v>
      </c>
      <c r="P220" s="2" t="s">
        <v>98</v>
      </c>
      <c r="Q220" s="2" t="s">
        <v>430</v>
      </c>
      <c r="R220" s="2" t="s">
        <v>423</v>
      </c>
      <c r="S220" s="2" t="s">
        <v>44</v>
      </c>
      <c r="T220" s="153">
        <v>1.536</v>
      </c>
      <c r="U220" s="2" t="s">
        <v>1895</v>
      </c>
      <c r="V220" s="166">
        <v>1.7999999999999999E-2</v>
      </c>
      <c r="W220" s="168">
        <v>2.742E-2</v>
      </c>
      <c r="X220" s="4" t="s">
        <v>429</v>
      </c>
      <c r="Y220" s="4" t="s">
        <v>153</v>
      </c>
      <c r="Z220" s="153">
        <v>22222.22</v>
      </c>
      <c r="AA220" s="162">
        <v>1</v>
      </c>
      <c r="AB220" s="179">
        <v>113.45</v>
      </c>
      <c r="AD220" s="153">
        <v>25.210999999999999</v>
      </c>
      <c r="AG220" s="2" t="s">
        <v>36</v>
      </c>
      <c r="AH220" s="168">
        <v>2.8E-5</v>
      </c>
      <c r="AI220" s="168">
        <v>8.6374866557376792E-3</v>
      </c>
      <c r="AJ220" s="168">
        <v>1.57699115407609E-3</v>
      </c>
    </row>
    <row r="221" spans="1:36">
      <c r="A221" s="2">
        <v>158</v>
      </c>
      <c r="B221" s="2">
        <v>9936</v>
      </c>
      <c r="C221" s="2" t="s">
        <v>1756</v>
      </c>
      <c r="D221" s="2" t="s">
        <v>1757</v>
      </c>
      <c r="E221" s="4" t="s">
        <v>1343</v>
      </c>
      <c r="F221" s="2" t="s">
        <v>2069</v>
      </c>
      <c r="G221" s="2" t="s">
        <v>2070</v>
      </c>
      <c r="H221" s="2" t="s">
        <v>338</v>
      </c>
      <c r="I221" s="2" t="s">
        <v>985</v>
      </c>
      <c r="J221" s="2" t="s">
        <v>30</v>
      </c>
      <c r="K221" s="2" t="s">
        <v>30</v>
      </c>
      <c r="L221" s="2" t="s">
        <v>344</v>
      </c>
      <c r="M221" s="2" t="s">
        <v>56</v>
      </c>
      <c r="N221" s="2" t="s">
        <v>460</v>
      </c>
      <c r="O221" s="2" t="s">
        <v>153</v>
      </c>
      <c r="P221" s="2" t="s">
        <v>1724</v>
      </c>
      <c r="Q221" s="2" t="s">
        <v>430</v>
      </c>
      <c r="R221" s="2" t="s">
        <v>423</v>
      </c>
      <c r="S221" s="2" t="s">
        <v>44</v>
      </c>
      <c r="T221" s="153">
        <v>5.641</v>
      </c>
      <c r="U221" s="2" t="s">
        <v>2071</v>
      </c>
      <c r="V221" s="166">
        <v>3.0499999999999999E-2</v>
      </c>
      <c r="W221" s="168">
        <v>5.8069999999999997E-2</v>
      </c>
      <c r="X221" s="4" t="s">
        <v>429</v>
      </c>
      <c r="Y221" s="4" t="s">
        <v>153</v>
      </c>
      <c r="Z221" s="153">
        <v>30000</v>
      </c>
      <c r="AA221" s="162">
        <v>1</v>
      </c>
      <c r="AB221" s="179">
        <v>86.86</v>
      </c>
      <c r="AD221" s="153">
        <v>26.058</v>
      </c>
      <c r="AG221" s="2" t="s">
        <v>36</v>
      </c>
      <c r="AH221" s="168">
        <v>4.1E-5</v>
      </c>
      <c r="AI221" s="168">
        <v>8.9276370561701002E-3</v>
      </c>
      <c r="AJ221" s="168">
        <v>1.6299654315564099E-3</v>
      </c>
    </row>
    <row r="222" spans="1:36">
      <c r="A222" s="2">
        <v>158</v>
      </c>
      <c r="B222" s="2">
        <v>9936</v>
      </c>
      <c r="C222" s="2" t="s">
        <v>1764</v>
      </c>
      <c r="D222" s="2" t="s">
        <v>1765</v>
      </c>
      <c r="E222" s="4" t="s">
        <v>1343</v>
      </c>
      <c r="F222" s="2" t="s">
        <v>1766</v>
      </c>
      <c r="G222" s="2" t="s">
        <v>1767</v>
      </c>
      <c r="H222" s="2" t="s">
        <v>338</v>
      </c>
      <c r="I222" s="2" t="s">
        <v>985</v>
      </c>
      <c r="J222" s="2" t="s">
        <v>30</v>
      </c>
      <c r="K222" s="2" t="s">
        <v>30</v>
      </c>
      <c r="L222" s="2" t="s">
        <v>344</v>
      </c>
      <c r="M222" s="2" t="s">
        <v>56</v>
      </c>
      <c r="N222" s="2" t="s">
        <v>460</v>
      </c>
      <c r="O222" s="2" t="s">
        <v>153</v>
      </c>
      <c r="P222" s="2" t="s">
        <v>1718</v>
      </c>
      <c r="Q222" s="2" t="s">
        <v>110</v>
      </c>
      <c r="R222" s="2" t="s">
        <v>423</v>
      </c>
      <c r="S222" s="2" t="s">
        <v>44</v>
      </c>
      <c r="T222" s="153">
        <v>4.95</v>
      </c>
      <c r="U222" s="2" t="s">
        <v>1768</v>
      </c>
      <c r="V222" s="166">
        <v>1.95E-2</v>
      </c>
      <c r="W222" s="168">
        <v>5.7970000000000001E-2</v>
      </c>
      <c r="X222" s="4" t="s">
        <v>429</v>
      </c>
      <c r="Y222" s="4" t="s">
        <v>153</v>
      </c>
      <c r="Z222" s="153">
        <v>62292.93</v>
      </c>
      <c r="AA222" s="162">
        <v>1</v>
      </c>
      <c r="AB222" s="179">
        <v>83.08</v>
      </c>
      <c r="AD222" s="153">
        <v>51.753</v>
      </c>
      <c r="AG222" s="2" t="s">
        <v>36</v>
      </c>
      <c r="AH222" s="168">
        <v>5.8999999999999998E-5</v>
      </c>
      <c r="AI222" s="168">
        <v>1.7730896431293799E-2</v>
      </c>
      <c r="AJ222" s="168">
        <v>3.23722257879445E-3</v>
      </c>
    </row>
    <row r="223" spans="1:36">
      <c r="A223" s="2">
        <v>158</v>
      </c>
      <c r="B223" s="2">
        <v>9936</v>
      </c>
      <c r="C223" s="2" t="s">
        <v>1901</v>
      </c>
      <c r="D223" s="2" t="s">
        <v>1902</v>
      </c>
      <c r="E223" s="4" t="s">
        <v>1343</v>
      </c>
      <c r="F223" s="2" t="s">
        <v>1903</v>
      </c>
      <c r="G223" s="2" t="s">
        <v>1904</v>
      </c>
      <c r="H223" s="2" t="s">
        <v>338</v>
      </c>
      <c r="I223" s="2" t="s">
        <v>986</v>
      </c>
      <c r="J223" s="2" t="s">
        <v>30</v>
      </c>
      <c r="K223" s="2" t="s">
        <v>30</v>
      </c>
      <c r="L223" s="2" t="s">
        <v>344</v>
      </c>
      <c r="M223" s="2" t="s">
        <v>56</v>
      </c>
      <c r="N223" s="2" t="s">
        <v>462</v>
      </c>
      <c r="O223" s="2" t="s">
        <v>153</v>
      </c>
      <c r="P223" s="2" t="s">
        <v>1905</v>
      </c>
      <c r="Q223" s="2" t="s">
        <v>430</v>
      </c>
      <c r="R223" s="2" t="s">
        <v>423</v>
      </c>
      <c r="S223" s="2" t="s">
        <v>44</v>
      </c>
      <c r="T223" s="153">
        <v>0.249</v>
      </c>
      <c r="U223" s="2" t="s">
        <v>1906</v>
      </c>
      <c r="V223" s="166">
        <v>1.4999999999999999E-2</v>
      </c>
      <c r="W223" s="168">
        <v>6.8479999999999999E-2</v>
      </c>
      <c r="X223" s="4" t="s">
        <v>429</v>
      </c>
      <c r="Y223" s="4" t="s">
        <v>153</v>
      </c>
      <c r="Z223" s="153">
        <v>1.75</v>
      </c>
      <c r="AA223" s="162">
        <v>1</v>
      </c>
      <c r="AB223" s="179">
        <v>99.1</v>
      </c>
      <c r="AD223" s="153">
        <v>2E-3</v>
      </c>
      <c r="AG223" s="2" t="s">
        <v>36</v>
      </c>
      <c r="AH223" s="168">
        <v>0</v>
      </c>
      <c r="AI223" s="168">
        <v>5.9416511492297998E-7</v>
      </c>
      <c r="AJ223" s="168">
        <v>1.0847983535485101E-7</v>
      </c>
    </row>
    <row r="224" spans="1:36">
      <c r="A224" s="2">
        <v>158</v>
      </c>
      <c r="B224" s="2">
        <v>9936</v>
      </c>
      <c r="C224" s="2" t="s">
        <v>1769</v>
      </c>
      <c r="D224" s="2" t="s">
        <v>1770</v>
      </c>
      <c r="E224" s="4" t="s">
        <v>1343</v>
      </c>
      <c r="F224" s="2" t="s">
        <v>1775</v>
      </c>
      <c r="G224" s="2" t="s">
        <v>1776</v>
      </c>
      <c r="H224" s="2" t="s">
        <v>338</v>
      </c>
      <c r="I224" s="2" t="s">
        <v>772</v>
      </c>
      <c r="J224" s="2" t="s">
        <v>30</v>
      </c>
      <c r="K224" s="2" t="s">
        <v>30</v>
      </c>
      <c r="L224" s="2" t="s">
        <v>344</v>
      </c>
      <c r="M224" s="2" t="s">
        <v>56</v>
      </c>
      <c r="N224" s="2" t="s">
        <v>455</v>
      </c>
      <c r="O224" s="2" t="s">
        <v>153</v>
      </c>
      <c r="P224" s="2" t="s">
        <v>1773</v>
      </c>
      <c r="Q224" s="2" t="s">
        <v>430</v>
      </c>
      <c r="R224" s="2" t="s">
        <v>423</v>
      </c>
      <c r="S224" s="2" t="s">
        <v>44</v>
      </c>
      <c r="T224" s="153">
        <v>5.798</v>
      </c>
      <c r="U224" s="2" t="s">
        <v>1777</v>
      </c>
      <c r="V224" s="166">
        <v>2.3900000000000001E-2</v>
      </c>
      <c r="W224" s="168">
        <v>2.9239999999999999E-2</v>
      </c>
      <c r="X224" s="4" t="s">
        <v>429</v>
      </c>
      <c r="Y224" s="4" t="s">
        <v>153</v>
      </c>
      <c r="Z224" s="153">
        <v>40000</v>
      </c>
      <c r="AA224" s="162">
        <v>1</v>
      </c>
      <c r="AB224" s="179">
        <v>111.74</v>
      </c>
      <c r="AD224" s="153">
        <v>44.695999999999998</v>
      </c>
      <c r="AG224" s="2" t="s">
        <v>36</v>
      </c>
      <c r="AH224" s="168">
        <v>1.0000000000000001E-5</v>
      </c>
      <c r="AI224" s="168">
        <v>1.5313134770994699E-2</v>
      </c>
      <c r="AJ224" s="168">
        <v>2.7957991760244601E-3</v>
      </c>
    </row>
    <row r="225" spans="1:36">
      <c r="A225" s="2">
        <v>158</v>
      </c>
      <c r="B225" s="2">
        <v>9936</v>
      </c>
      <c r="C225" s="2" t="s">
        <v>2072</v>
      </c>
      <c r="D225" s="2" t="s">
        <v>2073</v>
      </c>
      <c r="E225" s="4" t="s">
        <v>1343</v>
      </c>
      <c r="F225" s="2" t="s">
        <v>2074</v>
      </c>
      <c r="G225" s="2" t="s">
        <v>2075</v>
      </c>
      <c r="H225" s="2" t="s">
        <v>338</v>
      </c>
      <c r="I225" s="2" t="s">
        <v>772</v>
      </c>
      <c r="J225" s="2" t="s">
        <v>30</v>
      </c>
      <c r="K225" s="2" t="s">
        <v>30</v>
      </c>
      <c r="L225" s="2" t="s">
        <v>344</v>
      </c>
      <c r="M225" s="2" t="s">
        <v>56</v>
      </c>
      <c r="N225" s="2" t="s">
        <v>477</v>
      </c>
      <c r="O225" s="2" t="s">
        <v>153</v>
      </c>
      <c r="P225" s="2" t="s">
        <v>1724</v>
      </c>
      <c r="Q225" s="2" t="s">
        <v>430</v>
      </c>
      <c r="R225" s="2" t="s">
        <v>423</v>
      </c>
      <c r="S225" s="2" t="s">
        <v>44</v>
      </c>
      <c r="T225" s="153">
        <v>3.0630000000000002</v>
      </c>
      <c r="U225" s="2" t="s">
        <v>2076</v>
      </c>
      <c r="V225" s="166">
        <v>2.1999999999999999E-2</v>
      </c>
      <c r="W225" s="168">
        <v>2.9000000000000001E-2</v>
      </c>
      <c r="X225" s="4" t="s">
        <v>429</v>
      </c>
      <c r="Y225" s="4" t="s">
        <v>153</v>
      </c>
      <c r="Z225" s="153">
        <v>24206.91</v>
      </c>
      <c r="AA225" s="162">
        <v>1</v>
      </c>
      <c r="AB225" s="179">
        <v>105.14</v>
      </c>
      <c r="AD225" s="153">
        <v>25.451000000000001</v>
      </c>
      <c r="AG225" s="2" t="s">
        <v>36</v>
      </c>
      <c r="AH225" s="168">
        <v>7.2000000000000002E-5</v>
      </c>
      <c r="AI225" s="168">
        <v>8.7197247209059494E-3</v>
      </c>
      <c r="AJ225" s="168">
        <v>1.5920057881320001E-3</v>
      </c>
    </row>
    <row r="226" spans="1:36">
      <c r="A226" s="2">
        <v>158</v>
      </c>
      <c r="B226" s="2">
        <v>9936</v>
      </c>
      <c r="C226" s="2" t="s">
        <v>2192</v>
      </c>
      <c r="D226" s="2" t="s">
        <v>2193</v>
      </c>
      <c r="E226" s="4" t="s">
        <v>329</v>
      </c>
      <c r="F226" s="2" t="s">
        <v>2194</v>
      </c>
      <c r="G226" s="2" t="s">
        <v>2195</v>
      </c>
      <c r="H226" s="2" t="s">
        <v>338</v>
      </c>
      <c r="I226" s="2" t="s">
        <v>773</v>
      </c>
      <c r="J226" s="2" t="s">
        <v>30</v>
      </c>
      <c r="K226" s="2" t="s">
        <v>30</v>
      </c>
      <c r="L226" s="2" t="s">
        <v>344</v>
      </c>
      <c r="M226" s="2" t="s">
        <v>56</v>
      </c>
      <c r="N226" s="2" t="s">
        <v>469</v>
      </c>
      <c r="O226" s="2" t="s">
        <v>153</v>
      </c>
      <c r="P226" s="2" t="s">
        <v>1718</v>
      </c>
      <c r="Q226" s="2" t="s">
        <v>430</v>
      </c>
      <c r="R226" s="2" t="s">
        <v>423</v>
      </c>
      <c r="S226" s="2" t="s">
        <v>44</v>
      </c>
      <c r="T226" s="153">
        <v>0.505</v>
      </c>
      <c r="U226" s="2" t="s">
        <v>2196</v>
      </c>
      <c r="V226" s="166">
        <v>3.49E-2</v>
      </c>
      <c r="W226" s="168">
        <v>8.7120000000000003E-2</v>
      </c>
      <c r="X226" s="4" t="s">
        <v>429</v>
      </c>
      <c r="Y226" s="4" t="s">
        <v>153</v>
      </c>
      <c r="Z226" s="153">
        <v>11526.28</v>
      </c>
      <c r="AA226" s="162">
        <v>1</v>
      </c>
      <c r="AB226" s="179">
        <v>102.3</v>
      </c>
      <c r="AD226" s="153">
        <v>11.791</v>
      </c>
      <c r="AG226" s="2" t="s">
        <v>36</v>
      </c>
      <c r="AH226" s="168">
        <v>2.3E-5</v>
      </c>
      <c r="AI226" s="168">
        <v>4.0398035409506296E-3</v>
      </c>
      <c r="AJ226" s="168">
        <v>7.3756807995211196E-4</v>
      </c>
    </row>
    <row r="227" spans="1:36">
      <c r="A227" s="2">
        <v>158</v>
      </c>
      <c r="B227" s="2">
        <v>9936</v>
      </c>
      <c r="C227" s="2" t="s">
        <v>1778</v>
      </c>
      <c r="D227" s="2" t="s">
        <v>1779</v>
      </c>
      <c r="E227" s="4" t="s">
        <v>1343</v>
      </c>
      <c r="F227" s="2" t="s">
        <v>2080</v>
      </c>
      <c r="G227" s="2" t="s">
        <v>2081</v>
      </c>
      <c r="H227" s="2" t="s">
        <v>338</v>
      </c>
      <c r="I227" s="2" t="s">
        <v>772</v>
      </c>
      <c r="J227" s="2" t="s">
        <v>30</v>
      </c>
      <c r="K227" s="2" t="s">
        <v>30</v>
      </c>
      <c r="L227" s="2" t="s">
        <v>344</v>
      </c>
      <c r="M227" s="2" t="s">
        <v>56</v>
      </c>
      <c r="N227" s="2" t="s">
        <v>479</v>
      </c>
      <c r="O227" s="2" t="s">
        <v>153</v>
      </c>
      <c r="P227" s="2" t="s">
        <v>1718</v>
      </c>
      <c r="Q227" s="2" t="s">
        <v>430</v>
      </c>
      <c r="R227" s="2" t="s">
        <v>423</v>
      </c>
      <c r="S227" s="2" t="s">
        <v>44</v>
      </c>
      <c r="T227" s="153">
        <v>4.7450000000000001</v>
      </c>
      <c r="U227" s="2" t="s">
        <v>2082</v>
      </c>
      <c r="V227" s="166">
        <v>8.3999999999999995E-3</v>
      </c>
      <c r="W227" s="168">
        <v>2.921E-2</v>
      </c>
      <c r="X227" s="4" t="s">
        <v>429</v>
      </c>
      <c r="Y227" s="4" t="s">
        <v>153</v>
      </c>
      <c r="Z227" s="153">
        <v>26109.89</v>
      </c>
      <c r="AA227" s="162">
        <v>1</v>
      </c>
      <c r="AB227" s="179">
        <v>104.22</v>
      </c>
      <c r="AD227" s="153">
        <v>27.212</v>
      </c>
      <c r="AG227" s="2" t="s">
        <v>36</v>
      </c>
      <c r="AH227" s="168">
        <v>3.3000000000000003E-5</v>
      </c>
      <c r="AI227" s="168">
        <v>9.3229114100728608E-3</v>
      </c>
      <c r="AJ227" s="168">
        <v>1.7021327395225199E-3</v>
      </c>
    </row>
    <row r="228" spans="1:36">
      <c r="A228" s="2">
        <v>158</v>
      </c>
      <c r="B228" s="2">
        <v>9936</v>
      </c>
      <c r="C228" s="2" t="s">
        <v>1563</v>
      </c>
      <c r="D228" s="2" t="s">
        <v>1564</v>
      </c>
      <c r="E228" s="4" t="s">
        <v>1343</v>
      </c>
      <c r="F228" s="2" t="s">
        <v>2083</v>
      </c>
      <c r="G228" s="2" t="s">
        <v>2084</v>
      </c>
      <c r="H228" s="2" t="s">
        <v>338</v>
      </c>
      <c r="I228" s="2" t="s">
        <v>985</v>
      </c>
      <c r="J228" s="2" t="s">
        <v>30</v>
      </c>
      <c r="K228" s="2" t="s">
        <v>30</v>
      </c>
      <c r="L228" s="2" t="s">
        <v>344</v>
      </c>
      <c r="M228" s="2" t="s">
        <v>56</v>
      </c>
      <c r="N228" s="2" t="s">
        <v>460</v>
      </c>
      <c r="O228" s="2" t="s">
        <v>153</v>
      </c>
      <c r="P228" s="2" t="s">
        <v>1724</v>
      </c>
      <c r="Q228" s="2" t="s">
        <v>430</v>
      </c>
      <c r="R228" s="2" t="s">
        <v>423</v>
      </c>
      <c r="S228" s="2" t="s">
        <v>44</v>
      </c>
      <c r="T228" s="153">
        <v>5.16</v>
      </c>
      <c r="U228" s="2" t="s">
        <v>2085</v>
      </c>
      <c r="V228" s="166">
        <v>5.2499999999999998E-2</v>
      </c>
      <c r="W228" s="168">
        <v>5.688E-2</v>
      </c>
      <c r="X228" s="4" t="s">
        <v>429</v>
      </c>
      <c r="Y228" s="4" t="s">
        <v>153</v>
      </c>
      <c r="Z228" s="153">
        <v>65000</v>
      </c>
      <c r="AA228" s="162">
        <v>1</v>
      </c>
      <c r="AB228" s="179">
        <v>100.33</v>
      </c>
      <c r="AD228" s="153">
        <v>65.215000000000003</v>
      </c>
      <c r="AG228" s="2" t="s">
        <v>36</v>
      </c>
      <c r="AH228" s="168">
        <v>1.2999999999999999E-4</v>
      </c>
      <c r="AI228" s="168">
        <v>2.2342903783851599E-2</v>
      </c>
      <c r="AJ228" s="168">
        <v>4.0792609039924602E-3</v>
      </c>
    </row>
    <row r="229" spans="1:36">
      <c r="A229" s="2">
        <v>158</v>
      </c>
      <c r="B229" s="2">
        <v>9936</v>
      </c>
      <c r="C229" s="2" t="s">
        <v>1783</v>
      </c>
      <c r="D229" s="2" t="s">
        <v>1784</v>
      </c>
      <c r="E229" s="4" t="s">
        <v>1343</v>
      </c>
      <c r="F229" s="2" t="s">
        <v>2086</v>
      </c>
      <c r="G229" s="2" t="s">
        <v>2087</v>
      </c>
      <c r="H229" s="2" t="s">
        <v>338</v>
      </c>
      <c r="I229" s="2" t="s">
        <v>985</v>
      </c>
      <c r="J229" s="2" t="s">
        <v>30</v>
      </c>
      <c r="K229" s="2" t="s">
        <v>30</v>
      </c>
      <c r="L229" s="2" t="s">
        <v>344</v>
      </c>
      <c r="M229" s="2" t="s">
        <v>56</v>
      </c>
      <c r="N229" s="2" t="s">
        <v>460</v>
      </c>
      <c r="O229" s="2" t="s">
        <v>153</v>
      </c>
      <c r="P229" s="2" t="s">
        <v>1724</v>
      </c>
      <c r="Q229" s="2" t="s">
        <v>430</v>
      </c>
      <c r="R229" s="2" t="s">
        <v>423</v>
      </c>
      <c r="S229" s="2" t="s">
        <v>44</v>
      </c>
      <c r="T229" s="153">
        <v>9.0619999999999994</v>
      </c>
      <c r="U229" s="2" t="s">
        <v>2088</v>
      </c>
      <c r="V229" s="166">
        <v>2.5000000000000001E-2</v>
      </c>
      <c r="W229" s="168">
        <v>6.0569999999999999E-2</v>
      </c>
      <c r="X229" s="4" t="s">
        <v>429</v>
      </c>
      <c r="Y229" s="4" t="s">
        <v>153</v>
      </c>
      <c r="Z229" s="153">
        <v>25000</v>
      </c>
      <c r="AA229" s="162">
        <v>1</v>
      </c>
      <c r="AB229" s="179">
        <v>79.27</v>
      </c>
      <c r="AD229" s="153">
        <v>19.817</v>
      </c>
      <c r="AG229" s="2" t="s">
        <v>36</v>
      </c>
      <c r="AH229" s="168">
        <v>1.9000000000000001E-5</v>
      </c>
      <c r="AI229" s="168">
        <v>6.7896019403120402E-3</v>
      </c>
      <c r="AJ229" s="168">
        <v>1.2396131683118101E-3</v>
      </c>
    </row>
    <row r="230" spans="1:36">
      <c r="A230" s="2">
        <v>158</v>
      </c>
      <c r="B230" s="2">
        <v>9936</v>
      </c>
      <c r="C230" s="2" t="s">
        <v>1783</v>
      </c>
      <c r="D230" s="2" t="s">
        <v>1784</v>
      </c>
      <c r="E230" s="4" t="s">
        <v>1343</v>
      </c>
      <c r="F230" s="2" t="s">
        <v>2089</v>
      </c>
      <c r="G230" s="2" t="s">
        <v>2090</v>
      </c>
      <c r="H230" s="2" t="s">
        <v>338</v>
      </c>
      <c r="I230" s="2" t="s">
        <v>772</v>
      </c>
      <c r="J230" s="2" t="s">
        <v>30</v>
      </c>
      <c r="K230" s="2" t="s">
        <v>30</v>
      </c>
      <c r="L230" s="2" t="s">
        <v>344</v>
      </c>
      <c r="M230" s="2" t="s">
        <v>56</v>
      </c>
      <c r="N230" s="2" t="s">
        <v>460</v>
      </c>
      <c r="O230" s="2" t="s">
        <v>153</v>
      </c>
      <c r="P230" s="2" t="s">
        <v>1724</v>
      </c>
      <c r="Q230" s="2" t="s">
        <v>430</v>
      </c>
      <c r="R230" s="2" t="s">
        <v>423</v>
      </c>
      <c r="S230" s="2" t="s">
        <v>44</v>
      </c>
      <c r="T230" s="153">
        <v>3.5760000000000001</v>
      </c>
      <c r="U230" s="2" t="s">
        <v>2091</v>
      </c>
      <c r="V230" s="166">
        <v>2.4799999999999999E-2</v>
      </c>
      <c r="W230" s="168">
        <v>2.5989999999999999E-2</v>
      </c>
      <c r="X230" s="4" t="s">
        <v>429</v>
      </c>
      <c r="Y230" s="4" t="s">
        <v>153</v>
      </c>
      <c r="Z230" s="153">
        <v>25000</v>
      </c>
      <c r="AA230" s="162">
        <v>1</v>
      </c>
      <c r="AB230" s="179">
        <v>115.94</v>
      </c>
      <c r="AD230" s="153">
        <v>28.984999999999999</v>
      </c>
      <c r="AG230" s="2" t="s">
        <v>36</v>
      </c>
      <c r="AH230" s="168">
        <v>5.8999999999999998E-5</v>
      </c>
      <c r="AI230" s="168">
        <v>9.93044593111868E-3</v>
      </c>
      <c r="AJ230" s="168">
        <v>1.81305349733911E-3</v>
      </c>
    </row>
    <row r="231" spans="1:36">
      <c r="A231" s="2">
        <v>158</v>
      </c>
      <c r="B231" s="2">
        <v>9936</v>
      </c>
      <c r="C231" s="2" t="s">
        <v>1196</v>
      </c>
      <c r="D231" s="2" t="s">
        <v>1567</v>
      </c>
      <c r="E231" s="4" t="s">
        <v>1343</v>
      </c>
      <c r="F231" s="2" t="s">
        <v>1787</v>
      </c>
      <c r="G231" s="2" t="s">
        <v>1788</v>
      </c>
      <c r="H231" s="2" t="s">
        <v>338</v>
      </c>
      <c r="I231" s="2" t="s">
        <v>772</v>
      </c>
      <c r="J231" s="2" t="s">
        <v>30</v>
      </c>
      <c r="K231" s="2" t="s">
        <v>30</v>
      </c>
      <c r="L231" s="2" t="s">
        <v>344</v>
      </c>
      <c r="M231" s="2" t="s">
        <v>56</v>
      </c>
      <c r="N231" s="2" t="s">
        <v>463</v>
      </c>
      <c r="O231" s="2" t="s">
        <v>153</v>
      </c>
      <c r="P231" s="2" t="s">
        <v>109</v>
      </c>
      <c r="Q231" s="2" t="s">
        <v>430</v>
      </c>
      <c r="R231" s="2" t="s">
        <v>423</v>
      </c>
      <c r="S231" s="2" t="s">
        <v>44</v>
      </c>
      <c r="T231" s="153">
        <v>1.7370000000000001</v>
      </c>
      <c r="U231" s="2" t="s">
        <v>1760</v>
      </c>
      <c r="V231" s="166">
        <v>8.3000000000000001E-3</v>
      </c>
      <c r="W231" s="168">
        <v>2.0449999999999999E-2</v>
      </c>
      <c r="X231" s="4" t="s">
        <v>429</v>
      </c>
      <c r="Y231" s="4" t="s">
        <v>153</v>
      </c>
      <c r="Z231" s="153">
        <v>20000</v>
      </c>
      <c r="AA231" s="162">
        <v>1</v>
      </c>
      <c r="AB231" s="179">
        <v>113.2</v>
      </c>
      <c r="AD231" s="153">
        <v>22.64</v>
      </c>
      <c r="AG231" s="2" t="s">
        <v>36</v>
      </c>
      <c r="AH231" s="168">
        <v>1.2999999999999999E-5</v>
      </c>
      <c r="AI231" s="168">
        <v>7.75660844852602E-3</v>
      </c>
      <c r="AJ231" s="168">
        <v>1.41616460858228E-3</v>
      </c>
    </row>
    <row r="232" spans="1:36">
      <c r="A232" s="2">
        <v>158</v>
      </c>
      <c r="B232" s="2">
        <v>9936</v>
      </c>
      <c r="C232" s="2" t="s">
        <v>1196</v>
      </c>
      <c r="D232" s="2" t="s">
        <v>1567</v>
      </c>
      <c r="E232" s="4" t="s">
        <v>1343</v>
      </c>
      <c r="F232" s="2" t="s">
        <v>2092</v>
      </c>
      <c r="G232" s="2" t="s">
        <v>2093</v>
      </c>
      <c r="H232" s="2" t="s">
        <v>338</v>
      </c>
      <c r="I232" s="2" t="s">
        <v>772</v>
      </c>
      <c r="J232" s="2" t="s">
        <v>30</v>
      </c>
      <c r="K232" s="2" t="s">
        <v>30</v>
      </c>
      <c r="L232" s="2" t="s">
        <v>344</v>
      </c>
      <c r="M232" s="2" t="s">
        <v>56</v>
      </c>
      <c r="N232" s="2" t="s">
        <v>463</v>
      </c>
      <c r="O232" s="2" t="s">
        <v>153</v>
      </c>
      <c r="P232" s="2" t="s">
        <v>109</v>
      </c>
      <c r="Q232" s="2" t="s">
        <v>430</v>
      </c>
      <c r="R232" s="2" t="s">
        <v>423</v>
      </c>
      <c r="S232" s="2" t="s">
        <v>44</v>
      </c>
      <c r="T232" s="153">
        <v>2.5819999999999999</v>
      </c>
      <c r="U232" s="2" t="s">
        <v>2094</v>
      </c>
      <c r="V232" s="166">
        <v>1.8599999999999998E-2</v>
      </c>
      <c r="W232" s="168">
        <v>2.257E-2</v>
      </c>
      <c r="X232" s="4" t="s">
        <v>429</v>
      </c>
      <c r="Y232" s="4" t="s">
        <v>153</v>
      </c>
      <c r="Z232" s="153">
        <v>71000</v>
      </c>
      <c r="AA232" s="162">
        <v>1</v>
      </c>
      <c r="AB232" s="179">
        <v>102.67</v>
      </c>
      <c r="AD232" s="153">
        <v>72.896000000000001</v>
      </c>
      <c r="AG232" s="2" t="s">
        <v>36</v>
      </c>
      <c r="AH232" s="168">
        <v>3.8000000000000002E-5</v>
      </c>
      <c r="AI232" s="168">
        <v>2.4974531911714601E-2</v>
      </c>
      <c r="AJ232" s="168">
        <v>4.5597310272893696E-3</v>
      </c>
    </row>
    <row r="233" spans="1:36">
      <c r="A233" s="2">
        <v>158</v>
      </c>
      <c r="B233" s="2">
        <v>9936</v>
      </c>
      <c r="C233" s="2" t="s">
        <v>1196</v>
      </c>
      <c r="D233" s="2" t="s">
        <v>1567</v>
      </c>
      <c r="E233" s="4" t="s">
        <v>1343</v>
      </c>
      <c r="F233" s="2" t="s">
        <v>2095</v>
      </c>
      <c r="G233" s="2" t="s">
        <v>2096</v>
      </c>
      <c r="H233" s="2" t="s">
        <v>338</v>
      </c>
      <c r="I233" s="2" t="s">
        <v>772</v>
      </c>
      <c r="J233" s="2" t="s">
        <v>30</v>
      </c>
      <c r="K233" s="2" t="s">
        <v>30</v>
      </c>
      <c r="L233" s="2" t="s">
        <v>344</v>
      </c>
      <c r="M233" s="2" t="s">
        <v>56</v>
      </c>
      <c r="N233" s="2" t="s">
        <v>463</v>
      </c>
      <c r="O233" s="2" t="s">
        <v>153</v>
      </c>
      <c r="P233" s="2" t="s">
        <v>109</v>
      </c>
      <c r="Q233" s="2" t="s">
        <v>430</v>
      </c>
      <c r="R233" s="2" t="s">
        <v>423</v>
      </c>
      <c r="S233" s="2" t="s">
        <v>44</v>
      </c>
      <c r="T233" s="153">
        <v>3.1440000000000001</v>
      </c>
      <c r="U233" s="2" t="s">
        <v>2097</v>
      </c>
      <c r="V233" s="166">
        <v>1E-3</v>
      </c>
      <c r="W233" s="168">
        <v>2.307E-2</v>
      </c>
      <c r="X233" s="4" t="s">
        <v>429</v>
      </c>
      <c r="Y233" s="4" t="s">
        <v>153</v>
      </c>
      <c r="Z233" s="153">
        <v>17000</v>
      </c>
      <c r="AA233" s="162">
        <v>1</v>
      </c>
      <c r="AB233" s="179">
        <v>105.15</v>
      </c>
      <c r="AD233" s="153">
        <v>17.875</v>
      </c>
      <c r="AG233" s="2" t="s">
        <v>36</v>
      </c>
      <c r="AH233" s="168">
        <v>5.0000000000000004E-6</v>
      </c>
      <c r="AI233" s="168">
        <v>6.12426034989518E-3</v>
      </c>
      <c r="AJ233" s="168">
        <v>1.11813827123289E-3</v>
      </c>
    </row>
    <row r="234" spans="1:36">
      <c r="A234" s="2">
        <v>158</v>
      </c>
      <c r="B234" s="2">
        <v>9936</v>
      </c>
      <c r="C234" s="2" t="s">
        <v>1196</v>
      </c>
      <c r="D234" s="2" t="s">
        <v>1567</v>
      </c>
      <c r="E234" s="4" t="s">
        <v>1343</v>
      </c>
      <c r="F234" s="2" t="s">
        <v>2098</v>
      </c>
      <c r="G234" s="2" t="s">
        <v>2099</v>
      </c>
      <c r="H234" s="2" t="s">
        <v>338</v>
      </c>
      <c r="I234" s="2" t="s">
        <v>985</v>
      </c>
      <c r="J234" s="2" t="s">
        <v>30</v>
      </c>
      <c r="K234" s="2" t="s">
        <v>30</v>
      </c>
      <c r="L234" s="2" t="s">
        <v>344</v>
      </c>
      <c r="M234" s="2" t="s">
        <v>56</v>
      </c>
      <c r="N234" s="2" t="s">
        <v>463</v>
      </c>
      <c r="O234" s="2" t="s">
        <v>153</v>
      </c>
      <c r="P234" s="2" t="s">
        <v>109</v>
      </c>
      <c r="Q234" s="2" t="s">
        <v>430</v>
      </c>
      <c r="R234" s="2" t="s">
        <v>423</v>
      </c>
      <c r="S234" s="2" t="s">
        <v>44</v>
      </c>
      <c r="T234" s="153">
        <v>3.1080000000000001</v>
      </c>
      <c r="U234" s="2" t="s">
        <v>2100</v>
      </c>
      <c r="V234" s="166">
        <v>2.76E-2</v>
      </c>
      <c r="W234" s="168">
        <v>5.0979999999999998E-2</v>
      </c>
      <c r="X234" s="4" t="s">
        <v>429</v>
      </c>
      <c r="Y234" s="4" t="s">
        <v>153</v>
      </c>
      <c r="Z234" s="153">
        <v>45000</v>
      </c>
      <c r="AA234" s="162">
        <v>1</v>
      </c>
      <c r="AB234" s="179">
        <v>94.29</v>
      </c>
      <c r="AD234" s="153">
        <v>42.430999999999997</v>
      </c>
      <c r="AG234" s="2" t="s">
        <v>36</v>
      </c>
      <c r="AH234" s="168">
        <v>3.4E-5</v>
      </c>
      <c r="AI234" s="168">
        <v>1.45369600165717E-2</v>
      </c>
      <c r="AJ234" s="168">
        <v>2.6540888880057598E-3</v>
      </c>
    </row>
    <row r="235" spans="1:36">
      <c r="A235" s="2">
        <v>158</v>
      </c>
      <c r="B235" s="2">
        <v>9936</v>
      </c>
      <c r="C235" s="2" t="s">
        <v>1196</v>
      </c>
      <c r="D235" s="2" t="s">
        <v>1567</v>
      </c>
      <c r="E235" s="4" t="s">
        <v>1343</v>
      </c>
      <c r="F235" s="2" t="s">
        <v>1789</v>
      </c>
      <c r="G235" s="2" t="s">
        <v>1790</v>
      </c>
      <c r="H235" s="2" t="s">
        <v>338</v>
      </c>
      <c r="I235" s="2" t="s">
        <v>772</v>
      </c>
      <c r="J235" s="2" t="s">
        <v>30</v>
      </c>
      <c r="K235" s="2" t="s">
        <v>30</v>
      </c>
      <c r="L235" s="2" t="s">
        <v>344</v>
      </c>
      <c r="M235" s="2" t="s">
        <v>56</v>
      </c>
      <c r="N235" s="2" t="s">
        <v>463</v>
      </c>
      <c r="O235" s="2" t="s">
        <v>153</v>
      </c>
      <c r="P235" s="2" t="s">
        <v>109</v>
      </c>
      <c r="Q235" s="2" t="s">
        <v>430</v>
      </c>
      <c r="R235" s="2" t="s">
        <v>423</v>
      </c>
      <c r="S235" s="2" t="s">
        <v>44</v>
      </c>
      <c r="T235" s="153">
        <v>5.0449999999999999</v>
      </c>
      <c r="U235" s="2" t="s">
        <v>1791</v>
      </c>
      <c r="V235" s="166">
        <v>2.0199999999999999E-2</v>
      </c>
      <c r="W235" s="168">
        <v>2.5940000000000001E-2</v>
      </c>
      <c r="X235" s="4" t="s">
        <v>429</v>
      </c>
      <c r="Y235" s="4" t="s">
        <v>153</v>
      </c>
      <c r="Z235" s="153">
        <v>116000</v>
      </c>
      <c r="AA235" s="162">
        <v>1</v>
      </c>
      <c r="AB235" s="179">
        <v>101.35</v>
      </c>
      <c r="AD235" s="153">
        <v>117.566</v>
      </c>
      <c r="AG235" s="2" t="s">
        <v>36</v>
      </c>
      <c r="AH235" s="168">
        <v>3.3000000000000003E-5</v>
      </c>
      <c r="AI235" s="168">
        <v>4.0278861698737199E-2</v>
      </c>
      <c r="AJ235" s="168">
        <v>7.3539226312979E-3</v>
      </c>
    </row>
    <row r="236" spans="1:36">
      <c r="A236" s="2">
        <v>158</v>
      </c>
      <c r="B236" s="2">
        <v>9936</v>
      </c>
      <c r="C236" s="2" t="s">
        <v>1196</v>
      </c>
      <c r="D236" s="2" t="s">
        <v>1567</v>
      </c>
      <c r="E236" s="4" t="s">
        <v>1343</v>
      </c>
      <c r="F236" s="2" t="s">
        <v>2197</v>
      </c>
      <c r="G236" s="2" t="s">
        <v>2198</v>
      </c>
      <c r="H236" s="2" t="s">
        <v>338</v>
      </c>
      <c r="I236" s="2" t="s">
        <v>772</v>
      </c>
      <c r="J236" s="2" t="s">
        <v>30</v>
      </c>
      <c r="K236" s="2" t="s">
        <v>30</v>
      </c>
      <c r="L236" s="2" t="s">
        <v>344</v>
      </c>
      <c r="M236" s="2" t="s">
        <v>56</v>
      </c>
      <c r="N236" s="2" t="s">
        <v>463</v>
      </c>
      <c r="O236" s="2" t="s">
        <v>153</v>
      </c>
      <c r="P236" s="2" t="s">
        <v>109</v>
      </c>
      <c r="Q236" s="2" t="s">
        <v>430</v>
      </c>
      <c r="R236" s="2" t="s">
        <v>423</v>
      </c>
      <c r="S236" s="2" t="s">
        <v>44</v>
      </c>
      <c r="T236" s="153">
        <v>5.1369999999999996</v>
      </c>
      <c r="U236" s="2" t="s">
        <v>2199</v>
      </c>
      <c r="V236" s="166">
        <v>1E-3</v>
      </c>
      <c r="W236" s="168">
        <v>2.622E-2</v>
      </c>
      <c r="X236" s="4" t="s">
        <v>429</v>
      </c>
      <c r="Y236" s="4" t="s">
        <v>153</v>
      </c>
      <c r="Z236" s="153">
        <v>78000</v>
      </c>
      <c r="AA236" s="162">
        <v>1</v>
      </c>
      <c r="AB236" s="179">
        <v>99.1</v>
      </c>
      <c r="AD236" s="153">
        <v>77.298000000000002</v>
      </c>
      <c r="AG236" s="2" t="s">
        <v>36</v>
      </c>
      <c r="AH236" s="168">
        <v>3.1000000000000001E-5</v>
      </c>
      <c r="AI236" s="168">
        <v>2.6482787979424199E-2</v>
      </c>
      <c r="AJ236" s="168">
        <v>4.8351012329590597E-3</v>
      </c>
    </row>
    <row r="237" spans="1:36">
      <c r="A237" s="2">
        <v>158</v>
      </c>
      <c r="B237" s="2">
        <v>9936</v>
      </c>
      <c r="C237" s="2" t="s">
        <v>1792</v>
      </c>
      <c r="D237" s="2" t="s">
        <v>1793</v>
      </c>
      <c r="E237" s="4" t="s">
        <v>1343</v>
      </c>
      <c r="F237" s="2" t="s">
        <v>1982</v>
      </c>
      <c r="G237" s="2" t="s">
        <v>1983</v>
      </c>
      <c r="H237" s="2" t="s">
        <v>338</v>
      </c>
      <c r="I237" s="2" t="s">
        <v>772</v>
      </c>
      <c r="J237" s="2" t="s">
        <v>30</v>
      </c>
      <c r="K237" s="2" t="s">
        <v>30</v>
      </c>
      <c r="L237" s="2" t="s">
        <v>344</v>
      </c>
      <c r="M237" s="2" t="s">
        <v>56</v>
      </c>
      <c r="N237" s="2" t="s">
        <v>479</v>
      </c>
      <c r="O237" s="2" t="s">
        <v>153</v>
      </c>
      <c r="P237" s="2" t="s">
        <v>1718</v>
      </c>
      <c r="Q237" s="2" t="s">
        <v>430</v>
      </c>
      <c r="R237" s="2" t="s">
        <v>423</v>
      </c>
      <c r="S237" s="2" t="s">
        <v>44</v>
      </c>
      <c r="T237" s="153">
        <v>1.89</v>
      </c>
      <c r="U237" s="2" t="s">
        <v>1916</v>
      </c>
      <c r="V237" s="166">
        <v>2.4E-2</v>
      </c>
      <c r="W237" s="168">
        <v>2.487E-2</v>
      </c>
      <c r="X237" s="4" t="s">
        <v>429</v>
      </c>
      <c r="Y237" s="4" t="s">
        <v>153</v>
      </c>
      <c r="Z237" s="153">
        <v>18817.71</v>
      </c>
      <c r="AA237" s="162">
        <v>1</v>
      </c>
      <c r="AB237" s="179">
        <v>115.87</v>
      </c>
      <c r="AD237" s="153">
        <v>21.803999999999998</v>
      </c>
      <c r="AG237" s="2" t="s">
        <v>36</v>
      </c>
      <c r="AH237" s="168">
        <v>3.3000000000000003E-5</v>
      </c>
      <c r="AI237" s="168">
        <v>7.4702171208436601E-3</v>
      </c>
      <c r="AJ237" s="168">
        <v>1.36387664469186E-3</v>
      </c>
    </row>
    <row r="238" spans="1:36">
      <c r="A238" s="2">
        <v>158</v>
      </c>
      <c r="B238" s="2">
        <v>9936</v>
      </c>
      <c r="C238" s="2" t="s">
        <v>1792</v>
      </c>
      <c r="D238" s="2" t="s">
        <v>1793</v>
      </c>
      <c r="E238" s="4" t="s">
        <v>1343</v>
      </c>
      <c r="F238" s="2" t="s">
        <v>2101</v>
      </c>
      <c r="G238" s="2" t="s">
        <v>2102</v>
      </c>
      <c r="H238" s="2" t="s">
        <v>338</v>
      </c>
      <c r="I238" s="2" t="s">
        <v>772</v>
      </c>
      <c r="J238" s="2" t="s">
        <v>30</v>
      </c>
      <c r="K238" s="2" t="s">
        <v>30</v>
      </c>
      <c r="L238" s="2" t="s">
        <v>344</v>
      </c>
      <c r="M238" s="2" t="s">
        <v>56</v>
      </c>
      <c r="N238" s="2" t="s">
        <v>479</v>
      </c>
      <c r="O238" s="2" t="s">
        <v>153</v>
      </c>
      <c r="P238" s="2" t="s">
        <v>1718</v>
      </c>
      <c r="Q238" s="2" t="s">
        <v>430</v>
      </c>
      <c r="R238" s="2" t="s">
        <v>423</v>
      </c>
      <c r="S238" s="2" t="s">
        <v>44</v>
      </c>
      <c r="T238" s="153">
        <v>3.4409999999999998</v>
      </c>
      <c r="U238" s="2" t="s">
        <v>1763</v>
      </c>
      <c r="V238" s="166">
        <v>2.81E-2</v>
      </c>
      <c r="W238" s="168">
        <v>2.9329999999999998E-2</v>
      </c>
      <c r="X238" s="4" t="s">
        <v>429</v>
      </c>
      <c r="Y238" s="4" t="s">
        <v>153</v>
      </c>
      <c r="Z238" s="153">
        <v>14062.5</v>
      </c>
      <c r="AA238" s="162">
        <v>1</v>
      </c>
      <c r="AB238" s="179">
        <v>117.13</v>
      </c>
      <c r="AD238" s="153">
        <v>16.471</v>
      </c>
      <c r="AG238" s="2" t="s">
        <v>36</v>
      </c>
      <c r="AH238" s="168">
        <v>1.0000000000000001E-5</v>
      </c>
      <c r="AI238" s="168">
        <v>5.6432088726967502E-3</v>
      </c>
      <c r="AJ238" s="168">
        <v>1.0303101848423599E-3</v>
      </c>
    </row>
    <row r="239" spans="1:36">
      <c r="A239" s="2">
        <v>158</v>
      </c>
      <c r="B239" s="2">
        <v>9936</v>
      </c>
      <c r="C239" s="2" t="s">
        <v>1792</v>
      </c>
      <c r="D239" s="2" t="s">
        <v>1793</v>
      </c>
      <c r="E239" s="4" t="s">
        <v>1343</v>
      </c>
      <c r="F239" s="2" t="s">
        <v>1797</v>
      </c>
      <c r="G239" s="2" t="s">
        <v>1798</v>
      </c>
      <c r="H239" s="2" t="s">
        <v>338</v>
      </c>
      <c r="I239" s="2" t="s">
        <v>772</v>
      </c>
      <c r="J239" s="2" t="s">
        <v>30</v>
      </c>
      <c r="K239" s="2" t="s">
        <v>30</v>
      </c>
      <c r="L239" s="2" t="s">
        <v>344</v>
      </c>
      <c r="M239" s="2" t="s">
        <v>56</v>
      </c>
      <c r="N239" s="2" t="s">
        <v>479</v>
      </c>
      <c r="O239" s="2" t="s">
        <v>153</v>
      </c>
      <c r="P239" s="2" t="s">
        <v>1718</v>
      </c>
      <c r="Q239" s="2" t="s">
        <v>430</v>
      </c>
      <c r="R239" s="2" t="s">
        <v>423</v>
      </c>
      <c r="S239" s="2" t="s">
        <v>44</v>
      </c>
      <c r="T239" s="153">
        <v>2.024</v>
      </c>
      <c r="U239" s="2" t="s">
        <v>1796</v>
      </c>
      <c r="V239" s="166">
        <v>3.6999999999999998E-2</v>
      </c>
      <c r="W239" s="168">
        <v>2.6419999999999999E-2</v>
      </c>
      <c r="X239" s="4" t="s">
        <v>429</v>
      </c>
      <c r="Y239" s="4" t="s">
        <v>153</v>
      </c>
      <c r="Z239" s="153">
        <v>20000</v>
      </c>
      <c r="AA239" s="162">
        <v>1</v>
      </c>
      <c r="AB239" s="179">
        <v>119.19</v>
      </c>
      <c r="AD239" s="153">
        <v>23.838000000000001</v>
      </c>
      <c r="AG239" s="2" t="s">
        <v>36</v>
      </c>
      <c r="AH239" s="168">
        <v>6.7000000000000002E-5</v>
      </c>
      <c r="AI239" s="168">
        <v>8.1670508920478491E-3</v>
      </c>
      <c r="AJ239" s="168">
        <v>1.4911012340717499E-3</v>
      </c>
    </row>
    <row r="240" spans="1:36">
      <c r="A240" s="2">
        <v>158</v>
      </c>
      <c r="B240" s="2">
        <v>9936</v>
      </c>
      <c r="C240" s="2" t="s">
        <v>1799</v>
      </c>
      <c r="D240" s="2" t="s">
        <v>1800</v>
      </c>
      <c r="E240" s="4" t="s">
        <v>1343</v>
      </c>
      <c r="F240" s="2" t="s">
        <v>1801</v>
      </c>
      <c r="G240" s="2" t="s">
        <v>1802</v>
      </c>
      <c r="H240" s="2" t="s">
        <v>338</v>
      </c>
      <c r="I240" s="2" t="s">
        <v>772</v>
      </c>
      <c r="J240" s="2" t="s">
        <v>30</v>
      </c>
      <c r="K240" s="2" t="s">
        <v>30</v>
      </c>
      <c r="L240" s="2" t="s">
        <v>344</v>
      </c>
      <c r="M240" s="2" t="s">
        <v>56</v>
      </c>
      <c r="N240" s="2" t="s">
        <v>479</v>
      </c>
      <c r="O240" s="2" t="s">
        <v>153</v>
      </c>
      <c r="P240" s="2" t="s">
        <v>32</v>
      </c>
      <c r="Q240" s="2" t="s">
        <v>430</v>
      </c>
      <c r="R240" s="2" t="s">
        <v>423</v>
      </c>
      <c r="S240" s="2" t="s">
        <v>44</v>
      </c>
      <c r="T240" s="153">
        <v>1.8720000000000001</v>
      </c>
      <c r="U240" s="2" t="s">
        <v>1803</v>
      </c>
      <c r="V240" s="166">
        <v>2.0500000000000001E-2</v>
      </c>
      <c r="W240" s="168">
        <v>2.6960000000000001E-2</v>
      </c>
      <c r="X240" s="4" t="s">
        <v>429</v>
      </c>
      <c r="Y240" s="4" t="s">
        <v>153</v>
      </c>
      <c r="Z240" s="153">
        <v>21583.23</v>
      </c>
      <c r="AA240" s="162">
        <v>1</v>
      </c>
      <c r="AB240" s="179">
        <v>115.69</v>
      </c>
      <c r="AD240" s="153">
        <v>24.97</v>
      </c>
      <c r="AG240" s="2" t="s">
        <v>36</v>
      </c>
      <c r="AH240" s="168">
        <v>2.9E-5</v>
      </c>
      <c r="AI240" s="168">
        <v>8.5547575605957292E-3</v>
      </c>
      <c r="AJ240" s="168">
        <v>1.56188687010746E-3</v>
      </c>
    </row>
    <row r="241" spans="1:36">
      <c r="A241" s="2">
        <v>158</v>
      </c>
      <c r="B241" s="2">
        <v>9936</v>
      </c>
      <c r="C241" s="2" t="s">
        <v>1804</v>
      </c>
      <c r="D241" s="2" t="s">
        <v>1805</v>
      </c>
      <c r="E241" s="4" t="s">
        <v>1343</v>
      </c>
      <c r="F241" s="2" t="s">
        <v>1806</v>
      </c>
      <c r="G241" s="2" t="s">
        <v>1807</v>
      </c>
      <c r="H241" s="2" t="s">
        <v>338</v>
      </c>
      <c r="I241" s="2" t="s">
        <v>772</v>
      </c>
      <c r="J241" s="2" t="s">
        <v>30</v>
      </c>
      <c r="K241" s="2" t="s">
        <v>30</v>
      </c>
      <c r="L241" s="2" t="s">
        <v>344</v>
      </c>
      <c r="M241" s="2" t="s">
        <v>56</v>
      </c>
      <c r="N241" s="2" t="s">
        <v>463</v>
      </c>
      <c r="O241" s="2" t="s">
        <v>153</v>
      </c>
      <c r="P241" s="2" t="s">
        <v>109</v>
      </c>
      <c r="Q241" s="2" t="s">
        <v>430</v>
      </c>
      <c r="R241" s="2" t="s">
        <v>423</v>
      </c>
      <c r="S241" s="2" t="s">
        <v>44</v>
      </c>
      <c r="T241" s="153">
        <v>2.9550000000000001</v>
      </c>
      <c r="U241" s="2" t="s">
        <v>1808</v>
      </c>
      <c r="V241" s="166">
        <v>1.2200000000000001E-2</v>
      </c>
      <c r="W241" s="168">
        <v>2.2579999999999999E-2</v>
      </c>
      <c r="X241" s="4" t="s">
        <v>429</v>
      </c>
      <c r="Y241" s="4" t="s">
        <v>153</v>
      </c>
      <c r="Z241" s="153">
        <v>14854</v>
      </c>
      <c r="AA241" s="162">
        <v>1</v>
      </c>
      <c r="AB241" s="179">
        <v>113.04</v>
      </c>
      <c r="AD241" s="153">
        <v>16.791</v>
      </c>
      <c r="AG241" s="2" t="s">
        <v>36</v>
      </c>
      <c r="AH241" s="168">
        <v>5.0000000000000004E-6</v>
      </c>
      <c r="AI241" s="168">
        <v>5.7526905744450596E-3</v>
      </c>
      <c r="AJ241" s="168">
        <v>1.05029883224312E-3</v>
      </c>
    </row>
    <row r="242" spans="1:36">
      <c r="A242" s="2">
        <v>158</v>
      </c>
      <c r="B242" s="2">
        <v>9936</v>
      </c>
      <c r="C242" s="2" t="s">
        <v>1804</v>
      </c>
      <c r="D242" s="2" t="s">
        <v>1805</v>
      </c>
      <c r="E242" s="4" t="s">
        <v>1343</v>
      </c>
      <c r="F242" s="2" t="s">
        <v>1984</v>
      </c>
      <c r="G242" s="2" t="s">
        <v>1985</v>
      </c>
      <c r="H242" s="2" t="s">
        <v>338</v>
      </c>
      <c r="I242" s="2" t="s">
        <v>772</v>
      </c>
      <c r="J242" s="2" t="s">
        <v>30</v>
      </c>
      <c r="K242" s="2" t="s">
        <v>30</v>
      </c>
      <c r="L242" s="2" t="s">
        <v>344</v>
      </c>
      <c r="M242" s="2" t="s">
        <v>56</v>
      </c>
      <c r="N242" s="2" t="s">
        <v>463</v>
      </c>
      <c r="O242" s="2" t="s">
        <v>153</v>
      </c>
      <c r="P242" s="2" t="s">
        <v>109</v>
      </c>
      <c r="Q242" s="2" t="s">
        <v>430</v>
      </c>
      <c r="R242" s="2" t="s">
        <v>423</v>
      </c>
      <c r="S242" s="2" t="s">
        <v>44</v>
      </c>
      <c r="T242" s="153">
        <v>4.0069999999999997</v>
      </c>
      <c r="U242" s="2" t="s">
        <v>1986</v>
      </c>
      <c r="V242" s="166">
        <v>1E-3</v>
      </c>
      <c r="W242" s="168">
        <v>2.5020000000000001E-2</v>
      </c>
      <c r="X242" s="4" t="s">
        <v>429</v>
      </c>
      <c r="Y242" s="4" t="s">
        <v>153</v>
      </c>
      <c r="Z242" s="153">
        <v>46000</v>
      </c>
      <c r="AA242" s="162">
        <v>1</v>
      </c>
      <c r="AB242" s="179">
        <v>102.41</v>
      </c>
      <c r="AD242" s="153">
        <v>47.109000000000002</v>
      </c>
      <c r="AG242" s="2" t="s">
        <v>36</v>
      </c>
      <c r="AH242" s="168">
        <v>1.4E-5</v>
      </c>
      <c r="AI242" s="168">
        <v>1.6139706923950201E-2</v>
      </c>
      <c r="AJ242" s="168">
        <v>2.94671078091251E-3</v>
      </c>
    </row>
    <row r="243" spans="1:36">
      <c r="A243" s="2">
        <v>158</v>
      </c>
      <c r="B243" s="2">
        <v>9936</v>
      </c>
      <c r="C243" s="2" t="s">
        <v>1804</v>
      </c>
      <c r="D243" s="2" t="s">
        <v>1805</v>
      </c>
      <c r="E243" s="4" t="s">
        <v>1343</v>
      </c>
      <c r="F243" s="2" t="s">
        <v>2200</v>
      </c>
      <c r="G243" s="2" t="s">
        <v>2201</v>
      </c>
      <c r="H243" s="2" t="s">
        <v>338</v>
      </c>
      <c r="I243" s="2" t="s">
        <v>985</v>
      </c>
      <c r="J243" s="2" t="s">
        <v>30</v>
      </c>
      <c r="K243" s="2" t="s">
        <v>30</v>
      </c>
      <c r="L243" s="2" t="s">
        <v>344</v>
      </c>
      <c r="M243" s="2" t="s">
        <v>56</v>
      </c>
      <c r="N243" s="2" t="s">
        <v>463</v>
      </c>
      <c r="O243" s="2" t="s">
        <v>153</v>
      </c>
      <c r="P243" s="2" t="s">
        <v>109</v>
      </c>
      <c r="Q243" s="2" t="s">
        <v>430</v>
      </c>
      <c r="R243" s="2" t="s">
        <v>423</v>
      </c>
      <c r="S243" s="2" t="s">
        <v>44</v>
      </c>
      <c r="T243" s="153">
        <v>3.234</v>
      </c>
      <c r="U243" s="2" t="s">
        <v>2108</v>
      </c>
      <c r="V243" s="166">
        <v>2.7400000000000001E-2</v>
      </c>
      <c r="W243" s="168">
        <v>5.1389999999999998E-2</v>
      </c>
      <c r="X243" s="4" t="s">
        <v>429</v>
      </c>
      <c r="Y243" s="4" t="s">
        <v>153</v>
      </c>
      <c r="Z243" s="153">
        <v>80000</v>
      </c>
      <c r="AA243" s="162">
        <v>1</v>
      </c>
      <c r="AB243" s="179">
        <v>93.89</v>
      </c>
      <c r="AD243" s="153">
        <v>75.111999999999995</v>
      </c>
      <c r="AG243" s="2" t="s">
        <v>36</v>
      </c>
      <c r="AH243" s="168">
        <v>5.3000000000000001E-5</v>
      </c>
      <c r="AI243" s="168">
        <v>2.5733850432230001E-2</v>
      </c>
      <c r="AJ243" s="168">
        <v>4.6983637844448898E-3</v>
      </c>
    </row>
    <row r="244" spans="1:36">
      <c r="A244" s="2">
        <v>158</v>
      </c>
      <c r="B244" s="2">
        <v>9936</v>
      </c>
      <c r="C244" s="2" t="s">
        <v>1804</v>
      </c>
      <c r="D244" s="2" t="s">
        <v>1805</v>
      </c>
      <c r="E244" s="4" t="s">
        <v>1343</v>
      </c>
      <c r="F244" s="2" t="s">
        <v>1812</v>
      </c>
      <c r="G244" s="2" t="s">
        <v>1813</v>
      </c>
      <c r="H244" s="2" t="s">
        <v>338</v>
      </c>
      <c r="I244" s="2" t="s">
        <v>772</v>
      </c>
      <c r="J244" s="2" t="s">
        <v>30</v>
      </c>
      <c r="K244" s="2" t="s">
        <v>30</v>
      </c>
      <c r="L244" s="2" t="s">
        <v>344</v>
      </c>
      <c r="M244" s="2" t="s">
        <v>56</v>
      </c>
      <c r="N244" s="2" t="s">
        <v>463</v>
      </c>
      <c r="O244" s="2" t="s">
        <v>153</v>
      </c>
      <c r="P244" s="2" t="s">
        <v>109</v>
      </c>
      <c r="Q244" s="2" t="s">
        <v>430</v>
      </c>
      <c r="R244" s="2" t="s">
        <v>423</v>
      </c>
      <c r="S244" s="2" t="s">
        <v>44</v>
      </c>
      <c r="T244" s="153">
        <v>4.3789999999999996</v>
      </c>
      <c r="U244" s="2" t="s">
        <v>1814</v>
      </c>
      <c r="V244" s="166">
        <v>1.9900000000000001E-2</v>
      </c>
      <c r="W244" s="168">
        <v>2.5700000000000001E-2</v>
      </c>
      <c r="X244" s="4" t="s">
        <v>429</v>
      </c>
      <c r="Y244" s="4" t="s">
        <v>153</v>
      </c>
      <c r="Z244" s="153">
        <v>70000</v>
      </c>
      <c r="AA244" s="162">
        <v>1</v>
      </c>
      <c r="AB244" s="179">
        <v>102.5</v>
      </c>
      <c r="AD244" s="153">
        <v>71.75</v>
      </c>
      <c r="AG244" s="2" t="s">
        <v>36</v>
      </c>
      <c r="AH244" s="168">
        <v>2.5999999999999998E-5</v>
      </c>
      <c r="AI244" s="168">
        <v>2.4582007781879099E-2</v>
      </c>
      <c r="AJ244" s="168">
        <v>4.4880658421280403E-3</v>
      </c>
    </row>
    <row r="245" spans="1:36">
      <c r="A245" s="2">
        <v>158</v>
      </c>
      <c r="B245" s="2">
        <v>9936</v>
      </c>
      <c r="C245" s="2" t="s">
        <v>1815</v>
      </c>
      <c r="D245" s="2" t="s">
        <v>1816</v>
      </c>
      <c r="E245" s="4" t="s">
        <v>1343</v>
      </c>
      <c r="F245" s="2" t="s">
        <v>2202</v>
      </c>
      <c r="G245" s="2" t="s">
        <v>2203</v>
      </c>
      <c r="H245" s="2" t="s">
        <v>338</v>
      </c>
      <c r="I245" s="2" t="s">
        <v>772</v>
      </c>
      <c r="J245" s="2" t="s">
        <v>30</v>
      </c>
      <c r="K245" s="2" t="s">
        <v>30</v>
      </c>
      <c r="L245" s="2" t="s">
        <v>344</v>
      </c>
      <c r="M245" s="2" t="s">
        <v>56</v>
      </c>
      <c r="N245" s="2" t="s">
        <v>458</v>
      </c>
      <c r="O245" s="2" t="s">
        <v>153</v>
      </c>
      <c r="P245" s="2" t="s">
        <v>32</v>
      </c>
      <c r="Q245" s="2" t="s">
        <v>110</v>
      </c>
      <c r="R245" s="2" t="s">
        <v>423</v>
      </c>
      <c r="S245" s="2" t="s">
        <v>44</v>
      </c>
      <c r="T245" s="153">
        <v>0.79</v>
      </c>
      <c r="U245" s="2" t="s">
        <v>1971</v>
      </c>
      <c r="V245" s="166">
        <v>1.8499999999999999E-2</v>
      </c>
      <c r="W245" s="168">
        <v>2.7220000000000001E-2</v>
      </c>
      <c r="X245" s="4" t="s">
        <v>429</v>
      </c>
      <c r="Y245" s="4" t="s">
        <v>153</v>
      </c>
      <c r="Z245" s="153">
        <v>16971.82</v>
      </c>
      <c r="AA245" s="162">
        <v>1</v>
      </c>
      <c r="AB245" s="179">
        <v>115.1</v>
      </c>
      <c r="AD245" s="153">
        <v>19.535</v>
      </c>
      <c r="AG245" s="2" t="s">
        <v>36</v>
      </c>
      <c r="AH245" s="168">
        <v>4.6E-5</v>
      </c>
      <c r="AI245" s="168">
        <v>6.6926665424510302E-3</v>
      </c>
      <c r="AJ245" s="168">
        <v>1.2219151652888901E-3</v>
      </c>
    </row>
    <row r="246" spans="1:36">
      <c r="A246" s="2">
        <v>158</v>
      </c>
      <c r="B246" s="2">
        <v>9936</v>
      </c>
      <c r="C246" s="2" t="s">
        <v>1815</v>
      </c>
      <c r="D246" s="2" t="s">
        <v>1816</v>
      </c>
      <c r="E246" s="4" t="s">
        <v>1343</v>
      </c>
      <c r="F246" s="2" t="s">
        <v>2109</v>
      </c>
      <c r="G246" s="2" t="s">
        <v>2110</v>
      </c>
      <c r="H246" s="2" t="s">
        <v>338</v>
      </c>
      <c r="I246" s="2" t="s">
        <v>772</v>
      </c>
      <c r="J246" s="2" t="s">
        <v>30</v>
      </c>
      <c r="K246" s="2" t="s">
        <v>30</v>
      </c>
      <c r="L246" s="2" t="s">
        <v>344</v>
      </c>
      <c r="M246" s="2" t="s">
        <v>56</v>
      </c>
      <c r="N246" s="2" t="s">
        <v>458</v>
      </c>
      <c r="O246" s="2" t="s">
        <v>153</v>
      </c>
      <c r="P246" s="2" t="s">
        <v>32</v>
      </c>
      <c r="Q246" s="2" t="s">
        <v>110</v>
      </c>
      <c r="R246" s="2" t="s">
        <v>423</v>
      </c>
      <c r="S246" s="2" t="s">
        <v>44</v>
      </c>
      <c r="T246" s="153">
        <v>3.2530000000000001</v>
      </c>
      <c r="U246" s="2" t="s">
        <v>2111</v>
      </c>
      <c r="V246" s="166">
        <v>0.01</v>
      </c>
      <c r="W246" s="168">
        <v>3.3340000000000002E-2</v>
      </c>
      <c r="X246" s="4" t="s">
        <v>429</v>
      </c>
      <c r="Y246" s="4" t="s">
        <v>153</v>
      </c>
      <c r="Z246" s="153">
        <v>18406.560000000001</v>
      </c>
      <c r="AA246" s="162">
        <v>1</v>
      </c>
      <c r="AB246" s="179">
        <v>104.54</v>
      </c>
      <c r="AD246" s="153">
        <v>19.242000000000001</v>
      </c>
      <c r="AG246" s="2" t="s">
        <v>36</v>
      </c>
      <c r="AH246" s="168">
        <v>1.2E-5</v>
      </c>
      <c r="AI246" s="168">
        <v>6.5925065963788202E-3</v>
      </c>
      <c r="AJ246" s="168">
        <v>1.20362843961926E-3</v>
      </c>
    </row>
    <row r="247" spans="1:36">
      <c r="A247" s="2">
        <v>158</v>
      </c>
      <c r="B247" s="2">
        <v>9936</v>
      </c>
      <c r="C247" s="2" t="s">
        <v>1815</v>
      </c>
      <c r="D247" s="2" t="s">
        <v>1816</v>
      </c>
      <c r="E247" s="4" t="s">
        <v>1343</v>
      </c>
      <c r="F247" s="2" t="s">
        <v>1817</v>
      </c>
      <c r="G247" s="2" t="s">
        <v>1818</v>
      </c>
      <c r="H247" s="2" t="s">
        <v>338</v>
      </c>
      <c r="I247" s="2" t="s">
        <v>772</v>
      </c>
      <c r="J247" s="2" t="s">
        <v>30</v>
      </c>
      <c r="K247" s="2" t="s">
        <v>30</v>
      </c>
      <c r="L247" s="2" t="s">
        <v>344</v>
      </c>
      <c r="M247" s="2" t="s">
        <v>56</v>
      </c>
      <c r="N247" s="2" t="s">
        <v>458</v>
      </c>
      <c r="O247" s="2" t="s">
        <v>153</v>
      </c>
      <c r="P247" s="2" t="s">
        <v>32</v>
      </c>
      <c r="Q247" s="2" t="s">
        <v>110</v>
      </c>
      <c r="R247" s="2" t="s">
        <v>423</v>
      </c>
      <c r="S247" s="2" t="s">
        <v>44</v>
      </c>
      <c r="T247" s="153">
        <v>1.6559999999999999</v>
      </c>
      <c r="U247" s="2" t="s">
        <v>1819</v>
      </c>
      <c r="V247" s="166">
        <v>3.5400000000000001E-2</v>
      </c>
      <c r="W247" s="168">
        <v>3.2190000000000003E-2</v>
      </c>
      <c r="X247" s="4" t="s">
        <v>429</v>
      </c>
      <c r="Y247" s="4" t="s">
        <v>153</v>
      </c>
      <c r="Z247" s="153">
        <v>22000</v>
      </c>
      <c r="AA247" s="162">
        <v>1</v>
      </c>
      <c r="AB247" s="179">
        <v>107.7</v>
      </c>
      <c r="AD247" s="153">
        <v>23.693999999999999</v>
      </c>
      <c r="AG247" s="2" t="s">
        <v>36</v>
      </c>
      <c r="AH247" s="168">
        <v>2.0000000000000002E-5</v>
      </c>
      <c r="AI247" s="168">
        <v>8.1177155732939793E-3</v>
      </c>
      <c r="AJ247" s="168">
        <v>1.4820938266673399E-3</v>
      </c>
    </row>
    <row r="248" spans="1:36">
      <c r="A248" s="2">
        <v>158</v>
      </c>
      <c r="B248" s="2">
        <v>9936</v>
      </c>
      <c r="C248" s="2" t="s">
        <v>1815</v>
      </c>
      <c r="D248" s="2" t="s">
        <v>1816</v>
      </c>
      <c r="E248" s="4" t="s">
        <v>1343</v>
      </c>
      <c r="F248" s="2" t="s">
        <v>2112</v>
      </c>
      <c r="G248" s="2" t="s">
        <v>2113</v>
      </c>
      <c r="H248" s="2" t="s">
        <v>338</v>
      </c>
      <c r="I248" s="2" t="s">
        <v>772</v>
      </c>
      <c r="J248" s="2" t="s">
        <v>30</v>
      </c>
      <c r="K248" s="2" t="s">
        <v>30</v>
      </c>
      <c r="L248" s="2" t="s">
        <v>344</v>
      </c>
      <c r="M248" s="2" t="s">
        <v>56</v>
      </c>
      <c r="N248" s="2" t="s">
        <v>458</v>
      </c>
      <c r="O248" s="2" t="s">
        <v>153</v>
      </c>
      <c r="P248" s="2" t="s">
        <v>32</v>
      </c>
      <c r="Q248" s="2" t="s">
        <v>110</v>
      </c>
      <c r="R248" s="2" t="s">
        <v>423</v>
      </c>
      <c r="S248" s="2" t="s">
        <v>44</v>
      </c>
      <c r="T248" s="153">
        <v>0.66200000000000003</v>
      </c>
      <c r="U248" s="2" t="s">
        <v>2114</v>
      </c>
      <c r="V248" s="166">
        <v>0.01</v>
      </c>
      <c r="W248" s="168">
        <v>2.707E-2</v>
      </c>
      <c r="X248" s="4" t="s">
        <v>429</v>
      </c>
      <c r="Y248" s="4" t="s">
        <v>153</v>
      </c>
      <c r="Z248" s="153">
        <v>16664.400000000001</v>
      </c>
      <c r="AA248" s="162">
        <v>1</v>
      </c>
      <c r="AB248" s="179">
        <v>113.12</v>
      </c>
      <c r="AD248" s="153">
        <v>18.850999999999999</v>
      </c>
      <c r="AG248" s="2" t="s">
        <v>36</v>
      </c>
      <c r="AH248" s="168">
        <v>5.5000000000000002E-5</v>
      </c>
      <c r="AI248" s="168">
        <v>6.4583938276706202E-3</v>
      </c>
      <c r="AJ248" s="168">
        <v>1.1791427693854299E-3</v>
      </c>
    </row>
    <row r="249" spans="1:36">
      <c r="A249" s="2">
        <v>158</v>
      </c>
      <c r="B249" s="2">
        <v>9936</v>
      </c>
      <c r="C249" s="2" t="s">
        <v>1578</v>
      </c>
      <c r="D249" s="2" t="s">
        <v>1579</v>
      </c>
      <c r="E249" s="4" t="s">
        <v>1343</v>
      </c>
      <c r="F249" s="2" t="s">
        <v>1822</v>
      </c>
      <c r="G249" s="2" t="s">
        <v>1823</v>
      </c>
      <c r="H249" s="2" t="s">
        <v>338</v>
      </c>
      <c r="I249" s="2" t="s">
        <v>772</v>
      </c>
      <c r="J249" s="2" t="s">
        <v>30</v>
      </c>
      <c r="K249" s="2" t="s">
        <v>30</v>
      </c>
      <c r="L249" s="2" t="s">
        <v>344</v>
      </c>
      <c r="M249" s="2" t="s">
        <v>56</v>
      </c>
      <c r="N249" s="2" t="s">
        <v>479</v>
      </c>
      <c r="O249" s="2" t="s">
        <v>153</v>
      </c>
      <c r="P249" s="2" t="s">
        <v>1718</v>
      </c>
      <c r="Q249" s="2" t="s">
        <v>430</v>
      </c>
      <c r="R249" s="2" t="s">
        <v>423</v>
      </c>
      <c r="S249" s="2" t="s">
        <v>44</v>
      </c>
      <c r="T249" s="153">
        <v>5.92</v>
      </c>
      <c r="U249" s="2" t="s">
        <v>1824</v>
      </c>
      <c r="V249" s="166">
        <v>3.61E-2</v>
      </c>
      <c r="W249" s="168">
        <v>3.4549999999999997E-2</v>
      </c>
      <c r="X249" s="4" t="s">
        <v>429</v>
      </c>
      <c r="Y249" s="4" t="s">
        <v>153</v>
      </c>
      <c r="Z249" s="153">
        <v>34646.46</v>
      </c>
      <c r="AA249" s="162">
        <v>1</v>
      </c>
      <c r="AB249" s="179">
        <v>107.95</v>
      </c>
      <c r="AD249" s="153">
        <v>37.401000000000003</v>
      </c>
      <c r="AG249" s="2" t="s">
        <v>36</v>
      </c>
      <c r="AH249" s="168">
        <v>3.1999999999999999E-5</v>
      </c>
      <c r="AI249" s="168">
        <v>1.2813771059326301E-2</v>
      </c>
      <c r="AJ249" s="168">
        <v>2.3394772595672401E-3</v>
      </c>
    </row>
    <row r="250" spans="1:36">
      <c r="A250" s="2">
        <v>158</v>
      </c>
      <c r="B250" s="2">
        <v>9936</v>
      </c>
      <c r="C250" s="2" t="s">
        <v>1578</v>
      </c>
      <c r="D250" s="2" t="s">
        <v>1579</v>
      </c>
      <c r="E250" s="4" t="s">
        <v>1343</v>
      </c>
      <c r="F250" s="2" t="s">
        <v>1993</v>
      </c>
      <c r="G250" s="2" t="s">
        <v>1994</v>
      </c>
      <c r="H250" s="2" t="s">
        <v>338</v>
      </c>
      <c r="I250" s="2" t="s">
        <v>772</v>
      </c>
      <c r="J250" s="2" t="s">
        <v>30</v>
      </c>
      <c r="K250" s="2" t="s">
        <v>30</v>
      </c>
      <c r="L250" s="2" t="s">
        <v>344</v>
      </c>
      <c r="M250" s="2" t="s">
        <v>56</v>
      </c>
      <c r="N250" s="2" t="s">
        <v>479</v>
      </c>
      <c r="O250" s="2" t="s">
        <v>153</v>
      </c>
      <c r="P250" s="2" t="s">
        <v>1718</v>
      </c>
      <c r="Q250" s="2" t="s">
        <v>430</v>
      </c>
      <c r="R250" s="2" t="s">
        <v>423</v>
      </c>
      <c r="S250" s="2" t="s">
        <v>44</v>
      </c>
      <c r="T250" s="153">
        <v>0.76200000000000001</v>
      </c>
      <c r="U250" s="2" t="s">
        <v>1827</v>
      </c>
      <c r="V250" s="166">
        <v>1.7600000000000001E-2</v>
      </c>
      <c r="W250" s="168">
        <v>2.5239999999999999E-2</v>
      </c>
      <c r="X250" s="4" t="s">
        <v>429</v>
      </c>
      <c r="Y250" s="4" t="s">
        <v>153</v>
      </c>
      <c r="Z250" s="153">
        <v>8266.89</v>
      </c>
      <c r="AA250" s="162">
        <v>1</v>
      </c>
      <c r="AB250" s="179">
        <v>117</v>
      </c>
      <c r="AD250" s="153">
        <v>9.6720000000000006</v>
      </c>
      <c r="AG250" s="2" t="s">
        <v>36</v>
      </c>
      <c r="AH250" s="168">
        <v>1.1E-5</v>
      </c>
      <c r="AI250" s="168">
        <v>3.31377843268248E-3</v>
      </c>
      <c r="AJ250" s="168">
        <v>6.0501387535424303E-4</v>
      </c>
    </row>
    <row r="251" spans="1:36">
      <c r="A251" s="2">
        <v>158</v>
      </c>
      <c r="B251" s="2">
        <v>9936</v>
      </c>
      <c r="C251" s="2" t="s">
        <v>1578</v>
      </c>
      <c r="D251" s="2" t="s">
        <v>1579</v>
      </c>
      <c r="E251" s="4" t="s">
        <v>1343</v>
      </c>
      <c r="F251" s="2" t="s">
        <v>1828</v>
      </c>
      <c r="G251" s="2" t="s">
        <v>1829</v>
      </c>
      <c r="H251" s="2" t="s">
        <v>338</v>
      </c>
      <c r="I251" s="2" t="s">
        <v>772</v>
      </c>
      <c r="J251" s="2" t="s">
        <v>30</v>
      </c>
      <c r="K251" s="2" t="s">
        <v>30</v>
      </c>
      <c r="L251" s="2" t="s">
        <v>344</v>
      </c>
      <c r="M251" s="2" t="s">
        <v>56</v>
      </c>
      <c r="N251" s="2" t="s">
        <v>479</v>
      </c>
      <c r="O251" s="2" t="s">
        <v>153</v>
      </c>
      <c r="P251" s="2" t="s">
        <v>1718</v>
      </c>
      <c r="Q251" s="2" t="s">
        <v>430</v>
      </c>
      <c r="R251" s="2" t="s">
        <v>423</v>
      </c>
      <c r="S251" s="2" t="s">
        <v>44</v>
      </c>
      <c r="T251" s="153">
        <v>5.298</v>
      </c>
      <c r="U251" s="2" t="s">
        <v>1830</v>
      </c>
      <c r="V251" s="166">
        <v>2.5000000000000001E-3</v>
      </c>
      <c r="W251" s="168">
        <v>3.0300000000000001E-2</v>
      </c>
      <c r="X251" s="4" t="s">
        <v>429</v>
      </c>
      <c r="Y251" s="4" t="s">
        <v>153</v>
      </c>
      <c r="Z251" s="153">
        <v>18480</v>
      </c>
      <c r="AA251" s="162">
        <v>1</v>
      </c>
      <c r="AB251" s="179">
        <v>97.92</v>
      </c>
      <c r="AD251" s="153">
        <v>18.096</v>
      </c>
      <c r="AG251" s="2" t="s">
        <v>36</v>
      </c>
      <c r="AH251" s="168">
        <v>1.5E-5</v>
      </c>
      <c r="AI251" s="168">
        <v>6.1996734958870503E-3</v>
      </c>
      <c r="AJ251" s="168">
        <v>1.13190684406781E-3</v>
      </c>
    </row>
    <row r="252" spans="1:36">
      <c r="A252" s="2">
        <v>158</v>
      </c>
      <c r="B252" s="2">
        <v>9936</v>
      </c>
      <c r="C252" s="2" t="s">
        <v>2204</v>
      </c>
      <c r="D252" s="2" t="s">
        <v>2205</v>
      </c>
      <c r="E252" s="4" t="s">
        <v>1343</v>
      </c>
      <c r="F252" s="2" t="s">
        <v>2206</v>
      </c>
      <c r="G252" s="2" t="s">
        <v>2207</v>
      </c>
      <c r="H252" s="2" t="s">
        <v>338</v>
      </c>
      <c r="I252" s="2" t="s">
        <v>985</v>
      </c>
      <c r="J252" s="2" t="s">
        <v>30</v>
      </c>
      <c r="K252" s="2" t="s">
        <v>30</v>
      </c>
      <c r="L252" s="2" t="s">
        <v>344</v>
      </c>
      <c r="M252" s="2" t="s">
        <v>56</v>
      </c>
      <c r="N252" s="2" t="s">
        <v>460</v>
      </c>
      <c r="O252" s="2" t="s">
        <v>153</v>
      </c>
      <c r="P252" s="2" t="s">
        <v>1724</v>
      </c>
      <c r="Q252" s="2" t="s">
        <v>110</v>
      </c>
      <c r="R252" s="2" t="s">
        <v>423</v>
      </c>
      <c r="S252" s="2" t="s">
        <v>44</v>
      </c>
      <c r="T252" s="153">
        <v>1.9690000000000001</v>
      </c>
      <c r="U252" s="2" t="s">
        <v>1916</v>
      </c>
      <c r="V252" s="166">
        <v>1.84E-2</v>
      </c>
      <c r="W252" s="168">
        <v>5.2949999999999997E-2</v>
      </c>
      <c r="X252" s="4" t="s">
        <v>429</v>
      </c>
      <c r="Y252" s="4" t="s">
        <v>153</v>
      </c>
      <c r="Z252" s="153">
        <v>40000</v>
      </c>
      <c r="AA252" s="162">
        <v>1</v>
      </c>
      <c r="AB252" s="179">
        <v>93.66</v>
      </c>
      <c r="AD252" s="153">
        <v>37.463999999999999</v>
      </c>
      <c r="AG252" s="2" t="s">
        <v>36</v>
      </c>
      <c r="AH252" s="168">
        <v>1.3300000000000001E-4</v>
      </c>
      <c r="AI252" s="168">
        <v>1.2835405429133299E-2</v>
      </c>
      <c r="AJ252" s="168">
        <v>2.34342715971407E-3</v>
      </c>
    </row>
    <row r="253" spans="1:36">
      <c r="A253" s="2">
        <v>158</v>
      </c>
      <c r="B253" s="2">
        <v>9936</v>
      </c>
      <c r="C253" s="2" t="s">
        <v>2123</v>
      </c>
      <c r="D253" s="2" t="s">
        <v>2124</v>
      </c>
      <c r="E253" s="4" t="s">
        <v>1343</v>
      </c>
      <c r="F253" s="2" t="s">
        <v>2125</v>
      </c>
      <c r="G253" s="2" t="s">
        <v>2126</v>
      </c>
      <c r="H253" s="2" t="s">
        <v>338</v>
      </c>
      <c r="I253" s="2" t="s">
        <v>772</v>
      </c>
      <c r="J253" s="2" t="s">
        <v>30</v>
      </c>
      <c r="K253" s="2" t="s">
        <v>30</v>
      </c>
      <c r="L253" s="2" t="s">
        <v>344</v>
      </c>
      <c r="M253" s="2" t="s">
        <v>56</v>
      </c>
      <c r="N253" s="2" t="s">
        <v>479</v>
      </c>
      <c r="O253" s="2" t="s">
        <v>153</v>
      </c>
      <c r="P253" s="2" t="s">
        <v>98</v>
      </c>
      <c r="Q253" s="2" t="s">
        <v>430</v>
      </c>
      <c r="R253" s="2" t="s">
        <v>423</v>
      </c>
      <c r="S253" s="2" t="s">
        <v>44</v>
      </c>
      <c r="T253" s="153">
        <v>4.048</v>
      </c>
      <c r="U253" s="2" t="s">
        <v>1721</v>
      </c>
      <c r="V253" s="166">
        <v>3.6200000000000003E-2</v>
      </c>
      <c r="W253" s="168">
        <v>3.9030000000000002E-2</v>
      </c>
      <c r="X253" s="4" t="s">
        <v>429</v>
      </c>
      <c r="Y253" s="4" t="s">
        <v>153</v>
      </c>
      <c r="Z253" s="153">
        <v>11460</v>
      </c>
      <c r="AA253" s="162">
        <v>1</v>
      </c>
      <c r="AB253" s="179">
        <v>106.27</v>
      </c>
      <c r="AD253" s="153">
        <v>12.179</v>
      </c>
      <c r="AG253" s="2" t="s">
        <v>36</v>
      </c>
      <c r="AH253" s="168">
        <v>6.9999999999999999E-6</v>
      </c>
      <c r="AI253" s="168">
        <v>4.1724461911629403E-3</v>
      </c>
      <c r="AJ253" s="168">
        <v>7.6178534295639902E-4</v>
      </c>
    </row>
    <row r="254" spans="1:36">
      <c r="A254" s="2">
        <v>158</v>
      </c>
      <c r="B254" s="2">
        <v>9936</v>
      </c>
      <c r="C254" s="2" t="s">
        <v>2123</v>
      </c>
      <c r="D254" s="2" t="s">
        <v>2124</v>
      </c>
      <c r="E254" s="4" t="s">
        <v>1343</v>
      </c>
      <c r="F254" s="2" t="s">
        <v>2208</v>
      </c>
      <c r="G254" s="2" t="s">
        <v>2209</v>
      </c>
      <c r="H254" s="2" t="s">
        <v>338</v>
      </c>
      <c r="I254" s="2" t="s">
        <v>772</v>
      </c>
      <c r="J254" s="2" t="s">
        <v>30</v>
      </c>
      <c r="K254" s="2" t="s">
        <v>30</v>
      </c>
      <c r="L254" s="2" t="s">
        <v>344</v>
      </c>
      <c r="M254" s="2" t="s">
        <v>56</v>
      </c>
      <c r="N254" s="2" t="s">
        <v>479</v>
      </c>
      <c r="O254" s="2" t="s">
        <v>153</v>
      </c>
      <c r="P254" s="2" t="s">
        <v>98</v>
      </c>
      <c r="Q254" s="2" t="s">
        <v>430</v>
      </c>
      <c r="R254" s="2" t="s">
        <v>423</v>
      </c>
      <c r="S254" s="2" t="s">
        <v>44</v>
      </c>
      <c r="T254" s="153">
        <v>0.73499999999999999</v>
      </c>
      <c r="U254" s="2" t="s">
        <v>1971</v>
      </c>
      <c r="V254" s="166">
        <v>4.9500000000000002E-2</v>
      </c>
      <c r="W254" s="168">
        <v>3.3619999999999997E-2</v>
      </c>
      <c r="X254" s="4" t="s">
        <v>429</v>
      </c>
      <c r="Y254" s="4" t="s">
        <v>153</v>
      </c>
      <c r="Z254" s="153">
        <v>6666.67</v>
      </c>
      <c r="AA254" s="162">
        <v>1</v>
      </c>
      <c r="AB254" s="179">
        <v>142.69999999999999</v>
      </c>
      <c r="AD254" s="153">
        <v>9.5129999999999999</v>
      </c>
      <c r="AG254" s="2" t="s">
        <v>36</v>
      </c>
      <c r="AH254" s="168">
        <v>1.5E-5</v>
      </c>
      <c r="AI254" s="168">
        <v>3.25933032696901E-3</v>
      </c>
      <c r="AJ254" s="168">
        <v>5.95072999670308E-4</v>
      </c>
    </row>
    <row r="255" spans="1:36">
      <c r="A255" s="2">
        <v>158</v>
      </c>
      <c r="B255" s="2">
        <v>9936</v>
      </c>
      <c r="C255" s="2" t="s">
        <v>1912</v>
      </c>
      <c r="D255" s="2" t="s">
        <v>1913</v>
      </c>
      <c r="E255" s="4" t="s">
        <v>330</v>
      </c>
      <c r="F255" s="2" t="s">
        <v>1914</v>
      </c>
      <c r="G255" s="2" t="s">
        <v>1915</v>
      </c>
      <c r="H255" s="2" t="s">
        <v>338</v>
      </c>
      <c r="I255" s="2" t="s">
        <v>985</v>
      </c>
      <c r="J255" s="2" t="s">
        <v>30</v>
      </c>
      <c r="K255" s="2" t="s">
        <v>107</v>
      </c>
      <c r="L255" s="2" t="s">
        <v>344</v>
      </c>
      <c r="M255" s="2" t="s">
        <v>56</v>
      </c>
      <c r="N255" s="2" t="s">
        <v>480</v>
      </c>
      <c r="O255" s="2" t="s">
        <v>153</v>
      </c>
      <c r="P255" s="2" t="s">
        <v>32</v>
      </c>
      <c r="Q255" s="2" t="s">
        <v>430</v>
      </c>
      <c r="R255" s="2" t="s">
        <v>423</v>
      </c>
      <c r="S255" s="2" t="s">
        <v>44</v>
      </c>
      <c r="T255" s="153">
        <v>1.8169999999999999</v>
      </c>
      <c r="U255" s="2" t="s">
        <v>1916</v>
      </c>
      <c r="V255" s="166">
        <v>9.0999999999999998E-2</v>
      </c>
      <c r="W255" s="168">
        <v>7.1499999999999994E-2</v>
      </c>
      <c r="X255" s="4" t="s">
        <v>429</v>
      </c>
      <c r="Y255" s="4" t="s">
        <v>153</v>
      </c>
      <c r="Z255" s="153">
        <v>13160</v>
      </c>
      <c r="AA255" s="162">
        <v>1</v>
      </c>
      <c r="AB255" s="179">
        <v>103.71</v>
      </c>
      <c r="AD255" s="153">
        <v>13.648</v>
      </c>
      <c r="AG255" s="2" t="s">
        <v>36</v>
      </c>
      <c r="AH255" s="168">
        <v>6.9999999999999994E-5</v>
      </c>
      <c r="AI255" s="168">
        <v>4.6759727325564101E-3</v>
      </c>
      <c r="AJ255" s="168">
        <v>8.5371681946902001E-4</v>
      </c>
    </row>
    <row r="256" spans="1:36">
      <c r="A256" s="2">
        <v>158</v>
      </c>
      <c r="B256" s="2">
        <v>9936</v>
      </c>
      <c r="C256" s="2" t="s">
        <v>1917</v>
      </c>
      <c r="D256" s="2" t="s">
        <v>1918</v>
      </c>
      <c r="E256" s="4" t="s">
        <v>43</v>
      </c>
      <c r="F256" s="2" t="s">
        <v>2210</v>
      </c>
      <c r="G256" s="2" t="s">
        <v>1920</v>
      </c>
      <c r="H256" s="2" t="s">
        <v>338</v>
      </c>
      <c r="I256" s="2" t="s">
        <v>773</v>
      </c>
      <c r="J256" s="2" t="s">
        <v>30</v>
      </c>
      <c r="K256" s="2" t="s">
        <v>107</v>
      </c>
      <c r="L256" s="2" t="s">
        <v>344</v>
      </c>
      <c r="M256" s="2" t="s">
        <v>56</v>
      </c>
      <c r="N256" s="2" t="s">
        <v>458</v>
      </c>
      <c r="O256" s="2" t="s">
        <v>153</v>
      </c>
      <c r="P256" s="2" t="s">
        <v>32</v>
      </c>
      <c r="Q256" s="2" t="s">
        <v>110</v>
      </c>
      <c r="R256" s="2" t="s">
        <v>423</v>
      </c>
      <c r="S256" s="2" t="s">
        <v>44</v>
      </c>
      <c r="T256" s="153">
        <v>1.768</v>
      </c>
      <c r="U256" s="2" t="s">
        <v>1921</v>
      </c>
      <c r="V256" s="166">
        <v>8.43E-2</v>
      </c>
      <c r="W256" s="168">
        <v>8.1129999999999994E-2</v>
      </c>
      <c r="X256" s="4" t="s">
        <v>429</v>
      </c>
      <c r="Y256" s="4" t="s">
        <v>153</v>
      </c>
      <c r="Z256" s="153">
        <v>18000</v>
      </c>
      <c r="AA256" s="162">
        <v>1</v>
      </c>
      <c r="AB256" s="179">
        <v>104.6</v>
      </c>
      <c r="AD256" s="153">
        <v>18.827999999999999</v>
      </c>
      <c r="AG256" s="2" t="s">
        <v>36</v>
      </c>
      <c r="AH256" s="168">
        <v>4.3000000000000002E-5</v>
      </c>
      <c r="AI256" s="168">
        <v>6.4505929270692597E-3</v>
      </c>
      <c r="AJ256" s="168">
        <v>1.17771851812664E-3</v>
      </c>
    </row>
    <row r="257" spans="1:36">
      <c r="A257" s="2">
        <v>158</v>
      </c>
      <c r="B257" s="2">
        <v>9936</v>
      </c>
      <c r="C257" s="2" t="s">
        <v>1917</v>
      </c>
      <c r="D257" s="2" t="s">
        <v>1918</v>
      </c>
      <c r="E257" s="4" t="s">
        <v>43</v>
      </c>
      <c r="F257" s="2" t="s">
        <v>1919</v>
      </c>
      <c r="G257" s="2" t="s">
        <v>1920</v>
      </c>
      <c r="H257" s="2" t="s">
        <v>338</v>
      </c>
      <c r="I257" s="2" t="s">
        <v>773</v>
      </c>
      <c r="J257" s="2" t="s">
        <v>30</v>
      </c>
      <c r="K257" s="2" t="s">
        <v>107</v>
      </c>
      <c r="L257" s="2" t="s">
        <v>344</v>
      </c>
      <c r="M257" s="2" t="s">
        <v>56</v>
      </c>
      <c r="N257" s="2" t="s">
        <v>458</v>
      </c>
      <c r="O257" s="2" t="s">
        <v>153</v>
      </c>
      <c r="P257" s="2" t="s">
        <v>32</v>
      </c>
      <c r="Q257" s="2" t="s">
        <v>110</v>
      </c>
      <c r="R257" s="2" t="s">
        <v>423</v>
      </c>
      <c r="S257" s="2" t="s">
        <v>44</v>
      </c>
      <c r="T257" s="153">
        <v>2.4</v>
      </c>
      <c r="U257" s="2" t="s">
        <v>1921</v>
      </c>
      <c r="V257" s="166">
        <v>8.43E-2</v>
      </c>
      <c r="W257" s="168">
        <v>6.5500000000000003E-2</v>
      </c>
      <c r="X257" s="4" t="s">
        <v>429</v>
      </c>
      <c r="Y257" s="4" t="s">
        <v>153</v>
      </c>
      <c r="Z257" s="153">
        <v>18000</v>
      </c>
      <c r="AA257" s="162">
        <v>1</v>
      </c>
      <c r="AB257" s="179">
        <v>106.035</v>
      </c>
      <c r="AD257" s="153">
        <v>19.085999999999999</v>
      </c>
      <c r="AG257" s="2" t="s">
        <v>36</v>
      </c>
      <c r="AH257" s="168">
        <v>0</v>
      </c>
      <c r="AI257" s="168">
        <v>6.5390634874246401E-3</v>
      </c>
      <c r="AJ257" s="168">
        <v>1.1938710514545999E-3</v>
      </c>
    </row>
    <row r="258" spans="1:36">
      <c r="A258" s="2">
        <v>158</v>
      </c>
      <c r="B258" s="2">
        <v>9936</v>
      </c>
      <c r="C258" s="2" t="s">
        <v>2127</v>
      </c>
      <c r="D258" s="2" t="s">
        <v>2128</v>
      </c>
      <c r="E258" s="4" t="s">
        <v>1343</v>
      </c>
      <c r="F258" s="2" t="s">
        <v>2129</v>
      </c>
      <c r="G258" s="2" t="s">
        <v>2130</v>
      </c>
      <c r="H258" s="2" t="s">
        <v>338</v>
      </c>
      <c r="I258" s="2" t="s">
        <v>772</v>
      </c>
      <c r="J258" s="2" t="s">
        <v>30</v>
      </c>
      <c r="K258" s="2" t="s">
        <v>30</v>
      </c>
      <c r="L258" s="2" t="s">
        <v>344</v>
      </c>
      <c r="M258" s="2" t="s">
        <v>56</v>
      </c>
      <c r="N258" s="2" t="s">
        <v>479</v>
      </c>
      <c r="O258" s="2" t="s">
        <v>153</v>
      </c>
      <c r="P258" s="2" t="s">
        <v>1724</v>
      </c>
      <c r="Q258" s="2" t="s">
        <v>110</v>
      </c>
      <c r="R258" s="2" t="s">
        <v>423</v>
      </c>
      <c r="S258" s="2" t="s">
        <v>44</v>
      </c>
      <c r="T258" s="153">
        <v>2.91</v>
      </c>
      <c r="U258" s="2" t="s">
        <v>2131</v>
      </c>
      <c r="V258" s="166">
        <v>1.9599999999999999E-2</v>
      </c>
      <c r="W258" s="168">
        <v>2.7640000000000001E-2</v>
      </c>
      <c r="X258" s="4" t="s">
        <v>429</v>
      </c>
      <c r="Y258" s="4" t="s">
        <v>153</v>
      </c>
      <c r="Z258" s="153">
        <v>30000</v>
      </c>
      <c r="AA258" s="162">
        <v>1</v>
      </c>
      <c r="AB258" s="179">
        <v>114.46</v>
      </c>
      <c r="AD258" s="153">
        <v>34.338000000000001</v>
      </c>
      <c r="AG258" s="2" t="s">
        <v>36</v>
      </c>
      <c r="AH258" s="168">
        <v>2.5999999999999998E-5</v>
      </c>
      <c r="AI258" s="168">
        <v>1.1764417884518E-2</v>
      </c>
      <c r="AJ258" s="168">
        <v>2.14789135731E-3</v>
      </c>
    </row>
    <row r="259" spans="1:36">
      <c r="A259" s="2">
        <v>158</v>
      </c>
      <c r="B259" s="2">
        <v>9936</v>
      </c>
      <c r="C259" s="2" t="s">
        <v>1594</v>
      </c>
      <c r="D259" s="2" t="s">
        <v>1595</v>
      </c>
      <c r="E259" s="4" t="s">
        <v>1343</v>
      </c>
      <c r="F259" s="2" t="s">
        <v>2132</v>
      </c>
      <c r="G259" s="2" t="s">
        <v>2133</v>
      </c>
      <c r="H259" s="2" t="s">
        <v>338</v>
      </c>
      <c r="I259" s="2" t="s">
        <v>772</v>
      </c>
      <c r="J259" s="2" t="s">
        <v>30</v>
      </c>
      <c r="K259" s="2" t="s">
        <v>30</v>
      </c>
      <c r="L259" s="2" t="s">
        <v>344</v>
      </c>
      <c r="M259" s="2" t="s">
        <v>56</v>
      </c>
      <c r="N259" s="2" t="s">
        <v>479</v>
      </c>
      <c r="O259" s="2" t="s">
        <v>153</v>
      </c>
      <c r="P259" s="2" t="s">
        <v>1773</v>
      </c>
      <c r="Q259" s="2" t="s">
        <v>110</v>
      </c>
      <c r="R259" s="2" t="s">
        <v>423</v>
      </c>
      <c r="S259" s="2" t="s">
        <v>44</v>
      </c>
      <c r="T259" s="153">
        <v>2.6890000000000001</v>
      </c>
      <c r="U259" s="2" t="s">
        <v>2134</v>
      </c>
      <c r="V259" s="166">
        <v>1.34E-2</v>
      </c>
      <c r="W259" s="168">
        <v>2.819E-2</v>
      </c>
      <c r="X259" s="4" t="s">
        <v>429</v>
      </c>
      <c r="Y259" s="4" t="s">
        <v>153</v>
      </c>
      <c r="Z259" s="153">
        <v>63791.71</v>
      </c>
      <c r="AA259" s="162">
        <v>1</v>
      </c>
      <c r="AB259" s="179">
        <v>112.38</v>
      </c>
      <c r="AD259" s="153">
        <v>71.688999999999993</v>
      </c>
      <c r="AG259" s="2" t="s">
        <v>36</v>
      </c>
      <c r="AH259" s="168">
        <v>2.4000000000000001E-5</v>
      </c>
      <c r="AI259" s="168">
        <v>2.4561151172408702E-2</v>
      </c>
      <c r="AJ259" s="168">
        <v>4.48425794175728E-3</v>
      </c>
    </row>
    <row r="260" spans="1:36">
      <c r="A260" s="2">
        <v>158</v>
      </c>
      <c r="B260" s="2">
        <v>9936</v>
      </c>
      <c r="C260" s="2" t="s">
        <v>1594</v>
      </c>
      <c r="D260" s="2" t="s">
        <v>1595</v>
      </c>
      <c r="E260" s="4" t="s">
        <v>1343</v>
      </c>
      <c r="F260" s="2" t="s">
        <v>1836</v>
      </c>
      <c r="G260" s="2" t="s">
        <v>1837</v>
      </c>
      <c r="H260" s="2" t="s">
        <v>338</v>
      </c>
      <c r="I260" s="2" t="s">
        <v>772</v>
      </c>
      <c r="J260" s="2" t="s">
        <v>30</v>
      </c>
      <c r="K260" s="2" t="s">
        <v>30</v>
      </c>
      <c r="L260" s="2" t="s">
        <v>344</v>
      </c>
      <c r="M260" s="2" t="s">
        <v>56</v>
      </c>
      <c r="N260" s="2" t="s">
        <v>479</v>
      </c>
      <c r="O260" s="2" t="s">
        <v>153</v>
      </c>
      <c r="P260" s="2" t="s">
        <v>1773</v>
      </c>
      <c r="Q260" s="2" t="s">
        <v>110</v>
      </c>
      <c r="R260" s="2" t="s">
        <v>423</v>
      </c>
      <c r="S260" s="2" t="s">
        <v>44</v>
      </c>
      <c r="T260" s="153">
        <v>2.456</v>
      </c>
      <c r="U260" s="2" t="s">
        <v>1796</v>
      </c>
      <c r="V260" s="166">
        <v>1.77E-2</v>
      </c>
      <c r="W260" s="168">
        <v>2.7099999999999999E-2</v>
      </c>
      <c r="X260" s="4" t="s">
        <v>429</v>
      </c>
      <c r="Y260" s="4" t="s">
        <v>153</v>
      </c>
      <c r="Z260" s="153">
        <v>41621.620000000003</v>
      </c>
      <c r="AA260" s="162">
        <v>1</v>
      </c>
      <c r="AB260" s="179">
        <v>113.19</v>
      </c>
      <c r="AD260" s="153">
        <v>47.112000000000002</v>
      </c>
      <c r="AG260" s="2" t="s">
        <v>36</v>
      </c>
      <c r="AH260" s="168">
        <v>1.5999999999999999E-5</v>
      </c>
      <c r="AI260" s="168">
        <v>1.61407044834102E-2</v>
      </c>
      <c r="AJ260" s="168">
        <v>2.9468929105651298E-3</v>
      </c>
    </row>
    <row r="261" spans="1:36">
      <c r="A261" s="2">
        <v>158</v>
      </c>
      <c r="B261" s="2">
        <v>9936</v>
      </c>
      <c r="C261" s="2" t="s">
        <v>1594</v>
      </c>
      <c r="D261" s="2" t="s">
        <v>1595</v>
      </c>
      <c r="E261" s="4" t="s">
        <v>1343</v>
      </c>
      <c r="F261" s="2" t="s">
        <v>2000</v>
      </c>
      <c r="G261" s="2" t="s">
        <v>2001</v>
      </c>
      <c r="H261" s="2" t="s">
        <v>338</v>
      </c>
      <c r="I261" s="2" t="s">
        <v>772</v>
      </c>
      <c r="J261" s="2" t="s">
        <v>30</v>
      </c>
      <c r="K261" s="2" t="s">
        <v>30</v>
      </c>
      <c r="L261" s="2" t="s">
        <v>344</v>
      </c>
      <c r="M261" s="2" t="s">
        <v>56</v>
      </c>
      <c r="N261" s="2" t="s">
        <v>479</v>
      </c>
      <c r="O261" s="2" t="s">
        <v>153</v>
      </c>
      <c r="P261" s="2" t="s">
        <v>1773</v>
      </c>
      <c r="Q261" s="2" t="s">
        <v>430</v>
      </c>
      <c r="R261" s="2" t="s">
        <v>423</v>
      </c>
      <c r="S261" s="2" t="s">
        <v>44</v>
      </c>
      <c r="T261" s="153">
        <v>6.7329999999999997</v>
      </c>
      <c r="U261" s="2" t="s">
        <v>2002</v>
      </c>
      <c r="V261" s="166">
        <v>8.9999999999999993E-3</v>
      </c>
      <c r="W261" s="168">
        <v>3.3419999999999998E-2</v>
      </c>
      <c r="X261" s="4" t="s">
        <v>429</v>
      </c>
      <c r="Y261" s="4" t="s">
        <v>153</v>
      </c>
      <c r="Z261" s="153">
        <v>14700</v>
      </c>
      <c r="AA261" s="162">
        <v>1</v>
      </c>
      <c r="AB261" s="179">
        <v>96.33</v>
      </c>
      <c r="AD261" s="153">
        <v>14.161</v>
      </c>
      <c r="AG261" s="2" t="s">
        <v>36</v>
      </c>
      <c r="AH261" s="168">
        <v>5.0000000000000004E-6</v>
      </c>
      <c r="AI261" s="168">
        <v>4.8514810733850397E-3</v>
      </c>
      <c r="AJ261" s="168">
        <v>8.8576029600156698E-4</v>
      </c>
    </row>
    <row r="262" spans="1:36">
      <c r="A262" s="2">
        <v>158</v>
      </c>
      <c r="B262" s="2">
        <v>9936</v>
      </c>
      <c r="C262" s="2" t="s">
        <v>1594</v>
      </c>
      <c r="D262" s="2" t="s">
        <v>1595</v>
      </c>
      <c r="E262" s="4" t="s">
        <v>1343</v>
      </c>
      <c r="F262" s="2" t="s">
        <v>2135</v>
      </c>
      <c r="G262" s="2" t="s">
        <v>2136</v>
      </c>
      <c r="H262" s="2" t="s">
        <v>338</v>
      </c>
      <c r="I262" s="2" t="s">
        <v>772</v>
      </c>
      <c r="J262" s="2" t="s">
        <v>30</v>
      </c>
      <c r="K262" s="2" t="s">
        <v>30</v>
      </c>
      <c r="L262" s="2" t="s">
        <v>344</v>
      </c>
      <c r="M262" s="2" t="s">
        <v>56</v>
      </c>
      <c r="N262" s="2" t="s">
        <v>479</v>
      </c>
      <c r="O262" s="2" t="s">
        <v>153</v>
      </c>
      <c r="P262" s="2" t="s">
        <v>1773</v>
      </c>
      <c r="Q262" s="2" t="s">
        <v>430</v>
      </c>
      <c r="R262" s="2" t="s">
        <v>423</v>
      </c>
      <c r="S262" s="2" t="s">
        <v>44</v>
      </c>
      <c r="T262" s="153">
        <v>0.45800000000000002</v>
      </c>
      <c r="U262" s="2" t="s">
        <v>2029</v>
      </c>
      <c r="V262" s="166">
        <v>6.4999999999999997E-3</v>
      </c>
      <c r="W262" s="168">
        <v>2.793E-2</v>
      </c>
      <c r="X262" s="4" t="s">
        <v>429</v>
      </c>
      <c r="Y262" s="4" t="s">
        <v>153</v>
      </c>
      <c r="Z262" s="153">
        <v>10000</v>
      </c>
      <c r="AA262" s="162">
        <v>1</v>
      </c>
      <c r="AB262" s="179">
        <v>114.12</v>
      </c>
      <c r="AC262" s="153">
        <v>3.6999999999999998E-2</v>
      </c>
      <c r="AD262" s="153">
        <v>11.449</v>
      </c>
      <c r="AG262" s="2" t="s">
        <v>36</v>
      </c>
      <c r="AH262" s="168">
        <v>1.8E-5</v>
      </c>
      <c r="AI262" s="168">
        <v>3.9226648983758704E-3</v>
      </c>
      <c r="AJ262" s="168">
        <v>7.1618146478227298E-4</v>
      </c>
    </row>
    <row r="263" spans="1:36">
      <c r="A263" s="2">
        <v>158</v>
      </c>
      <c r="B263" s="2">
        <v>9936</v>
      </c>
      <c r="C263" s="2" t="s">
        <v>1922</v>
      </c>
      <c r="D263" s="2" t="s">
        <v>1923</v>
      </c>
      <c r="E263" s="4" t="s">
        <v>1343</v>
      </c>
      <c r="F263" s="2" t="s">
        <v>1924</v>
      </c>
      <c r="G263" s="2" t="s">
        <v>1925</v>
      </c>
      <c r="H263" s="2" t="s">
        <v>338</v>
      </c>
      <c r="I263" s="2" t="s">
        <v>985</v>
      </c>
      <c r="J263" s="2" t="s">
        <v>30</v>
      </c>
      <c r="K263" s="2" t="s">
        <v>30</v>
      </c>
      <c r="L263" s="2" t="s">
        <v>344</v>
      </c>
      <c r="M263" s="2" t="s">
        <v>56</v>
      </c>
      <c r="N263" s="2" t="s">
        <v>462</v>
      </c>
      <c r="O263" s="2" t="s">
        <v>153</v>
      </c>
      <c r="P263" s="2" t="s">
        <v>1900</v>
      </c>
      <c r="Q263" s="2" t="s">
        <v>426</v>
      </c>
      <c r="R263" s="2" t="s">
        <v>426</v>
      </c>
      <c r="S263" s="2" t="s">
        <v>44</v>
      </c>
      <c r="T263" s="153">
        <v>1.585</v>
      </c>
      <c r="U263" s="2" t="s">
        <v>57</v>
      </c>
      <c r="V263" s="166">
        <v>0.06</v>
      </c>
      <c r="W263" s="168">
        <v>6.3109999999999999E-2</v>
      </c>
      <c r="X263" s="4" t="s">
        <v>429</v>
      </c>
      <c r="Y263" s="4" t="s">
        <v>153</v>
      </c>
      <c r="Z263" s="153">
        <v>15035.56</v>
      </c>
      <c r="AA263" s="162">
        <v>1</v>
      </c>
      <c r="AB263" s="179">
        <v>101.67</v>
      </c>
      <c r="AD263" s="153">
        <v>15.287000000000001</v>
      </c>
      <c r="AG263" s="2" t="s">
        <v>36</v>
      </c>
      <c r="AH263" s="168">
        <v>6.0000000000000002E-5</v>
      </c>
      <c r="AI263" s="168">
        <v>5.23730514214294E-3</v>
      </c>
      <c r="AJ263" s="168">
        <v>9.5620221593862198E-4</v>
      </c>
    </row>
    <row r="264" spans="1:36">
      <c r="A264" s="2">
        <v>158</v>
      </c>
      <c r="B264" s="2">
        <v>9936</v>
      </c>
      <c r="C264" s="2" t="s">
        <v>1598</v>
      </c>
      <c r="D264" s="2" t="s">
        <v>1599</v>
      </c>
      <c r="E264" s="4" t="s">
        <v>1343</v>
      </c>
      <c r="F264" s="2" t="s">
        <v>2003</v>
      </c>
      <c r="G264" s="2" t="s">
        <v>2004</v>
      </c>
      <c r="H264" s="2" t="s">
        <v>338</v>
      </c>
      <c r="I264" s="2" t="s">
        <v>985</v>
      </c>
      <c r="J264" s="2" t="s">
        <v>30</v>
      </c>
      <c r="K264" s="2" t="s">
        <v>30</v>
      </c>
      <c r="L264" s="2" t="s">
        <v>344</v>
      </c>
      <c r="M264" s="2" t="s">
        <v>56</v>
      </c>
      <c r="N264" s="2" t="s">
        <v>463</v>
      </c>
      <c r="O264" s="2" t="s">
        <v>153</v>
      </c>
      <c r="P264" s="2" t="s">
        <v>109</v>
      </c>
      <c r="Q264" s="2" t="s">
        <v>430</v>
      </c>
      <c r="R264" s="2" t="s">
        <v>423</v>
      </c>
      <c r="S264" s="2" t="s">
        <v>44</v>
      </c>
      <c r="T264" s="153">
        <v>3.3130000000000002</v>
      </c>
      <c r="U264" s="2" t="s">
        <v>1840</v>
      </c>
      <c r="V264" s="166">
        <v>2.5000000000000001E-2</v>
      </c>
      <c r="W264" s="168">
        <v>5.117E-2</v>
      </c>
      <c r="X264" s="4" t="s">
        <v>429</v>
      </c>
      <c r="Y264" s="4" t="s">
        <v>153</v>
      </c>
      <c r="Z264" s="153">
        <v>60000</v>
      </c>
      <c r="AA264" s="162">
        <v>1</v>
      </c>
      <c r="AB264" s="179">
        <v>93.69</v>
      </c>
      <c r="AD264" s="153">
        <v>56.213999999999999</v>
      </c>
      <c r="AG264" s="2" t="s">
        <v>36</v>
      </c>
      <c r="AH264" s="168">
        <v>2.5999999999999998E-5</v>
      </c>
      <c r="AI264" s="168">
        <v>1.9259275058544301E-2</v>
      </c>
      <c r="AJ264" s="168">
        <v>3.51626666549666E-3</v>
      </c>
    </row>
    <row r="265" spans="1:36">
      <c r="A265" s="2">
        <v>158</v>
      </c>
      <c r="B265" s="2">
        <v>9936</v>
      </c>
      <c r="C265" s="2" t="s">
        <v>1598</v>
      </c>
      <c r="D265" s="2" t="s">
        <v>1599</v>
      </c>
      <c r="E265" s="4" t="s">
        <v>1343</v>
      </c>
      <c r="F265" s="2" t="s">
        <v>1838</v>
      </c>
      <c r="G265" s="2" t="s">
        <v>1839</v>
      </c>
      <c r="H265" s="2" t="s">
        <v>338</v>
      </c>
      <c r="I265" s="2" t="s">
        <v>772</v>
      </c>
      <c r="J265" s="2" t="s">
        <v>30</v>
      </c>
      <c r="K265" s="2" t="s">
        <v>30</v>
      </c>
      <c r="L265" s="2" t="s">
        <v>344</v>
      </c>
      <c r="M265" s="2" t="s">
        <v>56</v>
      </c>
      <c r="N265" s="2" t="s">
        <v>463</v>
      </c>
      <c r="O265" s="2" t="s">
        <v>153</v>
      </c>
      <c r="P265" s="2" t="s">
        <v>109</v>
      </c>
      <c r="Q265" s="2" t="s">
        <v>430</v>
      </c>
      <c r="R265" s="2" t="s">
        <v>423</v>
      </c>
      <c r="S265" s="2" t="s">
        <v>44</v>
      </c>
      <c r="T265" s="153">
        <v>3.5609999999999999</v>
      </c>
      <c r="U265" s="2" t="s">
        <v>1840</v>
      </c>
      <c r="V265" s="166">
        <v>1E-3</v>
      </c>
      <c r="W265" s="168">
        <v>2.3970000000000002E-2</v>
      </c>
      <c r="X265" s="4" t="s">
        <v>429</v>
      </c>
      <c r="Y265" s="4" t="s">
        <v>153</v>
      </c>
      <c r="Z265" s="153">
        <v>149644</v>
      </c>
      <c r="AA265" s="162">
        <v>1</v>
      </c>
      <c r="AB265" s="179">
        <v>103.73</v>
      </c>
      <c r="AD265" s="153">
        <v>155.226</v>
      </c>
      <c r="AG265" s="2" t="s">
        <v>36</v>
      </c>
      <c r="AH265" s="168">
        <v>1.3300000000000001E-4</v>
      </c>
      <c r="AI265" s="168">
        <v>5.3181322459737897E-2</v>
      </c>
      <c r="AJ265" s="168">
        <v>9.7095924339708605E-3</v>
      </c>
    </row>
    <row r="266" spans="1:36">
      <c r="A266" s="2">
        <v>158</v>
      </c>
      <c r="B266" s="2">
        <v>9936</v>
      </c>
      <c r="C266" s="2" t="s">
        <v>1598</v>
      </c>
      <c r="D266" s="2" t="s">
        <v>1599</v>
      </c>
      <c r="E266" s="4" t="s">
        <v>1343</v>
      </c>
      <c r="F266" s="2" t="s">
        <v>1841</v>
      </c>
      <c r="G266" s="2" t="s">
        <v>1842</v>
      </c>
      <c r="H266" s="2" t="s">
        <v>338</v>
      </c>
      <c r="I266" s="2" t="s">
        <v>772</v>
      </c>
      <c r="J266" s="2" t="s">
        <v>30</v>
      </c>
      <c r="K266" s="2" t="s">
        <v>30</v>
      </c>
      <c r="L266" s="2" t="s">
        <v>344</v>
      </c>
      <c r="M266" s="2" t="s">
        <v>56</v>
      </c>
      <c r="N266" s="2" t="s">
        <v>463</v>
      </c>
      <c r="O266" s="2" t="s">
        <v>153</v>
      </c>
      <c r="P266" s="2" t="s">
        <v>109</v>
      </c>
      <c r="Q266" s="2" t="s">
        <v>430</v>
      </c>
      <c r="R266" s="2" t="s">
        <v>423</v>
      </c>
      <c r="S266" s="2" t="s">
        <v>44</v>
      </c>
      <c r="T266" s="153">
        <v>3.9140000000000001</v>
      </c>
      <c r="U266" s="2" t="s">
        <v>1843</v>
      </c>
      <c r="V266" s="166">
        <v>1.3899999999999999E-2</v>
      </c>
      <c r="W266" s="168">
        <v>2.4809999999999999E-2</v>
      </c>
      <c r="X266" s="4" t="s">
        <v>429</v>
      </c>
      <c r="Y266" s="4" t="s">
        <v>153</v>
      </c>
      <c r="Z266" s="153">
        <v>56600</v>
      </c>
      <c r="AA266" s="162">
        <v>1</v>
      </c>
      <c r="AB266" s="179">
        <v>103.84</v>
      </c>
      <c r="AD266" s="153">
        <v>58.773000000000003</v>
      </c>
      <c r="AG266" s="2" t="s">
        <v>36</v>
      </c>
      <c r="AH266" s="168">
        <v>3.1000000000000001E-5</v>
      </c>
      <c r="AI266" s="168">
        <v>2.0136155532373599E-2</v>
      </c>
      <c r="AJ266" s="168">
        <v>3.6763633238796E-3</v>
      </c>
    </row>
    <row r="267" spans="1:36">
      <c r="A267" s="2">
        <v>158</v>
      </c>
      <c r="B267" s="2">
        <v>9936</v>
      </c>
      <c r="C267" s="2" t="s">
        <v>1598</v>
      </c>
      <c r="D267" s="2" t="s">
        <v>1599</v>
      </c>
      <c r="E267" s="4" t="s">
        <v>1343</v>
      </c>
      <c r="F267" s="2" t="s">
        <v>1844</v>
      </c>
      <c r="G267" s="2" t="s">
        <v>1845</v>
      </c>
      <c r="H267" s="2" t="s">
        <v>338</v>
      </c>
      <c r="I267" s="2" t="s">
        <v>772</v>
      </c>
      <c r="J267" s="2" t="s">
        <v>30</v>
      </c>
      <c r="K267" s="2" t="s">
        <v>30</v>
      </c>
      <c r="L267" s="2" t="s">
        <v>344</v>
      </c>
      <c r="M267" s="2" t="s">
        <v>56</v>
      </c>
      <c r="N267" s="2" t="s">
        <v>463</v>
      </c>
      <c r="O267" s="2" t="s">
        <v>153</v>
      </c>
      <c r="P267" s="2" t="s">
        <v>109</v>
      </c>
      <c r="Q267" s="2" t="s">
        <v>430</v>
      </c>
      <c r="R267" s="2" t="s">
        <v>423</v>
      </c>
      <c r="S267" s="2" t="s">
        <v>44</v>
      </c>
      <c r="T267" s="153">
        <v>1.905</v>
      </c>
      <c r="U267" s="2" t="s">
        <v>1846</v>
      </c>
      <c r="V267" s="166">
        <v>6.0000000000000001E-3</v>
      </c>
      <c r="W267" s="168">
        <v>2.0719999999999999E-2</v>
      </c>
      <c r="X267" s="4" t="s">
        <v>429</v>
      </c>
      <c r="Y267" s="4" t="s">
        <v>153</v>
      </c>
      <c r="Z267" s="153">
        <v>31915.34</v>
      </c>
      <c r="AA267" s="162">
        <v>1</v>
      </c>
      <c r="AB267" s="179">
        <v>113.24</v>
      </c>
      <c r="AD267" s="153">
        <v>36.140999999999998</v>
      </c>
      <c r="AG267" s="2" t="s">
        <v>36</v>
      </c>
      <c r="AH267" s="168">
        <v>3.6000000000000001E-5</v>
      </c>
      <c r="AI267" s="168">
        <v>1.23821135537236E-2</v>
      </c>
      <c r="AJ267" s="168">
        <v>2.2606672891374901E-3</v>
      </c>
    </row>
    <row r="268" spans="1:36">
      <c r="A268" s="2">
        <v>158</v>
      </c>
      <c r="B268" s="2">
        <v>9936</v>
      </c>
      <c r="C268" s="2" t="s">
        <v>1606</v>
      </c>
      <c r="D268" s="2" t="s">
        <v>1607</v>
      </c>
      <c r="E268" s="4" t="s">
        <v>1343</v>
      </c>
      <c r="F268" s="2" t="s">
        <v>2211</v>
      </c>
      <c r="G268" s="2" t="s">
        <v>2212</v>
      </c>
      <c r="H268" s="2" t="s">
        <v>338</v>
      </c>
      <c r="I268" s="2" t="s">
        <v>985</v>
      </c>
      <c r="J268" s="2" t="s">
        <v>30</v>
      </c>
      <c r="K268" s="2" t="s">
        <v>30</v>
      </c>
      <c r="L268" s="2" t="s">
        <v>344</v>
      </c>
      <c r="M268" s="2" t="s">
        <v>56</v>
      </c>
      <c r="N268" s="2" t="s">
        <v>492</v>
      </c>
      <c r="O268" s="2" t="s">
        <v>153</v>
      </c>
      <c r="P268" s="2" t="s">
        <v>1724</v>
      </c>
      <c r="Q268" s="2" t="s">
        <v>430</v>
      </c>
      <c r="R268" s="2" t="s">
        <v>423</v>
      </c>
      <c r="S268" s="2" t="s">
        <v>44</v>
      </c>
      <c r="T268" s="153">
        <v>1.327</v>
      </c>
      <c r="U268" s="2" t="s">
        <v>2213</v>
      </c>
      <c r="V268" s="166">
        <v>2.29E-2</v>
      </c>
      <c r="W268" s="168">
        <v>5.219E-2</v>
      </c>
      <c r="X268" s="4" t="s">
        <v>429</v>
      </c>
      <c r="Y268" s="4" t="s">
        <v>153</v>
      </c>
      <c r="Z268" s="153">
        <v>14358.98</v>
      </c>
      <c r="AA268" s="162">
        <v>1</v>
      </c>
      <c r="AB268" s="179">
        <v>97.05</v>
      </c>
      <c r="AD268" s="153">
        <v>13.935</v>
      </c>
      <c r="AG268" s="2" t="s">
        <v>36</v>
      </c>
      <c r="AH268" s="168">
        <v>3.4999999999999997E-5</v>
      </c>
      <c r="AI268" s="168">
        <v>4.7743535559010503E-3</v>
      </c>
      <c r="AJ268" s="168">
        <v>8.7167872138896904E-4</v>
      </c>
    </row>
    <row r="269" spans="1:36">
      <c r="A269" s="2">
        <v>158</v>
      </c>
      <c r="B269" s="2">
        <v>9936</v>
      </c>
      <c r="C269" s="2" t="s">
        <v>1929</v>
      </c>
      <c r="D269" s="2" t="s">
        <v>1930</v>
      </c>
      <c r="E269" s="4" t="s">
        <v>330</v>
      </c>
      <c r="F269" s="2" t="s">
        <v>1931</v>
      </c>
      <c r="G269" s="2" t="s">
        <v>1932</v>
      </c>
      <c r="H269" s="2" t="s">
        <v>338</v>
      </c>
      <c r="I269" s="2" t="s">
        <v>985</v>
      </c>
      <c r="J269" s="2" t="s">
        <v>30</v>
      </c>
      <c r="K269" s="2" t="s">
        <v>107</v>
      </c>
      <c r="L269" s="2" t="s">
        <v>344</v>
      </c>
      <c r="M269" s="2" t="s">
        <v>56</v>
      </c>
      <c r="N269" s="2" t="s">
        <v>480</v>
      </c>
      <c r="O269" s="2" t="s">
        <v>153</v>
      </c>
      <c r="P269" s="2" t="s">
        <v>1718</v>
      </c>
      <c r="Q269" s="2" t="s">
        <v>430</v>
      </c>
      <c r="R269" s="2" t="s">
        <v>423</v>
      </c>
      <c r="S269" s="2" t="s">
        <v>44</v>
      </c>
      <c r="T269" s="153">
        <v>1.6220000000000001</v>
      </c>
      <c r="U269" s="2" t="s">
        <v>1760</v>
      </c>
      <c r="V269" s="166">
        <v>0.09</v>
      </c>
      <c r="W269" s="168">
        <v>7.3069999999999996E-2</v>
      </c>
      <c r="X269" s="4" t="s">
        <v>429</v>
      </c>
      <c r="Y269" s="4" t="s">
        <v>153</v>
      </c>
      <c r="Z269" s="153">
        <v>15000</v>
      </c>
      <c r="AA269" s="162">
        <v>1</v>
      </c>
      <c r="AB269" s="179">
        <v>105.21</v>
      </c>
      <c r="AD269" s="153">
        <v>15.781000000000001</v>
      </c>
      <c r="AG269" s="2" t="s">
        <v>36</v>
      </c>
      <c r="AH269" s="168">
        <v>4.1999999999999998E-5</v>
      </c>
      <c r="AI269" s="168">
        <v>5.4068425896825704E-3</v>
      </c>
      <c r="AJ269" s="168">
        <v>9.8715555522708802E-4</v>
      </c>
    </row>
    <row r="270" spans="1:36">
      <c r="A270" s="2">
        <v>158</v>
      </c>
      <c r="B270" s="2">
        <v>9936</v>
      </c>
      <c r="C270" s="2" t="s">
        <v>2140</v>
      </c>
      <c r="D270" s="2" t="s">
        <v>2141</v>
      </c>
      <c r="E270" s="4" t="s">
        <v>1343</v>
      </c>
      <c r="F270" s="2" t="s">
        <v>2142</v>
      </c>
      <c r="G270" s="2" t="s">
        <v>2143</v>
      </c>
      <c r="H270" s="2" t="s">
        <v>338</v>
      </c>
      <c r="I270" s="2" t="s">
        <v>985</v>
      </c>
      <c r="J270" s="2" t="s">
        <v>30</v>
      </c>
      <c r="K270" s="2" t="s">
        <v>30</v>
      </c>
      <c r="L270" s="2" t="s">
        <v>344</v>
      </c>
      <c r="M270" s="2" t="s">
        <v>56</v>
      </c>
      <c r="N270" s="2" t="s">
        <v>480</v>
      </c>
      <c r="O270" s="2" t="s">
        <v>153</v>
      </c>
      <c r="P270" s="2" t="s">
        <v>98</v>
      </c>
      <c r="Q270" s="2" t="s">
        <v>110</v>
      </c>
      <c r="R270" s="2" t="s">
        <v>423</v>
      </c>
      <c r="S270" s="2" t="s">
        <v>44</v>
      </c>
      <c r="T270" s="153">
        <v>1.7050000000000001</v>
      </c>
      <c r="U270" s="2" t="s">
        <v>1803</v>
      </c>
      <c r="V270" s="166">
        <v>2.6499999999999999E-2</v>
      </c>
      <c r="W270" s="168">
        <v>5.5120000000000002E-2</v>
      </c>
      <c r="X270" s="4" t="s">
        <v>429</v>
      </c>
      <c r="Y270" s="4" t="s">
        <v>153</v>
      </c>
      <c r="Z270" s="153">
        <v>1069.73</v>
      </c>
      <c r="AA270" s="162">
        <v>1</v>
      </c>
      <c r="AB270" s="179">
        <v>94.77</v>
      </c>
      <c r="AD270" s="153">
        <v>1.014</v>
      </c>
      <c r="AG270" s="2" t="s">
        <v>36</v>
      </c>
      <c r="AH270" s="168">
        <v>1.9999999999999999E-6</v>
      </c>
      <c r="AI270" s="168">
        <v>3.47328565429403E-4</v>
      </c>
      <c r="AJ270" s="168">
        <v>6.3413594378899707E-5</v>
      </c>
    </row>
    <row r="271" spans="1:36">
      <c r="A271" s="2">
        <v>158</v>
      </c>
      <c r="B271" s="2">
        <v>9936</v>
      </c>
      <c r="C271" s="2" t="s">
        <v>2018</v>
      </c>
      <c r="D271" s="2" t="s">
        <v>2019</v>
      </c>
      <c r="E271" s="4" t="s">
        <v>1343</v>
      </c>
      <c r="F271" s="2" t="s">
        <v>2214</v>
      </c>
      <c r="G271" s="2" t="s">
        <v>2215</v>
      </c>
      <c r="H271" s="2" t="s">
        <v>338</v>
      </c>
      <c r="I271" s="2" t="s">
        <v>985</v>
      </c>
      <c r="J271" s="2" t="s">
        <v>30</v>
      </c>
      <c r="K271" s="2" t="s">
        <v>30</v>
      </c>
      <c r="L271" s="2" t="s">
        <v>344</v>
      </c>
      <c r="M271" s="2" t="s">
        <v>56</v>
      </c>
      <c r="N271" s="2" t="s">
        <v>477</v>
      </c>
      <c r="O271" s="2" t="s">
        <v>153</v>
      </c>
      <c r="P271" s="2" t="s">
        <v>1724</v>
      </c>
      <c r="Q271" s="2" t="s">
        <v>430</v>
      </c>
      <c r="R271" s="2" t="s">
        <v>423</v>
      </c>
      <c r="S271" s="2" t="s">
        <v>44</v>
      </c>
      <c r="T271" s="153">
        <v>2.028</v>
      </c>
      <c r="U271" s="2" t="s">
        <v>2216</v>
      </c>
      <c r="V271" s="166">
        <v>2.1499999999999998E-2</v>
      </c>
      <c r="W271" s="168">
        <v>5.7020000000000001E-2</v>
      </c>
      <c r="X271" s="4" t="s">
        <v>429</v>
      </c>
      <c r="Y271" s="4" t="s">
        <v>153</v>
      </c>
      <c r="Z271" s="153">
        <v>35000</v>
      </c>
      <c r="AA271" s="162">
        <v>1</v>
      </c>
      <c r="AB271" s="179">
        <v>93.26</v>
      </c>
      <c r="AD271" s="153">
        <v>32.640999999999998</v>
      </c>
      <c r="AG271" s="2" t="s">
        <v>36</v>
      </c>
      <c r="AH271" s="168">
        <v>3.8000000000000002E-5</v>
      </c>
      <c r="AI271" s="168">
        <v>1.11830148572587E-2</v>
      </c>
      <c r="AJ271" s="168">
        <v>2.04174156310664E-3</v>
      </c>
    </row>
    <row r="272" spans="1:36">
      <c r="A272" s="2">
        <v>158</v>
      </c>
      <c r="B272" s="2">
        <v>9936</v>
      </c>
      <c r="C272" s="2" t="s">
        <v>2217</v>
      </c>
      <c r="D272" s="2" t="s">
        <v>2218</v>
      </c>
      <c r="E272" s="4" t="s">
        <v>1343</v>
      </c>
      <c r="F272" s="2" t="s">
        <v>2219</v>
      </c>
      <c r="G272" s="2" t="s">
        <v>2220</v>
      </c>
      <c r="H272" s="2" t="s">
        <v>338</v>
      </c>
      <c r="I272" s="2" t="s">
        <v>985</v>
      </c>
      <c r="J272" s="2" t="s">
        <v>30</v>
      </c>
      <c r="K272" s="2" t="s">
        <v>30</v>
      </c>
      <c r="L272" s="2" t="s">
        <v>344</v>
      </c>
      <c r="M272" s="2" t="s">
        <v>56</v>
      </c>
      <c r="N272" s="2" t="s">
        <v>462</v>
      </c>
      <c r="O272" s="2" t="s">
        <v>153</v>
      </c>
      <c r="P272" s="2" t="s">
        <v>1746</v>
      </c>
      <c r="Q272" s="2" t="s">
        <v>110</v>
      </c>
      <c r="R272" s="2" t="s">
        <v>423</v>
      </c>
      <c r="S272" s="2" t="s">
        <v>44</v>
      </c>
      <c r="T272" s="153">
        <v>0.77500000000000002</v>
      </c>
      <c r="U272" s="2" t="s">
        <v>2221</v>
      </c>
      <c r="V272" s="166">
        <v>3.56E-2</v>
      </c>
      <c r="W272" s="168">
        <v>6.5939999999999999E-2</v>
      </c>
      <c r="X272" s="4" t="s">
        <v>429</v>
      </c>
      <c r="Y272" s="4" t="s">
        <v>153</v>
      </c>
      <c r="Z272" s="153">
        <v>0.5</v>
      </c>
      <c r="AA272" s="162">
        <v>1</v>
      </c>
      <c r="AB272" s="179">
        <v>98.56</v>
      </c>
      <c r="AD272" s="153">
        <v>0</v>
      </c>
      <c r="AG272" s="2" t="s">
        <v>36</v>
      </c>
      <c r="AH272" s="168">
        <v>0</v>
      </c>
      <c r="AI272" s="168">
        <v>1.6883642417992999E-7</v>
      </c>
      <c r="AJ272" s="168">
        <v>3.0825349783981802E-8</v>
      </c>
    </row>
    <row r="273" spans="1:36">
      <c r="A273" s="2">
        <v>158</v>
      </c>
      <c r="B273" s="2">
        <v>9936</v>
      </c>
      <c r="C273" s="2" t="s">
        <v>2144</v>
      </c>
      <c r="D273" s="2" t="s">
        <v>2145</v>
      </c>
      <c r="E273" s="4" t="s">
        <v>1343</v>
      </c>
      <c r="F273" s="2" t="s">
        <v>2149</v>
      </c>
      <c r="G273" s="2" t="s">
        <v>2150</v>
      </c>
      <c r="H273" s="2" t="s">
        <v>338</v>
      </c>
      <c r="I273" s="2" t="s">
        <v>772</v>
      </c>
      <c r="J273" s="2" t="s">
        <v>30</v>
      </c>
      <c r="K273" s="2" t="s">
        <v>30</v>
      </c>
      <c r="L273" s="2" t="s">
        <v>344</v>
      </c>
      <c r="M273" s="2" t="s">
        <v>56</v>
      </c>
      <c r="N273" s="2" t="s">
        <v>479</v>
      </c>
      <c r="O273" s="2" t="s">
        <v>153</v>
      </c>
      <c r="P273" s="2" t="s">
        <v>1718</v>
      </c>
      <c r="Q273" s="2" t="s">
        <v>430</v>
      </c>
      <c r="R273" s="2" t="s">
        <v>423</v>
      </c>
      <c r="S273" s="2" t="s">
        <v>44</v>
      </c>
      <c r="T273" s="153">
        <v>3.4790000000000001</v>
      </c>
      <c r="U273" s="2" t="s">
        <v>1777</v>
      </c>
      <c r="V273" s="166">
        <v>3.5000000000000003E-2</v>
      </c>
      <c r="W273" s="168">
        <v>2.8889999999999999E-2</v>
      </c>
      <c r="X273" s="4" t="s">
        <v>429</v>
      </c>
      <c r="Y273" s="4" t="s">
        <v>153</v>
      </c>
      <c r="Z273" s="153">
        <v>24418.6</v>
      </c>
      <c r="AA273" s="162">
        <v>1</v>
      </c>
      <c r="AB273" s="179">
        <v>119.87</v>
      </c>
      <c r="AD273" s="153">
        <v>29.271000000000001</v>
      </c>
      <c r="AG273" s="2" t="s">
        <v>36</v>
      </c>
      <c r="AH273" s="168">
        <v>2.8E-5</v>
      </c>
      <c r="AI273" s="168">
        <v>1.00282860290916E-2</v>
      </c>
      <c r="AJ273" s="168">
        <v>1.83091667619736E-3</v>
      </c>
    </row>
    <row r="274" spans="1:36">
      <c r="A274" s="2">
        <v>158</v>
      </c>
      <c r="B274" s="2">
        <v>9936</v>
      </c>
      <c r="C274" s="2" t="s">
        <v>2144</v>
      </c>
      <c r="D274" s="2" t="s">
        <v>2145</v>
      </c>
      <c r="E274" s="4" t="s">
        <v>1343</v>
      </c>
      <c r="F274" s="2" t="s">
        <v>2222</v>
      </c>
      <c r="G274" s="2" t="s">
        <v>2223</v>
      </c>
      <c r="H274" s="2" t="s">
        <v>338</v>
      </c>
      <c r="I274" s="2" t="s">
        <v>772</v>
      </c>
      <c r="J274" s="2" t="s">
        <v>30</v>
      </c>
      <c r="K274" s="2" t="s">
        <v>30</v>
      </c>
      <c r="L274" s="2" t="s">
        <v>344</v>
      </c>
      <c r="M274" s="2" t="s">
        <v>56</v>
      </c>
      <c r="N274" s="2" t="s">
        <v>479</v>
      </c>
      <c r="O274" s="2" t="s">
        <v>153</v>
      </c>
      <c r="P274" s="2" t="s">
        <v>1718</v>
      </c>
      <c r="Q274" s="2" t="s">
        <v>430</v>
      </c>
      <c r="R274" s="2" t="s">
        <v>423</v>
      </c>
      <c r="S274" s="2" t="s">
        <v>44</v>
      </c>
      <c r="T274" s="153">
        <v>2.1379999999999999</v>
      </c>
      <c r="U274" s="2" t="s">
        <v>2224</v>
      </c>
      <c r="V274" s="166">
        <v>0.04</v>
      </c>
      <c r="W274" s="168">
        <v>2.6339999999999999E-2</v>
      </c>
      <c r="X274" s="4" t="s">
        <v>429</v>
      </c>
      <c r="Y274" s="4" t="s">
        <v>153</v>
      </c>
      <c r="Z274" s="153">
        <v>12733</v>
      </c>
      <c r="AA274" s="162">
        <v>1</v>
      </c>
      <c r="AB274" s="179">
        <v>119.57</v>
      </c>
      <c r="AD274" s="153">
        <v>15.225</v>
      </c>
      <c r="AG274" s="2" t="s">
        <v>36</v>
      </c>
      <c r="AH274" s="168">
        <v>1.2999999999999999E-5</v>
      </c>
      <c r="AI274" s="168">
        <v>5.2161300971725003E-3</v>
      </c>
      <c r="AJ274" s="168">
        <v>9.5233617713167795E-4</v>
      </c>
    </row>
    <row r="275" spans="1:36">
      <c r="A275" s="2">
        <v>158</v>
      </c>
      <c r="B275" s="2">
        <v>9936</v>
      </c>
      <c r="C275" s="2" t="s">
        <v>1852</v>
      </c>
      <c r="D275" s="2" t="s">
        <v>1853</v>
      </c>
      <c r="E275" s="4" t="s">
        <v>1343</v>
      </c>
      <c r="F275" s="2" t="s">
        <v>1854</v>
      </c>
      <c r="G275" s="2" t="s">
        <v>1855</v>
      </c>
      <c r="H275" s="2" t="s">
        <v>338</v>
      </c>
      <c r="I275" s="2" t="s">
        <v>985</v>
      </c>
      <c r="J275" s="2" t="s">
        <v>30</v>
      </c>
      <c r="K275" s="2" t="s">
        <v>30</v>
      </c>
      <c r="L275" s="2" t="s">
        <v>344</v>
      </c>
      <c r="M275" s="2" t="s">
        <v>56</v>
      </c>
      <c r="N275" s="2" t="s">
        <v>491</v>
      </c>
      <c r="O275" s="2" t="s">
        <v>153</v>
      </c>
      <c r="P275" s="2" t="s">
        <v>1718</v>
      </c>
      <c r="Q275" s="2" t="s">
        <v>430</v>
      </c>
      <c r="R275" s="2" t="s">
        <v>423</v>
      </c>
      <c r="S275" s="2" t="s">
        <v>44</v>
      </c>
      <c r="T275" s="153">
        <v>2.863</v>
      </c>
      <c r="U275" s="2" t="s">
        <v>1856</v>
      </c>
      <c r="V275" s="166">
        <v>5.0900000000000001E-2</v>
      </c>
      <c r="W275" s="168">
        <v>5.2699999999999997E-2</v>
      </c>
      <c r="X275" s="4" t="s">
        <v>429</v>
      </c>
      <c r="Y275" s="4" t="s">
        <v>153</v>
      </c>
      <c r="Z275" s="153">
        <v>77500</v>
      </c>
      <c r="AA275" s="162">
        <v>1</v>
      </c>
      <c r="AB275" s="179">
        <v>99.41</v>
      </c>
      <c r="AC275" s="153">
        <v>9.7899999999999991</v>
      </c>
      <c r="AD275" s="153">
        <v>86.832999999999998</v>
      </c>
      <c r="AG275" s="2" t="s">
        <v>36</v>
      </c>
      <c r="AH275" s="168">
        <v>1.25E-4</v>
      </c>
      <c r="AI275" s="168">
        <v>2.9749625466562402E-2</v>
      </c>
      <c r="AJ275" s="168">
        <v>5.4315448541597802E-3</v>
      </c>
    </row>
    <row r="276" spans="1:36">
      <c r="A276" s="2">
        <v>158</v>
      </c>
      <c r="B276" s="2">
        <v>9936</v>
      </c>
      <c r="C276" s="2" t="s">
        <v>2030</v>
      </c>
      <c r="D276" s="2" t="s">
        <v>2031</v>
      </c>
      <c r="E276" s="4" t="s">
        <v>1343</v>
      </c>
      <c r="F276" s="2" t="s">
        <v>2151</v>
      </c>
      <c r="G276" s="2" t="s">
        <v>2152</v>
      </c>
      <c r="H276" s="2" t="s">
        <v>338</v>
      </c>
      <c r="I276" s="2" t="s">
        <v>773</v>
      </c>
      <c r="J276" s="2" t="s">
        <v>30</v>
      </c>
      <c r="K276" s="2" t="s">
        <v>30</v>
      </c>
      <c r="L276" s="2" t="s">
        <v>344</v>
      </c>
      <c r="M276" s="2" t="s">
        <v>56</v>
      </c>
      <c r="N276" s="2" t="s">
        <v>469</v>
      </c>
      <c r="O276" s="2" t="s">
        <v>153</v>
      </c>
      <c r="P276" s="2" t="s">
        <v>32</v>
      </c>
      <c r="Q276" s="2" t="s">
        <v>110</v>
      </c>
      <c r="R276" s="2" t="s">
        <v>423</v>
      </c>
      <c r="S276" s="2" t="s">
        <v>44</v>
      </c>
      <c r="T276" s="153">
        <v>3.129</v>
      </c>
      <c r="U276" s="2" t="s">
        <v>2034</v>
      </c>
      <c r="V276" s="166">
        <v>4.6899999999999997E-2</v>
      </c>
      <c r="W276" s="168">
        <v>7.5190000000000007E-2</v>
      </c>
      <c r="X276" s="4" t="s">
        <v>429</v>
      </c>
      <c r="Y276" s="4" t="s">
        <v>153</v>
      </c>
      <c r="Z276" s="153">
        <v>27847.69</v>
      </c>
      <c r="AA276" s="162">
        <v>1</v>
      </c>
      <c r="AB276" s="179">
        <v>99.56</v>
      </c>
      <c r="AD276" s="153">
        <v>27.725000000000001</v>
      </c>
      <c r="AG276" s="2" t="s">
        <v>36</v>
      </c>
      <c r="AH276" s="168">
        <v>2.4000000000000001E-5</v>
      </c>
      <c r="AI276" s="168">
        <v>9.4988167652305493E-3</v>
      </c>
      <c r="AJ276" s="168">
        <v>1.7342487010394E-3</v>
      </c>
    </row>
    <row r="277" spans="1:36">
      <c r="A277" s="2">
        <v>158</v>
      </c>
      <c r="B277" s="2">
        <v>9936</v>
      </c>
      <c r="C277" s="2" t="s">
        <v>2030</v>
      </c>
      <c r="D277" s="2" t="s">
        <v>2031</v>
      </c>
      <c r="E277" s="4" t="s">
        <v>1343</v>
      </c>
      <c r="F277" s="2" t="s">
        <v>2032</v>
      </c>
      <c r="G277" s="2" t="s">
        <v>2033</v>
      </c>
      <c r="H277" s="2" t="s">
        <v>338</v>
      </c>
      <c r="I277" s="2" t="s">
        <v>773</v>
      </c>
      <c r="J277" s="2" t="s">
        <v>30</v>
      </c>
      <c r="K277" s="2" t="s">
        <v>30</v>
      </c>
      <c r="L277" s="2" t="s">
        <v>344</v>
      </c>
      <c r="M277" s="2" t="s">
        <v>56</v>
      </c>
      <c r="N277" s="2" t="s">
        <v>469</v>
      </c>
      <c r="O277" s="2" t="s">
        <v>153</v>
      </c>
      <c r="P277" s="2" t="s">
        <v>32</v>
      </c>
      <c r="Q277" s="2" t="s">
        <v>110</v>
      </c>
      <c r="R277" s="2" t="s">
        <v>423</v>
      </c>
      <c r="S277" s="2" t="s">
        <v>44</v>
      </c>
      <c r="T277" s="153">
        <v>2.9740000000000002</v>
      </c>
      <c r="U277" s="2" t="s">
        <v>2034</v>
      </c>
      <c r="V277" s="166">
        <v>4.6899999999999997E-2</v>
      </c>
      <c r="W277" s="168">
        <v>7.6020000000000004E-2</v>
      </c>
      <c r="X277" s="4" t="s">
        <v>429</v>
      </c>
      <c r="Y277" s="4" t="s">
        <v>153</v>
      </c>
      <c r="Z277" s="153">
        <v>31554.17</v>
      </c>
      <c r="AA277" s="162">
        <v>1</v>
      </c>
      <c r="AB277" s="179">
        <v>97.95</v>
      </c>
      <c r="AD277" s="153">
        <v>30.907</v>
      </c>
      <c r="AG277" s="2" t="s">
        <v>36</v>
      </c>
      <c r="AH277" s="168">
        <v>2.3E-5</v>
      </c>
      <c r="AI277" s="168">
        <v>1.0589041435744601E-2</v>
      </c>
      <c r="AJ277" s="168">
        <v>1.9332967262209099E-3</v>
      </c>
    </row>
    <row r="278" spans="1:36">
      <c r="A278" s="2">
        <v>158</v>
      </c>
      <c r="B278" s="2">
        <v>9936</v>
      </c>
      <c r="C278" s="2" t="s">
        <v>2153</v>
      </c>
      <c r="D278" s="2" t="s">
        <v>2154</v>
      </c>
      <c r="E278" s="4" t="s">
        <v>330</v>
      </c>
      <c r="F278" s="2" t="s">
        <v>2155</v>
      </c>
      <c r="G278" s="2" t="s">
        <v>2156</v>
      </c>
      <c r="H278" s="2" t="s">
        <v>338</v>
      </c>
      <c r="I278" s="2" t="s">
        <v>773</v>
      </c>
      <c r="J278" s="2" t="s">
        <v>106</v>
      </c>
      <c r="K278" s="2" t="s">
        <v>315</v>
      </c>
      <c r="L278" s="2" t="s">
        <v>344</v>
      </c>
      <c r="M278" s="2" t="s">
        <v>31</v>
      </c>
      <c r="N278" s="2" t="s">
        <v>469</v>
      </c>
      <c r="O278" s="2" t="s">
        <v>153</v>
      </c>
      <c r="P278" s="2" t="s">
        <v>1876</v>
      </c>
      <c r="Q278" s="2" t="s">
        <v>448</v>
      </c>
      <c r="R278" s="2" t="s">
        <v>423</v>
      </c>
      <c r="S278" s="2" t="s">
        <v>34</v>
      </c>
      <c r="T278" s="153">
        <v>5.3319999999999999</v>
      </c>
      <c r="U278" s="2" t="s">
        <v>2157</v>
      </c>
      <c r="V278" s="166">
        <v>5.8749999999999997E-2</v>
      </c>
      <c r="W278" s="168">
        <v>8.3099999999999993E-2</v>
      </c>
      <c r="X278" s="4" t="s">
        <v>429</v>
      </c>
      <c r="Y278" s="4" t="s">
        <v>153</v>
      </c>
      <c r="Z278" s="153">
        <v>4000</v>
      </c>
      <c r="AA278" s="162">
        <v>3.71</v>
      </c>
      <c r="AB278" s="179">
        <v>85.474000000000004</v>
      </c>
      <c r="AD278" s="153">
        <v>12.683999999999999</v>
      </c>
      <c r="AG278" s="2" t="s">
        <v>36</v>
      </c>
      <c r="AH278" s="168">
        <v>6.0000000000000002E-6</v>
      </c>
      <c r="AI278" s="168">
        <v>4.3457516140794298E-3</v>
      </c>
      <c r="AJ278" s="168">
        <v>7.9342662123393698E-4</v>
      </c>
    </row>
    <row r="279" spans="1:36">
      <c r="A279" s="2">
        <v>158</v>
      </c>
      <c r="B279" s="2">
        <v>9936</v>
      </c>
      <c r="C279" s="2" t="s">
        <v>2158</v>
      </c>
      <c r="D279" s="2" t="s">
        <v>2159</v>
      </c>
      <c r="E279" s="4" t="s">
        <v>331</v>
      </c>
      <c r="F279" s="2" t="s">
        <v>2160</v>
      </c>
      <c r="G279" s="2" t="s">
        <v>2161</v>
      </c>
      <c r="H279" s="2" t="s">
        <v>338</v>
      </c>
      <c r="I279" s="2" t="s">
        <v>773</v>
      </c>
      <c r="J279" s="2" t="s">
        <v>106</v>
      </c>
      <c r="K279" s="2" t="s">
        <v>107</v>
      </c>
      <c r="L279" s="2" t="s">
        <v>344</v>
      </c>
      <c r="M279" s="2" t="s">
        <v>31</v>
      </c>
      <c r="N279" s="2" t="s">
        <v>552</v>
      </c>
      <c r="O279" s="2" t="s">
        <v>153</v>
      </c>
      <c r="P279" s="2" t="s">
        <v>1746</v>
      </c>
      <c r="Q279" s="2" t="s">
        <v>448</v>
      </c>
      <c r="R279" s="2" t="s">
        <v>423</v>
      </c>
      <c r="S279" s="2" t="s">
        <v>34</v>
      </c>
      <c r="T279" s="153">
        <v>6.492</v>
      </c>
      <c r="U279" s="2" t="s">
        <v>2162</v>
      </c>
      <c r="V279" s="166">
        <v>4.9119999999999997E-2</v>
      </c>
      <c r="W279" s="168">
        <v>4.9750000000000003E-2</v>
      </c>
      <c r="X279" s="4" t="s">
        <v>429</v>
      </c>
      <c r="Y279" s="4" t="s">
        <v>153</v>
      </c>
      <c r="Z279" s="153">
        <v>3000</v>
      </c>
      <c r="AA279" s="162">
        <v>3.71</v>
      </c>
      <c r="AB279" s="179">
        <v>103.09399999999999</v>
      </c>
      <c r="AD279" s="153">
        <v>11.474</v>
      </c>
      <c r="AG279" s="2" t="s">
        <v>36</v>
      </c>
      <c r="AH279" s="168">
        <v>9.9999999999999995E-7</v>
      </c>
      <c r="AI279" s="168">
        <v>3.9311706328051003E-3</v>
      </c>
      <c r="AJ279" s="168">
        <v>7.1773440124266196E-4</v>
      </c>
    </row>
    <row r="280" spans="1:36">
      <c r="A280" s="2">
        <v>158</v>
      </c>
      <c r="B280" s="2">
        <v>9936</v>
      </c>
      <c r="C280" s="2" t="s">
        <v>1196</v>
      </c>
      <c r="D280" s="2" t="s">
        <v>1567</v>
      </c>
      <c r="E280" s="4" t="s">
        <v>1343</v>
      </c>
      <c r="F280" s="2" t="s">
        <v>1933</v>
      </c>
      <c r="G280" s="2" t="s">
        <v>1934</v>
      </c>
      <c r="H280" s="2" t="s">
        <v>338</v>
      </c>
      <c r="I280" s="2" t="s">
        <v>773</v>
      </c>
      <c r="J280" s="2" t="s">
        <v>106</v>
      </c>
      <c r="K280" s="2" t="s">
        <v>30</v>
      </c>
      <c r="L280" s="2" t="s">
        <v>344</v>
      </c>
      <c r="M280" s="2" t="s">
        <v>31</v>
      </c>
      <c r="N280" s="2" t="s">
        <v>552</v>
      </c>
      <c r="O280" s="2" t="s">
        <v>153</v>
      </c>
      <c r="P280" s="2" t="s">
        <v>1935</v>
      </c>
      <c r="Q280" s="2" t="s">
        <v>448</v>
      </c>
      <c r="R280" s="2" t="s">
        <v>423</v>
      </c>
      <c r="S280" s="2" t="s">
        <v>34</v>
      </c>
      <c r="T280" s="153">
        <v>5.4939999999999998</v>
      </c>
      <c r="U280" s="2" t="s">
        <v>1936</v>
      </c>
      <c r="V280" s="166">
        <v>3.2750000000000001E-2</v>
      </c>
      <c r="W280" s="168">
        <v>6.0199999999999997E-2</v>
      </c>
      <c r="X280" s="4" t="s">
        <v>429</v>
      </c>
      <c r="Y280" s="4" t="s">
        <v>153</v>
      </c>
      <c r="Z280" s="153">
        <v>4000</v>
      </c>
      <c r="AA280" s="162">
        <v>3.71</v>
      </c>
      <c r="AB280" s="179">
        <v>95.807000000000002</v>
      </c>
      <c r="AD280" s="153">
        <v>14.218</v>
      </c>
      <c r="AG280" s="2" t="s">
        <v>36</v>
      </c>
      <c r="AH280" s="168">
        <v>5.0000000000000004E-6</v>
      </c>
      <c r="AI280" s="168">
        <v>4.8710999618045304E-3</v>
      </c>
      <c r="AJ280" s="168">
        <v>8.8934221916087E-4</v>
      </c>
    </row>
    <row r="281" spans="1:36">
      <c r="A281" s="2">
        <v>158</v>
      </c>
      <c r="B281" s="2">
        <v>9936</v>
      </c>
      <c r="C281" s="2" t="s">
        <v>1872</v>
      </c>
      <c r="D281" s="2" t="s">
        <v>1873</v>
      </c>
      <c r="E281" s="4" t="s">
        <v>1343</v>
      </c>
      <c r="F281" s="2" t="s">
        <v>1937</v>
      </c>
      <c r="G281" s="2" t="s">
        <v>1938</v>
      </c>
      <c r="H281" s="2" t="s">
        <v>338</v>
      </c>
      <c r="I281" s="2" t="s">
        <v>773</v>
      </c>
      <c r="J281" s="2" t="s">
        <v>106</v>
      </c>
      <c r="K281" s="2" t="s">
        <v>30</v>
      </c>
      <c r="L281" s="2" t="s">
        <v>344</v>
      </c>
      <c r="M281" s="2" t="s">
        <v>31</v>
      </c>
      <c r="N281" s="2" t="s">
        <v>502</v>
      </c>
      <c r="O281" s="2" t="s">
        <v>153</v>
      </c>
      <c r="P281" s="2" t="s">
        <v>1876</v>
      </c>
      <c r="Q281" s="2" t="s">
        <v>430</v>
      </c>
      <c r="R281" s="2" t="s">
        <v>423</v>
      </c>
      <c r="S281" s="2" t="s">
        <v>34</v>
      </c>
      <c r="T281" s="153">
        <v>2.4660000000000002</v>
      </c>
      <c r="U281" s="2" t="s">
        <v>1887</v>
      </c>
      <c r="V281" s="166">
        <v>6.5000000000000002E-2</v>
      </c>
      <c r="W281" s="168">
        <v>8.4129999999999996E-2</v>
      </c>
      <c r="X281" s="4" t="s">
        <v>429</v>
      </c>
      <c r="Y281" s="4" t="s">
        <v>153</v>
      </c>
      <c r="Z281" s="153">
        <v>2000</v>
      </c>
      <c r="AA281" s="162">
        <v>3.71</v>
      </c>
      <c r="AB281" s="179">
        <v>96.786000000000001</v>
      </c>
      <c r="AD281" s="153">
        <v>7.1820000000000004</v>
      </c>
      <c r="AG281" s="2" t="s">
        <v>36</v>
      </c>
      <c r="AH281" s="168">
        <v>3.0000000000000001E-6</v>
      </c>
      <c r="AI281" s="168">
        <v>2.46043752505404E-3</v>
      </c>
      <c r="AJ281" s="168">
        <v>4.4921495879703002E-4</v>
      </c>
    </row>
    <row r="282" spans="1:36">
      <c r="A282" s="2">
        <v>158</v>
      </c>
      <c r="B282" s="2">
        <v>9936</v>
      </c>
      <c r="C282" s="2" t="s">
        <v>1570</v>
      </c>
      <c r="D282" s="2" t="s">
        <v>1571</v>
      </c>
      <c r="E282" s="4" t="s">
        <v>1343</v>
      </c>
      <c r="F282" s="2" t="s">
        <v>1939</v>
      </c>
      <c r="G282" s="2" t="s">
        <v>1940</v>
      </c>
      <c r="H282" s="2" t="s">
        <v>338</v>
      </c>
      <c r="I282" s="2" t="s">
        <v>773</v>
      </c>
      <c r="J282" s="2" t="s">
        <v>106</v>
      </c>
      <c r="K282" s="2" t="s">
        <v>30</v>
      </c>
      <c r="L282" s="2" t="s">
        <v>344</v>
      </c>
      <c r="M282" s="2" t="s">
        <v>31</v>
      </c>
      <c r="N282" s="2" t="s">
        <v>552</v>
      </c>
      <c r="O282" s="2" t="s">
        <v>153</v>
      </c>
      <c r="P282" s="2" t="s">
        <v>1935</v>
      </c>
      <c r="Q282" s="2" t="s">
        <v>448</v>
      </c>
      <c r="R282" s="2" t="s">
        <v>423</v>
      </c>
      <c r="S282" s="2" t="s">
        <v>34</v>
      </c>
      <c r="T282" s="153">
        <v>5.6210000000000004</v>
      </c>
      <c r="U282" s="2" t="s">
        <v>1941</v>
      </c>
      <c r="V282" s="166">
        <v>3.0769999999999999E-2</v>
      </c>
      <c r="W282" s="168">
        <v>6.5729999999999997E-2</v>
      </c>
      <c r="X282" s="4" t="s">
        <v>429</v>
      </c>
      <c r="Y282" s="4" t="s">
        <v>153</v>
      </c>
      <c r="Z282" s="153">
        <v>4000</v>
      </c>
      <c r="AA282" s="162">
        <v>3.71</v>
      </c>
      <c r="AB282" s="179">
        <v>95.573999999999998</v>
      </c>
      <c r="AD282" s="153">
        <v>14.183</v>
      </c>
      <c r="AG282" s="2" t="s">
        <v>36</v>
      </c>
      <c r="AH282" s="168">
        <v>6.9999999999999999E-6</v>
      </c>
      <c r="AI282" s="168">
        <v>4.8592535924738599E-3</v>
      </c>
      <c r="AJ282" s="168">
        <v>8.8717936549903803E-4</v>
      </c>
    </row>
    <row r="283" spans="1:36">
      <c r="A283" s="2">
        <v>158</v>
      </c>
      <c r="B283" s="2">
        <v>9936</v>
      </c>
      <c r="C283" s="2" t="s">
        <v>1942</v>
      </c>
      <c r="D283" s="2" t="s">
        <v>1943</v>
      </c>
      <c r="E283" s="4" t="s">
        <v>331</v>
      </c>
      <c r="F283" s="2" t="s">
        <v>1944</v>
      </c>
      <c r="G283" s="2" t="s">
        <v>1945</v>
      </c>
      <c r="H283" s="2" t="s">
        <v>338</v>
      </c>
      <c r="I283" s="2" t="s">
        <v>773</v>
      </c>
      <c r="J283" s="2" t="s">
        <v>106</v>
      </c>
      <c r="K283" s="2" t="s">
        <v>257</v>
      </c>
      <c r="L283" s="2" t="s">
        <v>344</v>
      </c>
      <c r="M283" s="2" t="s">
        <v>31</v>
      </c>
      <c r="N283" s="2" t="s">
        <v>584</v>
      </c>
      <c r="O283" s="2" t="s">
        <v>153</v>
      </c>
      <c r="P283" s="2" t="s">
        <v>1946</v>
      </c>
      <c r="Q283" s="2" t="s">
        <v>33</v>
      </c>
      <c r="R283" s="2" t="s">
        <v>423</v>
      </c>
      <c r="S283" s="2" t="s">
        <v>1199</v>
      </c>
      <c r="T283" s="153">
        <v>0.28599999999999998</v>
      </c>
      <c r="U283" s="2" t="s">
        <v>1947</v>
      </c>
      <c r="V283" s="166">
        <v>0.02</v>
      </c>
      <c r="W283" s="168">
        <v>8.9560000000000001E-2</v>
      </c>
      <c r="X283" s="4" t="s">
        <v>429</v>
      </c>
      <c r="Y283" s="4" t="s">
        <v>153</v>
      </c>
      <c r="Z283" s="153">
        <v>2000</v>
      </c>
      <c r="AA283" s="162">
        <v>4.1524000000000001</v>
      </c>
      <c r="AB283" s="179">
        <v>98.552999999999997</v>
      </c>
      <c r="AD283" s="153">
        <v>8.1850000000000005</v>
      </c>
      <c r="AG283" s="2" t="s">
        <v>36</v>
      </c>
      <c r="AH283" s="168">
        <v>6.9999999999999999E-6</v>
      </c>
      <c r="AI283" s="168">
        <v>2.8041205280236502E-3</v>
      </c>
      <c r="AJ283" s="168">
        <v>5.1196296375392901E-4</v>
      </c>
    </row>
    <row r="284" spans="1:36">
      <c r="A284" s="2">
        <v>158</v>
      </c>
      <c r="B284" s="2">
        <v>9936</v>
      </c>
      <c r="C284" s="2" t="s">
        <v>2163</v>
      </c>
      <c r="D284" s="2" t="s">
        <v>2164</v>
      </c>
      <c r="E284" s="4" t="s">
        <v>329</v>
      </c>
      <c r="F284" s="2" t="s">
        <v>2165</v>
      </c>
      <c r="G284" s="2" t="s">
        <v>2166</v>
      </c>
      <c r="H284" s="2" t="s">
        <v>338</v>
      </c>
      <c r="I284" s="2" t="s">
        <v>985</v>
      </c>
      <c r="J284" s="2" t="s">
        <v>106</v>
      </c>
      <c r="K284" s="2" t="s">
        <v>107</v>
      </c>
      <c r="L284" s="2" t="s">
        <v>346</v>
      </c>
      <c r="M284" s="2" t="s">
        <v>56</v>
      </c>
      <c r="N284" s="2" t="s">
        <v>469</v>
      </c>
      <c r="O284" s="2" t="s">
        <v>153</v>
      </c>
      <c r="P284" s="2" t="s">
        <v>1746</v>
      </c>
      <c r="Q284" s="2" t="s">
        <v>430</v>
      </c>
      <c r="R284" s="2" t="s">
        <v>423</v>
      </c>
      <c r="S284" s="2" t="s">
        <v>44</v>
      </c>
      <c r="T284" s="153">
        <v>0</v>
      </c>
      <c r="U284" s="2" t="s">
        <v>2167</v>
      </c>
      <c r="V284" s="166">
        <v>6.5000000000000002E-2</v>
      </c>
      <c r="W284" s="168">
        <v>0</v>
      </c>
      <c r="X284" s="4" t="s">
        <v>429</v>
      </c>
      <c r="Y284" s="4" t="s">
        <v>153</v>
      </c>
      <c r="Z284" s="153">
        <v>29000</v>
      </c>
      <c r="AA284" s="162">
        <v>1</v>
      </c>
      <c r="AB284" s="179">
        <v>100.236</v>
      </c>
      <c r="AD284" s="153">
        <v>29.068999999999999</v>
      </c>
      <c r="AG284" s="2" t="s">
        <v>36</v>
      </c>
      <c r="AH284" s="168">
        <v>0</v>
      </c>
      <c r="AI284" s="168">
        <v>9.9590727498256107E-3</v>
      </c>
      <c r="AJ284" s="168">
        <v>1.8182800454855201E-3</v>
      </c>
    </row>
    <row r="285" spans="1:36">
      <c r="A285" s="2">
        <v>158</v>
      </c>
      <c r="B285" s="2">
        <v>9937</v>
      </c>
      <c r="C285" s="2" t="s">
        <v>2036</v>
      </c>
      <c r="D285" s="2" t="s">
        <v>2037</v>
      </c>
      <c r="E285" s="4" t="s">
        <v>1343</v>
      </c>
      <c r="F285" s="2" t="s">
        <v>2038</v>
      </c>
      <c r="G285" s="2" t="s">
        <v>2039</v>
      </c>
      <c r="H285" s="2" t="s">
        <v>338</v>
      </c>
      <c r="I285" s="2" t="s">
        <v>772</v>
      </c>
      <c r="J285" s="2" t="s">
        <v>30</v>
      </c>
      <c r="K285" s="2" t="s">
        <v>30</v>
      </c>
      <c r="L285" s="2" t="s">
        <v>344</v>
      </c>
      <c r="M285" s="2" t="s">
        <v>56</v>
      </c>
      <c r="N285" s="2" t="s">
        <v>471</v>
      </c>
      <c r="O285" s="2" t="s">
        <v>153</v>
      </c>
      <c r="P285" s="2" t="s">
        <v>1724</v>
      </c>
      <c r="Q285" s="2" t="s">
        <v>430</v>
      </c>
      <c r="R285" s="2" t="s">
        <v>423</v>
      </c>
      <c r="S285" s="2" t="s">
        <v>44</v>
      </c>
      <c r="T285" s="153">
        <v>4.1390000000000002</v>
      </c>
      <c r="U285" s="2" t="s">
        <v>2040</v>
      </c>
      <c r="V285" s="166">
        <v>5.1499999999999997E-2</v>
      </c>
      <c r="W285" s="168">
        <v>5.1479999999999998E-2</v>
      </c>
      <c r="X285" s="4" t="s">
        <v>429</v>
      </c>
      <c r="Y285" s="4" t="s">
        <v>153</v>
      </c>
      <c r="Z285" s="153">
        <v>0.14000000000000001</v>
      </c>
      <c r="AA285" s="162">
        <v>1</v>
      </c>
      <c r="AB285" s="179">
        <v>141.9</v>
      </c>
      <c r="AD285" s="153">
        <v>0</v>
      </c>
      <c r="AG285" s="2" t="s">
        <v>36</v>
      </c>
      <c r="AH285" s="168">
        <v>0</v>
      </c>
      <c r="AI285" s="168">
        <v>2.8822363087401801E-8</v>
      </c>
      <c r="AJ285" s="168">
        <v>6.3413356340462997E-9</v>
      </c>
    </row>
    <row r="286" spans="1:36">
      <c r="A286" s="2">
        <v>158</v>
      </c>
      <c r="B286" s="2">
        <v>9937</v>
      </c>
      <c r="C286" s="2" t="s">
        <v>1714</v>
      </c>
      <c r="D286" s="2" t="s">
        <v>1715</v>
      </c>
      <c r="E286" s="4" t="s">
        <v>1343</v>
      </c>
      <c r="F286" s="2" t="s">
        <v>1716</v>
      </c>
      <c r="G286" s="2" t="s">
        <v>1717</v>
      </c>
      <c r="H286" s="2" t="s">
        <v>338</v>
      </c>
      <c r="I286" s="2" t="s">
        <v>772</v>
      </c>
      <c r="J286" s="2" t="s">
        <v>30</v>
      </c>
      <c r="K286" s="2" t="s">
        <v>30</v>
      </c>
      <c r="L286" s="2" t="s">
        <v>344</v>
      </c>
      <c r="M286" s="2" t="s">
        <v>56</v>
      </c>
      <c r="N286" s="2" t="s">
        <v>479</v>
      </c>
      <c r="O286" s="2" t="s">
        <v>153</v>
      </c>
      <c r="P286" s="2" t="s">
        <v>1718</v>
      </c>
      <c r="Q286" s="2" t="s">
        <v>430</v>
      </c>
      <c r="R286" s="2" t="s">
        <v>423</v>
      </c>
      <c r="S286" s="2" t="s">
        <v>44</v>
      </c>
      <c r="T286" s="153">
        <v>2.012</v>
      </c>
      <c r="U286" s="2" t="s">
        <v>102</v>
      </c>
      <c r="V286" s="166">
        <v>2.3400000000000001E-2</v>
      </c>
      <c r="W286" s="168">
        <v>2.664E-2</v>
      </c>
      <c r="X286" s="4" t="s">
        <v>429</v>
      </c>
      <c r="Y286" s="4" t="s">
        <v>153</v>
      </c>
      <c r="Z286" s="153">
        <v>108800</v>
      </c>
      <c r="AA286" s="162">
        <v>1</v>
      </c>
      <c r="AB286" s="179">
        <v>115.87</v>
      </c>
      <c r="AD286" s="153">
        <v>126.06699999999999</v>
      </c>
      <c r="AG286" s="2" t="s">
        <v>36</v>
      </c>
      <c r="AH286" s="168">
        <v>5.1999999999999997E-5</v>
      </c>
      <c r="AI286" s="168">
        <v>1.8290225337258301E-2</v>
      </c>
      <c r="AJ286" s="168">
        <v>4.0241134057668196E-3</v>
      </c>
    </row>
    <row r="287" spans="1:36">
      <c r="A287" s="2">
        <v>158</v>
      </c>
      <c r="B287" s="2">
        <v>9937</v>
      </c>
      <c r="C287" s="2" t="s">
        <v>1515</v>
      </c>
      <c r="D287" s="2" t="s">
        <v>1516</v>
      </c>
      <c r="E287" s="4" t="s">
        <v>1343</v>
      </c>
      <c r="F287" s="2" t="s">
        <v>1719</v>
      </c>
      <c r="G287" s="2" t="s">
        <v>1720</v>
      </c>
      <c r="H287" s="2" t="s">
        <v>338</v>
      </c>
      <c r="I287" s="2" t="s">
        <v>985</v>
      </c>
      <c r="J287" s="2" t="s">
        <v>30</v>
      </c>
      <c r="K287" s="2" t="s">
        <v>30</v>
      </c>
      <c r="L287" s="2" t="s">
        <v>344</v>
      </c>
      <c r="M287" s="2" t="s">
        <v>56</v>
      </c>
      <c r="N287" s="2" t="s">
        <v>461</v>
      </c>
      <c r="O287" s="2" t="s">
        <v>153</v>
      </c>
      <c r="P287" s="2" t="s">
        <v>1718</v>
      </c>
      <c r="Q287" s="2" t="s">
        <v>430</v>
      </c>
      <c r="R287" s="2" t="s">
        <v>423</v>
      </c>
      <c r="S287" s="2" t="s">
        <v>44</v>
      </c>
      <c r="T287" s="153">
        <v>2.6160000000000001</v>
      </c>
      <c r="U287" s="2" t="s">
        <v>1721</v>
      </c>
      <c r="V287" s="166">
        <v>1.0800000000000001E-2</v>
      </c>
      <c r="W287" s="168">
        <v>5.2200000000000003E-2</v>
      </c>
      <c r="X287" s="4" t="s">
        <v>429</v>
      </c>
      <c r="Y287" s="4" t="s">
        <v>153</v>
      </c>
      <c r="Z287" s="153">
        <v>46340</v>
      </c>
      <c r="AA287" s="162">
        <v>1</v>
      </c>
      <c r="AB287" s="179">
        <v>90.15</v>
      </c>
      <c r="AD287" s="153">
        <v>41.776000000000003</v>
      </c>
      <c r="AG287" s="2" t="s">
        <v>36</v>
      </c>
      <c r="AH287" s="168">
        <v>4.8999999999999998E-5</v>
      </c>
      <c r="AI287" s="168">
        <v>6.06095297181811E-3</v>
      </c>
      <c r="AJ287" s="168">
        <v>1.3334970814127499E-3</v>
      </c>
    </row>
    <row r="288" spans="1:36">
      <c r="A288" s="2">
        <v>158</v>
      </c>
      <c r="B288" s="2">
        <v>9937</v>
      </c>
      <c r="C288" s="2" t="s">
        <v>1519</v>
      </c>
      <c r="D288" s="2" t="s">
        <v>1520</v>
      </c>
      <c r="E288" s="4" t="s">
        <v>1343</v>
      </c>
      <c r="F288" s="2" t="s">
        <v>1722</v>
      </c>
      <c r="G288" s="2" t="s">
        <v>1723</v>
      </c>
      <c r="H288" s="2" t="s">
        <v>338</v>
      </c>
      <c r="I288" s="2" t="s">
        <v>772</v>
      </c>
      <c r="J288" s="2" t="s">
        <v>30</v>
      </c>
      <c r="K288" s="2" t="s">
        <v>30</v>
      </c>
      <c r="L288" s="2" t="s">
        <v>344</v>
      </c>
      <c r="M288" s="2" t="s">
        <v>56</v>
      </c>
      <c r="N288" s="2" t="s">
        <v>479</v>
      </c>
      <c r="O288" s="2" t="s">
        <v>153</v>
      </c>
      <c r="P288" s="2" t="s">
        <v>1724</v>
      </c>
      <c r="Q288" s="2" t="s">
        <v>430</v>
      </c>
      <c r="R288" s="2" t="s">
        <v>423</v>
      </c>
      <c r="S288" s="2" t="s">
        <v>44</v>
      </c>
      <c r="T288" s="153">
        <v>6.9109999999999996</v>
      </c>
      <c r="U288" s="2" t="s">
        <v>1725</v>
      </c>
      <c r="V288" s="166">
        <v>2.5600000000000001E-2</v>
      </c>
      <c r="W288" s="168">
        <v>4.2349999999999999E-2</v>
      </c>
      <c r="X288" s="4" t="s">
        <v>429</v>
      </c>
      <c r="Y288" s="4" t="s">
        <v>153</v>
      </c>
      <c r="Z288" s="153">
        <v>25000</v>
      </c>
      <c r="AA288" s="162">
        <v>1</v>
      </c>
      <c r="AB288" s="179">
        <v>97.49</v>
      </c>
      <c r="AD288" s="153">
        <v>24.372</v>
      </c>
      <c r="AG288" s="2" t="s">
        <v>36</v>
      </c>
      <c r="AH288" s="168">
        <v>2.4000000000000001E-5</v>
      </c>
      <c r="AI288" s="168">
        <v>3.53605680231401E-3</v>
      </c>
      <c r="AJ288" s="168">
        <v>7.7798350317524105E-4</v>
      </c>
    </row>
    <row r="289" spans="1:36">
      <c r="A289" s="2">
        <v>158</v>
      </c>
      <c r="B289" s="2">
        <v>9937</v>
      </c>
      <c r="C289" s="2" t="s">
        <v>1519</v>
      </c>
      <c r="D289" s="2" t="s">
        <v>1520</v>
      </c>
      <c r="E289" s="4" t="s">
        <v>1343</v>
      </c>
      <c r="F289" s="2" t="s">
        <v>1726</v>
      </c>
      <c r="G289" s="2" t="s">
        <v>1727</v>
      </c>
      <c r="H289" s="2" t="s">
        <v>338</v>
      </c>
      <c r="I289" s="2" t="s">
        <v>985</v>
      </c>
      <c r="J289" s="2" t="s">
        <v>30</v>
      </c>
      <c r="K289" s="2" t="s">
        <v>30</v>
      </c>
      <c r="L289" s="2" t="s">
        <v>344</v>
      </c>
      <c r="M289" s="2" t="s">
        <v>56</v>
      </c>
      <c r="N289" s="2" t="s">
        <v>479</v>
      </c>
      <c r="O289" s="2" t="s">
        <v>153</v>
      </c>
      <c r="P289" s="2" t="s">
        <v>1724</v>
      </c>
      <c r="Q289" s="2" t="s">
        <v>430</v>
      </c>
      <c r="R289" s="2" t="s">
        <v>423</v>
      </c>
      <c r="S289" s="2" t="s">
        <v>44</v>
      </c>
      <c r="T289" s="153">
        <v>3.9049999999999998</v>
      </c>
      <c r="U289" s="2" t="s">
        <v>1728</v>
      </c>
      <c r="V289" s="166">
        <v>2.41E-2</v>
      </c>
      <c r="W289" s="168">
        <v>6.3320000000000001E-2</v>
      </c>
      <c r="X289" s="4" t="s">
        <v>429</v>
      </c>
      <c r="Y289" s="4" t="s">
        <v>153</v>
      </c>
      <c r="Z289" s="153">
        <v>215667.05</v>
      </c>
      <c r="AA289" s="162">
        <v>1</v>
      </c>
      <c r="AB289" s="179">
        <v>86.08</v>
      </c>
      <c r="AD289" s="153">
        <v>185.64599999999999</v>
      </c>
      <c r="AG289" s="2" t="s">
        <v>36</v>
      </c>
      <c r="AH289" s="168">
        <v>1.05E-4</v>
      </c>
      <c r="AI289" s="168">
        <v>2.6934270036007599E-2</v>
      </c>
      <c r="AJ289" s="168">
        <v>5.9259279275062802E-3</v>
      </c>
    </row>
    <row r="290" spans="1:36">
      <c r="A290" s="2">
        <v>158</v>
      </c>
      <c r="B290" s="2">
        <v>9937</v>
      </c>
      <c r="C290" s="2" t="s">
        <v>1729</v>
      </c>
      <c r="D290" s="2" t="s">
        <v>1730</v>
      </c>
      <c r="E290" s="4" t="s">
        <v>1343</v>
      </c>
      <c r="F290" s="2" t="s">
        <v>1948</v>
      </c>
      <c r="G290" s="2" t="s">
        <v>1949</v>
      </c>
      <c r="H290" s="2" t="s">
        <v>338</v>
      </c>
      <c r="I290" s="2" t="s">
        <v>985</v>
      </c>
      <c r="J290" s="2" t="s">
        <v>30</v>
      </c>
      <c r="K290" s="2" t="s">
        <v>30</v>
      </c>
      <c r="L290" s="2" t="s">
        <v>344</v>
      </c>
      <c r="M290" s="2" t="s">
        <v>56</v>
      </c>
      <c r="N290" s="2" t="s">
        <v>466</v>
      </c>
      <c r="O290" s="2" t="s">
        <v>153</v>
      </c>
      <c r="P290" s="2" t="s">
        <v>32</v>
      </c>
      <c r="Q290" s="2" t="s">
        <v>430</v>
      </c>
      <c r="R290" s="2" t="s">
        <v>423</v>
      </c>
      <c r="S290" s="2" t="s">
        <v>44</v>
      </c>
      <c r="T290" s="153">
        <v>1.208</v>
      </c>
      <c r="U290" s="2" t="s">
        <v>1760</v>
      </c>
      <c r="V290" s="166">
        <v>0.04</v>
      </c>
      <c r="W290" s="168">
        <v>5.4780000000000002E-2</v>
      </c>
      <c r="X290" s="4" t="s">
        <v>429</v>
      </c>
      <c r="Y290" s="4" t="s">
        <v>153</v>
      </c>
      <c r="Z290" s="153">
        <v>600</v>
      </c>
      <c r="AA290" s="162">
        <v>1</v>
      </c>
      <c r="AB290" s="179">
        <v>99.35</v>
      </c>
      <c r="AD290" s="153">
        <v>0.59599999999999997</v>
      </c>
      <c r="AG290" s="2" t="s">
        <v>36</v>
      </c>
      <c r="AH290" s="168">
        <v>5.0000000000000004E-6</v>
      </c>
      <c r="AI290" s="168">
        <v>8.6484499327495307E-5</v>
      </c>
      <c r="AJ290" s="168">
        <v>1.90278373676382E-5</v>
      </c>
    </row>
    <row r="291" spans="1:36">
      <c r="A291" s="2">
        <v>158</v>
      </c>
      <c r="B291" s="2">
        <v>9937</v>
      </c>
      <c r="C291" s="2" t="s">
        <v>1729</v>
      </c>
      <c r="D291" s="2" t="s">
        <v>1730</v>
      </c>
      <c r="E291" s="4" t="s">
        <v>1343</v>
      </c>
      <c r="F291" s="2" t="s">
        <v>1731</v>
      </c>
      <c r="G291" s="2" t="s">
        <v>1732</v>
      </c>
      <c r="H291" s="2" t="s">
        <v>338</v>
      </c>
      <c r="I291" s="2" t="s">
        <v>985</v>
      </c>
      <c r="J291" s="2" t="s">
        <v>30</v>
      </c>
      <c r="K291" s="2" t="s">
        <v>30</v>
      </c>
      <c r="L291" s="2" t="s">
        <v>344</v>
      </c>
      <c r="M291" s="2" t="s">
        <v>56</v>
      </c>
      <c r="N291" s="2" t="s">
        <v>466</v>
      </c>
      <c r="O291" s="2" t="s">
        <v>153</v>
      </c>
      <c r="P291" s="2" t="s">
        <v>32</v>
      </c>
      <c r="Q291" s="2" t="s">
        <v>430</v>
      </c>
      <c r="R291" s="2" t="s">
        <v>423</v>
      </c>
      <c r="S291" s="2" t="s">
        <v>44</v>
      </c>
      <c r="T291" s="153">
        <v>2.2240000000000002</v>
      </c>
      <c r="U291" s="2" t="s">
        <v>1733</v>
      </c>
      <c r="V291" s="166">
        <v>0.04</v>
      </c>
      <c r="W291" s="168">
        <v>5.774E-2</v>
      </c>
      <c r="X291" s="4" t="s">
        <v>429</v>
      </c>
      <c r="Y291" s="4" t="s">
        <v>153</v>
      </c>
      <c r="Z291" s="153">
        <v>130000.01</v>
      </c>
      <c r="AA291" s="162">
        <v>1</v>
      </c>
      <c r="AB291" s="179">
        <v>96.04</v>
      </c>
      <c r="AD291" s="153">
        <v>124.852</v>
      </c>
      <c r="AG291" s="2" t="s">
        <v>36</v>
      </c>
      <c r="AH291" s="168">
        <v>1.92E-4</v>
      </c>
      <c r="AI291" s="168">
        <v>1.8114013656489798E-2</v>
      </c>
      <c r="AJ291" s="168">
        <v>3.9853442941917604E-3</v>
      </c>
    </row>
    <row r="292" spans="1:36">
      <c r="A292" s="2">
        <v>158</v>
      </c>
      <c r="B292" s="2">
        <v>9937</v>
      </c>
      <c r="C292" s="2" t="s">
        <v>1523</v>
      </c>
      <c r="D292" s="2" t="s">
        <v>1524</v>
      </c>
      <c r="E292" s="4" t="s">
        <v>1343</v>
      </c>
      <c r="F292" s="2" t="s">
        <v>1734</v>
      </c>
      <c r="G292" s="2" t="s">
        <v>1735</v>
      </c>
      <c r="H292" s="2" t="s">
        <v>338</v>
      </c>
      <c r="I292" s="2" t="s">
        <v>772</v>
      </c>
      <c r="J292" s="2" t="s">
        <v>30</v>
      </c>
      <c r="K292" s="2" t="s">
        <v>30</v>
      </c>
      <c r="L292" s="2" t="s">
        <v>344</v>
      </c>
      <c r="M292" s="2" t="s">
        <v>56</v>
      </c>
      <c r="N292" s="2" t="s">
        <v>479</v>
      </c>
      <c r="O292" s="2" t="s">
        <v>153</v>
      </c>
      <c r="P292" s="2" t="s">
        <v>1718</v>
      </c>
      <c r="Q292" s="2" t="s">
        <v>430</v>
      </c>
      <c r="R292" s="2" t="s">
        <v>423</v>
      </c>
      <c r="S292" s="2" t="s">
        <v>44</v>
      </c>
      <c r="T292" s="153">
        <v>2.1819999999999999</v>
      </c>
      <c r="U292" s="2" t="s">
        <v>1736</v>
      </c>
      <c r="V292" s="166">
        <v>3.2000000000000001E-2</v>
      </c>
      <c r="W292" s="168">
        <v>2.647E-2</v>
      </c>
      <c r="X292" s="4" t="s">
        <v>429</v>
      </c>
      <c r="Y292" s="4" t="s">
        <v>153</v>
      </c>
      <c r="Z292" s="153">
        <v>84000</v>
      </c>
      <c r="AA292" s="162">
        <v>1</v>
      </c>
      <c r="AB292" s="179">
        <v>117.37</v>
      </c>
      <c r="AD292" s="153">
        <v>98.590999999999994</v>
      </c>
      <c r="AG292" s="2" t="s">
        <v>36</v>
      </c>
      <c r="AH292" s="168">
        <v>8.0000000000000007E-5</v>
      </c>
      <c r="AI292" s="168">
        <v>1.4303935541515199E-2</v>
      </c>
      <c r="AJ292" s="168">
        <v>3.1470721495476298E-3</v>
      </c>
    </row>
    <row r="293" spans="1:36">
      <c r="A293" s="2">
        <v>158</v>
      </c>
      <c r="B293" s="2">
        <v>9937</v>
      </c>
      <c r="C293" s="2" t="s">
        <v>1527</v>
      </c>
      <c r="D293" s="2" t="s">
        <v>1528</v>
      </c>
      <c r="E293" s="4" t="s">
        <v>1343</v>
      </c>
      <c r="F293" s="2" t="s">
        <v>1950</v>
      </c>
      <c r="G293" s="2" t="s">
        <v>1951</v>
      </c>
      <c r="H293" s="2" t="s">
        <v>338</v>
      </c>
      <c r="I293" s="2" t="s">
        <v>985</v>
      </c>
      <c r="J293" s="2" t="s">
        <v>30</v>
      </c>
      <c r="K293" s="2" t="s">
        <v>107</v>
      </c>
      <c r="L293" s="2" t="s">
        <v>344</v>
      </c>
      <c r="M293" s="2" t="s">
        <v>56</v>
      </c>
      <c r="N293" s="2" t="s">
        <v>456</v>
      </c>
      <c r="O293" s="2" t="s">
        <v>153</v>
      </c>
      <c r="P293" s="2" t="s">
        <v>98</v>
      </c>
      <c r="Q293" s="2" t="s">
        <v>110</v>
      </c>
      <c r="R293" s="2" t="s">
        <v>423</v>
      </c>
      <c r="S293" s="2" t="s">
        <v>44</v>
      </c>
      <c r="T293" s="153">
        <v>1.736</v>
      </c>
      <c r="U293" s="2" t="s">
        <v>1952</v>
      </c>
      <c r="V293" s="166">
        <v>3.4500000000000003E-2</v>
      </c>
      <c r="W293" s="168">
        <v>5.7250000000000002E-2</v>
      </c>
      <c r="X293" s="4" t="s">
        <v>429</v>
      </c>
      <c r="Y293" s="4" t="s">
        <v>153</v>
      </c>
      <c r="Z293" s="153">
        <v>139053.16</v>
      </c>
      <c r="AA293" s="162">
        <v>1</v>
      </c>
      <c r="AB293" s="179">
        <v>96.61</v>
      </c>
      <c r="AD293" s="153">
        <v>134.339</v>
      </c>
      <c r="AG293" s="2" t="s">
        <v>36</v>
      </c>
      <c r="AH293" s="168">
        <v>2.1599999999999999E-4</v>
      </c>
      <c r="AI293" s="168">
        <v>1.9490460421796901E-2</v>
      </c>
      <c r="AJ293" s="168">
        <v>4.2881824374328701E-3</v>
      </c>
    </row>
    <row r="294" spans="1:36">
      <c r="A294" s="2">
        <v>158</v>
      </c>
      <c r="B294" s="2">
        <v>9937</v>
      </c>
      <c r="C294" s="2" t="s">
        <v>1531</v>
      </c>
      <c r="D294" s="2" t="s">
        <v>1532</v>
      </c>
      <c r="E294" s="4" t="s">
        <v>1343</v>
      </c>
      <c r="F294" s="2" t="s">
        <v>1953</v>
      </c>
      <c r="G294" s="2" t="s">
        <v>1954</v>
      </c>
      <c r="H294" s="2" t="s">
        <v>338</v>
      </c>
      <c r="I294" s="2" t="s">
        <v>985</v>
      </c>
      <c r="J294" s="2" t="s">
        <v>30</v>
      </c>
      <c r="K294" s="2" t="s">
        <v>30</v>
      </c>
      <c r="L294" s="2" t="s">
        <v>344</v>
      </c>
      <c r="M294" s="2" t="s">
        <v>56</v>
      </c>
      <c r="N294" s="2" t="s">
        <v>456</v>
      </c>
      <c r="O294" s="2" t="s">
        <v>153</v>
      </c>
      <c r="P294" s="2" t="s">
        <v>98</v>
      </c>
      <c r="Q294" s="2" t="s">
        <v>430</v>
      </c>
      <c r="R294" s="2" t="s">
        <v>423</v>
      </c>
      <c r="S294" s="2" t="s">
        <v>44</v>
      </c>
      <c r="T294" s="153">
        <v>2.859</v>
      </c>
      <c r="U294" s="2" t="s">
        <v>1955</v>
      </c>
      <c r="V294" s="166">
        <v>2.0500000000000001E-2</v>
      </c>
      <c r="W294" s="168">
        <v>5.9229999999999998E-2</v>
      </c>
      <c r="X294" s="4" t="s">
        <v>429</v>
      </c>
      <c r="Y294" s="4" t="s">
        <v>153</v>
      </c>
      <c r="Z294" s="153">
        <v>111428.6</v>
      </c>
      <c r="AA294" s="162">
        <v>1</v>
      </c>
      <c r="AB294" s="179">
        <v>90.04</v>
      </c>
      <c r="AD294" s="153">
        <v>100.33</v>
      </c>
      <c r="AG294" s="2" t="s">
        <v>36</v>
      </c>
      <c r="AH294" s="168">
        <v>2.4899999999999998E-4</v>
      </c>
      <c r="AI294" s="168">
        <v>1.45563106060394E-2</v>
      </c>
      <c r="AJ294" s="168">
        <v>3.2025983041852201E-3</v>
      </c>
    </row>
    <row r="295" spans="1:36">
      <c r="A295" s="2">
        <v>158</v>
      </c>
      <c r="B295" s="2">
        <v>9937</v>
      </c>
      <c r="C295" s="2" t="s">
        <v>2225</v>
      </c>
      <c r="D295" s="2" t="s">
        <v>2226</v>
      </c>
      <c r="E295" s="4" t="s">
        <v>1343</v>
      </c>
      <c r="F295" s="2" t="s">
        <v>2227</v>
      </c>
      <c r="G295" s="2" t="s">
        <v>2228</v>
      </c>
      <c r="H295" s="2" t="s">
        <v>338</v>
      </c>
      <c r="I295" s="2" t="s">
        <v>985</v>
      </c>
      <c r="J295" s="2" t="s">
        <v>30</v>
      </c>
      <c r="K295" s="2" t="s">
        <v>30</v>
      </c>
      <c r="L295" s="2" t="s">
        <v>344</v>
      </c>
      <c r="M295" s="2" t="s">
        <v>56</v>
      </c>
      <c r="N295" s="2" t="s">
        <v>462</v>
      </c>
      <c r="O295" s="2" t="s">
        <v>153</v>
      </c>
      <c r="P295" s="2" t="s">
        <v>98</v>
      </c>
      <c r="Q295" s="2" t="s">
        <v>430</v>
      </c>
      <c r="R295" s="2" t="s">
        <v>423</v>
      </c>
      <c r="S295" s="2" t="s">
        <v>44</v>
      </c>
      <c r="T295" s="153">
        <v>1.61</v>
      </c>
      <c r="U295" s="2" t="s">
        <v>2229</v>
      </c>
      <c r="V295" s="166">
        <v>4.2999999999999997E-2</v>
      </c>
      <c r="W295" s="168">
        <v>6.1170000000000002E-2</v>
      </c>
      <c r="X295" s="4" t="s">
        <v>429</v>
      </c>
      <c r="Y295" s="4" t="s">
        <v>153</v>
      </c>
      <c r="Z295" s="153">
        <v>77583.740000000005</v>
      </c>
      <c r="AA295" s="162">
        <v>1</v>
      </c>
      <c r="AB295" s="179">
        <v>97.33</v>
      </c>
      <c r="AD295" s="153">
        <v>75.512</v>
      </c>
      <c r="AG295" s="2" t="s">
        <v>36</v>
      </c>
      <c r="AH295" s="168">
        <v>8.5000000000000006E-5</v>
      </c>
      <c r="AI295" s="168">
        <v>1.09556106233207E-2</v>
      </c>
      <c r="AJ295" s="168">
        <v>2.4103923688604898E-3</v>
      </c>
    </row>
    <row r="296" spans="1:36">
      <c r="A296" s="2">
        <v>158</v>
      </c>
      <c r="B296" s="2">
        <v>9937</v>
      </c>
      <c r="C296" s="2" t="s">
        <v>2182</v>
      </c>
      <c r="D296" s="2" t="s">
        <v>2183</v>
      </c>
      <c r="E296" s="4" t="s">
        <v>1343</v>
      </c>
      <c r="F296" s="2" t="s">
        <v>2230</v>
      </c>
      <c r="G296" s="2" t="s">
        <v>2231</v>
      </c>
      <c r="H296" s="2" t="s">
        <v>338</v>
      </c>
      <c r="I296" s="2" t="s">
        <v>985</v>
      </c>
      <c r="J296" s="2" t="s">
        <v>30</v>
      </c>
      <c r="K296" s="2" t="s">
        <v>30</v>
      </c>
      <c r="L296" s="2" t="s">
        <v>344</v>
      </c>
      <c r="M296" s="2" t="s">
        <v>56</v>
      </c>
      <c r="N296" s="2" t="s">
        <v>455</v>
      </c>
      <c r="O296" s="2" t="s">
        <v>153</v>
      </c>
      <c r="P296" s="2" t="s">
        <v>32</v>
      </c>
      <c r="Q296" s="2" t="s">
        <v>430</v>
      </c>
      <c r="R296" s="2" t="s">
        <v>423</v>
      </c>
      <c r="S296" s="2" t="s">
        <v>44</v>
      </c>
      <c r="T296" s="153">
        <v>2.3109999999999999</v>
      </c>
      <c r="U296" s="2" t="s">
        <v>2232</v>
      </c>
      <c r="V296" s="166">
        <v>2.7E-2</v>
      </c>
      <c r="W296" s="168">
        <v>5.9020000000000003E-2</v>
      </c>
      <c r="X296" s="4" t="s">
        <v>429</v>
      </c>
      <c r="Y296" s="4" t="s">
        <v>153</v>
      </c>
      <c r="Z296" s="153">
        <v>98255.27</v>
      </c>
      <c r="AA296" s="162">
        <v>1</v>
      </c>
      <c r="AB296" s="179">
        <v>93.07</v>
      </c>
      <c r="AD296" s="153">
        <v>91.445999999999998</v>
      </c>
      <c r="AG296" s="2" t="s">
        <v>36</v>
      </c>
      <c r="AH296" s="168">
        <v>1.44E-4</v>
      </c>
      <c r="AI296" s="168">
        <v>1.32673663386408E-2</v>
      </c>
      <c r="AJ296" s="168">
        <v>2.9190119726839299E-3</v>
      </c>
    </row>
    <row r="297" spans="1:36">
      <c r="A297" s="2">
        <v>158</v>
      </c>
      <c r="B297" s="2">
        <v>9937</v>
      </c>
      <c r="C297" s="2" t="s">
        <v>1539</v>
      </c>
      <c r="D297" s="2" t="s">
        <v>1540</v>
      </c>
      <c r="E297" s="4" t="s">
        <v>1343</v>
      </c>
      <c r="F297" s="2" t="s">
        <v>1956</v>
      </c>
      <c r="G297" s="2" t="s">
        <v>1957</v>
      </c>
      <c r="H297" s="2" t="s">
        <v>338</v>
      </c>
      <c r="I297" s="2" t="s">
        <v>772</v>
      </c>
      <c r="J297" s="2" t="s">
        <v>30</v>
      </c>
      <c r="K297" s="2" t="s">
        <v>30</v>
      </c>
      <c r="L297" s="2" t="s">
        <v>344</v>
      </c>
      <c r="M297" s="2" t="s">
        <v>56</v>
      </c>
      <c r="N297" s="2" t="s">
        <v>500</v>
      </c>
      <c r="O297" s="2" t="s">
        <v>153</v>
      </c>
      <c r="P297" s="2" t="s">
        <v>1718</v>
      </c>
      <c r="Q297" s="2" t="s">
        <v>430</v>
      </c>
      <c r="R297" s="2" t="s">
        <v>423</v>
      </c>
      <c r="S297" s="2" t="s">
        <v>44</v>
      </c>
      <c r="T297" s="153">
        <v>0.65900000000000003</v>
      </c>
      <c r="U297" s="2" t="s">
        <v>1958</v>
      </c>
      <c r="V297" s="166">
        <v>2.1999999999999999E-2</v>
      </c>
      <c r="W297" s="168">
        <v>2.1149999999999999E-2</v>
      </c>
      <c r="X297" s="4" t="s">
        <v>429</v>
      </c>
      <c r="Y297" s="4" t="s">
        <v>153</v>
      </c>
      <c r="Z297" s="153">
        <v>60000</v>
      </c>
      <c r="AA297" s="162">
        <v>1</v>
      </c>
      <c r="AB297" s="179">
        <v>116.47</v>
      </c>
      <c r="AD297" s="153">
        <v>69.882000000000005</v>
      </c>
      <c r="AG297" s="2" t="s">
        <v>36</v>
      </c>
      <c r="AH297" s="168">
        <v>1.13E-4</v>
      </c>
      <c r="AI297" s="168">
        <v>1.01387515215635E-2</v>
      </c>
      <c r="AJ297" s="168">
        <v>2.23067158350158E-3</v>
      </c>
    </row>
    <row r="298" spans="1:36">
      <c r="A298" s="2">
        <v>158</v>
      </c>
      <c r="B298" s="2">
        <v>9937</v>
      </c>
      <c r="C298" s="2" t="s">
        <v>1737</v>
      </c>
      <c r="D298" s="2" t="s">
        <v>1738</v>
      </c>
      <c r="E298" s="4" t="s">
        <v>1343</v>
      </c>
      <c r="F298" s="2" t="s">
        <v>1739</v>
      </c>
      <c r="G298" s="2" t="s">
        <v>1740</v>
      </c>
      <c r="H298" s="2" t="s">
        <v>338</v>
      </c>
      <c r="I298" s="2" t="s">
        <v>772</v>
      </c>
      <c r="J298" s="2" t="s">
        <v>30</v>
      </c>
      <c r="K298" s="2" t="s">
        <v>30</v>
      </c>
      <c r="L298" s="2" t="s">
        <v>344</v>
      </c>
      <c r="M298" s="2" t="s">
        <v>56</v>
      </c>
      <c r="N298" s="2" t="s">
        <v>479</v>
      </c>
      <c r="O298" s="2" t="s">
        <v>153</v>
      </c>
      <c r="P298" s="2" t="s">
        <v>1724</v>
      </c>
      <c r="Q298" s="2" t="s">
        <v>430</v>
      </c>
      <c r="R298" s="2" t="s">
        <v>423</v>
      </c>
      <c r="S298" s="2" t="s">
        <v>44</v>
      </c>
      <c r="T298" s="153">
        <v>0.60199999999999998</v>
      </c>
      <c r="U298" s="2" t="s">
        <v>1741</v>
      </c>
      <c r="V298" s="166">
        <v>2.5000000000000001E-2</v>
      </c>
      <c r="W298" s="168">
        <v>2.8119999999999999E-2</v>
      </c>
      <c r="X298" s="4" t="s">
        <v>429</v>
      </c>
      <c r="Y298" s="4" t="s">
        <v>153</v>
      </c>
      <c r="Z298" s="153">
        <v>20005.060000000001</v>
      </c>
      <c r="AA298" s="162">
        <v>1</v>
      </c>
      <c r="AB298" s="179">
        <v>116.48</v>
      </c>
      <c r="AD298" s="153">
        <v>23.302</v>
      </c>
      <c r="AG298" s="2" t="s">
        <v>36</v>
      </c>
      <c r="AH298" s="168">
        <v>8.5000000000000006E-5</v>
      </c>
      <c r="AI298" s="168">
        <v>3.3807291164001099E-3</v>
      </c>
      <c r="AJ298" s="168">
        <v>7.4380917171418498E-4</v>
      </c>
    </row>
    <row r="299" spans="1:36">
      <c r="A299" s="2">
        <v>158</v>
      </c>
      <c r="B299" s="2">
        <v>9937</v>
      </c>
      <c r="C299" s="2" t="s">
        <v>2233</v>
      </c>
      <c r="D299" s="2" t="s">
        <v>2234</v>
      </c>
      <c r="E299" s="4" t="s">
        <v>1343</v>
      </c>
      <c r="F299" s="2" t="s">
        <v>2235</v>
      </c>
      <c r="G299" s="2" t="s">
        <v>2236</v>
      </c>
      <c r="H299" s="2" t="s">
        <v>338</v>
      </c>
      <c r="I299" s="2" t="s">
        <v>772</v>
      </c>
      <c r="J299" s="2" t="s">
        <v>30</v>
      </c>
      <c r="K299" s="2" t="s">
        <v>30</v>
      </c>
      <c r="L299" s="2" t="s">
        <v>344</v>
      </c>
      <c r="M299" s="2" t="s">
        <v>56</v>
      </c>
      <c r="N299" s="2" t="s">
        <v>463</v>
      </c>
      <c r="O299" s="2" t="s">
        <v>153</v>
      </c>
      <c r="P299" s="2" t="s">
        <v>109</v>
      </c>
      <c r="Q299" s="2" t="s">
        <v>430</v>
      </c>
      <c r="R299" s="2" t="s">
        <v>423</v>
      </c>
      <c r="S299" s="2" t="s">
        <v>44</v>
      </c>
      <c r="T299" s="153">
        <v>2.1669999999999998</v>
      </c>
      <c r="U299" s="2" t="s">
        <v>2237</v>
      </c>
      <c r="V299" s="166">
        <v>1E-3</v>
      </c>
      <c r="W299" s="168">
        <v>2.0830000000000001E-2</v>
      </c>
      <c r="X299" s="4" t="s">
        <v>429</v>
      </c>
      <c r="Y299" s="4" t="s">
        <v>153</v>
      </c>
      <c r="Z299" s="153">
        <v>130000</v>
      </c>
      <c r="AA299" s="162">
        <v>1</v>
      </c>
      <c r="AB299" s="179">
        <v>107.91</v>
      </c>
      <c r="AD299" s="153">
        <v>140.28299999999999</v>
      </c>
      <c r="AG299" s="2" t="s">
        <v>36</v>
      </c>
      <c r="AH299" s="168">
        <v>2.7799999999999998E-4</v>
      </c>
      <c r="AI299" s="168">
        <v>2.0352801575505799E-2</v>
      </c>
      <c r="AJ299" s="168">
        <v>4.4779099302875098E-3</v>
      </c>
    </row>
    <row r="300" spans="1:36">
      <c r="A300" s="2">
        <v>158</v>
      </c>
      <c r="B300" s="2">
        <v>9937</v>
      </c>
      <c r="C300" s="2" t="s">
        <v>1742</v>
      </c>
      <c r="D300" s="2" t="s">
        <v>1743</v>
      </c>
      <c r="E300" s="4" t="s">
        <v>1343</v>
      </c>
      <c r="F300" s="2" t="s">
        <v>1744</v>
      </c>
      <c r="G300" s="2" t="s">
        <v>1745</v>
      </c>
      <c r="H300" s="2" t="s">
        <v>338</v>
      </c>
      <c r="I300" s="2" t="s">
        <v>985</v>
      </c>
      <c r="J300" s="2" t="s">
        <v>30</v>
      </c>
      <c r="K300" s="2" t="s">
        <v>30</v>
      </c>
      <c r="L300" s="2" t="s">
        <v>344</v>
      </c>
      <c r="M300" s="2" t="s">
        <v>56</v>
      </c>
      <c r="N300" s="2" t="s">
        <v>455</v>
      </c>
      <c r="O300" s="2" t="s">
        <v>153</v>
      </c>
      <c r="P300" s="2" t="s">
        <v>1746</v>
      </c>
      <c r="Q300" s="2" t="s">
        <v>110</v>
      </c>
      <c r="R300" s="2" t="s">
        <v>423</v>
      </c>
      <c r="S300" s="2" t="s">
        <v>44</v>
      </c>
      <c r="T300" s="153">
        <v>3.0009999999999999</v>
      </c>
      <c r="U300" s="2" t="s">
        <v>1747</v>
      </c>
      <c r="V300" s="166">
        <v>7.2499999999999995E-2</v>
      </c>
      <c r="W300" s="168">
        <v>6.3950000000000007E-2</v>
      </c>
      <c r="X300" s="4" t="s">
        <v>429</v>
      </c>
      <c r="Y300" s="4" t="s">
        <v>153</v>
      </c>
      <c r="Z300" s="153">
        <v>17916.3</v>
      </c>
      <c r="AA300" s="162">
        <v>1</v>
      </c>
      <c r="AB300" s="179">
        <v>105.92</v>
      </c>
      <c r="AD300" s="153">
        <v>18.977</v>
      </c>
      <c r="AG300" s="2" t="s">
        <v>36</v>
      </c>
      <c r="AH300" s="168">
        <v>2.5000000000000001E-5</v>
      </c>
      <c r="AI300" s="168">
        <v>2.7532487563010199E-3</v>
      </c>
      <c r="AJ300" s="168">
        <v>6.0575444125734101E-4</v>
      </c>
    </row>
    <row r="301" spans="1:36">
      <c r="A301" s="2">
        <v>158</v>
      </c>
      <c r="B301" s="2">
        <v>9937</v>
      </c>
      <c r="C301" s="2" t="s">
        <v>1962</v>
      </c>
      <c r="D301" s="2" t="s">
        <v>1963</v>
      </c>
      <c r="E301" s="4" t="s">
        <v>1343</v>
      </c>
      <c r="F301" s="2" t="s">
        <v>1964</v>
      </c>
      <c r="G301" s="2" t="s">
        <v>1965</v>
      </c>
      <c r="H301" s="2" t="s">
        <v>338</v>
      </c>
      <c r="I301" s="2" t="s">
        <v>772</v>
      </c>
      <c r="J301" s="2" t="s">
        <v>30</v>
      </c>
      <c r="K301" s="2" t="s">
        <v>30</v>
      </c>
      <c r="L301" s="2" t="s">
        <v>344</v>
      </c>
      <c r="M301" s="2" t="s">
        <v>56</v>
      </c>
      <c r="N301" s="2" t="s">
        <v>479</v>
      </c>
      <c r="O301" s="2" t="s">
        <v>153</v>
      </c>
      <c r="P301" s="2" t="s">
        <v>1718</v>
      </c>
      <c r="Q301" s="2" t="s">
        <v>430</v>
      </c>
      <c r="R301" s="2" t="s">
        <v>423</v>
      </c>
      <c r="S301" s="2" t="s">
        <v>44</v>
      </c>
      <c r="T301" s="153">
        <v>3.9689999999999999</v>
      </c>
      <c r="U301" s="2" t="s">
        <v>1966</v>
      </c>
      <c r="V301" s="166">
        <v>5.0000000000000001E-3</v>
      </c>
      <c r="W301" s="168">
        <v>3.1890000000000002E-2</v>
      </c>
      <c r="X301" s="4" t="s">
        <v>429</v>
      </c>
      <c r="Y301" s="4" t="s">
        <v>153</v>
      </c>
      <c r="Z301" s="153">
        <v>56692.59</v>
      </c>
      <c r="AA301" s="162">
        <v>1</v>
      </c>
      <c r="AB301" s="179">
        <v>103.53</v>
      </c>
      <c r="AD301" s="153">
        <v>58.694000000000003</v>
      </c>
      <c r="AG301" s="2" t="s">
        <v>36</v>
      </c>
      <c r="AH301" s="168">
        <v>3.4999999999999997E-5</v>
      </c>
      <c r="AI301" s="168">
        <v>8.51552965939943E-3</v>
      </c>
      <c r="AJ301" s="168">
        <v>1.8735393592876799E-3</v>
      </c>
    </row>
    <row r="302" spans="1:36">
      <c r="A302" s="2">
        <v>158</v>
      </c>
      <c r="B302" s="2">
        <v>9937</v>
      </c>
      <c r="C302" s="2" t="s">
        <v>2061</v>
      </c>
      <c r="D302" s="2" t="s">
        <v>2062</v>
      </c>
      <c r="E302" s="4" t="s">
        <v>1343</v>
      </c>
      <c r="F302" s="2" t="s">
        <v>2063</v>
      </c>
      <c r="G302" s="2" t="s">
        <v>2064</v>
      </c>
      <c r="H302" s="2" t="s">
        <v>338</v>
      </c>
      <c r="I302" s="2" t="s">
        <v>772</v>
      </c>
      <c r="J302" s="2" t="s">
        <v>30</v>
      </c>
      <c r="K302" s="2" t="s">
        <v>315</v>
      </c>
      <c r="L302" s="2" t="s">
        <v>344</v>
      </c>
      <c r="M302" s="2" t="s">
        <v>56</v>
      </c>
      <c r="N302" s="2" t="s">
        <v>480</v>
      </c>
      <c r="O302" s="2" t="s">
        <v>153</v>
      </c>
      <c r="P302" s="2" t="s">
        <v>1746</v>
      </c>
      <c r="Q302" s="2" t="s">
        <v>430</v>
      </c>
      <c r="R302" s="2" t="s">
        <v>423</v>
      </c>
      <c r="S302" s="2" t="s">
        <v>44</v>
      </c>
      <c r="T302" s="153">
        <v>2.2320000000000002</v>
      </c>
      <c r="U302" s="2" t="s">
        <v>1796</v>
      </c>
      <c r="V302" s="166">
        <v>3.2800000000000003E-2</v>
      </c>
      <c r="W302" s="168">
        <v>4.3990000000000001E-2</v>
      </c>
      <c r="X302" s="4" t="s">
        <v>429</v>
      </c>
      <c r="Y302" s="4" t="s">
        <v>153</v>
      </c>
      <c r="Z302" s="153">
        <v>40000</v>
      </c>
      <c r="AA302" s="162">
        <v>1</v>
      </c>
      <c r="AB302" s="179">
        <v>115.06</v>
      </c>
      <c r="AD302" s="153">
        <v>46.024000000000001</v>
      </c>
      <c r="AG302" s="2" t="s">
        <v>36</v>
      </c>
      <c r="AH302" s="168">
        <v>2.5000000000000001E-5</v>
      </c>
      <c r="AI302" s="168">
        <v>6.6773403741799096E-3</v>
      </c>
      <c r="AJ302" s="168">
        <v>1.46911120115447E-3</v>
      </c>
    </row>
    <row r="303" spans="1:36">
      <c r="A303" s="2">
        <v>158</v>
      </c>
      <c r="B303" s="2">
        <v>9937</v>
      </c>
      <c r="C303" s="2" t="s">
        <v>1967</v>
      </c>
      <c r="D303" s="2" t="s">
        <v>1968</v>
      </c>
      <c r="E303" s="4" t="s">
        <v>1343</v>
      </c>
      <c r="F303" s="2" t="s">
        <v>1969</v>
      </c>
      <c r="G303" s="2" t="s">
        <v>1970</v>
      </c>
      <c r="H303" s="2" t="s">
        <v>338</v>
      </c>
      <c r="I303" s="2" t="s">
        <v>772</v>
      </c>
      <c r="J303" s="2" t="s">
        <v>30</v>
      </c>
      <c r="K303" s="2" t="s">
        <v>30</v>
      </c>
      <c r="L303" s="2" t="s">
        <v>344</v>
      </c>
      <c r="M303" s="2" t="s">
        <v>56</v>
      </c>
      <c r="N303" s="2" t="s">
        <v>479</v>
      </c>
      <c r="O303" s="2" t="s">
        <v>153</v>
      </c>
      <c r="P303" s="2" t="s">
        <v>32</v>
      </c>
      <c r="Q303" s="2" t="s">
        <v>110</v>
      </c>
      <c r="R303" s="2" t="s">
        <v>423</v>
      </c>
      <c r="S303" s="2" t="s">
        <v>44</v>
      </c>
      <c r="T303" s="153">
        <v>1.155</v>
      </c>
      <c r="U303" s="2" t="s">
        <v>1971</v>
      </c>
      <c r="V303" s="166">
        <v>2.5000000000000001E-2</v>
      </c>
      <c r="W303" s="168">
        <v>2.5839999999999998E-2</v>
      </c>
      <c r="X303" s="4" t="s">
        <v>429</v>
      </c>
      <c r="Y303" s="4" t="s">
        <v>153</v>
      </c>
      <c r="Z303" s="153">
        <v>47394.29</v>
      </c>
      <c r="AA303" s="162">
        <v>1</v>
      </c>
      <c r="AB303" s="179">
        <v>117.36</v>
      </c>
      <c r="AD303" s="153">
        <v>55.622</v>
      </c>
      <c r="AG303" s="2" t="s">
        <v>36</v>
      </c>
      <c r="AH303" s="168">
        <v>1.44E-4</v>
      </c>
      <c r="AI303" s="168">
        <v>8.0698465423577493E-3</v>
      </c>
      <c r="AJ303" s="168">
        <v>1.7754826446796899E-3</v>
      </c>
    </row>
    <row r="304" spans="1:36">
      <c r="A304" s="2">
        <v>158</v>
      </c>
      <c r="B304" s="2">
        <v>9937</v>
      </c>
      <c r="C304" s="2" t="s">
        <v>1748</v>
      </c>
      <c r="D304" s="2" t="s">
        <v>1749</v>
      </c>
      <c r="E304" s="4" t="s">
        <v>1343</v>
      </c>
      <c r="F304" s="2" t="s">
        <v>1750</v>
      </c>
      <c r="G304" s="2" t="s">
        <v>1751</v>
      </c>
      <c r="H304" s="2" t="s">
        <v>338</v>
      </c>
      <c r="I304" s="2" t="s">
        <v>772</v>
      </c>
      <c r="J304" s="2" t="s">
        <v>30</v>
      </c>
      <c r="K304" s="2" t="s">
        <v>30</v>
      </c>
      <c r="L304" s="2" t="s">
        <v>344</v>
      </c>
      <c r="M304" s="2" t="s">
        <v>56</v>
      </c>
      <c r="N304" s="2" t="s">
        <v>463</v>
      </c>
      <c r="O304" s="2" t="s">
        <v>153</v>
      </c>
      <c r="P304" s="2" t="s">
        <v>109</v>
      </c>
      <c r="Q304" s="2" t="s">
        <v>430</v>
      </c>
      <c r="R304" s="2" t="s">
        <v>423</v>
      </c>
      <c r="S304" s="2" t="s">
        <v>44</v>
      </c>
      <c r="T304" s="153">
        <v>3.9830000000000001</v>
      </c>
      <c r="U304" s="2" t="s">
        <v>1752</v>
      </c>
      <c r="V304" s="166">
        <v>2E-3</v>
      </c>
      <c r="W304" s="168">
        <v>2.5190000000000001E-2</v>
      </c>
      <c r="X304" s="4" t="s">
        <v>429</v>
      </c>
      <c r="Y304" s="4" t="s">
        <v>153</v>
      </c>
      <c r="Z304" s="153">
        <v>186996.91</v>
      </c>
      <c r="AA304" s="162">
        <v>1</v>
      </c>
      <c r="AB304" s="179">
        <v>102.6</v>
      </c>
      <c r="AD304" s="153">
        <v>191.85900000000001</v>
      </c>
      <c r="AG304" s="2" t="s">
        <v>36</v>
      </c>
      <c r="AH304" s="168">
        <v>5.1E-5</v>
      </c>
      <c r="AI304" s="168">
        <v>2.7835622923509998E-2</v>
      </c>
      <c r="AJ304" s="168">
        <v>6.1242385645292304E-3</v>
      </c>
    </row>
    <row r="305" spans="1:36">
      <c r="A305" s="2">
        <v>158</v>
      </c>
      <c r="B305" s="2">
        <v>9937</v>
      </c>
      <c r="C305" s="2" t="s">
        <v>1748</v>
      </c>
      <c r="D305" s="2" t="s">
        <v>1749</v>
      </c>
      <c r="E305" s="4" t="s">
        <v>1343</v>
      </c>
      <c r="F305" s="2" t="s">
        <v>1753</v>
      </c>
      <c r="G305" s="2" t="s">
        <v>1754</v>
      </c>
      <c r="H305" s="2" t="s">
        <v>338</v>
      </c>
      <c r="I305" s="2" t="s">
        <v>772</v>
      </c>
      <c r="J305" s="2" t="s">
        <v>30</v>
      </c>
      <c r="K305" s="2" t="s">
        <v>30</v>
      </c>
      <c r="L305" s="2" t="s">
        <v>344</v>
      </c>
      <c r="M305" s="2" t="s">
        <v>56</v>
      </c>
      <c r="N305" s="2" t="s">
        <v>463</v>
      </c>
      <c r="O305" s="2" t="s">
        <v>153</v>
      </c>
      <c r="P305" s="2" t="s">
        <v>109</v>
      </c>
      <c r="Q305" s="2" t="s">
        <v>430</v>
      </c>
      <c r="R305" s="2" t="s">
        <v>423</v>
      </c>
      <c r="S305" s="2" t="s">
        <v>44</v>
      </c>
      <c r="T305" s="153">
        <v>4.9290000000000003</v>
      </c>
      <c r="U305" s="2" t="s">
        <v>1755</v>
      </c>
      <c r="V305" s="166">
        <v>2.47E-2</v>
      </c>
      <c r="W305" s="168">
        <v>2.5839999999999998E-2</v>
      </c>
      <c r="X305" s="4" t="s">
        <v>429</v>
      </c>
      <c r="Y305" s="4" t="s">
        <v>153</v>
      </c>
      <c r="Z305" s="153">
        <v>180000</v>
      </c>
      <c r="AA305" s="162">
        <v>1</v>
      </c>
      <c r="AB305" s="179">
        <v>102.7</v>
      </c>
      <c r="AD305" s="153">
        <v>184.86</v>
      </c>
      <c r="AG305" s="2" t="s">
        <v>36</v>
      </c>
      <c r="AH305" s="168">
        <v>6.3E-5</v>
      </c>
      <c r="AI305" s="168">
        <v>2.6820205579065198E-2</v>
      </c>
      <c r="AJ305" s="168">
        <v>5.9008321016299102E-3</v>
      </c>
    </row>
    <row r="306" spans="1:36">
      <c r="A306" s="2">
        <v>158</v>
      </c>
      <c r="B306" s="2">
        <v>9937</v>
      </c>
      <c r="C306" s="2" t="s">
        <v>2065</v>
      </c>
      <c r="D306" s="2" t="s">
        <v>2066</v>
      </c>
      <c r="E306" s="4" t="s">
        <v>1343</v>
      </c>
      <c r="F306" s="2" t="s">
        <v>2190</v>
      </c>
      <c r="G306" s="2" t="s">
        <v>2191</v>
      </c>
      <c r="H306" s="2" t="s">
        <v>338</v>
      </c>
      <c r="I306" s="2" t="s">
        <v>772</v>
      </c>
      <c r="J306" s="2" t="s">
        <v>30</v>
      </c>
      <c r="K306" s="2" t="s">
        <v>30</v>
      </c>
      <c r="L306" s="2" t="s">
        <v>344</v>
      </c>
      <c r="M306" s="2" t="s">
        <v>56</v>
      </c>
      <c r="N306" s="2" t="s">
        <v>479</v>
      </c>
      <c r="O306" s="2" t="s">
        <v>153</v>
      </c>
      <c r="P306" s="2" t="s">
        <v>98</v>
      </c>
      <c r="Q306" s="2" t="s">
        <v>430</v>
      </c>
      <c r="R306" s="2" t="s">
        <v>423</v>
      </c>
      <c r="S306" s="2" t="s">
        <v>44</v>
      </c>
      <c r="T306" s="153">
        <v>1.536</v>
      </c>
      <c r="U306" s="2" t="s">
        <v>1895</v>
      </c>
      <c r="V306" s="166">
        <v>1.7999999999999999E-2</v>
      </c>
      <c r="W306" s="168">
        <v>2.742E-2</v>
      </c>
      <c r="X306" s="4" t="s">
        <v>429</v>
      </c>
      <c r="Y306" s="4" t="s">
        <v>153</v>
      </c>
      <c r="Z306" s="153">
        <v>8017.88</v>
      </c>
      <c r="AA306" s="162">
        <v>1</v>
      </c>
      <c r="AB306" s="179">
        <v>113.45</v>
      </c>
      <c r="AD306" s="153">
        <v>9.0960000000000001</v>
      </c>
      <c r="AG306" s="2" t="s">
        <v>36</v>
      </c>
      <c r="AH306" s="168">
        <v>1.0000000000000001E-5</v>
      </c>
      <c r="AI306" s="168">
        <v>1.31972427756648E-3</v>
      </c>
      <c r="AJ306" s="168">
        <v>2.9035837773157101E-4</v>
      </c>
    </row>
    <row r="307" spans="1:36">
      <c r="A307" s="2">
        <v>158</v>
      </c>
      <c r="B307" s="2">
        <v>9937</v>
      </c>
      <c r="C307" s="2" t="s">
        <v>2065</v>
      </c>
      <c r="D307" s="2" t="s">
        <v>2066</v>
      </c>
      <c r="E307" s="4" t="s">
        <v>1343</v>
      </c>
      <c r="F307" s="2" t="s">
        <v>2238</v>
      </c>
      <c r="G307" s="2" t="s">
        <v>2239</v>
      </c>
      <c r="H307" s="2" t="s">
        <v>338</v>
      </c>
      <c r="I307" s="2" t="s">
        <v>772</v>
      </c>
      <c r="J307" s="2" t="s">
        <v>30</v>
      </c>
      <c r="K307" s="2" t="s">
        <v>30</v>
      </c>
      <c r="L307" s="2" t="s">
        <v>344</v>
      </c>
      <c r="M307" s="2" t="s">
        <v>56</v>
      </c>
      <c r="N307" s="2" t="s">
        <v>479</v>
      </c>
      <c r="O307" s="2" t="s">
        <v>153</v>
      </c>
      <c r="P307" s="2" t="s">
        <v>1746</v>
      </c>
      <c r="Q307" s="2" t="s">
        <v>430</v>
      </c>
      <c r="R307" s="2" t="s">
        <v>423</v>
      </c>
      <c r="S307" s="2" t="s">
        <v>44</v>
      </c>
      <c r="T307" s="153">
        <v>1.6160000000000001</v>
      </c>
      <c r="U307" s="2" t="s">
        <v>1887</v>
      </c>
      <c r="V307" s="166">
        <v>2.2499999999999999E-2</v>
      </c>
      <c r="W307" s="168">
        <v>2.656E-2</v>
      </c>
      <c r="X307" s="4" t="s">
        <v>429</v>
      </c>
      <c r="Y307" s="4" t="s">
        <v>153</v>
      </c>
      <c r="Z307" s="153">
        <v>57064.22</v>
      </c>
      <c r="AA307" s="162">
        <v>1</v>
      </c>
      <c r="AB307" s="179">
        <v>115.29</v>
      </c>
      <c r="AD307" s="153">
        <v>65.789000000000001</v>
      </c>
      <c r="AG307" s="2" t="s">
        <v>36</v>
      </c>
      <c r="AH307" s="168">
        <v>1.5200000000000001E-4</v>
      </c>
      <c r="AI307" s="168">
        <v>9.5449724292655108E-3</v>
      </c>
      <c r="AJ307" s="168">
        <v>2.10003161809267E-3</v>
      </c>
    </row>
    <row r="308" spans="1:36">
      <c r="A308" s="2">
        <v>158</v>
      </c>
      <c r="B308" s="2">
        <v>9937</v>
      </c>
      <c r="C308" s="2" t="s">
        <v>1551</v>
      </c>
      <c r="D308" s="2" t="s">
        <v>1552</v>
      </c>
      <c r="E308" s="4" t="s">
        <v>1343</v>
      </c>
      <c r="F308" s="2" t="s">
        <v>2240</v>
      </c>
      <c r="G308" s="2" t="s">
        <v>2241</v>
      </c>
      <c r="H308" s="2" t="s">
        <v>338</v>
      </c>
      <c r="I308" s="2" t="s">
        <v>772</v>
      </c>
      <c r="J308" s="2" t="s">
        <v>30</v>
      </c>
      <c r="K308" s="2" t="s">
        <v>30</v>
      </c>
      <c r="L308" s="2" t="s">
        <v>344</v>
      </c>
      <c r="M308" s="2" t="s">
        <v>56</v>
      </c>
      <c r="N308" s="2" t="s">
        <v>460</v>
      </c>
      <c r="O308" s="2" t="s">
        <v>153</v>
      </c>
      <c r="P308" s="2" t="s">
        <v>1718</v>
      </c>
      <c r="Q308" s="2" t="s">
        <v>430</v>
      </c>
      <c r="R308" s="2" t="s">
        <v>423</v>
      </c>
      <c r="S308" s="2" t="s">
        <v>44</v>
      </c>
      <c r="T308" s="153">
        <v>4.5369999999999999</v>
      </c>
      <c r="U308" s="2" t="s">
        <v>2242</v>
      </c>
      <c r="V308" s="166">
        <v>4.4000000000000003E-3</v>
      </c>
      <c r="W308" s="168">
        <v>2.7050000000000001E-2</v>
      </c>
      <c r="X308" s="4" t="s">
        <v>429</v>
      </c>
      <c r="Y308" s="4" t="s">
        <v>153</v>
      </c>
      <c r="Z308" s="153">
        <v>75000</v>
      </c>
      <c r="AA308" s="162">
        <v>1</v>
      </c>
      <c r="AB308" s="179">
        <v>104.2</v>
      </c>
      <c r="AD308" s="153">
        <v>78.150000000000006</v>
      </c>
      <c r="AG308" s="2" t="s">
        <v>36</v>
      </c>
      <c r="AH308" s="168">
        <v>8.7999999999999998E-5</v>
      </c>
      <c r="AI308" s="168">
        <v>1.13383050200365E-2</v>
      </c>
      <c r="AJ308" s="168">
        <v>2.4945906564014801E-3</v>
      </c>
    </row>
    <row r="309" spans="1:36">
      <c r="A309" s="2">
        <v>158</v>
      </c>
      <c r="B309" s="2">
        <v>9937</v>
      </c>
      <c r="C309" s="2" t="s">
        <v>1756</v>
      </c>
      <c r="D309" s="2" t="s">
        <v>1757</v>
      </c>
      <c r="E309" s="4" t="s">
        <v>1343</v>
      </c>
      <c r="F309" s="2" t="s">
        <v>1758</v>
      </c>
      <c r="G309" s="2" t="s">
        <v>1759</v>
      </c>
      <c r="H309" s="2" t="s">
        <v>338</v>
      </c>
      <c r="I309" s="2" t="s">
        <v>985</v>
      </c>
      <c r="J309" s="2" t="s">
        <v>30</v>
      </c>
      <c r="K309" s="2" t="s">
        <v>30</v>
      </c>
      <c r="L309" s="2" t="s">
        <v>344</v>
      </c>
      <c r="M309" s="2" t="s">
        <v>56</v>
      </c>
      <c r="N309" s="2" t="s">
        <v>460</v>
      </c>
      <c r="O309" s="2" t="s">
        <v>153</v>
      </c>
      <c r="P309" s="2" t="s">
        <v>1724</v>
      </c>
      <c r="Q309" s="2" t="s">
        <v>430</v>
      </c>
      <c r="R309" s="2" t="s">
        <v>423</v>
      </c>
      <c r="S309" s="2" t="s">
        <v>44</v>
      </c>
      <c r="T309" s="153">
        <v>1.702</v>
      </c>
      <c r="U309" s="2" t="s">
        <v>1760</v>
      </c>
      <c r="V309" s="166">
        <v>2.9100000000000001E-2</v>
      </c>
      <c r="W309" s="168">
        <v>5.3460000000000001E-2</v>
      </c>
      <c r="X309" s="4" t="s">
        <v>429</v>
      </c>
      <c r="Y309" s="4" t="s">
        <v>153</v>
      </c>
      <c r="Z309" s="153">
        <v>10000</v>
      </c>
      <c r="AA309" s="162">
        <v>1</v>
      </c>
      <c r="AB309" s="179">
        <v>96.84</v>
      </c>
      <c r="AD309" s="153">
        <v>9.6839999999999993</v>
      </c>
      <c r="AG309" s="2" t="s">
        <v>36</v>
      </c>
      <c r="AH309" s="168">
        <v>1.7E-5</v>
      </c>
      <c r="AI309" s="168">
        <v>1.40499226889358E-3</v>
      </c>
      <c r="AJ309" s="168">
        <v>3.0911856579132399E-4</v>
      </c>
    </row>
    <row r="310" spans="1:36">
      <c r="A310" s="2">
        <v>158</v>
      </c>
      <c r="B310" s="2">
        <v>9937</v>
      </c>
      <c r="C310" s="2" t="s">
        <v>1756</v>
      </c>
      <c r="D310" s="2" t="s">
        <v>1757</v>
      </c>
      <c r="E310" s="4" t="s">
        <v>1343</v>
      </c>
      <c r="F310" s="2" t="s">
        <v>2243</v>
      </c>
      <c r="G310" s="2" t="s">
        <v>2244</v>
      </c>
      <c r="H310" s="2" t="s">
        <v>338</v>
      </c>
      <c r="I310" s="2" t="s">
        <v>985</v>
      </c>
      <c r="J310" s="2" t="s">
        <v>30</v>
      </c>
      <c r="K310" s="2" t="s">
        <v>30</v>
      </c>
      <c r="L310" s="2" t="s">
        <v>344</v>
      </c>
      <c r="M310" s="2" t="s">
        <v>41</v>
      </c>
      <c r="N310" s="2" t="s">
        <v>460</v>
      </c>
      <c r="O310" s="2" t="s">
        <v>153</v>
      </c>
      <c r="P310" s="2" t="s">
        <v>1724</v>
      </c>
      <c r="Q310" s="2" t="s">
        <v>430</v>
      </c>
      <c r="R310" s="2" t="s">
        <v>423</v>
      </c>
      <c r="S310" s="2" t="s">
        <v>44</v>
      </c>
      <c r="T310" s="153">
        <v>8.6649999999999991</v>
      </c>
      <c r="U310" s="2" t="s">
        <v>2245</v>
      </c>
      <c r="V310" s="166">
        <v>6.0199999999999997E-2</v>
      </c>
      <c r="W310" s="168">
        <v>5.9959999999999999E-2</v>
      </c>
      <c r="X310" s="4" t="s">
        <v>429</v>
      </c>
      <c r="Y310" s="4" t="s">
        <v>153</v>
      </c>
      <c r="Z310" s="153">
        <v>60000</v>
      </c>
      <c r="AA310" s="162">
        <v>1</v>
      </c>
      <c r="AB310" s="179">
        <v>102.28</v>
      </c>
      <c r="AD310" s="153">
        <v>61.368000000000002</v>
      </c>
      <c r="AG310" s="2" t="s">
        <v>36</v>
      </c>
      <c r="AH310" s="168">
        <v>1.2E-4</v>
      </c>
      <c r="AI310" s="168">
        <v>8.9035073892463207E-3</v>
      </c>
      <c r="AJ310" s="168">
        <v>1.95890005632816E-3</v>
      </c>
    </row>
    <row r="311" spans="1:36">
      <c r="A311" s="2">
        <v>158</v>
      </c>
      <c r="B311" s="2">
        <v>9937</v>
      </c>
      <c r="C311" s="2" t="s">
        <v>1764</v>
      </c>
      <c r="D311" s="2" t="s">
        <v>1765</v>
      </c>
      <c r="E311" s="4" t="s">
        <v>1343</v>
      </c>
      <c r="F311" s="2" t="s">
        <v>1766</v>
      </c>
      <c r="G311" s="2" t="s">
        <v>1767</v>
      </c>
      <c r="H311" s="2" t="s">
        <v>338</v>
      </c>
      <c r="I311" s="2" t="s">
        <v>985</v>
      </c>
      <c r="J311" s="2" t="s">
        <v>30</v>
      </c>
      <c r="K311" s="2" t="s">
        <v>30</v>
      </c>
      <c r="L311" s="2" t="s">
        <v>344</v>
      </c>
      <c r="M311" s="2" t="s">
        <v>56</v>
      </c>
      <c r="N311" s="2" t="s">
        <v>460</v>
      </c>
      <c r="O311" s="2" t="s">
        <v>153</v>
      </c>
      <c r="P311" s="2" t="s">
        <v>1718</v>
      </c>
      <c r="Q311" s="2" t="s">
        <v>110</v>
      </c>
      <c r="R311" s="2" t="s">
        <v>423</v>
      </c>
      <c r="S311" s="2" t="s">
        <v>44</v>
      </c>
      <c r="T311" s="153">
        <v>4.95</v>
      </c>
      <c r="U311" s="2" t="s">
        <v>1768</v>
      </c>
      <c r="V311" s="166">
        <v>1.95E-2</v>
      </c>
      <c r="W311" s="168">
        <v>5.7970000000000001E-2</v>
      </c>
      <c r="X311" s="4" t="s">
        <v>429</v>
      </c>
      <c r="Y311" s="4" t="s">
        <v>153</v>
      </c>
      <c r="Z311" s="153">
        <v>157525.66</v>
      </c>
      <c r="AA311" s="162">
        <v>1</v>
      </c>
      <c r="AB311" s="179">
        <v>83.08</v>
      </c>
      <c r="AD311" s="153">
        <v>130.87200000000001</v>
      </c>
      <c r="AG311" s="2" t="s">
        <v>36</v>
      </c>
      <c r="AH311" s="168">
        <v>1.4999999999999999E-4</v>
      </c>
      <c r="AI311" s="168">
        <v>1.8987463389407301E-2</v>
      </c>
      <c r="AJ311" s="168">
        <v>4.17751583471054E-3</v>
      </c>
    </row>
    <row r="312" spans="1:36">
      <c r="A312" s="2">
        <v>158</v>
      </c>
      <c r="B312" s="2">
        <v>9937</v>
      </c>
      <c r="C312" s="2" t="s">
        <v>2246</v>
      </c>
      <c r="D312" s="2" t="s">
        <v>2247</v>
      </c>
      <c r="E312" s="4" t="s">
        <v>1343</v>
      </c>
      <c r="F312" s="2" t="s">
        <v>2248</v>
      </c>
      <c r="G312" s="2" t="s">
        <v>2249</v>
      </c>
      <c r="H312" s="2" t="s">
        <v>338</v>
      </c>
      <c r="I312" s="2" t="s">
        <v>985</v>
      </c>
      <c r="J312" s="2" t="s">
        <v>30</v>
      </c>
      <c r="K312" s="2" t="s">
        <v>30</v>
      </c>
      <c r="L312" s="2" t="s">
        <v>344</v>
      </c>
      <c r="M312" s="2" t="s">
        <v>56</v>
      </c>
      <c r="N312" s="2" t="s">
        <v>479</v>
      </c>
      <c r="O312" s="2" t="s">
        <v>153</v>
      </c>
      <c r="P312" s="2" t="s">
        <v>1718</v>
      </c>
      <c r="Q312" s="2" t="s">
        <v>430</v>
      </c>
      <c r="R312" s="2" t="s">
        <v>423</v>
      </c>
      <c r="S312" s="2" t="s">
        <v>44</v>
      </c>
      <c r="T312" s="153">
        <v>0.73099999999999998</v>
      </c>
      <c r="U312" s="2" t="s">
        <v>2250</v>
      </c>
      <c r="V312" s="166">
        <v>2.5499999999999998E-2</v>
      </c>
      <c r="W312" s="168">
        <v>4.8809999999999999E-2</v>
      </c>
      <c r="X312" s="4" t="s">
        <v>429</v>
      </c>
      <c r="Y312" s="4" t="s">
        <v>153</v>
      </c>
      <c r="Z312" s="153">
        <v>2800</v>
      </c>
      <c r="AA312" s="162">
        <v>1</v>
      </c>
      <c r="AB312" s="179">
        <v>99.04</v>
      </c>
      <c r="AD312" s="153">
        <v>2.7730000000000001</v>
      </c>
      <c r="AG312" s="2" t="s">
        <v>36</v>
      </c>
      <c r="AH312" s="168">
        <v>4.1999999999999998E-5</v>
      </c>
      <c r="AI312" s="168">
        <v>4.0233500213900997E-4</v>
      </c>
      <c r="AJ312" s="168">
        <v>8.8519504044530707E-5</v>
      </c>
    </row>
    <row r="313" spans="1:36">
      <c r="A313" s="2">
        <v>158</v>
      </c>
      <c r="B313" s="2">
        <v>9937</v>
      </c>
      <c r="C313" s="2" t="s">
        <v>1972</v>
      </c>
      <c r="D313" s="2" t="s">
        <v>1973</v>
      </c>
      <c r="E313" s="4" t="s">
        <v>1343</v>
      </c>
      <c r="F313" s="2" t="s">
        <v>1974</v>
      </c>
      <c r="G313" s="2" t="s">
        <v>1975</v>
      </c>
      <c r="H313" s="2" t="s">
        <v>338</v>
      </c>
      <c r="I313" s="2" t="s">
        <v>985</v>
      </c>
      <c r="J313" s="2" t="s">
        <v>30</v>
      </c>
      <c r="K313" s="2" t="s">
        <v>30</v>
      </c>
      <c r="L313" s="2" t="s">
        <v>344</v>
      </c>
      <c r="M313" s="2" t="s">
        <v>56</v>
      </c>
      <c r="N313" s="2" t="s">
        <v>466</v>
      </c>
      <c r="O313" s="2" t="s">
        <v>153</v>
      </c>
      <c r="P313" s="2" t="s">
        <v>32</v>
      </c>
      <c r="Q313" s="2" t="s">
        <v>430</v>
      </c>
      <c r="R313" s="2" t="s">
        <v>423</v>
      </c>
      <c r="S313" s="2" t="s">
        <v>44</v>
      </c>
      <c r="T313" s="153">
        <v>1.859</v>
      </c>
      <c r="U313" s="2" t="s">
        <v>1796</v>
      </c>
      <c r="V313" s="166">
        <v>2.1999999999999999E-2</v>
      </c>
      <c r="W313" s="168">
        <v>5.6399999999999999E-2</v>
      </c>
      <c r="X313" s="4" t="s">
        <v>429</v>
      </c>
      <c r="Y313" s="4" t="s">
        <v>153</v>
      </c>
      <c r="Z313" s="153">
        <v>83333.33</v>
      </c>
      <c r="AA313" s="162">
        <v>1</v>
      </c>
      <c r="AB313" s="179">
        <v>93.06</v>
      </c>
      <c r="AD313" s="153">
        <v>77.55</v>
      </c>
      <c r="AG313" s="2" t="s">
        <v>36</v>
      </c>
      <c r="AH313" s="168">
        <v>7.7000000000000001E-5</v>
      </c>
      <c r="AI313" s="168">
        <v>1.1251254243536899E-2</v>
      </c>
      <c r="AJ313" s="168">
        <v>2.4754382298875798E-3</v>
      </c>
    </row>
    <row r="314" spans="1:36">
      <c r="A314" s="2">
        <v>158</v>
      </c>
      <c r="B314" s="2">
        <v>9937</v>
      </c>
      <c r="C314" s="2" t="s">
        <v>1769</v>
      </c>
      <c r="D314" s="2" t="s">
        <v>1770</v>
      </c>
      <c r="E314" s="4" t="s">
        <v>1343</v>
      </c>
      <c r="F314" s="2" t="s">
        <v>1976</v>
      </c>
      <c r="G314" s="2" t="s">
        <v>1977</v>
      </c>
      <c r="H314" s="2" t="s">
        <v>338</v>
      </c>
      <c r="I314" s="2" t="s">
        <v>772</v>
      </c>
      <c r="J314" s="2" t="s">
        <v>30</v>
      </c>
      <c r="K314" s="2" t="s">
        <v>30</v>
      </c>
      <c r="L314" s="2" t="s">
        <v>344</v>
      </c>
      <c r="M314" s="2" t="s">
        <v>56</v>
      </c>
      <c r="N314" s="2" t="s">
        <v>455</v>
      </c>
      <c r="O314" s="2" t="s">
        <v>153</v>
      </c>
      <c r="P314" s="2" t="s">
        <v>1773</v>
      </c>
      <c r="Q314" s="2" t="s">
        <v>430</v>
      </c>
      <c r="R314" s="2" t="s">
        <v>423</v>
      </c>
      <c r="S314" s="2" t="s">
        <v>44</v>
      </c>
      <c r="T314" s="153">
        <v>0.81299999999999994</v>
      </c>
      <c r="U314" s="2" t="s">
        <v>1978</v>
      </c>
      <c r="V314" s="166">
        <v>4.4999999999999998E-2</v>
      </c>
      <c r="W314" s="168">
        <v>2.615E-2</v>
      </c>
      <c r="X314" s="4" t="s">
        <v>429</v>
      </c>
      <c r="Y314" s="4" t="s">
        <v>153</v>
      </c>
      <c r="Z314" s="153">
        <v>40000</v>
      </c>
      <c r="AA314" s="162">
        <v>1</v>
      </c>
      <c r="AB314" s="179">
        <v>119.4</v>
      </c>
      <c r="AD314" s="153">
        <v>47.76</v>
      </c>
      <c r="AG314" s="2" t="s">
        <v>36</v>
      </c>
      <c r="AH314" s="168">
        <v>1.4E-5</v>
      </c>
      <c r="AI314" s="168">
        <v>6.92920598537355E-3</v>
      </c>
      <c r="AJ314" s="168">
        <v>1.52452526871062E-3</v>
      </c>
    </row>
    <row r="315" spans="1:36">
      <c r="A315" s="2">
        <v>158</v>
      </c>
      <c r="B315" s="2">
        <v>9937</v>
      </c>
      <c r="C315" s="2" t="s">
        <v>1769</v>
      </c>
      <c r="D315" s="2" t="s">
        <v>1770</v>
      </c>
      <c r="E315" s="4" t="s">
        <v>1343</v>
      </c>
      <c r="F315" s="2" t="s">
        <v>1775</v>
      </c>
      <c r="G315" s="2" t="s">
        <v>1776</v>
      </c>
      <c r="H315" s="2" t="s">
        <v>338</v>
      </c>
      <c r="I315" s="2" t="s">
        <v>772</v>
      </c>
      <c r="J315" s="2" t="s">
        <v>30</v>
      </c>
      <c r="K315" s="2" t="s">
        <v>30</v>
      </c>
      <c r="L315" s="2" t="s">
        <v>344</v>
      </c>
      <c r="M315" s="2" t="s">
        <v>56</v>
      </c>
      <c r="N315" s="2" t="s">
        <v>455</v>
      </c>
      <c r="O315" s="2" t="s">
        <v>153</v>
      </c>
      <c r="P315" s="2" t="s">
        <v>1773</v>
      </c>
      <c r="Q315" s="2" t="s">
        <v>430</v>
      </c>
      <c r="R315" s="2" t="s">
        <v>423</v>
      </c>
      <c r="S315" s="2" t="s">
        <v>44</v>
      </c>
      <c r="T315" s="153">
        <v>5.798</v>
      </c>
      <c r="U315" s="2" t="s">
        <v>1777</v>
      </c>
      <c r="V315" s="166">
        <v>2.3900000000000001E-2</v>
      </c>
      <c r="W315" s="168">
        <v>2.9239999999999999E-2</v>
      </c>
      <c r="X315" s="4" t="s">
        <v>429</v>
      </c>
      <c r="Y315" s="4" t="s">
        <v>153</v>
      </c>
      <c r="Z315" s="153">
        <v>90000</v>
      </c>
      <c r="AA315" s="162">
        <v>1</v>
      </c>
      <c r="AB315" s="179">
        <v>111.74</v>
      </c>
      <c r="AD315" s="153">
        <v>100.566</v>
      </c>
      <c r="AG315" s="2" t="s">
        <v>36</v>
      </c>
      <c r="AH315" s="168">
        <v>2.3E-5</v>
      </c>
      <c r="AI315" s="168">
        <v>1.4590505216186701E-2</v>
      </c>
      <c r="AJ315" s="168">
        <v>3.2101216116656602E-3</v>
      </c>
    </row>
    <row r="316" spans="1:36">
      <c r="A316" s="2">
        <v>158</v>
      </c>
      <c r="B316" s="2">
        <v>9937</v>
      </c>
      <c r="C316" s="2" t="s">
        <v>1769</v>
      </c>
      <c r="D316" s="2" t="s">
        <v>1770</v>
      </c>
      <c r="E316" s="4" t="s">
        <v>1343</v>
      </c>
      <c r="F316" s="2" t="s">
        <v>1979</v>
      </c>
      <c r="G316" s="2" t="s">
        <v>1980</v>
      </c>
      <c r="H316" s="2" t="s">
        <v>338</v>
      </c>
      <c r="I316" s="2" t="s">
        <v>772</v>
      </c>
      <c r="J316" s="2" t="s">
        <v>30</v>
      </c>
      <c r="K316" s="2" t="s">
        <v>30</v>
      </c>
      <c r="L316" s="2" t="s">
        <v>344</v>
      </c>
      <c r="M316" s="2" t="s">
        <v>56</v>
      </c>
      <c r="N316" s="2" t="s">
        <v>455</v>
      </c>
      <c r="O316" s="2" t="s">
        <v>153</v>
      </c>
      <c r="P316" s="2" t="s">
        <v>1773</v>
      </c>
      <c r="Q316" s="2" t="s">
        <v>430</v>
      </c>
      <c r="R316" s="2" t="s">
        <v>423</v>
      </c>
      <c r="S316" s="2" t="s">
        <v>44</v>
      </c>
      <c r="T316" s="153">
        <v>10.627000000000001</v>
      </c>
      <c r="U316" s="2" t="s">
        <v>1981</v>
      </c>
      <c r="V316" s="166">
        <v>1.2500000000000001E-2</v>
      </c>
      <c r="W316" s="168">
        <v>3.4939999999999999E-2</v>
      </c>
      <c r="X316" s="4" t="s">
        <v>429</v>
      </c>
      <c r="Y316" s="4" t="s">
        <v>153</v>
      </c>
      <c r="Z316" s="153">
        <v>70000</v>
      </c>
      <c r="AA316" s="162">
        <v>1</v>
      </c>
      <c r="AB316" s="179">
        <v>90</v>
      </c>
      <c r="AD316" s="153">
        <v>63</v>
      </c>
      <c r="AG316" s="2" t="s">
        <v>36</v>
      </c>
      <c r="AH316" s="168">
        <v>1.5999999999999999E-5</v>
      </c>
      <c r="AI316" s="168">
        <v>9.1402842771887392E-3</v>
      </c>
      <c r="AJ316" s="168">
        <v>2.01099438711828E-3</v>
      </c>
    </row>
    <row r="317" spans="1:36">
      <c r="A317" s="2">
        <v>158</v>
      </c>
      <c r="B317" s="2">
        <v>9937</v>
      </c>
      <c r="C317" s="2" t="s">
        <v>2192</v>
      </c>
      <c r="D317" s="2" t="s">
        <v>2193</v>
      </c>
      <c r="E317" s="4" t="s">
        <v>329</v>
      </c>
      <c r="F317" s="2" t="s">
        <v>2194</v>
      </c>
      <c r="G317" s="2" t="s">
        <v>2195</v>
      </c>
      <c r="H317" s="2" t="s">
        <v>338</v>
      </c>
      <c r="I317" s="2" t="s">
        <v>773</v>
      </c>
      <c r="J317" s="2" t="s">
        <v>30</v>
      </c>
      <c r="K317" s="2" t="s">
        <v>30</v>
      </c>
      <c r="L317" s="2" t="s">
        <v>344</v>
      </c>
      <c r="M317" s="2" t="s">
        <v>56</v>
      </c>
      <c r="N317" s="2" t="s">
        <v>469</v>
      </c>
      <c r="O317" s="2" t="s">
        <v>153</v>
      </c>
      <c r="P317" s="2" t="s">
        <v>1718</v>
      </c>
      <c r="Q317" s="2" t="s">
        <v>430</v>
      </c>
      <c r="R317" s="2" t="s">
        <v>423</v>
      </c>
      <c r="S317" s="2" t="s">
        <v>44</v>
      </c>
      <c r="T317" s="153">
        <v>0.505</v>
      </c>
      <c r="U317" s="2" t="s">
        <v>2196</v>
      </c>
      <c r="V317" s="166">
        <v>3.49E-2</v>
      </c>
      <c r="W317" s="168">
        <v>8.7120000000000003E-2</v>
      </c>
      <c r="X317" s="4" t="s">
        <v>429</v>
      </c>
      <c r="Y317" s="4" t="s">
        <v>153</v>
      </c>
      <c r="Z317" s="153">
        <v>12810</v>
      </c>
      <c r="AA317" s="162">
        <v>1</v>
      </c>
      <c r="AB317" s="179">
        <v>102.3</v>
      </c>
      <c r="AD317" s="153">
        <v>13.105</v>
      </c>
      <c r="AG317" s="2" t="s">
        <v>36</v>
      </c>
      <c r="AH317" s="168">
        <v>2.5000000000000001E-5</v>
      </c>
      <c r="AI317" s="168">
        <v>1.9012705324980301E-3</v>
      </c>
      <c r="AJ317" s="168">
        <v>4.1830694246447302E-4</v>
      </c>
    </row>
    <row r="318" spans="1:36">
      <c r="A318" s="2">
        <v>158</v>
      </c>
      <c r="B318" s="2">
        <v>9937</v>
      </c>
      <c r="C318" s="2" t="s">
        <v>1563</v>
      </c>
      <c r="D318" s="2" t="s">
        <v>1564</v>
      </c>
      <c r="E318" s="4" t="s">
        <v>1343</v>
      </c>
      <c r="F318" s="2" t="s">
        <v>2251</v>
      </c>
      <c r="G318" s="2" t="s">
        <v>2252</v>
      </c>
      <c r="H318" s="2" t="s">
        <v>338</v>
      </c>
      <c r="I318" s="2" t="s">
        <v>985</v>
      </c>
      <c r="J318" s="2" t="s">
        <v>30</v>
      </c>
      <c r="K318" s="2" t="s">
        <v>30</v>
      </c>
      <c r="L318" s="2" t="s">
        <v>344</v>
      </c>
      <c r="M318" s="2" t="s">
        <v>56</v>
      </c>
      <c r="N318" s="2" t="s">
        <v>460</v>
      </c>
      <c r="O318" s="2" t="s">
        <v>153</v>
      </c>
      <c r="P318" s="2" t="s">
        <v>1724</v>
      </c>
      <c r="Q318" s="2" t="s">
        <v>430</v>
      </c>
      <c r="R318" s="2" t="s">
        <v>423</v>
      </c>
      <c r="S318" s="2" t="s">
        <v>44</v>
      </c>
      <c r="T318" s="153">
        <v>3.105</v>
      </c>
      <c r="U318" s="2" t="s">
        <v>2253</v>
      </c>
      <c r="V318" s="166">
        <v>4.7E-2</v>
      </c>
      <c r="W318" s="168">
        <v>5.4760000000000003E-2</v>
      </c>
      <c r="X318" s="4" t="s">
        <v>429</v>
      </c>
      <c r="Y318" s="4" t="s">
        <v>153</v>
      </c>
      <c r="Z318" s="153">
        <v>70000</v>
      </c>
      <c r="AA318" s="162">
        <v>1</v>
      </c>
      <c r="AB318" s="179">
        <v>100.38</v>
      </c>
      <c r="AD318" s="153">
        <v>70.266000000000005</v>
      </c>
      <c r="AG318" s="2" t="s">
        <v>36</v>
      </c>
      <c r="AH318" s="168">
        <v>7.7999999999999999E-5</v>
      </c>
      <c r="AI318" s="168">
        <v>1.01944637304912E-2</v>
      </c>
      <c r="AJ318" s="168">
        <v>2.24292907309925E-3</v>
      </c>
    </row>
    <row r="319" spans="1:36">
      <c r="A319" s="2">
        <v>158</v>
      </c>
      <c r="B319" s="2">
        <v>9937</v>
      </c>
      <c r="C319" s="2" t="s">
        <v>1563</v>
      </c>
      <c r="D319" s="2" t="s">
        <v>1564</v>
      </c>
      <c r="E319" s="4" t="s">
        <v>1343</v>
      </c>
      <c r="F319" s="2" t="s">
        <v>2083</v>
      </c>
      <c r="G319" s="2" t="s">
        <v>2084</v>
      </c>
      <c r="H319" s="2" t="s">
        <v>338</v>
      </c>
      <c r="I319" s="2" t="s">
        <v>985</v>
      </c>
      <c r="J319" s="2" t="s">
        <v>30</v>
      </c>
      <c r="K319" s="2" t="s">
        <v>30</v>
      </c>
      <c r="L319" s="2" t="s">
        <v>344</v>
      </c>
      <c r="M319" s="2" t="s">
        <v>56</v>
      </c>
      <c r="N319" s="2" t="s">
        <v>460</v>
      </c>
      <c r="O319" s="2" t="s">
        <v>153</v>
      </c>
      <c r="P319" s="2" t="s">
        <v>1724</v>
      </c>
      <c r="Q319" s="2" t="s">
        <v>430</v>
      </c>
      <c r="R319" s="2" t="s">
        <v>423</v>
      </c>
      <c r="S319" s="2" t="s">
        <v>44</v>
      </c>
      <c r="T319" s="153">
        <v>5.16</v>
      </c>
      <c r="U319" s="2" t="s">
        <v>2085</v>
      </c>
      <c r="V319" s="166">
        <v>5.2499999999999998E-2</v>
      </c>
      <c r="W319" s="168">
        <v>5.688E-2</v>
      </c>
      <c r="X319" s="4" t="s">
        <v>429</v>
      </c>
      <c r="Y319" s="4" t="s">
        <v>153</v>
      </c>
      <c r="Z319" s="153">
        <v>175000</v>
      </c>
      <c r="AA319" s="162">
        <v>1</v>
      </c>
      <c r="AB319" s="179">
        <v>100.33</v>
      </c>
      <c r="AD319" s="153">
        <v>175.577</v>
      </c>
      <c r="AG319" s="2" t="s">
        <v>36</v>
      </c>
      <c r="AH319" s="168">
        <v>3.5E-4</v>
      </c>
      <c r="AI319" s="168">
        <v>2.5473464486953999E-2</v>
      </c>
      <c r="AJ319" s="168">
        <v>5.6045296349882404E-3</v>
      </c>
    </row>
    <row r="320" spans="1:36">
      <c r="A320" s="2">
        <v>158</v>
      </c>
      <c r="B320" s="2">
        <v>9937</v>
      </c>
      <c r="C320" s="2" t="s">
        <v>1196</v>
      </c>
      <c r="D320" s="2" t="s">
        <v>1567</v>
      </c>
      <c r="E320" s="4" t="s">
        <v>1343</v>
      </c>
      <c r="F320" s="2" t="s">
        <v>1787</v>
      </c>
      <c r="G320" s="2" t="s">
        <v>1788</v>
      </c>
      <c r="H320" s="2" t="s">
        <v>338</v>
      </c>
      <c r="I320" s="2" t="s">
        <v>772</v>
      </c>
      <c r="J320" s="2" t="s">
        <v>30</v>
      </c>
      <c r="K320" s="2" t="s">
        <v>30</v>
      </c>
      <c r="L320" s="2" t="s">
        <v>344</v>
      </c>
      <c r="M320" s="2" t="s">
        <v>56</v>
      </c>
      <c r="N320" s="2" t="s">
        <v>463</v>
      </c>
      <c r="O320" s="2" t="s">
        <v>153</v>
      </c>
      <c r="P320" s="2" t="s">
        <v>109</v>
      </c>
      <c r="Q320" s="2" t="s">
        <v>430</v>
      </c>
      <c r="R320" s="2" t="s">
        <v>423</v>
      </c>
      <c r="S320" s="2" t="s">
        <v>44</v>
      </c>
      <c r="T320" s="153">
        <v>1.7370000000000001</v>
      </c>
      <c r="U320" s="2" t="s">
        <v>1760</v>
      </c>
      <c r="V320" s="166">
        <v>8.3000000000000001E-3</v>
      </c>
      <c r="W320" s="168">
        <v>2.0449999999999999E-2</v>
      </c>
      <c r="X320" s="4" t="s">
        <v>429</v>
      </c>
      <c r="Y320" s="4" t="s">
        <v>153</v>
      </c>
      <c r="Z320" s="153">
        <v>65000</v>
      </c>
      <c r="AA320" s="162">
        <v>1</v>
      </c>
      <c r="AB320" s="179">
        <v>113.2</v>
      </c>
      <c r="AD320" s="153">
        <v>73.58</v>
      </c>
      <c r="AG320" s="2" t="s">
        <v>36</v>
      </c>
      <c r="AH320" s="168">
        <v>4.3000000000000002E-5</v>
      </c>
      <c r="AI320" s="168">
        <v>1.06752717002468E-2</v>
      </c>
      <c r="AJ320" s="168">
        <v>2.3487137619708398E-3</v>
      </c>
    </row>
    <row r="321" spans="1:36">
      <c r="A321" s="2">
        <v>158</v>
      </c>
      <c r="B321" s="2">
        <v>9937</v>
      </c>
      <c r="C321" s="2" t="s">
        <v>1196</v>
      </c>
      <c r="D321" s="2" t="s">
        <v>1567</v>
      </c>
      <c r="E321" s="4" t="s">
        <v>1343</v>
      </c>
      <c r="F321" s="2" t="s">
        <v>1907</v>
      </c>
      <c r="G321" s="2" t="s">
        <v>1908</v>
      </c>
      <c r="H321" s="2" t="s">
        <v>338</v>
      </c>
      <c r="I321" s="2" t="s">
        <v>985</v>
      </c>
      <c r="J321" s="2" t="s">
        <v>30</v>
      </c>
      <c r="K321" s="2" t="s">
        <v>30</v>
      </c>
      <c r="L321" s="2" t="s">
        <v>344</v>
      </c>
      <c r="M321" s="2" t="s">
        <v>56</v>
      </c>
      <c r="N321" s="2" t="s">
        <v>463</v>
      </c>
      <c r="O321" s="2" t="s">
        <v>153</v>
      </c>
      <c r="P321" s="2" t="s">
        <v>109</v>
      </c>
      <c r="Q321" s="2" t="s">
        <v>430</v>
      </c>
      <c r="R321" s="2" t="s">
        <v>423</v>
      </c>
      <c r="S321" s="2" t="s">
        <v>44</v>
      </c>
      <c r="T321" s="153">
        <v>0.41099999999999998</v>
      </c>
      <c r="U321" s="2" t="s">
        <v>1909</v>
      </c>
      <c r="V321" s="166">
        <v>2.0199999999999999E-2</v>
      </c>
      <c r="W321" s="168">
        <v>4.4269999999999997E-2</v>
      </c>
      <c r="X321" s="4" t="s">
        <v>429</v>
      </c>
      <c r="Y321" s="4" t="s">
        <v>153</v>
      </c>
      <c r="Z321" s="153">
        <v>72199.5</v>
      </c>
      <c r="AA321" s="162">
        <v>1</v>
      </c>
      <c r="AB321" s="179">
        <v>100.22</v>
      </c>
      <c r="AD321" s="153">
        <v>72.358000000000004</v>
      </c>
      <c r="AG321" s="2" t="s">
        <v>36</v>
      </c>
      <c r="AH321" s="168">
        <v>8.5000000000000006E-5</v>
      </c>
      <c r="AI321" s="168">
        <v>1.0498028370970899E-2</v>
      </c>
      <c r="AJ321" s="168">
        <v>2.3097176728428901E-3</v>
      </c>
    </row>
    <row r="322" spans="1:36">
      <c r="A322" s="2">
        <v>158</v>
      </c>
      <c r="B322" s="2">
        <v>9937</v>
      </c>
      <c r="C322" s="2" t="s">
        <v>1196</v>
      </c>
      <c r="D322" s="2" t="s">
        <v>1567</v>
      </c>
      <c r="E322" s="4" t="s">
        <v>1343</v>
      </c>
      <c r="F322" s="2" t="s">
        <v>2095</v>
      </c>
      <c r="G322" s="2" t="s">
        <v>2096</v>
      </c>
      <c r="H322" s="2" t="s">
        <v>338</v>
      </c>
      <c r="I322" s="2" t="s">
        <v>772</v>
      </c>
      <c r="J322" s="2" t="s">
        <v>30</v>
      </c>
      <c r="K322" s="2" t="s">
        <v>30</v>
      </c>
      <c r="L322" s="2" t="s">
        <v>344</v>
      </c>
      <c r="M322" s="2" t="s">
        <v>56</v>
      </c>
      <c r="N322" s="2" t="s">
        <v>463</v>
      </c>
      <c r="O322" s="2" t="s">
        <v>153</v>
      </c>
      <c r="P322" s="2" t="s">
        <v>109</v>
      </c>
      <c r="Q322" s="2" t="s">
        <v>430</v>
      </c>
      <c r="R322" s="2" t="s">
        <v>423</v>
      </c>
      <c r="S322" s="2" t="s">
        <v>44</v>
      </c>
      <c r="T322" s="153">
        <v>3.1440000000000001</v>
      </c>
      <c r="U322" s="2" t="s">
        <v>2097</v>
      </c>
      <c r="V322" s="166">
        <v>1E-3</v>
      </c>
      <c r="W322" s="168">
        <v>2.307E-2</v>
      </c>
      <c r="X322" s="4" t="s">
        <v>429</v>
      </c>
      <c r="Y322" s="4" t="s">
        <v>153</v>
      </c>
      <c r="Z322" s="153">
        <v>60000</v>
      </c>
      <c r="AA322" s="162">
        <v>1</v>
      </c>
      <c r="AB322" s="179">
        <v>105.15</v>
      </c>
      <c r="AD322" s="153">
        <v>63.09</v>
      </c>
      <c r="AG322" s="2" t="s">
        <v>36</v>
      </c>
      <c r="AH322" s="168">
        <v>1.9000000000000001E-5</v>
      </c>
      <c r="AI322" s="168">
        <v>9.1533418261561493E-3</v>
      </c>
      <c r="AJ322" s="168">
        <v>2.0138672362427302E-3</v>
      </c>
    </row>
    <row r="323" spans="1:36">
      <c r="A323" s="2">
        <v>158</v>
      </c>
      <c r="B323" s="2">
        <v>9937</v>
      </c>
      <c r="C323" s="2" t="s">
        <v>1196</v>
      </c>
      <c r="D323" s="2" t="s">
        <v>1567</v>
      </c>
      <c r="E323" s="4" t="s">
        <v>1343</v>
      </c>
      <c r="F323" s="2" t="s">
        <v>2098</v>
      </c>
      <c r="G323" s="2" t="s">
        <v>2099</v>
      </c>
      <c r="H323" s="2" t="s">
        <v>338</v>
      </c>
      <c r="I323" s="2" t="s">
        <v>985</v>
      </c>
      <c r="J323" s="2" t="s">
        <v>30</v>
      </c>
      <c r="K323" s="2" t="s">
        <v>30</v>
      </c>
      <c r="L323" s="2" t="s">
        <v>344</v>
      </c>
      <c r="M323" s="2" t="s">
        <v>56</v>
      </c>
      <c r="N323" s="2" t="s">
        <v>463</v>
      </c>
      <c r="O323" s="2" t="s">
        <v>153</v>
      </c>
      <c r="P323" s="2" t="s">
        <v>109</v>
      </c>
      <c r="Q323" s="2" t="s">
        <v>430</v>
      </c>
      <c r="R323" s="2" t="s">
        <v>423</v>
      </c>
      <c r="S323" s="2" t="s">
        <v>44</v>
      </c>
      <c r="T323" s="153">
        <v>3.1080000000000001</v>
      </c>
      <c r="U323" s="2" t="s">
        <v>2100</v>
      </c>
      <c r="V323" s="166">
        <v>2.76E-2</v>
      </c>
      <c r="W323" s="168">
        <v>5.0979999999999998E-2</v>
      </c>
      <c r="X323" s="4" t="s">
        <v>429</v>
      </c>
      <c r="Y323" s="4" t="s">
        <v>153</v>
      </c>
      <c r="Z323" s="153">
        <v>50000</v>
      </c>
      <c r="AA323" s="162">
        <v>1</v>
      </c>
      <c r="AB323" s="179">
        <v>94.29</v>
      </c>
      <c r="AD323" s="153">
        <v>47.145000000000003</v>
      </c>
      <c r="AG323" s="2" t="s">
        <v>36</v>
      </c>
      <c r="AH323" s="168">
        <v>3.6999999999999998E-5</v>
      </c>
      <c r="AI323" s="168">
        <v>6.8399794007628998E-3</v>
      </c>
      <c r="AJ323" s="168">
        <v>1.5048941330268401E-3</v>
      </c>
    </row>
    <row r="324" spans="1:36">
      <c r="A324" s="2">
        <v>158</v>
      </c>
      <c r="B324" s="2">
        <v>9937</v>
      </c>
      <c r="C324" s="2" t="s">
        <v>1196</v>
      </c>
      <c r="D324" s="2" t="s">
        <v>1567</v>
      </c>
      <c r="E324" s="4" t="s">
        <v>1343</v>
      </c>
      <c r="F324" s="2" t="s">
        <v>1789</v>
      </c>
      <c r="G324" s="2" t="s">
        <v>1790</v>
      </c>
      <c r="H324" s="2" t="s">
        <v>338</v>
      </c>
      <c r="I324" s="2" t="s">
        <v>772</v>
      </c>
      <c r="J324" s="2" t="s">
        <v>30</v>
      </c>
      <c r="K324" s="2" t="s">
        <v>30</v>
      </c>
      <c r="L324" s="2" t="s">
        <v>344</v>
      </c>
      <c r="M324" s="2" t="s">
        <v>56</v>
      </c>
      <c r="N324" s="2" t="s">
        <v>463</v>
      </c>
      <c r="O324" s="2" t="s">
        <v>153</v>
      </c>
      <c r="P324" s="2" t="s">
        <v>109</v>
      </c>
      <c r="Q324" s="2" t="s">
        <v>430</v>
      </c>
      <c r="R324" s="2" t="s">
        <v>423</v>
      </c>
      <c r="S324" s="2" t="s">
        <v>44</v>
      </c>
      <c r="T324" s="153">
        <v>5.0449999999999999</v>
      </c>
      <c r="U324" s="2" t="s">
        <v>1791</v>
      </c>
      <c r="V324" s="166">
        <v>2.0199999999999999E-2</v>
      </c>
      <c r="W324" s="168">
        <v>2.5940000000000001E-2</v>
      </c>
      <c r="X324" s="4" t="s">
        <v>429</v>
      </c>
      <c r="Y324" s="4" t="s">
        <v>153</v>
      </c>
      <c r="Z324" s="153">
        <v>260000</v>
      </c>
      <c r="AA324" s="162">
        <v>1</v>
      </c>
      <c r="AB324" s="179">
        <v>101.35</v>
      </c>
      <c r="AD324" s="153">
        <v>263.51</v>
      </c>
      <c r="AG324" s="2" t="s">
        <v>36</v>
      </c>
      <c r="AH324" s="168">
        <v>7.2999999999999999E-5</v>
      </c>
      <c r="AI324" s="168">
        <v>3.8231052537809597E-2</v>
      </c>
      <c r="AJ324" s="168">
        <v>8.4113830309450292E-3</v>
      </c>
    </row>
    <row r="325" spans="1:36">
      <c r="A325" s="2">
        <v>158</v>
      </c>
      <c r="B325" s="2">
        <v>9937</v>
      </c>
      <c r="C325" s="2" t="s">
        <v>1792</v>
      </c>
      <c r="D325" s="2" t="s">
        <v>1793</v>
      </c>
      <c r="E325" s="4" t="s">
        <v>1343</v>
      </c>
      <c r="F325" s="2" t="s">
        <v>1982</v>
      </c>
      <c r="G325" s="2" t="s">
        <v>1983</v>
      </c>
      <c r="H325" s="2" t="s">
        <v>338</v>
      </c>
      <c r="I325" s="2" t="s">
        <v>772</v>
      </c>
      <c r="J325" s="2" t="s">
        <v>30</v>
      </c>
      <c r="K325" s="2" t="s">
        <v>30</v>
      </c>
      <c r="L325" s="2" t="s">
        <v>344</v>
      </c>
      <c r="M325" s="2" t="s">
        <v>56</v>
      </c>
      <c r="N325" s="2" t="s">
        <v>479</v>
      </c>
      <c r="O325" s="2" t="s">
        <v>153</v>
      </c>
      <c r="P325" s="2" t="s">
        <v>1718</v>
      </c>
      <c r="Q325" s="2" t="s">
        <v>430</v>
      </c>
      <c r="R325" s="2" t="s">
        <v>423</v>
      </c>
      <c r="S325" s="2" t="s">
        <v>44</v>
      </c>
      <c r="T325" s="153">
        <v>1.89</v>
      </c>
      <c r="U325" s="2" t="s">
        <v>1916</v>
      </c>
      <c r="V325" s="166">
        <v>2.4E-2</v>
      </c>
      <c r="W325" s="168">
        <v>2.487E-2</v>
      </c>
      <c r="X325" s="4" t="s">
        <v>429</v>
      </c>
      <c r="Y325" s="4" t="s">
        <v>153</v>
      </c>
      <c r="Z325" s="153">
        <v>34604.160000000003</v>
      </c>
      <c r="AA325" s="162">
        <v>1</v>
      </c>
      <c r="AB325" s="179">
        <v>115.87</v>
      </c>
      <c r="AD325" s="153">
        <v>40.095999999999997</v>
      </c>
      <c r="AG325" s="2" t="s">
        <v>36</v>
      </c>
      <c r="AH325" s="168">
        <v>6.0000000000000002E-5</v>
      </c>
      <c r="AI325" s="168">
        <v>5.8172599632953896E-3</v>
      </c>
      <c r="AJ325" s="168">
        <v>1.2798811043318E-3</v>
      </c>
    </row>
    <row r="326" spans="1:36">
      <c r="A326" s="2">
        <v>158</v>
      </c>
      <c r="B326" s="2">
        <v>9937</v>
      </c>
      <c r="C326" s="2" t="s">
        <v>1792</v>
      </c>
      <c r="D326" s="2" t="s">
        <v>1793</v>
      </c>
      <c r="E326" s="4" t="s">
        <v>1343</v>
      </c>
      <c r="F326" s="2" t="s">
        <v>1794</v>
      </c>
      <c r="G326" s="2" t="s">
        <v>1795</v>
      </c>
      <c r="H326" s="2" t="s">
        <v>338</v>
      </c>
      <c r="I326" s="2" t="s">
        <v>985</v>
      </c>
      <c r="J326" s="2" t="s">
        <v>30</v>
      </c>
      <c r="K326" s="2" t="s">
        <v>30</v>
      </c>
      <c r="L326" s="2" t="s">
        <v>344</v>
      </c>
      <c r="M326" s="2" t="s">
        <v>56</v>
      </c>
      <c r="N326" s="2" t="s">
        <v>479</v>
      </c>
      <c r="O326" s="2" t="s">
        <v>153</v>
      </c>
      <c r="P326" s="2" t="s">
        <v>1718</v>
      </c>
      <c r="Q326" s="2" t="s">
        <v>430</v>
      </c>
      <c r="R326" s="2" t="s">
        <v>423</v>
      </c>
      <c r="S326" s="2" t="s">
        <v>44</v>
      </c>
      <c r="T326" s="153">
        <v>2.0859999999999999</v>
      </c>
      <c r="U326" s="2" t="s">
        <v>1796</v>
      </c>
      <c r="V326" s="166">
        <v>5.6500000000000002E-2</v>
      </c>
      <c r="W326" s="168">
        <v>5.339E-2</v>
      </c>
      <c r="X326" s="4" t="s">
        <v>429</v>
      </c>
      <c r="Y326" s="4" t="s">
        <v>153</v>
      </c>
      <c r="Z326" s="153">
        <v>73808.66</v>
      </c>
      <c r="AA326" s="162">
        <v>1</v>
      </c>
      <c r="AB326" s="179">
        <v>102.21</v>
      </c>
      <c r="AD326" s="153">
        <v>75.44</v>
      </c>
      <c r="AG326" s="2" t="s">
        <v>36</v>
      </c>
      <c r="AH326" s="168">
        <v>4.73E-4</v>
      </c>
      <c r="AI326" s="168">
        <v>1.09451032490671E-2</v>
      </c>
      <c r="AJ326" s="168">
        <v>2.40808059495865E-3</v>
      </c>
    </row>
    <row r="327" spans="1:36">
      <c r="A327" s="2">
        <v>158</v>
      </c>
      <c r="B327" s="2">
        <v>9937</v>
      </c>
      <c r="C327" s="2" t="s">
        <v>1792</v>
      </c>
      <c r="D327" s="2" t="s">
        <v>1793</v>
      </c>
      <c r="E327" s="4" t="s">
        <v>1343</v>
      </c>
      <c r="F327" s="2" t="s">
        <v>1797</v>
      </c>
      <c r="G327" s="2" t="s">
        <v>1798</v>
      </c>
      <c r="H327" s="2" t="s">
        <v>338</v>
      </c>
      <c r="I327" s="2" t="s">
        <v>772</v>
      </c>
      <c r="J327" s="2" t="s">
        <v>30</v>
      </c>
      <c r="K327" s="2" t="s">
        <v>30</v>
      </c>
      <c r="L327" s="2" t="s">
        <v>344</v>
      </c>
      <c r="M327" s="2" t="s">
        <v>56</v>
      </c>
      <c r="N327" s="2" t="s">
        <v>479</v>
      </c>
      <c r="O327" s="2" t="s">
        <v>153</v>
      </c>
      <c r="P327" s="2" t="s">
        <v>1718</v>
      </c>
      <c r="Q327" s="2" t="s">
        <v>430</v>
      </c>
      <c r="R327" s="2" t="s">
        <v>423</v>
      </c>
      <c r="S327" s="2" t="s">
        <v>44</v>
      </c>
      <c r="T327" s="153">
        <v>2.024</v>
      </c>
      <c r="U327" s="2" t="s">
        <v>1796</v>
      </c>
      <c r="V327" s="166">
        <v>3.6999999999999998E-2</v>
      </c>
      <c r="W327" s="168">
        <v>2.6419999999999999E-2</v>
      </c>
      <c r="X327" s="4" t="s">
        <v>429</v>
      </c>
      <c r="Y327" s="4" t="s">
        <v>153</v>
      </c>
      <c r="Z327" s="153">
        <v>55150.66</v>
      </c>
      <c r="AA327" s="162">
        <v>1</v>
      </c>
      <c r="AB327" s="179">
        <v>119.19</v>
      </c>
      <c r="AD327" s="153">
        <v>65.733999999999995</v>
      </c>
      <c r="AG327" s="2" t="s">
        <v>36</v>
      </c>
      <c r="AH327" s="168">
        <v>1.83E-4</v>
      </c>
      <c r="AI327" s="168">
        <v>9.5369539938834E-3</v>
      </c>
      <c r="AJ327" s="168">
        <v>2.0982674466448401E-3</v>
      </c>
    </row>
    <row r="328" spans="1:36">
      <c r="A328" s="2">
        <v>158</v>
      </c>
      <c r="B328" s="2">
        <v>9937</v>
      </c>
      <c r="C328" s="2" t="s">
        <v>1799</v>
      </c>
      <c r="D328" s="2" t="s">
        <v>1800</v>
      </c>
      <c r="E328" s="4" t="s">
        <v>1343</v>
      </c>
      <c r="F328" s="2" t="s">
        <v>1801</v>
      </c>
      <c r="G328" s="2" t="s">
        <v>1802</v>
      </c>
      <c r="H328" s="2" t="s">
        <v>338</v>
      </c>
      <c r="I328" s="2" t="s">
        <v>772</v>
      </c>
      <c r="J328" s="2" t="s">
        <v>30</v>
      </c>
      <c r="K328" s="2" t="s">
        <v>30</v>
      </c>
      <c r="L328" s="2" t="s">
        <v>344</v>
      </c>
      <c r="M328" s="2" t="s">
        <v>56</v>
      </c>
      <c r="N328" s="2" t="s">
        <v>479</v>
      </c>
      <c r="O328" s="2" t="s">
        <v>153</v>
      </c>
      <c r="P328" s="2" t="s">
        <v>32</v>
      </c>
      <c r="Q328" s="2" t="s">
        <v>430</v>
      </c>
      <c r="R328" s="2" t="s">
        <v>423</v>
      </c>
      <c r="S328" s="2" t="s">
        <v>44</v>
      </c>
      <c r="T328" s="153">
        <v>1.8720000000000001</v>
      </c>
      <c r="U328" s="2" t="s">
        <v>1803</v>
      </c>
      <c r="V328" s="166">
        <v>2.0500000000000001E-2</v>
      </c>
      <c r="W328" s="168">
        <v>2.6960000000000001E-2</v>
      </c>
      <c r="X328" s="4" t="s">
        <v>429</v>
      </c>
      <c r="Y328" s="4" t="s">
        <v>153</v>
      </c>
      <c r="Z328" s="153">
        <v>27428.57</v>
      </c>
      <c r="AA328" s="162">
        <v>1</v>
      </c>
      <c r="AB328" s="179">
        <v>115.69</v>
      </c>
      <c r="AD328" s="153">
        <v>31.731999999999999</v>
      </c>
      <c r="AG328" s="2" t="s">
        <v>36</v>
      </c>
      <c r="AH328" s="168">
        <v>3.6000000000000001E-5</v>
      </c>
      <c r="AI328" s="168">
        <v>4.6038179393871701E-3</v>
      </c>
      <c r="AJ328" s="168">
        <v>1.0129063554979E-3</v>
      </c>
    </row>
    <row r="329" spans="1:36">
      <c r="A329" s="2">
        <v>158</v>
      </c>
      <c r="B329" s="2">
        <v>9937</v>
      </c>
      <c r="C329" s="2" t="s">
        <v>1804</v>
      </c>
      <c r="D329" s="2" t="s">
        <v>1805</v>
      </c>
      <c r="E329" s="4" t="s">
        <v>1343</v>
      </c>
      <c r="F329" s="2" t="s">
        <v>1806</v>
      </c>
      <c r="G329" s="2" t="s">
        <v>1807</v>
      </c>
      <c r="H329" s="2" t="s">
        <v>338</v>
      </c>
      <c r="I329" s="2" t="s">
        <v>772</v>
      </c>
      <c r="J329" s="2" t="s">
        <v>30</v>
      </c>
      <c r="K329" s="2" t="s">
        <v>30</v>
      </c>
      <c r="L329" s="2" t="s">
        <v>344</v>
      </c>
      <c r="M329" s="2" t="s">
        <v>56</v>
      </c>
      <c r="N329" s="2" t="s">
        <v>463</v>
      </c>
      <c r="O329" s="2" t="s">
        <v>153</v>
      </c>
      <c r="P329" s="2" t="s">
        <v>109</v>
      </c>
      <c r="Q329" s="2" t="s">
        <v>430</v>
      </c>
      <c r="R329" s="2" t="s">
        <v>423</v>
      </c>
      <c r="S329" s="2" t="s">
        <v>44</v>
      </c>
      <c r="T329" s="153">
        <v>2.9550000000000001</v>
      </c>
      <c r="U329" s="2" t="s">
        <v>1808</v>
      </c>
      <c r="V329" s="166">
        <v>1.2200000000000001E-2</v>
      </c>
      <c r="W329" s="168">
        <v>2.2579999999999999E-2</v>
      </c>
      <c r="X329" s="4" t="s">
        <v>429</v>
      </c>
      <c r="Y329" s="4" t="s">
        <v>153</v>
      </c>
      <c r="Z329" s="153">
        <v>135000</v>
      </c>
      <c r="AA329" s="162">
        <v>1</v>
      </c>
      <c r="AB329" s="179">
        <v>113.04</v>
      </c>
      <c r="AD329" s="153">
        <v>152.60400000000001</v>
      </c>
      <c r="AG329" s="2" t="s">
        <v>36</v>
      </c>
      <c r="AH329" s="168">
        <v>4.5000000000000003E-5</v>
      </c>
      <c r="AI329" s="168">
        <v>2.2140380029144601E-2</v>
      </c>
      <c r="AJ329" s="168">
        <v>4.8712029754253601E-3</v>
      </c>
    </row>
    <row r="330" spans="1:36">
      <c r="A330" s="2">
        <v>158</v>
      </c>
      <c r="B330" s="2">
        <v>9937</v>
      </c>
      <c r="C330" s="2" t="s">
        <v>1804</v>
      </c>
      <c r="D330" s="2" t="s">
        <v>1805</v>
      </c>
      <c r="E330" s="4" t="s">
        <v>1343</v>
      </c>
      <c r="F330" s="2" t="s">
        <v>1984</v>
      </c>
      <c r="G330" s="2" t="s">
        <v>1985</v>
      </c>
      <c r="H330" s="2" t="s">
        <v>338</v>
      </c>
      <c r="I330" s="2" t="s">
        <v>772</v>
      </c>
      <c r="J330" s="2" t="s">
        <v>30</v>
      </c>
      <c r="K330" s="2" t="s">
        <v>30</v>
      </c>
      <c r="L330" s="2" t="s">
        <v>344</v>
      </c>
      <c r="M330" s="2" t="s">
        <v>56</v>
      </c>
      <c r="N330" s="2" t="s">
        <v>463</v>
      </c>
      <c r="O330" s="2" t="s">
        <v>153</v>
      </c>
      <c r="P330" s="2" t="s">
        <v>109</v>
      </c>
      <c r="Q330" s="2" t="s">
        <v>430</v>
      </c>
      <c r="R330" s="2" t="s">
        <v>423</v>
      </c>
      <c r="S330" s="2" t="s">
        <v>44</v>
      </c>
      <c r="T330" s="153">
        <v>4.0069999999999997</v>
      </c>
      <c r="U330" s="2" t="s">
        <v>1986</v>
      </c>
      <c r="V330" s="166">
        <v>1E-3</v>
      </c>
      <c r="W330" s="168">
        <v>2.5020000000000001E-2</v>
      </c>
      <c r="X330" s="4" t="s">
        <v>429</v>
      </c>
      <c r="Y330" s="4" t="s">
        <v>153</v>
      </c>
      <c r="Z330" s="153">
        <v>41000</v>
      </c>
      <c r="AA330" s="162">
        <v>1</v>
      </c>
      <c r="AB330" s="179">
        <v>102.41</v>
      </c>
      <c r="AD330" s="153">
        <v>41.988</v>
      </c>
      <c r="AG330" s="2" t="s">
        <v>36</v>
      </c>
      <c r="AH330" s="168">
        <v>1.2E-5</v>
      </c>
      <c r="AI330" s="168">
        <v>6.0917963533179097E-3</v>
      </c>
      <c r="AJ330" s="168">
        <v>1.3402830702501701E-3</v>
      </c>
    </row>
    <row r="331" spans="1:36">
      <c r="A331" s="2">
        <v>158</v>
      </c>
      <c r="B331" s="2">
        <v>9937</v>
      </c>
      <c r="C331" s="2" t="s">
        <v>1804</v>
      </c>
      <c r="D331" s="2" t="s">
        <v>1805</v>
      </c>
      <c r="E331" s="4" t="s">
        <v>1343</v>
      </c>
      <c r="F331" s="2" t="s">
        <v>2200</v>
      </c>
      <c r="G331" s="2" t="s">
        <v>2201</v>
      </c>
      <c r="H331" s="2" t="s">
        <v>338</v>
      </c>
      <c r="I331" s="2" t="s">
        <v>985</v>
      </c>
      <c r="J331" s="2" t="s">
        <v>30</v>
      </c>
      <c r="K331" s="2" t="s">
        <v>30</v>
      </c>
      <c r="L331" s="2" t="s">
        <v>344</v>
      </c>
      <c r="M331" s="2" t="s">
        <v>56</v>
      </c>
      <c r="N331" s="2" t="s">
        <v>463</v>
      </c>
      <c r="O331" s="2" t="s">
        <v>153</v>
      </c>
      <c r="P331" s="2" t="s">
        <v>109</v>
      </c>
      <c r="Q331" s="2" t="s">
        <v>430</v>
      </c>
      <c r="R331" s="2" t="s">
        <v>423</v>
      </c>
      <c r="S331" s="2" t="s">
        <v>44</v>
      </c>
      <c r="T331" s="153">
        <v>3.234</v>
      </c>
      <c r="U331" s="2" t="s">
        <v>2108</v>
      </c>
      <c r="V331" s="166">
        <v>2.7400000000000001E-2</v>
      </c>
      <c r="W331" s="168">
        <v>5.1389999999999998E-2</v>
      </c>
      <c r="X331" s="4" t="s">
        <v>429</v>
      </c>
      <c r="Y331" s="4" t="s">
        <v>153</v>
      </c>
      <c r="Z331" s="153">
        <v>113751.83</v>
      </c>
      <c r="AA331" s="162">
        <v>1</v>
      </c>
      <c r="AB331" s="179">
        <v>93.89</v>
      </c>
      <c r="AD331" s="153">
        <v>106.80200000000001</v>
      </c>
      <c r="AG331" s="2" t="s">
        <v>36</v>
      </c>
      <c r="AH331" s="168">
        <v>7.6000000000000004E-5</v>
      </c>
      <c r="AI331" s="168">
        <v>1.54951892537436E-2</v>
      </c>
      <c r="AJ331" s="168">
        <v>3.4091651497515302E-3</v>
      </c>
    </row>
    <row r="332" spans="1:36">
      <c r="A332" s="2">
        <v>158</v>
      </c>
      <c r="B332" s="2">
        <v>9937</v>
      </c>
      <c r="C332" s="2" t="s">
        <v>1804</v>
      </c>
      <c r="D332" s="2" t="s">
        <v>1805</v>
      </c>
      <c r="E332" s="4" t="s">
        <v>1343</v>
      </c>
      <c r="F332" s="2" t="s">
        <v>1809</v>
      </c>
      <c r="G332" s="2" t="s">
        <v>1810</v>
      </c>
      <c r="H332" s="2" t="s">
        <v>338</v>
      </c>
      <c r="I332" s="2" t="s">
        <v>772</v>
      </c>
      <c r="J332" s="2" t="s">
        <v>30</v>
      </c>
      <c r="K332" s="2" t="s">
        <v>30</v>
      </c>
      <c r="L332" s="2" t="s">
        <v>344</v>
      </c>
      <c r="M332" s="2" t="s">
        <v>56</v>
      </c>
      <c r="N332" s="2" t="s">
        <v>463</v>
      </c>
      <c r="O332" s="2" t="s">
        <v>153</v>
      </c>
      <c r="P332" s="2" t="s">
        <v>109</v>
      </c>
      <c r="Q332" s="2" t="s">
        <v>430</v>
      </c>
      <c r="R332" s="2" t="s">
        <v>423</v>
      </c>
      <c r="S332" s="2" t="s">
        <v>44</v>
      </c>
      <c r="T332" s="153">
        <v>4.4029999999999996</v>
      </c>
      <c r="U332" s="2" t="s">
        <v>1811</v>
      </c>
      <c r="V332" s="166">
        <v>2.06E-2</v>
      </c>
      <c r="W332" s="168">
        <v>2.6120000000000001E-2</v>
      </c>
      <c r="X332" s="4" t="s">
        <v>429</v>
      </c>
      <c r="Y332" s="4" t="s">
        <v>153</v>
      </c>
      <c r="Z332" s="153">
        <v>54000</v>
      </c>
      <c r="AA332" s="162">
        <v>1</v>
      </c>
      <c r="AB332" s="179">
        <v>102.78</v>
      </c>
      <c r="AD332" s="153">
        <v>55.500999999999998</v>
      </c>
      <c r="AG332" s="2" t="s">
        <v>36</v>
      </c>
      <c r="AH332" s="168">
        <v>3.0000000000000001E-5</v>
      </c>
      <c r="AI332" s="168">
        <v>8.0523292972239299E-3</v>
      </c>
      <c r="AJ332" s="168">
        <v>1.7716285980687099E-3</v>
      </c>
    </row>
    <row r="333" spans="1:36">
      <c r="A333" s="2">
        <v>158</v>
      </c>
      <c r="B333" s="2">
        <v>9937</v>
      </c>
      <c r="C333" s="2" t="s">
        <v>1804</v>
      </c>
      <c r="D333" s="2" t="s">
        <v>1805</v>
      </c>
      <c r="E333" s="4" t="s">
        <v>1343</v>
      </c>
      <c r="F333" s="2" t="s">
        <v>1812</v>
      </c>
      <c r="G333" s="2" t="s">
        <v>1813</v>
      </c>
      <c r="H333" s="2" t="s">
        <v>338</v>
      </c>
      <c r="I333" s="2" t="s">
        <v>772</v>
      </c>
      <c r="J333" s="2" t="s">
        <v>30</v>
      </c>
      <c r="K333" s="2" t="s">
        <v>30</v>
      </c>
      <c r="L333" s="2" t="s">
        <v>344</v>
      </c>
      <c r="M333" s="2" t="s">
        <v>56</v>
      </c>
      <c r="N333" s="2" t="s">
        <v>463</v>
      </c>
      <c r="O333" s="2" t="s">
        <v>153</v>
      </c>
      <c r="P333" s="2" t="s">
        <v>109</v>
      </c>
      <c r="Q333" s="2" t="s">
        <v>430</v>
      </c>
      <c r="R333" s="2" t="s">
        <v>423</v>
      </c>
      <c r="S333" s="2" t="s">
        <v>44</v>
      </c>
      <c r="T333" s="153">
        <v>4.3789999999999996</v>
      </c>
      <c r="U333" s="2" t="s">
        <v>1814</v>
      </c>
      <c r="V333" s="166">
        <v>1.9900000000000001E-2</v>
      </c>
      <c r="W333" s="168">
        <v>2.5700000000000001E-2</v>
      </c>
      <c r="X333" s="4" t="s">
        <v>429</v>
      </c>
      <c r="Y333" s="4" t="s">
        <v>153</v>
      </c>
      <c r="Z333" s="153">
        <v>260000</v>
      </c>
      <c r="AA333" s="162">
        <v>1</v>
      </c>
      <c r="AB333" s="179">
        <v>102.5</v>
      </c>
      <c r="AD333" s="153">
        <v>266.5</v>
      </c>
      <c r="AG333" s="2" t="s">
        <v>36</v>
      </c>
      <c r="AH333" s="168">
        <v>9.6000000000000002E-5</v>
      </c>
      <c r="AI333" s="168">
        <v>3.86648533312825E-2</v>
      </c>
      <c r="AJ333" s="168">
        <v>8.5068254629685792E-3</v>
      </c>
    </row>
    <row r="334" spans="1:36">
      <c r="A334" s="2">
        <v>158</v>
      </c>
      <c r="B334" s="2">
        <v>9937</v>
      </c>
      <c r="C334" s="2" t="s">
        <v>1804</v>
      </c>
      <c r="D334" s="2" t="s">
        <v>1805</v>
      </c>
      <c r="E334" s="4" t="s">
        <v>1343</v>
      </c>
      <c r="F334" s="2" t="s">
        <v>2103</v>
      </c>
      <c r="G334" s="2" t="s">
        <v>2104</v>
      </c>
      <c r="H334" s="2" t="s">
        <v>338</v>
      </c>
      <c r="I334" s="2" t="s">
        <v>772</v>
      </c>
      <c r="J334" s="2" t="s">
        <v>30</v>
      </c>
      <c r="K334" s="2" t="s">
        <v>30</v>
      </c>
      <c r="L334" s="2" t="s">
        <v>344</v>
      </c>
      <c r="M334" s="2" t="s">
        <v>56</v>
      </c>
      <c r="N334" s="2" t="s">
        <v>463</v>
      </c>
      <c r="O334" s="2" t="s">
        <v>153</v>
      </c>
      <c r="P334" s="2" t="s">
        <v>109</v>
      </c>
      <c r="Q334" s="2" t="s">
        <v>110</v>
      </c>
      <c r="R334" s="2" t="s">
        <v>423</v>
      </c>
      <c r="S334" s="2" t="s">
        <v>44</v>
      </c>
      <c r="T334" s="153">
        <v>2.16</v>
      </c>
      <c r="U334" s="2" t="s">
        <v>2105</v>
      </c>
      <c r="V334" s="166">
        <v>5.0000000000000001E-3</v>
      </c>
      <c r="W334" s="168">
        <v>2.1420000000000002E-2</v>
      </c>
      <c r="X334" s="4" t="s">
        <v>429</v>
      </c>
      <c r="Y334" s="4" t="s">
        <v>153</v>
      </c>
      <c r="Z334" s="153">
        <v>134000</v>
      </c>
      <c r="AA334" s="162">
        <v>1</v>
      </c>
      <c r="AB334" s="179">
        <v>110.72</v>
      </c>
      <c r="AD334" s="153">
        <v>148.36500000000001</v>
      </c>
      <c r="AG334" s="2" t="s">
        <v>36</v>
      </c>
      <c r="AH334" s="168">
        <v>1.76E-4</v>
      </c>
      <c r="AI334" s="168">
        <v>2.1525340456003999E-2</v>
      </c>
      <c r="AJ334" s="168">
        <v>4.7358853975543796E-3</v>
      </c>
    </row>
    <row r="335" spans="1:36">
      <c r="A335" s="2">
        <v>158</v>
      </c>
      <c r="B335" s="2">
        <v>9937</v>
      </c>
      <c r="C335" s="2" t="s">
        <v>1804</v>
      </c>
      <c r="D335" s="2" t="s">
        <v>1805</v>
      </c>
      <c r="E335" s="4" t="s">
        <v>1343</v>
      </c>
      <c r="F335" s="2" t="s">
        <v>2254</v>
      </c>
      <c r="G335" s="2" t="s">
        <v>2255</v>
      </c>
      <c r="H335" s="2" t="s">
        <v>338</v>
      </c>
      <c r="I335" s="2" t="s">
        <v>772</v>
      </c>
      <c r="J335" s="2" t="s">
        <v>30</v>
      </c>
      <c r="K335" s="2" t="s">
        <v>30</v>
      </c>
      <c r="L335" s="2" t="s">
        <v>344</v>
      </c>
      <c r="M335" s="2" t="s">
        <v>56</v>
      </c>
      <c r="N335" s="2" t="s">
        <v>463</v>
      </c>
      <c r="O335" s="2" t="s">
        <v>153</v>
      </c>
      <c r="P335" s="2" t="s">
        <v>109</v>
      </c>
      <c r="Q335" s="2" t="s">
        <v>110</v>
      </c>
      <c r="R335" s="2" t="s">
        <v>423</v>
      </c>
      <c r="S335" s="2" t="s">
        <v>44</v>
      </c>
      <c r="T335" s="153">
        <v>0.375</v>
      </c>
      <c r="U335" s="2" t="s">
        <v>2256</v>
      </c>
      <c r="V335" s="166">
        <v>9.4999999999999998E-3</v>
      </c>
      <c r="W335" s="168">
        <v>2.657E-2</v>
      </c>
      <c r="X335" s="4" t="s">
        <v>429</v>
      </c>
      <c r="Y335" s="4" t="s">
        <v>153</v>
      </c>
      <c r="Z335" s="153">
        <v>20281.66</v>
      </c>
      <c r="AA335" s="162">
        <v>1</v>
      </c>
      <c r="AB335" s="179">
        <v>116.08</v>
      </c>
      <c r="AD335" s="153">
        <v>23.542999999999999</v>
      </c>
      <c r="AG335" s="2" t="s">
        <v>36</v>
      </c>
      <c r="AH335" s="168">
        <v>1.26E-4</v>
      </c>
      <c r="AI335" s="168">
        <v>3.41570260644166E-3</v>
      </c>
      <c r="AJ335" s="168">
        <v>7.5150384400649202E-4</v>
      </c>
    </row>
    <row r="336" spans="1:36">
      <c r="A336" s="2">
        <v>158</v>
      </c>
      <c r="B336" s="2">
        <v>9937</v>
      </c>
      <c r="C336" s="2" t="s">
        <v>1804</v>
      </c>
      <c r="D336" s="2" t="s">
        <v>1805</v>
      </c>
      <c r="E336" s="4" t="s">
        <v>1343</v>
      </c>
      <c r="F336" s="2" t="s">
        <v>1910</v>
      </c>
      <c r="G336" s="2" t="s">
        <v>1911</v>
      </c>
      <c r="H336" s="2" t="s">
        <v>338</v>
      </c>
      <c r="I336" s="2" t="s">
        <v>985</v>
      </c>
      <c r="J336" s="2" t="s">
        <v>30</v>
      </c>
      <c r="K336" s="2" t="s">
        <v>30</v>
      </c>
      <c r="L336" s="2" t="s">
        <v>344</v>
      </c>
      <c r="M336" s="2" t="s">
        <v>56</v>
      </c>
      <c r="N336" s="2" t="s">
        <v>463</v>
      </c>
      <c r="O336" s="2" t="s">
        <v>153</v>
      </c>
      <c r="P336" s="2" t="s">
        <v>109</v>
      </c>
      <c r="Q336" s="2" t="s">
        <v>430</v>
      </c>
      <c r="R336" s="2" t="s">
        <v>423</v>
      </c>
      <c r="S336" s="2" t="s">
        <v>44</v>
      </c>
      <c r="T336" s="153">
        <v>0.68200000000000005</v>
      </c>
      <c r="U336" s="2" t="s">
        <v>1353</v>
      </c>
      <c r="V336" s="166">
        <v>2.98E-2</v>
      </c>
      <c r="W336" s="168">
        <v>4.4600000000000001E-2</v>
      </c>
      <c r="X336" s="4" t="s">
        <v>429</v>
      </c>
      <c r="Y336" s="4" t="s">
        <v>153</v>
      </c>
      <c r="Z336" s="153">
        <v>178270</v>
      </c>
      <c r="AA336" s="162">
        <v>1</v>
      </c>
      <c r="AB336" s="179">
        <v>99.95</v>
      </c>
      <c r="AD336" s="153">
        <v>178.18100000000001</v>
      </c>
      <c r="AG336" s="2" t="s">
        <v>36</v>
      </c>
      <c r="AH336" s="168">
        <v>6.9999999999999994E-5</v>
      </c>
      <c r="AI336" s="168">
        <v>2.58511707754824E-2</v>
      </c>
      <c r="AJ336" s="168">
        <v>5.6876304667758601E-3</v>
      </c>
    </row>
    <row r="337" spans="1:36">
      <c r="A337" s="2">
        <v>158</v>
      </c>
      <c r="B337" s="2">
        <v>9937</v>
      </c>
      <c r="C337" s="2" t="s">
        <v>1804</v>
      </c>
      <c r="D337" s="2" t="s">
        <v>1805</v>
      </c>
      <c r="E337" s="4" t="s">
        <v>1343</v>
      </c>
      <c r="F337" s="2" t="s">
        <v>1990</v>
      </c>
      <c r="G337" s="2" t="s">
        <v>1991</v>
      </c>
      <c r="H337" s="2" t="s">
        <v>338</v>
      </c>
      <c r="I337" s="2" t="s">
        <v>772</v>
      </c>
      <c r="J337" s="2" t="s">
        <v>30</v>
      </c>
      <c r="K337" s="2" t="s">
        <v>30</v>
      </c>
      <c r="L337" s="2" t="s">
        <v>344</v>
      </c>
      <c r="M337" s="2" t="s">
        <v>56</v>
      </c>
      <c r="N337" s="2" t="s">
        <v>463</v>
      </c>
      <c r="O337" s="2" t="s">
        <v>153</v>
      </c>
      <c r="P337" s="2" t="s">
        <v>109</v>
      </c>
      <c r="Q337" s="2" t="s">
        <v>430</v>
      </c>
      <c r="R337" s="2" t="s">
        <v>423</v>
      </c>
      <c r="S337" s="2" t="s">
        <v>44</v>
      </c>
      <c r="T337" s="153">
        <v>1.681</v>
      </c>
      <c r="U337" s="2" t="s">
        <v>1992</v>
      </c>
      <c r="V337" s="166">
        <v>3.8E-3</v>
      </c>
      <c r="W337" s="168">
        <v>2.1440000000000001E-2</v>
      </c>
      <c r="X337" s="4" t="s">
        <v>429</v>
      </c>
      <c r="Y337" s="4" t="s">
        <v>153</v>
      </c>
      <c r="Z337" s="153">
        <v>235000</v>
      </c>
      <c r="AA337" s="162">
        <v>1</v>
      </c>
      <c r="AB337" s="179">
        <v>110.39</v>
      </c>
      <c r="AD337" s="153">
        <v>259.416</v>
      </c>
      <c r="AG337" s="2" t="s">
        <v>36</v>
      </c>
      <c r="AH337" s="168">
        <v>7.7999999999999999E-5</v>
      </c>
      <c r="AI337" s="168">
        <v>3.7637151685608397E-2</v>
      </c>
      <c r="AJ337" s="168">
        <v>8.2807162766010793E-3</v>
      </c>
    </row>
    <row r="338" spans="1:36">
      <c r="A338" s="2">
        <v>158</v>
      </c>
      <c r="B338" s="2">
        <v>9937</v>
      </c>
      <c r="C338" s="2" t="s">
        <v>2257</v>
      </c>
      <c r="D338" s="2" t="s">
        <v>2258</v>
      </c>
      <c r="E338" s="4" t="s">
        <v>1343</v>
      </c>
      <c r="F338" s="2" t="s">
        <v>2259</v>
      </c>
      <c r="G338" s="2" t="s">
        <v>2260</v>
      </c>
      <c r="H338" s="2" t="s">
        <v>338</v>
      </c>
      <c r="I338" s="2" t="s">
        <v>772</v>
      </c>
      <c r="J338" s="2" t="s">
        <v>30</v>
      </c>
      <c r="K338" s="2" t="s">
        <v>30</v>
      </c>
      <c r="L338" s="2" t="s">
        <v>344</v>
      </c>
      <c r="M338" s="2" t="s">
        <v>56</v>
      </c>
      <c r="N338" s="2" t="s">
        <v>494</v>
      </c>
      <c r="O338" s="2" t="s">
        <v>153</v>
      </c>
      <c r="P338" s="2" t="s">
        <v>32</v>
      </c>
      <c r="Q338" s="2" t="s">
        <v>110</v>
      </c>
      <c r="R338" s="2" t="s">
        <v>423</v>
      </c>
      <c r="S338" s="2" t="s">
        <v>44</v>
      </c>
      <c r="T338" s="153">
        <v>0.68200000000000005</v>
      </c>
      <c r="U338" s="2" t="s">
        <v>2261</v>
      </c>
      <c r="V338" s="166">
        <v>3.95E-2</v>
      </c>
      <c r="W338" s="168">
        <v>2.0549999999999999E-2</v>
      </c>
      <c r="X338" s="4" t="s">
        <v>429</v>
      </c>
      <c r="Y338" s="4" t="s">
        <v>153</v>
      </c>
      <c r="Z338" s="153">
        <v>13702.65</v>
      </c>
      <c r="AA338" s="162">
        <v>1</v>
      </c>
      <c r="AB338" s="179">
        <v>125.21</v>
      </c>
      <c r="AD338" s="153">
        <v>17.157</v>
      </c>
      <c r="AG338" s="2" t="s">
        <v>36</v>
      </c>
      <c r="AH338" s="168">
        <v>8.3999999999999995E-5</v>
      </c>
      <c r="AI338" s="168">
        <v>2.4892168616327298E-3</v>
      </c>
      <c r="AJ338" s="168">
        <v>5.4766361584141204E-4</v>
      </c>
    </row>
    <row r="339" spans="1:36">
      <c r="A339" s="2">
        <v>158</v>
      </c>
      <c r="B339" s="2">
        <v>9937</v>
      </c>
      <c r="C339" s="2" t="s">
        <v>1815</v>
      </c>
      <c r="D339" s="2" t="s">
        <v>1816</v>
      </c>
      <c r="E339" s="4" t="s">
        <v>1343</v>
      </c>
      <c r="F339" s="2" t="s">
        <v>1817</v>
      </c>
      <c r="G339" s="2" t="s">
        <v>1818</v>
      </c>
      <c r="H339" s="2" t="s">
        <v>338</v>
      </c>
      <c r="I339" s="2" t="s">
        <v>772</v>
      </c>
      <c r="J339" s="2" t="s">
        <v>30</v>
      </c>
      <c r="K339" s="2" t="s">
        <v>30</v>
      </c>
      <c r="L339" s="2" t="s">
        <v>344</v>
      </c>
      <c r="M339" s="2" t="s">
        <v>56</v>
      </c>
      <c r="N339" s="2" t="s">
        <v>458</v>
      </c>
      <c r="O339" s="2" t="s">
        <v>153</v>
      </c>
      <c r="P339" s="2" t="s">
        <v>32</v>
      </c>
      <c r="Q339" s="2" t="s">
        <v>110</v>
      </c>
      <c r="R339" s="2" t="s">
        <v>423</v>
      </c>
      <c r="S339" s="2" t="s">
        <v>44</v>
      </c>
      <c r="T339" s="153">
        <v>1.6559999999999999</v>
      </c>
      <c r="U339" s="2" t="s">
        <v>1819</v>
      </c>
      <c r="V339" s="166">
        <v>3.5400000000000001E-2</v>
      </c>
      <c r="W339" s="168">
        <v>3.2190000000000003E-2</v>
      </c>
      <c r="X339" s="4" t="s">
        <v>429</v>
      </c>
      <c r="Y339" s="4" t="s">
        <v>153</v>
      </c>
      <c r="Z339" s="153">
        <v>46000</v>
      </c>
      <c r="AA339" s="162">
        <v>1</v>
      </c>
      <c r="AB339" s="179">
        <v>107.7</v>
      </c>
      <c r="AD339" s="153">
        <v>49.542000000000002</v>
      </c>
      <c r="AG339" s="2" t="s">
        <v>36</v>
      </c>
      <c r="AH339" s="168">
        <v>4.1E-5</v>
      </c>
      <c r="AI339" s="168">
        <v>7.1877454549283204E-3</v>
      </c>
      <c r="AJ339" s="168">
        <v>1.58140768137482E-3</v>
      </c>
    </row>
    <row r="340" spans="1:36">
      <c r="A340" s="2">
        <v>158</v>
      </c>
      <c r="B340" s="2">
        <v>9937</v>
      </c>
      <c r="C340" s="2" t="s">
        <v>1578</v>
      </c>
      <c r="D340" s="2" t="s">
        <v>1579</v>
      </c>
      <c r="E340" s="4" t="s">
        <v>1343</v>
      </c>
      <c r="F340" s="2" t="s">
        <v>1820</v>
      </c>
      <c r="G340" s="2" t="s">
        <v>1821</v>
      </c>
      <c r="H340" s="2" t="s">
        <v>338</v>
      </c>
      <c r="I340" s="2" t="s">
        <v>772</v>
      </c>
      <c r="J340" s="2" t="s">
        <v>30</v>
      </c>
      <c r="K340" s="2" t="s">
        <v>30</v>
      </c>
      <c r="L340" s="2" t="s">
        <v>344</v>
      </c>
      <c r="M340" s="2" t="s">
        <v>56</v>
      </c>
      <c r="N340" s="2" t="s">
        <v>479</v>
      </c>
      <c r="O340" s="2" t="s">
        <v>153</v>
      </c>
      <c r="P340" s="2" t="s">
        <v>1718</v>
      </c>
      <c r="Q340" s="2" t="s">
        <v>430</v>
      </c>
      <c r="R340" s="2" t="s">
        <v>423</v>
      </c>
      <c r="S340" s="2" t="s">
        <v>44</v>
      </c>
      <c r="T340" s="153">
        <v>3.548</v>
      </c>
      <c r="U340" s="2" t="s">
        <v>1736</v>
      </c>
      <c r="V340" s="166">
        <v>6.4999999999999997E-3</v>
      </c>
      <c r="W340" s="168">
        <v>2.6179999999999998E-2</v>
      </c>
      <c r="X340" s="4" t="s">
        <v>429</v>
      </c>
      <c r="Y340" s="4" t="s">
        <v>153</v>
      </c>
      <c r="Z340" s="153">
        <v>78499.070000000007</v>
      </c>
      <c r="AA340" s="162">
        <v>1</v>
      </c>
      <c r="AB340" s="179">
        <v>107.63</v>
      </c>
      <c r="AD340" s="153">
        <v>84.489000000000004</v>
      </c>
      <c r="AG340" s="2" t="s">
        <v>36</v>
      </c>
      <c r="AH340" s="168">
        <v>1.5899999999999999E-4</v>
      </c>
      <c r="AI340" s="168">
        <v>1.2257926292094301E-2</v>
      </c>
      <c r="AJ340" s="168">
        <v>2.6969206015431501E-3</v>
      </c>
    </row>
    <row r="341" spans="1:36">
      <c r="A341" s="2">
        <v>158</v>
      </c>
      <c r="B341" s="2">
        <v>9937</v>
      </c>
      <c r="C341" s="2" t="s">
        <v>1578</v>
      </c>
      <c r="D341" s="2" t="s">
        <v>1579</v>
      </c>
      <c r="E341" s="4" t="s">
        <v>1343</v>
      </c>
      <c r="F341" s="2" t="s">
        <v>1822</v>
      </c>
      <c r="G341" s="2" t="s">
        <v>1823</v>
      </c>
      <c r="H341" s="2" t="s">
        <v>338</v>
      </c>
      <c r="I341" s="2" t="s">
        <v>772</v>
      </c>
      <c r="J341" s="2" t="s">
        <v>30</v>
      </c>
      <c r="K341" s="2" t="s">
        <v>30</v>
      </c>
      <c r="L341" s="2" t="s">
        <v>344</v>
      </c>
      <c r="M341" s="2" t="s">
        <v>56</v>
      </c>
      <c r="N341" s="2" t="s">
        <v>479</v>
      </c>
      <c r="O341" s="2" t="s">
        <v>153</v>
      </c>
      <c r="P341" s="2" t="s">
        <v>1718</v>
      </c>
      <c r="Q341" s="2" t="s">
        <v>430</v>
      </c>
      <c r="R341" s="2" t="s">
        <v>423</v>
      </c>
      <c r="S341" s="2" t="s">
        <v>44</v>
      </c>
      <c r="T341" s="153">
        <v>5.92</v>
      </c>
      <c r="U341" s="2" t="s">
        <v>1824</v>
      </c>
      <c r="V341" s="166">
        <v>3.61E-2</v>
      </c>
      <c r="W341" s="168">
        <v>3.4549999999999997E-2</v>
      </c>
      <c r="X341" s="4" t="s">
        <v>429</v>
      </c>
      <c r="Y341" s="4" t="s">
        <v>153</v>
      </c>
      <c r="Z341" s="153">
        <v>87912.93</v>
      </c>
      <c r="AA341" s="162">
        <v>1</v>
      </c>
      <c r="AB341" s="179">
        <v>107.95</v>
      </c>
      <c r="AD341" s="153">
        <v>94.902000000000001</v>
      </c>
      <c r="AG341" s="2" t="s">
        <v>36</v>
      </c>
      <c r="AH341" s="168">
        <v>8.2000000000000001E-5</v>
      </c>
      <c r="AI341" s="168">
        <v>1.37687512857448E-2</v>
      </c>
      <c r="AJ341" s="168">
        <v>3.0293238933895099E-3</v>
      </c>
    </row>
    <row r="342" spans="1:36">
      <c r="A342" s="2">
        <v>158</v>
      </c>
      <c r="B342" s="2">
        <v>9937</v>
      </c>
      <c r="C342" s="2" t="s">
        <v>1578</v>
      </c>
      <c r="D342" s="2" t="s">
        <v>1579</v>
      </c>
      <c r="E342" s="4" t="s">
        <v>1343</v>
      </c>
      <c r="F342" s="2" t="s">
        <v>1825</v>
      </c>
      <c r="G342" s="2" t="s">
        <v>1826</v>
      </c>
      <c r="H342" s="2" t="s">
        <v>338</v>
      </c>
      <c r="I342" s="2" t="s">
        <v>772</v>
      </c>
      <c r="J342" s="2" t="s">
        <v>30</v>
      </c>
      <c r="K342" s="2" t="s">
        <v>30</v>
      </c>
      <c r="L342" s="2" t="s">
        <v>344</v>
      </c>
      <c r="M342" s="2" t="s">
        <v>56</v>
      </c>
      <c r="N342" s="2" t="s">
        <v>479</v>
      </c>
      <c r="O342" s="2" t="s">
        <v>153</v>
      </c>
      <c r="P342" s="2" t="s">
        <v>1718</v>
      </c>
      <c r="Q342" s="2" t="s">
        <v>430</v>
      </c>
      <c r="R342" s="2" t="s">
        <v>423</v>
      </c>
      <c r="S342" s="2" t="s">
        <v>44</v>
      </c>
      <c r="T342" s="153">
        <v>0.72299999999999998</v>
      </c>
      <c r="U342" s="2" t="s">
        <v>1827</v>
      </c>
      <c r="V342" s="166">
        <v>2.3E-2</v>
      </c>
      <c r="W342" s="168">
        <v>2.6749999999999999E-2</v>
      </c>
      <c r="X342" s="4" t="s">
        <v>429</v>
      </c>
      <c r="Y342" s="4" t="s">
        <v>153</v>
      </c>
      <c r="Z342" s="153">
        <v>4730.7</v>
      </c>
      <c r="AA342" s="162">
        <v>1</v>
      </c>
      <c r="AB342" s="179">
        <v>117.49</v>
      </c>
      <c r="AD342" s="153">
        <v>5.5579999999999998</v>
      </c>
      <c r="AG342" s="2" t="s">
        <v>36</v>
      </c>
      <c r="AH342" s="168">
        <v>6.0000000000000002E-6</v>
      </c>
      <c r="AI342" s="168">
        <v>8.0639061636636001E-4</v>
      </c>
      <c r="AJ342" s="168">
        <v>1.7741756756786201E-4</v>
      </c>
    </row>
    <row r="343" spans="1:36">
      <c r="A343" s="2">
        <v>158</v>
      </c>
      <c r="B343" s="2">
        <v>9937</v>
      </c>
      <c r="C343" s="2" t="s">
        <v>1578</v>
      </c>
      <c r="D343" s="2" t="s">
        <v>1579</v>
      </c>
      <c r="E343" s="4" t="s">
        <v>1343</v>
      </c>
      <c r="F343" s="2" t="s">
        <v>2115</v>
      </c>
      <c r="G343" s="2" t="s">
        <v>2116</v>
      </c>
      <c r="H343" s="2" t="s">
        <v>338</v>
      </c>
      <c r="I343" s="2" t="s">
        <v>772</v>
      </c>
      <c r="J343" s="2" t="s">
        <v>30</v>
      </c>
      <c r="K343" s="2" t="s">
        <v>30</v>
      </c>
      <c r="L343" s="2" t="s">
        <v>344</v>
      </c>
      <c r="M343" s="2" t="s">
        <v>56</v>
      </c>
      <c r="N343" s="2" t="s">
        <v>479</v>
      </c>
      <c r="O343" s="2" t="s">
        <v>153</v>
      </c>
      <c r="P343" s="2" t="s">
        <v>1718</v>
      </c>
      <c r="Q343" s="2" t="s">
        <v>430</v>
      </c>
      <c r="R343" s="2" t="s">
        <v>423</v>
      </c>
      <c r="S343" s="2" t="s">
        <v>44</v>
      </c>
      <c r="T343" s="153">
        <v>1.5029999999999999</v>
      </c>
      <c r="U343" s="2" t="s">
        <v>2117</v>
      </c>
      <c r="V343" s="166">
        <v>2.1499999999999998E-2</v>
      </c>
      <c r="W343" s="168">
        <v>2.529E-2</v>
      </c>
      <c r="X343" s="4" t="s">
        <v>429</v>
      </c>
      <c r="Y343" s="4" t="s">
        <v>153</v>
      </c>
      <c r="Z343" s="153">
        <v>59294.12</v>
      </c>
      <c r="AA343" s="162">
        <v>1</v>
      </c>
      <c r="AB343" s="179">
        <v>117.88</v>
      </c>
      <c r="AD343" s="153">
        <v>69.896000000000001</v>
      </c>
      <c r="AG343" s="2" t="s">
        <v>36</v>
      </c>
      <c r="AH343" s="168">
        <v>5.0000000000000002E-5</v>
      </c>
      <c r="AI343" s="168">
        <v>1.01407694433057E-2</v>
      </c>
      <c r="AJ343" s="168">
        <v>2.2311155553928199E-3</v>
      </c>
    </row>
    <row r="344" spans="1:36">
      <c r="A344" s="2">
        <v>158</v>
      </c>
      <c r="B344" s="2">
        <v>9937</v>
      </c>
      <c r="C344" s="2" t="s">
        <v>1578</v>
      </c>
      <c r="D344" s="2" t="s">
        <v>1579</v>
      </c>
      <c r="E344" s="4" t="s">
        <v>1343</v>
      </c>
      <c r="F344" s="2" t="s">
        <v>1828</v>
      </c>
      <c r="G344" s="2" t="s">
        <v>1829</v>
      </c>
      <c r="H344" s="2" t="s">
        <v>338</v>
      </c>
      <c r="I344" s="2" t="s">
        <v>772</v>
      </c>
      <c r="J344" s="2" t="s">
        <v>30</v>
      </c>
      <c r="K344" s="2" t="s">
        <v>30</v>
      </c>
      <c r="L344" s="2" t="s">
        <v>344</v>
      </c>
      <c r="M344" s="2" t="s">
        <v>56</v>
      </c>
      <c r="N344" s="2" t="s">
        <v>479</v>
      </c>
      <c r="O344" s="2" t="s">
        <v>153</v>
      </c>
      <c r="P344" s="2" t="s">
        <v>1718</v>
      </c>
      <c r="Q344" s="2" t="s">
        <v>430</v>
      </c>
      <c r="R344" s="2" t="s">
        <v>423</v>
      </c>
      <c r="S344" s="2" t="s">
        <v>44</v>
      </c>
      <c r="T344" s="153">
        <v>5.298</v>
      </c>
      <c r="U344" s="2" t="s">
        <v>1830</v>
      </c>
      <c r="V344" s="166">
        <v>2.5000000000000001E-3</v>
      </c>
      <c r="W344" s="168">
        <v>3.0300000000000001E-2</v>
      </c>
      <c r="X344" s="4" t="s">
        <v>429</v>
      </c>
      <c r="Y344" s="4" t="s">
        <v>153</v>
      </c>
      <c r="Z344" s="153">
        <v>133250.71</v>
      </c>
      <c r="AA344" s="162">
        <v>1</v>
      </c>
      <c r="AB344" s="179">
        <v>97.92</v>
      </c>
      <c r="AD344" s="153">
        <v>130.47900000000001</v>
      </c>
      <c r="AG344" s="2" t="s">
        <v>36</v>
      </c>
      <c r="AH344" s="168">
        <v>1.07E-4</v>
      </c>
      <c r="AI344" s="168">
        <v>1.89304130579502E-2</v>
      </c>
      <c r="AJ344" s="168">
        <v>4.16496393885433E-3</v>
      </c>
    </row>
    <row r="345" spans="1:36">
      <c r="A345" s="2">
        <v>158</v>
      </c>
      <c r="B345" s="2">
        <v>9937</v>
      </c>
      <c r="C345" s="2" t="s">
        <v>2262</v>
      </c>
      <c r="D345" s="2" t="s">
        <v>2263</v>
      </c>
      <c r="E345" s="4" t="s">
        <v>1343</v>
      </c>
      <c r="F345" s="2" t="s">
        <v>2264</v>
      </c>
      <c r="G345" s="2" t="s">
        <v>2265</v>
      </c>
      <c r="H345" s="2" t="s">
        <v>338</v>
      </c>
      <c r="I345" s="2" t="s">
        <v>985</v>
      </c>
      <c r="J345" s="2" t="s">
        <v>30</v>
      </c>
      <c r="K345" s="2" t="s">
        <v>30</v>
      </c>
      <c r="L345" s="2" t="s">
        <v>344</v>
      </c>
      <c r="M345" s="2" t="s">
        <v>56</v>
      </c>
      <c r="N345" s="2" t="s">
        <v>460</v>
      </c>
      <c r="O345" s="2" t="s">
        <v>153</v>
      </c>
      <c r="P345" s="2" t="s">
        <v>1718</v>
      </c>
      <c r="Q345" s="2" t="s">
        <v>110</v>
      </c>
      <c r="R345" s="2" t="s">
        <v>423</v>
      </c>
      <c r="S345" s="2" t="s">
        <v>44</v>
      </c>
      <c r="T345" s="153">
        <v>1.2</v>
      </c>
      <c r="U345" s="2" t="s">
        <v>1916</v>
      </c>
      <c r="V345" s="166">
        <v>2.9399999999999999E-2</v>
      </c>
      <c r="W345" s="168">
        <v>5.3879999999999997E-2</v>
      </c>
      <c r="X345" s="4" t="s">
        <v>429</v>
      </c>
      <c r="Y345" s="4" t="s">
        <v>153</v>
      </c>
      <c r="Z345" s="153">
        <v>6636.36</v>
      </c>
      <c r="AA345" s="162">
        <v>1</v>
      </c>
      <c r="AB345" s="179">
        <v>96.58</v>
      </c>
      <c r="AD345" s="153">
        <v>6.4089999999999998</v>
      </c>
      <c r="AG345" s="2" t="s">
        <v>36</v>
      </c>
      <c r="AH345" s="168">
        <v>4.1E-5</v>
      </c>
      <c r="AI345" s="168">
        <v>9.2990009437357297E-4</v>
      </c>
      <c r="AJ345" s="168">
        <v>2.04591434320374E-4</v>
      </c>
    </row>
    <row r="346" spans="1:36">
      <c r="A346" s="2">
        <v>158</v>
      </c>
      <c r="B346" s="2">
        <v>9937</v>
      </c>
      <c r="C346" s="2" t="s">
        <v>1594</v>
      </c>
      <c r="D346" s="2" t="s">
        <v>1595</v>
      </c>
      <c r="E346" s="4" t="s">
        <v>1343</v>
      </c>
      <c r="F346" s="2" t="s">
        <v>2132</v>
      </c>
      <c r="G346" s="2" t="s">
        <v>2133</v>
      </c>
      <c r="H346" s="2" t="s">
        <v>338</v>
      </c>
      <c r="I346" s="2" t="s">
        <v>772</v>
      </c>
      <c r="J346" s="2" t="s">
        <v>30</v>
      </c>
      <c r="K346" s="2" t="s">
        <v>30</v>
      </c>
      <c r="L346" s="2" t="s">
        <v>344</v>
      </c>
      <c r="M346" s="2" t="s">
        <v>56</v>
      </c>
      <c r="N346" s="2" t="s">
        <v>479</v>
      </c>
      <c r="O346" s="2" t="s">
        <v>153</v>
      </c>
      <c r="P346" s="2" t="s">
        <v>1773</v>
      </c>
      <c r="Q346" s="2" t="s">
        <v>110</v>
      </c>
      <c r="R346" s="2" t="s">
        <v>423</v>
      </c>
      <c r="S346" s="2" t="s">
        <v>44</v>
      </c>
      <c r="T346" s="153">
        <v>2.6890000000000001</v>
      </c>
      <c r="U346" s="2" t="s">
        <v>2134</v>
      </c>
      <c r="V346" s="166">
        <v>1.34E-2</v>
      </c>
      <c r="W346" s="168">
        <v>2.819E-2</v>
      </c>
      <c r="X346" s="4" t="s">
        <v>429</v>
      </c>
      <c r="Y346" s="4" t="s">
        <v>153</v>
      </c>
      <c r="Z346" s="153">
        <v>55384.62</v>
      </c>
      <c r="AA346" s="162">
        <v>1</v>
      </c>
      <c r="AB346" s="179">
        <v>112.38</v>
      </c>
      <c r="AD346" s="153">
        <v>62.241</v>
      </c>
      <c r="AG346" s="2" t="s">
        <v>36</v>
      </c>
      <c r="AH346" s="168">
        <v>2.0999999999999999E-5</v>
      </c>
      <c r="AI346" s="168">
        <v>9.0301998476416002E-3</v>
      </c>
      <c r="AJ346" s="168">
        <v>1.98677422467969E-3</v>
      </c>
    </row>
    <row r="347" spans="1:36">
      <c r="A347" s="2">
        <v>158</v>
      </c>
      <c r="B347" s="2">
        <v>9937</v>
      </c>
      <c r="C347" s="2" t="s">
        <v>1594</v>
      </c>
      <c r="D347" s="2" t="s">
        <v>1595</v>
      </c>
      <c r="E347" s="4" t="s">
        <v>1343</v>
      </c>
      <c r="F347" s="2" t="s">
        <v>1836</v>
      </c>
      <c r="G347" s="2" t="s">
        <v>1837</v>
      </c>
      <c r="H347" s="2" t="s">
        <v>338</v>
      </c>
      <c r="I347" s="2" t="s">
        <v>772</v>
      </c>
      <c r="J347" s="2" t="s">
        <v>30</v>
      </c>
      <c r="K347" s="2" t="s">
        <v>30</v>
      </c>
      <c r="L347" s="2" t="s">
        <v>344</v>
      </c>
      <c r="M347" s="2" t="s">
        <v>56</v>
      </c>
      <c r="N347" s="2" t="s">
        <v>479</v>
      </c>
      <c r="O347" s="2" t="s">
        <v>153</v>
      </c>
      <c r="P347" s="2" t="s">
        <v>1773</v>
      </c>
      <c r="Q347" s="2" t="s">
        <v>110</v>
      </c>
      <c r="R347" s="2" t="s">
        <v>423</v>
      </c>
      <c r="S347" s="2" t="s">
        <v>44</v>
      </c>
      <c r="T347" s="153">
        <v>2.456</v>
      </c>
      <c r="U347" s="2" t="s">
        <v>1796</v>
      </c>
      <c r="V347" s="166">
        <v>1.77E-2</v>
      </c>
      <c r="W347" s="168">
        <v>2.7099999999999999E-2</v>
      </c>
      <c r="X347" s="4" t="s">
        <v>429</v>
      </c>
      <c r="Y347" s="4" t="s">
        <v>153</v>
      </c>
      <c r="Z347" s="153">
        <v>63858.82</v>
      </c>
      <c r="AA347" s="162">
        <v>1</v>
      </c>
      <c r="AB347" s="179">
        <v>113.19</v>
      </c>
      <c r="AD347" s="153">
        <v>72.281999999999996</v>
      </c>
      <c r="AG347" s="2" t="s">
        <v>36</v>
      </c>
      <c r="AH347" s="168">
        <v>2.5000000000000001E-5</v>
      </c>
      <c r="AI347" s="168">
        <v>1.0486923572358E-2</v>
      </c>
      <c r="AJ347" s="168">
        <v>2.3072744569643299E-3</v>
      </c>
    </row>
    <row r="348" spans="1:36">
      <c r="A348" s="2">
        <v>158</v>
      </c>
      <c r="B348" s="2">
        <v>9937</v>
      </c>
      <c r="C348" s="2" t="s">
        <v>1594</v>
      </c>
      <c r="D348" s="2" t="s">
        <v>1595</v>
      </c>
      <c r="E348" s="4" t="s">
        <v>1343</v>
      </c>
      <c r="F348" s="2" t="s">
        <v>2000</v>
      </c>
      <c r="G348" s="2" t="s">
        <v>2001</v>
      </c>
      <c r="H348" s="2" t="s">
        <v>338</v>
      </c>
      <c r="I348" s="2" t="s">
        <v>772</v>
      </c>
      <c r="J348" s="2" t="s">
        <v>30</v>
      </c>
      <c r="K348" s="2" t="s">
        <v>30</v>
      </c>
      <c r="L348" s="2" t="s">
        <v>344</v>
      </c>
      <c r="M348" s="2" t="s">
        <v>56</v>
      </c>
      <c r="N348" s="2" t="s">
        <v>479</v>
      </c>
      <c r="O348" s="2" t="s">
        <v>153</v>
      </c>
      <c r="P348" s="2" t="s">
        <v>1773</v>
      </c>
      <c r="Q348" s="2" t="s">
        <v>430</v>
      </c>
      <c r="R348" s="2" t="s">
        <v>423</v>
      </c>
      <c r="S348" s="2" t="s">
        <v>44</v>
      </c>
      <c r="T348" s="153">
        <v>6.7329999999999997</v>
      </c>
      <c r="U348" s="2" t="s">
        <v>2002</v>
      </c>
      <c r="V348" s="166">
        <v>8.9999999999999993E-3</v>
      </c>
      <c r="W348" s="168">
        <v>3.3419999999999998E-2</v>
      </c>
      <c r="X348" s="4" t="s">
        <v>429</v>
      </c>
      <c r="Y348" s="4" t="s">
        <v>153</v>
      </c>
      <c r="Z348" s="153">
        <v>49000</v>
      </c>
      <c r="AA348" s="162">
        <v>1</v>
      </c>
      <c r="AB348" s="179">
        <v>96.33</v>
      </c>
      <c r="AD348" s="153">
        <v>47.201999999999998</v>
      </c>
      <c r="AG348" s="2" t="s">
        <v>36</v>
      </c>
      <c r="AH348" s="168">
        <v>1.8E-5</v>
      </c>
      <c r="AI348" s="168">
        <v>6.8482056566123699E-3</v>
      </c>
      <c r="AJ348" s="168">
        <v>1.5067040279752499E-3</v>
      </c>
    </row>
    <row r="349" spans="1:36">
      <c r="A349" s="2">
        <v>158</v>
      </c>
      <c r="B349" s="2">
        <v>9937</v>
      </c>
      <c r="C349" s="2" t="s">
        <v>1598</v>
      </c>
      <c r="D349" s="2" t="s">
        <v>1599</v>
      </c>
      <c r="E349" s="4" t="s">
        <v>1343</v>
      </c>
      <c r="F349" s="2" t="s">
        <v>2003</v>
      </c>
      <c r="G349" s="2" t="s">
        <v>2004</v>
      </c>
      <c r="H349" s="2" t="s">
        <v>338</v>
      </c>
      <c r="I349" s="2" t="s">
        <v>985</v>
      </c>
      <c r="J349" s="2" t="s">
        <v>30</v>
      </c>
      <c r="K349" s="2" t="s">
        <v>30</v>
      </c>
      <c r="L349" s="2" t="s">
        <v>344</v>
      </c>
      <c r="M349" s="2" t="s">
        <v>56</v>
      </c>
      <c r="N349" s="2" t="s">
        <v>463</v>
      </c>
      <c r="O349" s="2" t="s">
        <v>153</v>
      </c>
      <c r="P349" s="2" t="s">
        <v>109</v>
      </c>
      <c r="Q349" s="2" t="s">
        <v>430</v>
      </c>
      <c r="R349" s="2" t="s">
        <v>423</v>
      </c>
      <c r="S349" s="2" t="s">
        <v>44</v>
      </c>
      <c r="T349" s="153">
        <v>3.3130000000000002</v>
      </c>
      <c r="U349" s="2" t="s">
        <v>1840</v>
      </c>
      <c r="V349" s="166">
        <v>2.5000000000000001E-2</v>
      </c>
      <c r="W349" s="168">
        <v>5.117E-2</v>
      </c>
      <c r="X349" s="4" t="s">
        <v>429</v>
      </c>
      <c r="Y349" s="4" t="s">
        <v>153</v>
      </c>
      <c r="Z349" s="153">
        <v>128000</v>
      </c>
      <c r="AA349" s="162">
        <v>1</v>
      </c>
      <c r="AB349" s="179">
        <v>93.69</v>
      </c>
      <c r="AD349" s="153">
        <v>119.923</v>
      </c>
      <c r="AG349" s="2" t="s">
        <v>36</v>
      </c>
      <c r="AH349" s="168">
        <v>5.5000000000000002E-5</v>
      </c>
      <c r="AI349" s="168">
        <v>1.7398922848097801E-2</v>
      </c>
      <c r="AJ349" s="168">
        <v>3.8280140013533699E-3</v>
      </c>
    </row>
    <row r="350" spans="1:36">
      <c r="A350" s="2">
        <v>158</v>
      </c>
      <c r="B350" s="2">
        <v>9937</v>
      </c>
      <c r="C350" s="2" t="s">
        <v>1598</v>
      </c>
      <c r="D350" s="2" t="s">
        <v>1599</v>
      </c>
      <c r="E350" s="4" t="s">
        <v>1343</v>
      </c>
      <c r="F350" s="2" t="s">
        <v>1838</v>
      </c>
      <c r="G350" s="2" t="s">
        <v>1839</v>
      </c>
      <c r="H350" s="2" t="s">
        <v>338</v>
      </c>
      <c r="I350" s="2" t="s">
        <v>772</v>
      </c>
      <c r="J350" s="2" t="s">
        <v>30</v>
      </c>
      <c r="K350" s="2" t="s">
        <v>30</v>
      </c>
      <c r="L350" s="2" t="s">
        <v>344</v>
      </c>
      <c r="M350" s="2" t="s">
        <v>56</v>
      </c>
      <c r="N350" s="2" t="s">
        <v>463</v>
      </c>
      <c r="O350" s="2" t="s">
        <v>153</v>
      </c>
      <c r="P350" s="2" t="s">
        <v>109</v>
      </c>
      <c r="Q350" s="2" t="s">
        <v>430</v>
      </c>
      <c r="R350" s="2" t="s">
        <v>423</v>
      </c>
      <c r="S350" s="2" t="s">
        <v>44</v>
      </c>
      <c r="T350" s="153">
        <v>3.5609999999999999</v>
      </c>
      <c r="U350" s="2" t="s">
        <v>1840</v>
      </c>
      <c r="V350" s="166">
        <v>1E-3</v>
      </c>
      <c r="W350" s="168">
        <v>2.3970000000000002E-2</v>
      </c>
      <c r="X350" s="4" t="s">
        <v>429</v>
      </c>
      <c r="Y350" s="4" t="s">
        <v>153</v>
      </c>
      <c r="Z350" s="153">
        <v>236000</v>
      </c>
      <c r="AA350" s="162">
        <v>1</v>
      </c>
      <c r="AB350" s="179">
        <v>103.73</v>
      </c>
      <c r="AD350" s="153">
        <v>244.803</v>
      </c>
      <c r="AG350" s="2" t="s">
        <v>36</v>
      </c>
      <c r="AH350" s="168">
        <v>2.1000000000000001E-4</v>
      </c>
      <c r="AI350" s="168">
        <v>3.5516939426218697E-2</v>
      </c>
      <c r="AJ350" s="168">
        <v>7.8142389960450497E-3</v>
      </c>
    </row>
    <row r="351" spans="1:36">
      <c r="A351" s="2">
        <v>158</v>
      </c>
      <c r="B351" s="2">
        <v>9937</v>
      </c>
      <c r="C351" s="2" t="s">
        <v>1598</v>
      </c>
      <c r="D351" s="2" t="s">
        <v>1599</v>
      </c>
      <c r="E351" s="4" t="s">
        <v>1343</v>
      </c>
      <c r="F351" s="2" t="s">
        <v>1841</v>
      </c>
      <c r="G351" s="2" t="s">
        <v>1842</v>
      </c>
      <c r="H351" s="2" t="s">
        <v>338</v>
      </c>
      <c r="I351" s="2" t="s">
        <v>772</v>
      </c>
      <c r="J351" s="2" t="s">
        <v>30</v>
      </c>
      <c r="K351" s="2" t="s">
        <v>30</v>
      </c>
      <c r="L351" s="2" t="s">
        <v>344</v>
      </c>
      <c r="M351" s="2" t="s">
        <v>56</v>
      </c>
      <c r="N351" s="2" t="s">
        <v>463</v>
      </c>
      <c r="O351" s="2" t="s">
        <v>153</v>
      </c>
      <c r="P351" s="2" t="s">
        <v>109</v>
      </c>
      <c r="Q351" s="2" t="s">
        <v>430</v>
      </c>
      <c r="R351" s="2" t="s">
        <v>423</v>
      </c>
      <c r="S351" s="2" t="s">
        <v>44</v>
      </c>
      <c r="T351" s="153">
        <v>3.9140000000000001</v>
      </c>
      <c r="U351" s="2" t="s">
        <v>1843</v>
      </c>
      <c r="V351" s="166">
        <v>1.3899999999999999E-2</v>
      </c>
      <c r="W351" s="168">
        <v>2.4809999999999999E-2</v>
      </c>
      <c r="X351" s="4" t="s">
        <v>429</v>
      </c>
      <c r="Y351" s="4" t="s">
        <v>153</v>
      </c>
      <c r="Z351" s="153">
        <v>81000</v>
      </c>
      <c r="AA351" s="162">
        <v>1</v>
      </c>
      <c r="AB351" s="179">
        <v>103.84</v>
      </c>
      <c r="AD351" s="153">
        <v>84.11</v>
      </c>
      <c r="AG351" s="2" t="s">
        <v>36</v>
      </c>
      <c r="AH351" s="168">
        <v>4.5000000000000003E-5</v>
      </c>
      <c r="AI351" s="168">
        <v>1.2203062962985E-2</v>
      </c>
      <c r="AJ351" s="168">
        <v>2.6848498777503698E-3</v>
      </c>
    </row>
    <row r="352" spans="1:36">
      <c r="A352" s="2">
        <v>158</v>
      </c>
      <c r="B352" s="2">
        <v>9937</v>
      </c>
      <c r="C352" s="2" t="s">
        <v>1598</v>
      </c>
      <c r="D352" s="2" t="s">
        <v>1599</v>
      </c>
      <c r="E352" s="4" t="s">
        <v>1343</v>
      </c>
      <c r="F352" s="2" t="s">
        <v>1844</v>
      </c>
      <c r="G352" s="2" t="s">
        <v>1845</v>
      </c>
      <c r="H352" s="2" t="s">
        <v>338</v>
      </c>
      <c r="I352" s="2" t="s">
        <v>772</v>
      </c>
      <c r="J352" s="2" t="s">
        <v>30</v>
      </c>
      <c r="K352" s="2" t="s">
        <v>30</v>
      </c>
      <c r="L352" s="2" t="s">
        <v>344</v>
      </c>
      <c r="M352" s="2" t="s">
        <v>56</v>
      </c>
      <c r="N352" s="2" t="s">
        <v>463</v>
      </c>
      <c r="O352" s="2" t="s">
        <v>153</v>
      </c>
      <c r="P352" s="2" t="s">
        <v>109</v>
      </c>
      <c r="Q352" s="2" t="s">
        <v>430</v>
      </c>
      <c r="R352" s="2" t="s">
        <v>423</v>
      </c>
      <c r="S352" s="2" t="s">
        <v>44</v>
      </c>
      <c r="T352" s="153">
        <v>1.905</v>
      </c>
      <c r="U352" s="2" t="s">
        <v>1846</v>
      </c>
      <c r="V352" s="166">
        <v>6.0000000000000001E-3</v>
      </c>
      <c r="W352" s="168">
        <v>2.0719999999999999E-2</v>
      </c>
      <c r="X352" s="4" t="s">
        <v>429</v>
      </c>
      <c r="Y352" s="4" t="s">
        <v>153</v>
      </c>
      <c r="Z352" s="153">
        <v>44666.66</v>
      </c>
      <c r="AA352" s="162">
        <v>1</v>
      </c>
      <c r="AB352" s="179">
        <v>113.24</v>
      </c>
      <c r="AD352" s="153">
        <v>50.581000000000003</v>
      </c>
      <c r="AG352" s="2" t="s">
        <v>36</v>
      </c>
      <c r="AH352" s="168">
        <v>5.0000000000000002E-5</v>
      </c>
      <c r="AI352" s="168">
        <v>7.3384188024672196E-3</v>
      </c>
      <c r="AJ352" s="168">
        <v>1.6145579912558001E-3</v>
      </c>
    </row>
    <row r="353" spans="1:36">
      <c r="A353" s="2">
        <v>158</v>
      </c>
      <c r="B353" s="2">
        <v>9937</v>
      </c>
      <c r="C353" s="2" t="s">
        <v>1598</v>
      </c>
      <c r="D353" s="2" t="s">
        <v>1599</v>
      </c>
      <c r="E353" s="4" t="s">
        <v>1343</v>
      </c>
      <c r="F353" s="2" t="s">
        <v>2005</v>
      </c>
      <c r="G353" s="2" t="s">
        <v>2006</v>
      </c>
      <c r="H353" s="2" t="s">
        <v>338</v>
      </c>
      <c r="I353" s="2" t="s">
        <v>772</v>
      </c>
      <c r="J353" s="2" t="s">
        <v>30</v>
      </c>
      <c r="K353" s="2" t="s">
        <v>30</v>
      </c>
      <c r="L353" s="2" t="s">
        <v>344</v>
      </c>
      <c r="M353" s="2" t="s">
        <v>56</v>
      </c>
      <c r="N353" s="2" t="s">
        <v>463</v>
      </c>
      <c r="O353" s="2" t="s">
        <v>153</v>
      </c>
      <c r="P353" s="2" t="s">
        <v>109</v>
      </c>
      <c r="Q353" s="2" t="s">
        <v>430</v>
      </c>
      <c r="R353" s="2" t="s">
        <v>423</v>
      </c>
      <c r="S353" s="2" t="s">
        <v>44</v>
      </c>
      <c r="T353" s="153">
        <v>2.786</v>
      </c>
      <c r="U353" s="2" t="s">
        <v>2007</v>
      </c>
      <c r="V353" s="166">
        <v>1.7500000000000002E-2</v>
      </c>
      <c r="W353" s="168">
        <v>2.3460000000000002E-2</v>
      </c>
      <c r="X353" s="4" t="s">
        <v>429</v>
      </c>
      <c r="Y353" s="4" t="s">
        <v>153</v>
      </c>
      <c r="Z353" s="153">
        <v>139823.85999999999</v>
      </c>
      <c r="AA353" s="162">
        <v>1</v>
      </c>
      <c r="AB353" s="179">
        <v>114.28</v>
      </c>
      <c r="AD353" s="153">
        <v>159.791</v>
      </c>
      <c r="AG353" s="2" t="s">
        <v>36</v>
      </c>
      <c r="AH353" s="168">
        <v>5.3999999999999998E-5</v>
      </c>
      <c r="AI353" s="168">
        <v>2.3183055376732601E-2</v>
      </c>
      <c r="AJ353" s="168">
        <v>5.1006065922055196E-3</v>
      </c>
    </row>
    <row r="354" spans="1:36">
      <c r="A354" s="2">
        <v>158</v>
      </c>
      <c r="B354" s="2">
        <v>9937</v>
      </c>
      <c r="C354" s="2" t="s">
        <v>2008</v>
      </c>
      <c r="D354" s="2" t="s">
        <v>2009</v>
      </c>
      <c r="E354" s="4" t="s">
        <v>1343</v>
      </c>
      <c r="F354" s="2" t="s">
        <v>2266</v>
      </c>
      <c r="G354" s="2" t="s">
        <v>2267</v>
      </c>
      <c r="H354" s="2" t="s">
        <v>338</v>
      </c>
      <c r="I354" s="2" t="s">
        <v>985</v>
      </c>
      <c r="J354" s="2" t="s">
        <v>30</v>
      </c>
      <c r="K354" s="2" t="s">
        <v>30</v>
      </c>
      <c r="L354" s="2" t="s">
        <v>344</v>
      </c>
      <c r="M354" s="2" t="s">
        <v>56</v>
      </c>
      <c r="N354" s="2" t="s">
        <v>455</v>
      </c>
      <c r="O354" s="2" t="s">
        <v>153</v>
      </c>
      <c r="P354" s="2" t="s">
        <v>1724</v>
      </c>
      <c r="Q354" s="2" t="s">
        <v>430</v>
      </c>
      <c r="R354" s="2" t="s">
        <v>423</v>
      </c>
      <c r="S354" s="2" t="s">
        <v>44</v>
      </c>
      <c r="T354" s="153">
        <v>3.7839999999999998</v>
      </c>
      <c r="U354" s="2" t="s">
        <v>63</v>
      </c>
      <c r="V354" s="166">
        <v>2.4299999999999999E-2</v>
      </c>
      <c r="W354" s="168">
        <v>5.6079999999999998E-2</v>
      </c>
      <c r="X354" s="4" t="s">
        <v>429</v>
      </c>
      <c r="Y354" s="4" t="s">
        <v>153</v>
      </c>
      <c r="Z354" s="153">
        <v>100000</v>
      </c>
      <c r="AA354" s="162">
        <v>1</v>
      </c>
      <c r="AB354" s="179">
        <v>89.68</v>
      </c>
      <c r="AD354" s="153">
        <v>89.68</v>
      </c>
      <c r="AG354" s="2" t="s">
        <v>36</v>
      </c>
      <c r="AH354" s="168">
        <v>6.7999999999999999E-5</v>
      </c>
      <c r="AI354" s="168">
        <v>1.3011122126639499E-2</v>
      </c>
      <c r="AJ354" s="168">
        <v>2.8626345497899499E-3</v>
      </c>
    </row>
    <row r="355" spans="1:36">
      <c r="A355" s="2">
        <v>158</v>
      </c>
      <c r="B355" s="2">
        <v>9937</v>
      </c>
      <c r="C355" s="2" t="s">
        <v>2008</v>
      </c>
      <c r="D355" s="2" t="s">
        <v>2009</v>
      </c>
      <c r="E355" s="4" t="s">
        <v>1343</v>
      </c>
      <c r="F355" s="2" t="s">
        <v>2268</v>
      </c>
      <c r="G355" s="2" t="s">
        <v>2269</v>
      </c>
      <c r="H355" s="2" t="s">
        <v>338</v>
      </c>
      <c r="I355" s="2" t="s">
        <v>772</v>
      </c>
      <c r="J355" s="2" t="s">
        <v>30</v>
      </c>
      <c r="K355" s="2" t="s">
        <v>30</v>
      </c>
      <c r="L355" s="2" t="s">
        <v>344</v>
      </c>
      <c r="M355" s="2" t="s">
        <v>56</v>
      </c>
      <c r="N355" s="2" t="s">
        <v>455</v>
      </c>
      <c r="O355" s="2" t="s">
        <v>153</v>
      </c>
      <c r="P355" s="2" t="s">
        <v>1724</v>
      </c>
      <c r="Q355" s="2" t="s">
        <v>430</v>
      </c>
      <c r="R355" s="2" t="s">
        <v>423</v>
      </c>
      <c r="S355" s="2" t="s">
        <v>44</v>
      </c>
      <c r="T355" s="153">
        <v>1.8979999999999999</v>
      </c>
      <c r="U355" s="2" t="s">
        <v>2270</v>
      </c>
      <c r="V355" s="166">
        <v>1.9400000000000001E-2</v>
      </c>
      <c r="W355" s="168">
        <v>2.4199999999999999E-2</v>
      </c>
      <c r="X355" s="4" t="s">
        <v>429</v>
      </c>
      <c r="Y355" s="4" t="s">
        <v>153</v>
      </c>
      <c r="Z355" s="153">
        <v>12507</v>
      </c>
      <c r="AA355" s="162">
        <v>1</v>
      </c>
      <c r="AB355" s="179">
        <v>115.88</v>
      </c>
      <c r="AD355" s="153">
        <v>14.493</v>
      </c>
      <c r="AG355" s="2" t="s">
        <v>36</v>
      </c>
      <c r="AH355" s="168">
        <v>4.1999999999999998E-5</v>
      </c>
      <c r="AI355" s="168">
        <v>2.1027168267463798E-3</v>
      </c>
      <c r="AJ355" s="168">
        <v>4.6262803300759999E-4</v>
      </c>
    </row>
    <row r="356" spans="1:36">
      <c r="A356" s="2">
        <v>158</v>
      </c>
      <c r="B356" s="2">
        <v>9937</v>
      </c>
      <c r="C356" s="2" t="s">
        <v>2008</v>
      </c>
      <c r="D356" s="2" t="s">
        <v>2009</v>
      </c>
      <c r="E356" s="4" t="s">
        <v>1343</v>
      </c>
      <c r="F356" s="2" t="s">
        <v>2010</v>
      </c>
      <c r="G356" s="2" t="s">
        <v>2011</v>
      </c>
      <c r="H356" s="2" t="s">
        <v>338</v>
      </c>
      <c r="I356" s="2" t="s">
        <v>772</v>
      </c>
      <c r="J356" s="2" t="s">
        <v>30</v>
      </c>
      <c r="K356" s="2" t="s">
        <v>30</v>
      </c>
      <c r="L356" s="2" t="s">
        <v>344</v>
      </c>
      <c r="M356" s="2" t="s">
        <v>56</v>
      </c>
      <c r="N356" s="2" t="s">
        <v>455</v>
      </c>
      <c r="O356" s="2" t="s">
        <v>153</v>
      </c>
      <c r="P356" s="2" t="s">
        <v>1724</v>
      </c>
      <c r="Q356" s="2" t="s">
        <v>430</v>
      </c>
      <c r="R356" s="2" t="s">
        <v>423</v>
      </c>
      <c r="S356" s="2" t="s">
        <v>44</v>
      </c>
      <c r="T356" s="153">
        <v>2.8180000000000001</v>
      </c>
      <c r="U356" s="2" t="s">
        <v>2012</v>
      </c>
      <c r="V356" s="166">
        <v>1.23E-2</v>
      </c>
      <c r="W356" s="168">
        <v>2.6040000000000001E-2</v>
      </c>
      <c r="X356" s="4" t="s">
        <v>429</v>
      </c>
      <c r="Y356" s="4" t="s">
        <v>153</v>
      </c>
      <c r="Z356" s="153">
        <v>68872.11</v>
      </c>
      <c r="AA356" s="162">
        <v>1</v>
      </c>
      <c r="AB356" s="179">
        <v>111.75</v>
      </c>
      <c r="AD356" s="153">
        <v>76.965000000000003</v>
      </c>
      <c r="AG356" s="2" t="s">
        <v>36</v>
      </c>
      <c r="AH356" s="168">
        <v>6.2000000000000003E-5</v>
      </c>
      <c r="AI356" s="168">
        <v>1.11663201144407E-2</v>
      </c>
      <c r="AJ356" s="168">
        <v>2.45675149633451E-3</v>
      </c>
    </row>
    <row r="357" spans="1:36">
      <c r="A357" s="2">
        <v>158</v>
      </c>
      <c r="B357" s="2">
        <v>9937</v>
      </c>
      <c r="C357" s="2" t="s">
        <v>1847</v>
      </c>
      <c r="D357" s="2" t="s">
        <v>1848</v>
      </c>
      <c r="E357" s="4" t="s">
        <v>1343</v>
      </c>
      <c r="F357" s="2" t="s">
        <v>2271</v>
      </c>
      <c r="G357" s="2" t="s">
        <v>2272</v>
      </c>
      <c r="H357" s="2" t="s">
        <v>338</v>
      </c>
      <c r="I357" s="2" t="s">
        <v>985</v>
      </c>
      <c r="J357" s="2" t="s">
        <v>30</v>
      </c>
      <c r="K357" s="2" t="s">
        <v>30</v>
      </c>
      <c r="L357" s="2" t="s">
        <v>344</v>
      </c>
      <c r="M357" s="2" t="s">
        <v>56</v>
      </c>
      <c r="N357" s="2" t="s">
        <v>460</v>
      </c>
      <c r="O357" s="2" t="s">
        <v>153</v>
      </c>
      <c r="P357" s="2" t="s">
        <v>1718</v>
      </c>
      <c r="Q357" s="2" t="s">
        <v>430</v>
      </c>
      <c r="R357" s="2" t="s">
        <v>423</v>
      </c>
      <c r="S357" s="2" t="s">
        <v>44</v>
      </c>
      <c r="T357" s="153">
        <v>0.82099999999999995</v>
      </c>
      <c r="U357" s="2" t="s">
        <v>2091</v>
      </c>
      <c r="V357" s="166">
        <v>3.61E-2</v>
      </c>
      <c r="W357" s="168">
        <v>5.1929999999999997E-2</v>
      </c>
      <c r="X357" s="4" t="s">
        <v>429</v>
      </c>
      <c r="Y357" s="4" t="s">
        <v>153</v>
      </c>
      <c r="Z357" s="153">
        <v>108391</v>
      </c>
      <c r="AA357" s="162">
        <v>1</v>
      </c>
      <c r="AB357" s="179">
        <v>99.39</v>
      </c>
      <c r="AD357" s="153">
        <v>107.73</v>
      </c>
      <c r="AG357" s="2" t="s">
        <v>36</v>
      </c>
      <c r="AH357" s="168">
        <v>1.4100000000000001E-4</v>
      </c>
      <c r="AI357" s="168">
        <v>1.5629859258967E-2</v>
      </c>
      <c r="AJ357" s="168">
        <v>3.43879449347922E-3</v>
      </c>
    </row>
    <row r="358" spans="1:36">
      <c r="A358" s="2">
        <v>158</v>
      </c>
      <c r="B358" s="2">
        <v>9937</v>
      </c>
      <c r="C358" s="2" t="s">
        <v>1847</v>
      </c>
      <c r="D358" s="2" t="s">
        <v>1848</v>
      </c>
      <c r="E358" s="4" t="s">
        <v>1343</v>
      </c>
      <c r="F358" s="2" t="s">
        <v>1849</v>
      </c>
      <c r="G358" s="2" t="s">
        <v>1850</v>
      </c>
      <c r="H358" s="2" t="s">
        <v>338</v>
      </c>
      <c r="I358" s="2" t="s">
        <v>985</v>
      </c>
      <c r="J358" s="2" t="s">
        <v>30</v>
      </c>
      <c r="K358" s="2" t="s">
        <v>30</v>
      </c>
      <c r="L358" s="2" t="s">
        <v>344</v>
      </c>
      <c r="M358" s="2" t="s">
        <v>56</v>
      </c>
      <c r="N358" s="2" t="s">
        <v>460</v>
      </c>
      <c r="O358" s="2" t="s">
        <v>153</v>
      </c>
      <c r="P358" s="2" t="s">
        <v>1718</v>
      </c>
      <c r="Q358" s="2" t="s">
        <v>430</v>
      </c>
      <c r="R358" s="2" t="s">
        <v>423</v>
      </c>
      <c r="S358" s="2" t="s">
        <v>44</v>
      </c>
      <c r="T358" s="153">
        <v>7.141</v>
      </c>
      <c r="U358" s="2" t="s">
        <v>1851</v>
      </c>
      <c r="V358" s="166">
        <v>4.6899999999999997E-2</v>
      </c>
      <c r="W358" s="168">
        <v>5.654E-2</v>
      </c>
      <c r="X358" s="4" t="s">
        <v>429</v>
      </c>
      <c r="Y358" s="4" t="s">
        <v>153</v>
      </c>
      <c r="Z358" s="153">
        <v>80000</v>
      </c>
      <c r="AA358" s="162">
        <v>1</v>
      </c>
      <c r="AB358" s="179">
        <v>95.86</v>
      </c>
      <c r="AD358" s="153">
        <v>76.688000000000002</v>
      </c>
      <c r="AG358" s="2" t="s">
        <v>36</v>
      </c>
      <c r="AH358" s="168">
        <v>1.6000000000000001E-4</v>
      </c>
      <c r="AI358" s="168">
        <v>1.1126192391254799E-2</v>
      </c>
      <c r="AJ358" s="168">
        <v>2.4479228184020102E-3</v>
      </c>
    </row>
    <row r="359" spans="1:36">
      <c r="A359" s="2">
        <v>158</v>
      </c>
      <c r="B359" s="2">
        <v>9937</v>
      </c>
      <c r="C359" s="2" t="s">
        <v>2273</v>
      </c>
      <c r="D359" s="2" t="s">
        <v>2274</v>
      </c>
      <c r="E359" s="4" t="s">
        <v>1343</v>
      </c>
      <c r="F359" s="2" t="s">
        <v>2275</v>
      </c>
      <c r="G359" s="2" t="s">
        <v>2276</v>
      </c>
      <c r="H359" s="2" t="s">
        <v>338</v>
      </c>
      <c r="I359" s="2" t="s">
        <v>772</v>
      </c>
      <c r="J359" s="2" t="s">
        <v>30</v>
      </c>
      <c r="K359" s="2" t="s">
        <v>30</v>
      </c>
      <c r="L359" s="2" t="s">
        <v>344</v>
      </c>
      <c r="M359" s="2" t="s">
        <v>56</v>
      </c>
      <c r="N359" s="2" t="s">
        <v>479</v>
      </c>
      <c r="O359" s="2" t="s">
        <v>153</v>
      </c>
      <c r="P359" s="2" t="s">
        <v>1724</v>
      </c>
      <c r="Q359" s="2" t="s">
        <v>430</v>
      </c>
      <c r="R359" s="2" t="s">
        <v>423</v>
      </c>
      <c r="S359" s="2" t="s">
        <v>44</v>
      </c>
      <c r="T359" s="153">
        <v>1.2090000000000001</v>
      </c>
      <c r="U359" s="2" t="s">
        <v>2277</v>
      </c>
      <c r="V359" s="166">
        <v>2.1499999999999998E-2</v>
      </c>
      <c r="W359" s="168">
        <v>2.6550000000000001E-2</v>
      </c>
      <c r="X359" s="4" t="s">
        <v>429</v>
      </c>
      <c r="Y359" s="4" t="s">
        <v>153</v>
      </c>
      <c r="Z359" s="153">
        <v>60000</v>
      </c>
      <c r="AA359" s="162">
        <v>1</v>
      </c>
      <c r="AB359" s="179">
        <v>117.11</v>
      </c>
      <c r="AD359" s="153">
        <v>70.266000000000005</v>
      </c>
      <c r="AG359" s="2" t="s">
        <v>36</v>
      </c>
      <c r="AH359" s="168">
        <v>3.1000000000000001E-5</v>
      </c>
      <c r="AI359" s="168">
        <v>1.01944637304912E-2</v>
      </c>
      <c r="AJ359" s="168">
        <v>2.24292907309925E-3</v>
      </c>
    </row>
    <row r="360" spans="1:36">
      <c r="A360" s="2">
        <v>158</v>
      </c>
      <c r="B360" s="2">
        <v>9937</v>
      </c>
      <c r="C360" s="2" t="s">
        <v>2273</v>
      </c>
      <c r="D360" s="2" t="s">
        <v>2274</v>
      </c>
      <c r="E360" s="4" t="s">
        <v>1343</v>
      </c>
      <c r="F360" s="2" t="s">
        <v>2278</v>
      </c>
      <c r="G360" s="2" t="s">
        <v>2279</v>
      </c>
      <c r="H360" s="2" t="s">
        <v>338</v>
      </c>
      <c r="I360" s="2" t="s">
        <v>772</v>
      </c>
      <c r="J360" s="2" t="s">
        <v>30</v>
      </c>
      <c r="K360" s="2" t="s">
        <v>30</v>
      </c>
      <c r="L360" s="2" t="s">
        <v>344</v>
      </c>
      <c r="M360" s="2" t="s">
        <v>56</v>
      </c>
      <c r="N360" s="2" t="s">
        <v>479</v>
      </c>
      <c r="O360" s="2" t="s">
        <v>153</v>
      </c>
      <c r="P360" s="2" t="s">
        <v>1724</v>
      </c>
      <c r="Q360" s="2" t="s">
        <v>430</v>
      </c>
      <c r="R360" s="2" t="s">
        <v>423</v>
      </c>
      <c r="S360" s="2" t="s">
        <v>44</v>
      </c>
      <c r="T360" s="153">
        <v>1.0189999999999999</v>
      </c>
      <c r="U360" s="2" t="s">
        <v>2277</v>
      </c>
      <c r="V360" s="166">
        <v>1.6E-2</v>
      </c>
      <c r="W360" s="168">
        <v>2.4479999999999998E-2</v>
      </c>
      <c r="X360" s="4" t="s">
        <v>429</v>
      </c>
      <c r="Y360" s="4" t="s">
        <v>153</v>
      </c>
      <c r="Z360" s="153">
        <v>11221</v>
      </c>
      <c r="AA360" s="162">
        <v>1</v>
      </c>
      <c r="AB360" s="179">
        <v>116.46</v>
      </c>
      <c r="AD360" s="153">
        <v>13.068</v>
      </c>
      <c r="AG360" s="2" t="s">
        <v>36</v>
      </c>
      <c r="AH360" s="168">
        <v>2.6999999999999999E-5</v>
      </c>
      <c r="AI360" s="168">
        <v>1.8959527151055601E-3</v>
      </c>
      <c r="AJ360" s="168">
        <v>4.1713694593004699E-4</v>
      </c>
    </row>
    <row r="361" spans="1:36">
      <c r="A361" s="2">
        <v>158</v>
      </c>
      <c r="B361" s="2">
        <v>9937</v>
      </c>
      <c r="C361" s="2" t="s">
        <v>1852</v>
      </c>
      <c r="D361" s="2" t="s">
        <v>1853</v>
      </c>
      <c r="E361" s="4" t="s">
        <v>1343</v>
      </c>
      <c r="F361" s="2" t="s">
        <v>2023</v>
      </c>
      <c r="G361" s="2" t="s">
        <v>2024</v>
      </c>
      <c r="H361" s="2" t="s">
        <v>338</v>
      </c>
      <c r="I361" s="2" t="s">
        <v>772</v>
      </c>
      <c r="J361" s="2" t="s">
        <v>30</v>
      </c>
      <c r="K361" s="2" t="s">
        <v>30</v>
      </c>
      <c r="L361" s="2" t="s">
        <v>344</v>
      </c>
      <c r="M361" s="2" t="s">
        <v>56</v>
      </c>
      <c r="N361" s="2" t="s">
        <v>491</v>
      </c>
      <c r="O361" s="2" t="s">
        <v>153</v>
      </c>
      <c r="P361" s="2" t="s">
        <v>1718</v>
      </c>
      <c r="Q361" s="2" t="s">
        <v>430</v>
      </c>
      <c r="R361" s="2" t="s">
        <v>423</v>
      </c>
      <c r="S361" s="2" t="s">
        <v>44</v>
      </c>
      <c r="T361" s="153">
        <v>2.9209999999999998</v>
      </c>
      <c r="U361" s="2" t="s">
        <v>1856</v>
      </c>
      <c r="V361" s="166">
        <v>2.9899999999999999E-2</v>
      </c>
      <c r="W361" s="168">
        <v>2.2720000000000001E-2</v>
      </c>
      <c r="X361" s="4" t="s">
        <v>429</v>
      </c>
      <c r="Y361" s="4" t="s">
        <v>153</v>
      </c>
      <c r="Z361" s="153">
        <v>25000</v>
      </c>
      <c r="AA361" s="162">
        <v>1</v>
      </c>
      <c r="AB361" s="179">
        <v>117.4</v>
      </c>
      <c r="AC361" s="153">
        <v>6.7869999999999999</v>
      </c>
      <c r="AD361" s="153">
        <v>36.137</v>
      </c>
      <c r="AG361" s="2" t="s">
        <v>36</v>
      </c>
      <c r="AH361" s="168">
        <v>1.4100000000000001E-4</v>
      </c>
      <c r="AI361" s="168">
        <v>5.2429439558504898E-3</v>
      </c>
      <c r="AJ361" s="168">
        <v>1.1535232983403299E-3</v>
      </c>
    </row>
    <row r="362" spans="1:36">
      <c r="A362" s="2">
        <v>158</v>
      </c>
      <c r="B362" s="2">
        <v>9937</v>
      </c>
      <c r="C362" s="2" t="s">
        <v>1852</v>
      </c>
      <c r="D362" s="2" t="s">
        <v>1853</v>
      </c>
      <c r="E362" s="4" t="s">
        <v>1343</v>
      </c>
      <c r="F362" s="2" t="s">
        <v>1854</v>
      </c>
      <c r="G362" s="2" t="s">
        <v>1855</v>
      </c>
      <c r="H362" s="2" t="s">
        <v>338</v>
      </c>
      <c r="I362" s="2" t="s">
        <v>985</v>
      </c>
      <c r="J362" s="2" t="s">
        <v>30</v>
      </c>
      <c r="K362" s="2" t="s">
        <v>30</v>
      </c>
      <c r="L362" s="2" t="s">
        <v>344</v>
      </c>
      <c r="M362" s="2" t="s">
        <v>56</v>
      </c>
      <c r="N362" s="2" t="s">
        <v>491</v>
      </c>
      <c r="O362" s="2" t="s">
        <v>153</v>
      </c>
      <c r="P362" s="2" t="s">
        <v>1718</v>
      </c>
      <c r="Q362" s="2" t="s">
        <v>430</v>
      </c>
      <c r="R362" s="2" t="s">
        <v>423</v>
      </c>
      <c r="S362" s="2" t="s">
        <v>44</v>
      </c>
      <c r="T362" s="153">
        <v>2.863</v>
      </c>
      <c r="U362" s="2" t="s">
        <v>1856</v>
      </c>
      <c r="V362" s="166">
        <v>5.0900000000000001E-2</v>
      </c>
      <c r="W362" s="168">
        <v>5.2699999999999997E-2</v>
      </c>
      <c r="X362" s="4" t="s">
        <v>429</v>
      </c>
      <c r="Y362" s="4" t="s">
        <v>153</v>
      </c>
      <c r="Z362" s="153">
        <v>109959.17</v>
      </c>
      <c r="AA362" s="162">
        <v>1</v>
      </c>
      <c r="AB362" s="179">
        <v>99.41</v>
      </c>
      <c r="AC362" s="153">
        <v>28.707999999999998</v>
      </c>
      <c r="AD362" s="153">
        <v>138.01900000000001</v>
      </c>
      <c r="AG362" s="2" t="s">
        <v>36</v>
      </c>
      <c r="AH362" s="168">
        <v>1.7799999999999999E-4</v>
      </c>
      <c r="AI362" s="168">
        <v>2.00242665194321E-2</v>
      </c>
      <c r="AJ362" s="168">
        <v>4.4056274789216702E-3</v>
      </c>
    </row>
    <row r="363" spans="1:36">
      <c r="A363" s="2">
        <v>158</v>
      </c>
      <c r="B363" s="2">
        <v>9937</v>
      </c>
      <c r="C363" s="2" t="s">
        <v>1852</v>
      </c>
      <c r="D363" s="2" t="s">
        <v>1853</v>
      </c>
      <c r="E363" s="4" t="s">
        <v>1343</v>
      </c>
      <c r="F363" s="2" t="s">
        <v>2280</v>
      </c>
      <c r="G363" s="2" t="s">
        <v>2281</v>
      </c>
      <c r="H363" s="2" t="s">
        <v>338</v>
      </c>
      <c r="I363" s="2" t="s">
        <v>772</v>
      </c>
      <c r="J363" s="2" t="s">
        <v>30</v>
      </c>
      <c r="K363" s="2" t="s">
        <v>30</v>
      </c>
      <c r="L363" s="2" t="s">
        <v>344</v>
      </c>
      <c r="M363" s="2" t="s">
        <v>56</v>
      </c>
      <c r="N363" s="2" t="s">
        <v>491</v>
      </c>
      <c r="O363" s="2" t="s">
        <v>153</v>
      </c>
      <c r="P363" s="2" t="s">
        <v>1718</v>
      </c>
      <c r="Q363" s="2" t="s">
        <v>430</v>
      </c>
      <c r="R363" s="2" t="s">
        <v>423</v>
      </c>
      <c r="S363" s="2" t="s">
        <v>44</v>
      </c>
      <c r="T363" s="153">
        <v>2.4430000000000001</v>
      </c>
      <c r="U363" s="2" t="s">
        <v>2282</v>
      </c>
      <c r="V363" s="166">
        <v>4.2999999999999997E-2</v>
      </c>
      <c r="W363" s="168">
        <v>2.2960000000000001E-2</v>
      </c>
      <c r="X363" s="4" t="s">
        <v>429</v>
      </c>
      <c r="Y363" s="4" t="s">
        <v>153</v>
      </c>
      <c r="Z363" s="153">
        <v>50000</v>
      </c>
      <c r="AA363" s="162">
        <v>1</v>
      </c>
      <c r="AB363" s="179">
        <v>120.79</v>
      </c>
      <c r="AC363" s="153">
        <v>17.513999999999999</v>
      </c>
      <c r="AD363" s="153">
        <v>77.909000000000006</v>
      </c>
      <c r="AG363" s="2" t="s">
        <v>36</v>
      </c>
      <c r="AH363" s="168">
        <v>9.7999999999999997E-5</v>
      </c>
      <c r="AI363" s="168">
        <v>1.13034007408078E-2</v>
      </c>
      <c r="AJ363" s="168">
        <v>2.4869112114863602E-3</v>
      </c>
    </row>
    <row r="364" spans="1:36">
      <c r="A364" s="2">
        <v>158</v>
      </c>
      <c r="B364" s="2">
        <v>9937</v>
      </c>
      <c r="C364" s="2" t="s">
        <v>1857</v>
      </c>
      <c r="D364" s="2" t="s">
        <v>1858</v>
      </c>
      <c r="E364" s="4" t="s">
        <v>1343</v>
      </c>
      <c r="F364" s="2" t="s">
        <v>1859</v>
      </c>
      <c r="G364" s="2" t="s">
        <v>1860</v>
      </c>
      <c r="H364" s="2" t="s">
        <v>338</v>
      </c>
      <c r="I364" s="2" t="s">
        <v>985</v>
      </c>
      <c r="J364" s="2" t="s">
        <v>30</v>
      </c>
      <c r="K364" s="2" t="s">
        <v>30</v>
      </c>
      <c r="L364" s="2" t="s">
        <v>344</v>
      </c>
      <c r="M364" s="2" t="s">
        <v>56</v>
      </c>
      <c r="N364" s="2" t="s">
        <v>455</v>
      </c>
      <c r="O364" s="2" t="s">
        <v>153</v>
      </c>
      <c r="P364" s="2" t="s">
        <v>1746</v>
      </c>
      <c r="Q364" s="2" t="s">
        <v>110</v>
      </c>
      <c r="R364" s="2" t="s">
        <v>423</v>
      </c>
      <c r="S364" s="2" t="s">
        <v>44</v>
      </c>
      <c r="T364" s="153">
        <v>4.2539999999999996</v>
      </c>
      <c r="U364" s="2" t="s">
        <v>1861</v>
      </c>
      <c r="V364" s="166">
        <v>6.7699999999999996E-2</v>
      </c>
      <c r="W364" s="168">
        <v>6.6390000000000005E-2</v>
      </c>
      <c r="X364" s="4" t="s">
        <v>429</v>
      </c>
      <c r="Y364" s="4" t="s">
        <v>153</v>
      </c>
      <c r="Z364" s="153">
        <v>50000</v>
      </c>
      <c r="AA364" s="162">
        <v>1</v>
      </c>
      <c r="AB364" s="179">
        <v>102.69</v>
      </c>
      <c r="AD364" s="153">
        <v>51.344999999999999</v>
      </c>
      <c r="AG364" s="2" t="s">
        <v>36</v>
      </c>
      <c r="AH364" s="168">
        <v>6.7000000000000002E-5</v>
      </c>
      <c r="AI364" s="168">
        <v>7.4493316859088202E-3</v>
      </c>
      <c r="AJ364" s="168">
        <v>1.6389604255014E-3</v>
      </c>
    </row>
    <row r="365" spans="1:36">
      <c r="A365" s="2">
        <v>158</v>
      </c>
      <c r="B365" s="2">
        <v>9937</v>
      </c>
      <c r="C365" s="2" t="s">
        <v>2030</v>
      </c>
      <c r="D365" s="2" t="s">
        <v>2031</v>
      </c>
      <c r="E365" s="4" t="s">
        <v>1343</v>
      </c>
      <c r="F365" s="2" t="s">
        <v>2151</v>
      </c>
      <c r="G365" s="2" t="s">
        <v>2152</v>
      </c>
      <c r="H365" s="2" t="s">
        <v>338</v>
      </c>
      <c r="I365" s="2" t="s">
        <v>773</v>
      </c>
      <c r="J365" s="2" t="s">
        <v>30</v>
      </c>
      <c r="K365" s="2" t="s">
        <v>30</v>
      </c>
      <c r="L365" s="2" t="s">
        <v>344</v>
      </c>
      <c r="M365" s="2" t="s">
        <v>56</v>
      </c>
      <c r="N365" s="2" t="s">
        <v>469</v>
      </c>
      <c r="O365" s="2" t="s">
        <v>153</v>
      </c>
      <c r="P365" s="2" t="s">
        <v>32</v>
      </c>
      <c r="Q365" s="2" t="s">
        <v>110</v>
      </c>
      <c r="R365" s="2" t="s">
        <v>423</v>
      </c>
      <c r="S365" s="2" t="s">
        <v>44</v>
      </c>
      <c r="T365" s="153">
        <v>3.129</v>
      </c>
      <c r="U365" s="2" t="s">
        <v>2034</v>
      </c>
      <c r="V365" s="166">
        <v>4.6899999999999997E-2</v>
      </c>
      <c r="W365" s="168">
        <v>7.5190000000000007E-2</v>
      </c>
      <c r="X365" s="4" t="s">
        <v>429</v>
      </c>
      <c r="Y365" s="4" t="s">
        <v>153</v>
      </c>
      <c r="Z365" s="153">
        <v>17819.919999999998</v>
      </c>
      <c r="AA365" s="162">
        <v>1</v>
      </c>
      <c r="AB365" s="179">
        <v>99.56</v>
      </c>
      <c r="AD365" s="153">
        <v>17.742000000000001</v>
      </c>
      <c r="AG365" s="2" t="s">
        <v>36</v>
      </c>
      <c r="AH365" s="168">
        <v>1.5999999999999999E-5</v>
      </c>
      <c r="AI365" s="168">
        <v>2.5740074032465899E-3</v>
      </c>
      <c r="AJ365" s="168">
        <v>5.66318758077168E-4</v>
      </c>
    </row>
    <row r="366" spans="1:36">
      <c r="A366" s="2">
        <v>158</v>
      </c>
      <c r="B366" s="2">
        <v>9937</v>
      </c>
      <c r="C366" s="2" t="s">
        <v>1867</v>
      </c>
      <c r="D366" s="2" t="s">
        <v>1868</v>
      </c>
      <c r="E366" s="4" t="s">
        <v>331</v>
      </c>
      <c r="F366" s="2" t="s">
        <v>1869</v>
      </c>
      <c r="G366" s="2" t="s">
        <v>1870</v>
      </c>
      <c r="H366" s="2" t="s">
        <v>338</v>
      </c>
      <c r="I366" s="2" t="s">
        <v>773</v>
      </c>
      <c r="J366" s="2" t="s">
        <v>106</v>
      </c>
      <c r="K366" s="2" t="s">
        <v>107</v>
      </c>
      <c r="L366" s="2" t="s">
        <v>344</v>
      </c>
      <c r="M366" s="2" t="s">
        <v>31</v>
      </c>
      <c r="N366" s="2" t="s">
        <v>494</v>
      </c>
      <c r="O366" s="2" t="s">
        <v>153</v>
      </c>
      <c r="P366" s="2" t="s">
        <v>32</v>
      </c>
      <c r="Q366" s="2" t="s">
        <v>448</v>
      </c>
      <c r="R366" s="2" t="s">
        <v>423</v>
      </c>
      <c r="S366" s="2" t="s">
        <v>34</v>
      </c>
      <c r="T366" s="153">
        <v>3.6970000000000001</v>
      </c>
      <c r="U366" s="2" t="s">
        <v>1871</v>
      </c>
      <c r="V366" s="166">
        <v>1.985E-2</v>
      </c>
      <c r="W366" s="168">
        <v>4.8860000000000001E-2</v>
      </c>
      <c r="X366" s="4" t="s">
        <v>429</v>
      </c>
      <c r="Y366" s="4" t="s">
        <v>153</v>
      </c>
      <c r="Z366" s="153">
        <v>45000</v>
      </c>
      <c r="AA366" s="162">
        <v>3.71</v>
      </c>
      <c r="AB366" s="179">
        <v>91.308000000000007</v>
      </c>
      <c r="AD366" s="153">
        <v>152.43799999999999</v>
      </c>
      <c r="AG366" s="2" t="s">
        <v>36</v>
      </c>
      <c r="AH366" s="168">
        <v>7.2000000000000002E-5</v>
      </c>
      <c r="AI366" s="168">
        <v>2.2116311767007998E-2</v>
      </c>
      <c r="AJ366" s="168">
        <v>4.8659076105771098E-3</v>
      </c>
    </row>
    <row r="367" spans="1:36">
      <c r="A367" s="2">
        <v>158</v>
      </c>
      <c r="B367" s="2">
        <v>9937</v>
      </c>
      <c r="C367" s="2" t="s">
        <v>2283</v>
      </c>
      <c r="D367" s="2" t="s">
        <v>2284</v>
      </c>
      <c r="E367" s="4" t="s">
        <v>330</v>
      </c>
      <c r="F367" s="2" t="s">
        <v>2285</v>
      </c>
      <c r="G367" s="2" t="s">
        <v>2286</v>
      </c>
      <c r="H367" s="2" t="s">
        <v>338</v>
      </c>
      <c r="I367" s="2" t="s">
        <v>773</v>
      </c>
      <c r="J367" s="2" t="s">
        <v>30</v>
      </c>
      <c r="K367" s="2" t="s">
        <v>30</v>
      </c>
      <c r="L367" s="2" t="s">
        <v>344</v>
      </c>
      <c r="M367" s="2" t="s">
        <v>56</v>
      </c>
      <c r="N367" s="2" t="s">
        <v>496</v>
      </c>
      <c r="O367" s="2" t="s">
        <v>153</v>
      </c>
      <c r="P367" s="2" t="s">
        <v>1724</v>
      </c>
      <c r="Q367" s="2" t="s">
        <v>430</v>
      </c>
      <c r="R367" s="2" t="s">
        <v>423</v>
      </c>
      <c r="S367" s="2" t="s">
        <v>44</v>
      </c>
      <c r="T367" s="153">
        <v>0.73099999999999998</v>
      </c>
      <c r="U367" s="2" t="s">
        <v>2287</v>
      </c>
      <c r="V367" s="166">
        <v>3.3700000000000001E-2</v>
      </c>
      <c r="W367" s="168">
        <v>7.2279999999999997E-2</v>
      </c>
      <c r="X367" s="4" t="s">
        <v>429</v>
      </c>
      <c r="Y367" s="4" t="s">
        <v>153</v>
      </c>
      <c r="Z367" s="153">
        <v>6332.67</v>
      </c>
      <c r="AA367" s="162">
        <v>1</v>
      </c>
      <c r="AB367" s="179">
        <v>103.4</v>
      </c>
      <c r="AD367" s="153">
        <v>6.548</v>
      </c>
      <c r="AG367" s="2" t="s">
        <v>36</v>
      </c>
      <c r="AH367" s="168">
        <v>4.5000000000000003E-5</v>
      </c>
      <c r="AI367" s="168">
        <v>9.5000644080584201E-4</v>
      </c>
      <c r="AJ367" s="168">
        <v>2.09015120564101E-4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96"/>
  <sheetViews>
    <sheetView rightToLeft="1" topLeftCell="I169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343</v>
      </c>
      <c r="M1" s="19" t="s">
        <v>8</v>
      </c>
      <c r="N1" s="19" t="s">
        <v>168</v>
      </c>
      <c r="O1" s="19" t="s">
        <v>139</v>
      </c>
      <c r="P1" s="19" t="s">
        <v>11</v>
      </c>
      <c r="Q1" s="19" t="s">
        <v>17</v>
      </c>
      <c r="R1" s="161" t="s">
        <v>18</v>
      </c>
      <c r="S1" s="172" t="s">
        <v>19</v>
      </c>
      <c r="T1" s="19" t="s">
        <v>16</v>
      </c>
      <c r="U1" s="19" t="s">
        <v>20</v>
      </c>
      <c r="V1" s="167" t="s">
        <v>23</v>
      </c>
      <c r="W1" s="167" t="s">
        <v>24</v>
      </c>
      <c r="X1" s="167" t="s">
        <v>25</v>
      </c>
    </row>
    <row r="2" spans="1:24">
      <c r="A2" s="18">
        <v>158</v>
      </c>
      <c r="B2" s="18">
        <v>1522</v>
      </c>
      <c r="C2" s="18" t="s">
        <v>1511</v>
      </c>
      <c r="D2" s="18" t="s">
        <v>1512</v>
      </c>
      <c r="E2" s="18" t="s">
        <v>1343</v>
      </c>
      <c r="F2" s="18" t="s">
        <v>1513</v>
      </c>
      <c r="G2" s="18" t="s">
        <v>1514</v>
      </c>
      <c r="H2" s="18" t="s">
        <v>338</v>
      </c>
      <c r="I2" s="18" t="s">
        <v>949</v>
      </c>
      <c r="J2" s="18" t="s">
        <v>30</v>
      </c>
      <c r="K2" s="18" t="s">
        <v>315</v>
      </c>
      <c r="L2" s="20" t="s">
        <v>344</v>
      </c>
      <c r="M2" s="18" t="s">
        <v>363</v>
      </c>
      <c r="N2" s="20" t="s">
        <v>473</v>
      </c>
      <c r="O2" s="20" t="s">
        <v>153</v>
      </c>
      <c r="P2" s="18" t="s">
        <v>34</v>
      </c>
      <c r="Q2" s="156">
        <v>60</v>
      </c>
      <c r="R2" s="180">
        <v>3.71</v>
      </c>
      <c r="S2" s="181">
        <v>20834</v>
      </c>
      <c r="T2" s="20"/>
      <c r="U2" s="156">
        <v>46.375999999999998</v>
      </c>
      <c r="V2" s="182">
        <v>1.9999999999999999E-6</v>
      </c>
      <c r="W2" s="182">
        <v>2.09999597840658E-2</v>
      </c>
      <c r="X2" s="182">
        <v>4.5483634383322799E-3</v>
      </c>
    </row>
    <row r="3" spans="1:24">
      <c r="A3" s="18">
        <v>158</v>
      </c>
      <c r="B3" s="18">
        <v>1522</v>
      </c>
      <c r="C3" s="18" t="s">
        <v>1515</v>
      </c>
      <c r="D3" s="18" t="s">
        <v>1516</v>
      </c>
      <c r="E3" s="18" t="s">
        <v>1343</v>
      </c>
      <c r="F3" s="18" t="s">
        <v>1517</v>
      </c>
      <c r="G3" s="18" t="s">
        <v>1518</v>
      </c>
      <c r="H3" s="18" t="s">
        <v>338</v>
      </c>
      <c r="I3" s="18" t="s">
        <v>949</v>
      </c>
      <c r="J3" s="18" t="s">
        <v>30</v>
      </c>
      <c r="K3" s="18" t="s">
        <v>30</v>
      </c>
      <c r="L3" s="20" t="s">
        <v>344</v>
      </c>
      <c r="M3" s="18" t="s">
        <v>56</v>
      </c>
      <c r="N3" s="20" t="s">
        <v>461</v>
      </c>
      <c r="O3" s="20" t="s">
        <v>153</v>
      </c>
      <c r="P3" s="18" t="s">
        <v>44</v>
      </c>
      <c r="Q3" s="156">
        <v>22</v>
      </c>
      <c r="R3" s="180">
        <v>1</v>
      </c>
      <c r="S3" s="181">
        <v>74080</v>
      </c>
      <c r="T3" s="20"/>
      <c r="U3" s="156">
        <v>16.297999999999998</v>
      </c>
      <c r="V3" s="182">
        <v>0</v>
      </c>
      <c r="W3" s="182">
        <v>7.3797949964639602E-3</v>
      </c>
      <c r="X3" s="182">
        <v>1.59838352499004E-3</v>
      </c>
    </row>
    <row r="4" spans="1:24">
      <c r="A4" s="18">
        <v>158</v>
      </c>
      <c r="B4" s="18">
        <v>1522</v>
      </c>
      <c r="C4" s="18" t="s">
        <v>1519</v>
      </c>
      <c r="D4" s="18" t="s">
        <v>1520</v>
      </c>
      <c r="E4" s="18" t="s">
        <v>1343</v>
      </c>
      <c r="F4" s="18" t="s">
        <v>1521</v>
      </c>
      <c r="G4" s="18" t="s">
        <v>1522</v>
      </c>
      <c r="H4" s="18" t="s">
        <v>338</v>
      </c>
      <c r="I4" s="18" t="s">
        <v>949</v>
      </c>
      <c r="J4" s="18" t="s">
        <v>30</v>
      </c>
      <c r="K4" s="18" t="s">
        <v>30</v>
      </c>
      <c r="L4" s="20" t="s">
        <v>344</v>
      </c>
      <c r="M4" s="18" t="s">
        <v>56</v>
      </c>
      <c r="N4" s="20" t="s">
        <v>479</v>
      </c>
      <c r="O4" s="20" t="s">
        <v>153</v>
      </c>
      <c r="P4" s="18" t="s">
        <v>44</v>
      </c>
      <c r="Q4" s="156">
        <v>2120</v>
      </c>
      <c r="R4" s="180">
        <v>1</v>
      </c>
      <c r="S4" s="181">
        <v>2855</v>
      </c>
      <c r="T4" s="20"/>
      <c r="U4" s="156">
        <v>60.526000000000003</v>
      </c>
      <c r="V4" s="182">
        <v>1.1E-5</v>
      </c>
      <c r="W4" s="182">
        <v>2.74070704862052E-2</v>
      </c>
      <c r="X4" s="182">
        <v>5.9360740988579396E-3</v>
      </c>
    </row>
    <row r="5" spans="1:24">
      <c r="A5" s="18">
        <v>158</v>
      </c>
      <c r="B5" s="18">
        <v>1522</v>
      </c>
      <c r="C5" s="18" t="s">
        <v>1523</v>
      </c>
      <c r="D5" s="18" t="s">
        <v>1524</v>
      </c>
      <c r="E5" s="18" t="s">
        <v>1343</v>
      </c>
      <c r="F5" s="18" t="s">
        <v>1525</v>
      </c>
      <c r="G5" s="18" t="s">
        <v>1526</v>
      </c>
      <c r="H5" s="18" t="s">
        <v>338</v>
      </c>
      <c r="I5" s="18" t="s">
        <v>949</v>
      </c>
      <c r="J5" s="18" t="s">
        <v>30</v>
      </c>
      <c r="K5" s="18" t="s">
        <v>30</v>
      </c>
      <c r="L5" s="20" t="s">
        <v>344</v>
      </c>
      <c r="M5" s="18" t="s">
        <v>56</v>
      </c>
      <c r="N5" s="20" t="s">
        <v>479</v>
      </c>
      <c r="O5" s="20" t="s">
        <v>153</v>
      </c>
      <c r="P5" s="18" t="s">
        <v>44</v>
      </c>
      <c r="Q5" s="156">
        <v>3039</v>
      </c>
      <c r="R5" s="180">
        <v>1</v>
      </c>
      <c r="S5" s="181">
        <v>1609</v>
      </c>
      <c r="T5" s="20"/>
      <c r="U5" s="156">
        <v>48.898000000000003</v>
      </c>
      <c r="V5" s="182">
        <v>6.0000000000000002E-6</v>
      </c>
      <c r="W5" s="182">
        <v>2.2141517747247898E-2</v>
      </c>
      <c r="X5" s="182">
        <v>4.7956125071811602E-3</v>
      </c>
    </row>
    <row r="6" spans="1:24">
      <c r="A6" s="18">
        <v>158</v>
      </c>
      <c r="B6" s="18">
        <v>1522</v>
      </c>
      <c r="C6" s="18" t="s">
        <v>1527</v>
      </c>
      <c r="D6" s="18" t="s">
        <v>1528</v>
      </c>
      <c r="E6" s="18" t="s">
        <v>1343</v>
      </c>
      <c r="F6" s="18" t="s">
        <v>1529</v>
      </c>
      <c r="G6" s="18" t="s">
        <v>1530</v>
      </c>
      <c r="H6" s="18" t="s">
        <v>338</v>
      </c>
      <c r="I6" s="18" t="s">
        <v>949</v>
      </c>
      <c r="J6" s="18" t="s">
        <v>30</v>
      </c>
      <c r="K6" s="18" t="s">
        <v>107</v>
      </c>
      <c r="L6" s="20" t="s">
        <v>344</v>
      </c>
      <c r="M6" s="18" t="s">
        <v>56</v>
      </c>
      <c r="N6" s="20" t="s">
        <v>456</v>
      </c>
      <c r="O6" s="20" t="s">
        <v>153</v>
      </c>
      <c r="P6" s="18" t="s">
        <v>44</v>
      </c>
      <c r="Q6" s="156">
        <v>1168.8</v>
      </c>
      <c r="R6" s="180">
        <v>1</v>
      </c>
      <c r="S6" s="181">
        <v>6254</v>
      </c>
      <c r="T6" s="20"/>
      <c r="U6" s="156">
        <v>73.096999999999994</v>
      </c>
      <c r="V6" s="182">
        <v>1.0000000000000001E-5</v>
      </c>
      <c r="W6" s="182">
        <v>3.3099293433841E-2</v>
      </c>
      <c r="X6" s="182">
        <v>7.1689478283356303E-3</v>
      </c>
    </row>
    <row r="7" spans="1:24">
      <c r="A7" s="18">
        <v>158</v>
      </c>
      <c r="B7" s="18">
        <v>1522</v>
      </c>
      <c r="C7" s="18" t="s">
        <v>1531</v>
      </c>
      <c r="D7" s="18" t="s">
        <v>1532</v>
      </c>
      <c r="E7" s="18" t="s">
        <v>1343</v>
      </c>
      <c r="F7" s="18" t="s">
        <v>1533</v>
      </c>
      <c r="G7" s="18" t="s">
        <v>1534</v>
      </c>
      <c r="H7" s="18" t="s">
        <v>338</v>
      </c>
      <c r="I7" s="18" t="s">
        <v>949</v>
      </c>
      <c r="J7" s="18" t="s">
        <v>30</v>
      </c>
      <c r="K7" s="18" t="s">
        <v>30</v>
      </c>
      <c r="L7" s="20" t="s">
        <v>344</v>
      </c>
      <c r="M7" s="18" t="s">
        <v>56</v>
      </c>
      <c r="N7" s="20" t="s">
        <v>456</v>
      </c>
      <c r="O7" s="20" t="s">
        <v>153</v>
      </c>
      <c r="P7" s="18" t="s">
        <v>44</v>
      </c>
      <c r="Q7" s="156">
        <v>6596</v>
      </c>
      <c r="R7" s="180">
        <v>1</v>
      </c>
      <c r="S7" s="181">
        <v>1348</v>
      </c>
      <c r="T7" s="20"/>
      <c r="U7" s="156">
        <v>88.914000000000001</v>
      </c>
      <c r="V7" s="182">
        <v>1.2E-5</v>
      </c>
      <c r="W7" s="182">
        <v>4.0261614145591797E-2</v>
      </c>
      <c r="X7" s="182">
        <v>8.7202287828665806E-3</v>
      </c>
    </row>
    <row r="8" spans="1:24">
      <c r="A8" s="18">
        <v>158</v>
      </c>
      <c r="B8" s="18">
        <v>1522</v>
      </c>
      <c r="C8" s="18" t="s">
        <v>1535</v>
      </c>
      <c r="D8" s="18" t="s">
        <v>1536</v>
      </c>
      <c r="E8" s="18" t="s">
        <v>1343</v>
      </c>
      <c r="F8" s="18" t="s">
        <v>1537</v>
      </c>
      <c r="G8" s="18" t="s">
        <v>1538</v>
      </c>
      <c r="H8" s="18" t="s">
        <v>338</v>
      </c>
      <c r="I8" s="18" t="s">
        <v>949</v>
      </c>
      <c r="J8" s="18" t="s">
        <v>30</v>
      </c>
      <c r="K8" s="18" t="s">
        <v>30</v>
      </c>
      <c r="L8" s="20" t="s">
        <v>344</v>
      </c>
      <c r="M8" s="18" t="s">
        <v>56</v>
      </c>
      <c r="N8" s="20" t="s">
        <v>462</v>
      </c>
      <c r="O8" s="20" t="s">
        <v>153</v>
      </c>
      <c r="P8" s="18" t="s">
        <v>44</v>
      </c>
      <c r="Q8" s="156">
        <v>118</v>
      </c>
      <c r="R8" s="180">
        <v>1</v>
      </c>
      <c r="S8" s="181">
        <v>24250</v>
      </c>
      <c r="T8" s="20"/>
      <c r="U8" s="156">
        <v>28.614999999999998</v>
      </c>
      <c r="V8" s="182">
        <v>9.0000000000000002E-6</v>
      </c>
      <c r="W8" s="182">
        <v>1.29572964009312E-2</v>
      </c>
      <c r="X8" s="182">
        <v>2.80640981295344E-3</v>
      </c>
    </row>
    <row r="9" spans="1:24">
      <c r="A9" s="18">
        <v>158</v>
      </c>
      <c r="B9" s="18">
        <v>1522</v>
      </c>
      <c r="C9" s="18" t="s">
        <v>1539</v>
      </c>
      <c r="D9" s="18" t="s">
        <v>1540</v>
      </c>
      <c r="E9" s="18" t="s">
        <v>1343</v>
      </c>
      <c r="F9" s="18" t="s">
        <v>1541</v>
      </c>
      <c r="G9" s="18" t="s">
        <v>1542</v>
      </c>
      <c r="H9" s="18" t="s">
        <v>338</v>
      </c>
      <c r="I9" s="18" t="s">
        <v>949</v>
      </c>
      <c r="J9" s="18" t="s">
        <v>30</v>
      </c>
      <c r="K9" s="18" t="s">
        <v>30</v>
      </c>
      <c r="L9" s="20" t="s">
        <v>344</v>
      </c>
      <c r="M9" s="18" t="s">
        <v>56</v>
      </c>
      <c r="N9" s="20" t="s">
        <v>500</v>
      </c>
      <c r="O9" s="20" t="s">
        <v>153</v>
      </c>
      <c r="P9" s="18" t="s">
        <v>44</v>
      </c>
      <c r="Q9" s="156">
        <v>18685</v>
      </c>
      <c r="R9" s="180">
        <v>1</v>
      </c>
      <c r="S9" s="181">
        <v>428.6</v>
      </c>
      <c r="T9" s="155">
        <v>2.7469999999999999</v>
      </c>
      <c r="U9" s="156">
        <v>82.831000000000003</v>
      </c>
      <c r="V9" s="182">
        <v>6.9999999999999999E-6</v>
      </c>
      <c r="W9" s="182">
        <v>3.7507254729804103E-2</v>
      </c>
      <c r="X9" s="182">
        <v>8.1236644183814294E-3</v>
      </c>
    </row>
    <row r="10" spans="1:24">
      <c r="A10" s="18">
        <v>158</v>
      </c>
      <c r="B10" s="18">
        <v>1522</v>
      </c>
      <c r="C10" s="18" t="s">
        <v>1543</v>
      </c>
      <c r="D10" s="18" t="s">
        <v>1544</v>
      </c>
      <c r="E10" s="18" t="s">
        <v>1343</v>
      </c>
      <c r="F10" s="18" t="s">
        <v>1545</v>
      </c>
      <c r="G10" s="18" t="s">
        <v>1546</v>
      </c>
      <c r="H10" s="18" t="s">
        <v>338</v>
      </c>
      <c r="I10" s="18" t="s">
        <v>949</v>
      </c>
      <c r="J10" s="18" t="s">
        <v>30</v>
      </c>
      <c r="K10" s="18" t="s">
        <v>30</v>
      </c>
      <c r="L10" s="20" t="s">
        <v>344</v>
      </c>
      <c r="M10" s="18" t="s">
        <v>56</v>
      </c>
      <c r="N10" s="20" t="s">
        <v>463</v>
      </c>
      <c r="O10" s="20" t="s">
        <v>153</v>
      </c>
      <c r="P10" s="18" t="s">
        <v>44</v>
      </c>
      <c r="Q10" s="156">
        <v>8539</v>
      </c>
      <c r="R10" s="180">
        <v>1</v>
      </c>
      <c r="S10" s="181">
        <v>2085</v>
      </c>
      <c r="T10" s="20"/>
      <c r="U10" s="156">
        <v>178.03800000000001</v>
      </c>
      <c r="V10" s="182">
        <v>6.9999999999999999E-6</v>
      </c>
      <c r="W10" s="182">
        <v>8.0618314877632297E-2</v>
      </c>
      <c r="X10" s="182">
        <v>1.7461052288662501E-2</v>
      </c>
    </row>
    <row r="11" spans="1:24">
      <c r="A11" s="18">
        <v>158</v>
      </c>
      <c r="B11" s="18">
        <v>1522</v>
      </c>
      <c r="C11" s="18" t="s">
        <v>1547</v>
      </c>
      <c r="D11" s="18" t="s">
        <v>1548</v>
      </c>
      <c r="E11" s="18" t="s">
        <v>1343</v>
      </c>
      <c r="F11" s="18" t="s">
        <v>1549</v>
      </c>
      <c r="G11" s="18" t="s">
        <v>1550</v>
      </c>
      <c r="H11" s="18" t="s">
        <v>338</v>
      </c>
      <c r="I11" s="18" t="s">
        <v>949</v>
      </c>
      <c r="J11" s="18" t="s">
        <v>30</v>
      </c>
      <c r="K11" s="18" t="s">
        <v>30</v>
      </c>
      <c r="L11" s="20" t="s">
        <v>344</v>
      </c>
      <c r="M11" s="18" t="s">
        <v>56</v>
      </c>
      <c r="N11" s="20" t="s">
        <v>462</v>
      </c>
      <c r="O11" s="20" t="s">
        <v>153</v>
      </c>
      <c r="P11" s="18" t="s">
        <v>44</v>
      </c>
      <c r="Q11" s="156">
        <v>120</v>
      </c>
      <c r="R11" s="180">
        <v>1</v>
      </c>
      <c r="S11" s="181">
        <v>33200</v>
      </c>
      <c r="T11" s="20"/>
      <c r="U11" s="156">
        <v>39.840000000000003</v>
      </c>
      <c r="V11" s="182">
        <v>6.0000000000000002E-6</v>
      </c>
      <c r="W11" s="182">
        <v>1.8040142883561001E-2</v>
      </c>
      <c r="X11" s="182">
        <v>3.9072992118841503E-3</v>
      </c>
    </row>
    <row r="12" spans="1:24">
      <c r="A12" s="18">
        <v>158</v>
      </c>
      <c r="B12" s="18">
        <v>1522</v>
      </c>
      <c r="C12" s="18" t="s">
        <v>1551</v>
      </c>
      <c r="D12" s="18" t="s">
        <v>1552</v>
      </c>
      <c r="E12" s="18" t="s">
        <v>1343</v>
      </c>
      <c r="F12" s="18" t="s">
        <v>1553</v>
      </c>
      <c r="G12" s="18" t="s">
        <v>1554</v>
      </c>
      <c r="H12" s="18" t="s">
        <v>338</v>
      </c>
      <c r="I12" s="18" t="s">
        <v>949</v>
      </c>
      <c r="J12" s="18" t="s">
        <v>30</v>
      </c>
      <c r="K12" s="18" t="s">
        <v>30</v>
      </c>
      <c r="L12" s="20" t="s">
        <v>344</v>
      </c>
      <c r="M12" s="18" t="s">
        <v>56</v>
      </c>
      <c r="N12" s="20" t="s">
        <v>460</v>
      </c>
      <c r="O12" s="20" t="s">
        <v>153</v>
      </c>
      <c r="P12" s="18" t="s">
        <v>44</v>
      </c>
      <c r="Q12" s="156">
        <v>761</v>
      </c>
      <c r="R12" s="180">
        <v>1</v>
      </c>
      <c r="S12" s="181">
        <v>4200</v>
      </c>
      <c r="T12" s="20"/>
      <c r="U12" s="156">
        <v>31.962</v>
      </c>
      <c r="V12" s="182">
        <v>3.0000000000000001E-6</v>
      </c>
      <c r="W12" s="182">
        <v>1.44728676416761E-2</v>
      </c>
      <c r="X12" s="182">
        <v>3.1346660996546499E-3</v>
      </c>
    </row>
    <row r="13" spans="1:24">
      <c r="A13" s="18">
        <v>158</v>
      </c>
      <c r="B13" s="18">
        <v>1522</v>
      </c>
      <c r="C13" s="18" t="s">
        <v>1555</v>
      </c>
      <c r="D13" s="18" t="s">
        <v>1556</v>
      </c>
      <c r="E13" s="18" t="s">
        <v>1343</v>
      </c>
      <c r="F13" s="18" t="s">
        <v>1557</v>
      </c>
      <c r="G13" s="18" t="s">
        <v>1558</v>
      </c>
      <c r="H13" s="18" t="s">
        <v>338</v>
      </c>
      <c r="I13" s="18" t="s">
        <v>949</v>
      </c>
      <c r="J13" s="18" t="s">
        <v>30</v>
      </c>
      <c r="K13" s="18" t="s">
        <v>107</v>
      </c>
      <c r="L13" s="20" t="s">
        <v>344</v>
      </c>
      <c r="M13" s="18" t="s">
        <v>56</v>
      </c>
      <c r="N13" s="20" t="s">
        <v>482</v>
      </c>
      <c r="O13" s="20" t="s">
        <v>153</v>
      </c>
      <c r="P13" s="18" t="s">
        <v>44</v>
      </c>
      <c r="Q13" s="156">
        <v>630</v>
      </c>
      <c r="R13" s="180">
        <v>1</v>
      </c>
      <c r="S13" s="181">
        <v>6629</v>
      </c>
      <c r="T13" s="20"/>
      <c r="U13" s="156">
        <v>41.762999999999998</v>
      </c>
      <c r="V13" s="182">
        <v>9.9999999999999995E-7</v>
      </c>
      <c r="W13" s="182">
        <v>1.8910769959922E-2</v>
      </c>
      <c r="X13" s="182">
        <v>4.0958675902649198E-3</v>
      </c>
    </row>
    <row r="14" spans="1:24">
      <c r="A14" s="18">
        <v>158</v>
      </c>
      <c r="B14" s="18">
        <v>1522</v>
      </c>
      <c r="C14" s="18" t="s">
        <v>1559</v>
      </c>
      <c r="D14" s="18" t="s">
        <v>1560</v>
      </c>
      <c r="E14" s="18" t="s">
        <v>1343</v>
      </c>
      <c r="F14" s="18" t="s">
        <v>1561</v>
      </c>
      <c r="G14" s="18" t="s">
        <v>1562</v>
      </c>
      <c r="H14" s="18" t="s">
        <v>338</v>
      </c>
      <c r="I14" s="18" t="s">
        <v>949</v>
      </c>
      <c r="J14" s="18" t="s">
        <v>30</v>
      </c>
      <c r="K14" s="18" t="s">
        <v>30</v>
      </c>
      <c r="L14" s="20" t="s">
        <v>344</v>
      </c>
      <c r="M14" s="18" t="s">
        <v>56</v>
      </c>
      <c r="N14" s="20" t="s">
        <v>462</v>
      </c>
      <c r="O14" s="20" t="s">
        <v>153</v>
      </c>
      <c r="P14" s="18" t="s">
        <v>44</v>
      </c>
      <c r="Q14" s="156">
        <v>3300</v>
      </c>
      <c r="R14" s="180">
        <v>1</v>
      </c>
      <c r="S14" s="181">
        <v>1373</v>
      </c>
      <c r="T14" s="20"/>
      <c r="U14" s="156">
        <v>45.308999999999997</v>
      </c>
      <c r="V14" s="182">
        <v>1.0000000000000001E-5</v>
      </c>
      <c r="W14" s="182">
        <v>2.05165871965679E-2</v>
      </c>
      <c r="X14" s="182">
        <v>4.44367018050349E-3</v>
      </c>
    </row>
    <row r="15" spans="1:24">
      <c r="A15" s="18">
        <v>158</v>
      </c>
      <c r="B15" s="18">
        <v>1522</v>
      </c>
      <c r="C15" s="18" t="s">
        <v>1563</v>
      </c>
      <c r="D15" s="18" t="s">
        <v>1564</v>
      </c>
      <c r="E15" s="18" t="s">
        <v>1343</v>
      </c>
      <c r="F15" s="18" t="s">
        <v>1565</v>
      </c>
      <c r="G15" s="18" t="s">
        <v>1566</v>
      </c>
      <c r="H15" s="18" t="s">
        <v>338</v>
      </c>
      <c r="I15" s="18" t="s">
        <v>949</v>
      </c>
      <c r="J15" s="18" t="s">
        <v>30</v>
      </c>
      <c r="K15" s="18" t="s">
        <v>30</v>
      </c>
      <c r="L15" s="20" t="s">
        <v>344</v>
      </c>
      <c r="M15" s="18" t="s">
        <v>56</v>
      </c>
      <c r="N15" s="20" t="s">
        <v>460</v>
      </c>
      <c r="O15" s="20" t="s">
        <v>153</v>
      </c>
      <c r="P15" s="18" t="s">
        <v>44</v>
      </c>
      <c r="Q15" s="156">
        <v>540</v>
      </c>
      <c r="R15" s="180">
        <v>1</v>
      </c>
      <c r="S15" s="181">
        <v>6329</v>
      </c>
      <c r="T15" s="20"/>
      <c r="U15" s="156">
        <v>34.177</v>
      </c>
      <c r="V15" s="182">
        <v>6.9999999999999999E-6</v>
      </c>
      <c r="W15" s="182">
        <v>1.5475671367327099E-2</v>
      </c>
      <c r="X15" s="182">
        <v>3.3518625061465801E-3</v>
      </c>
    </row>
    <row r="16" spans="1:24">
      <c r="A16" s="18">
        <v>158</v>
      </c>
      <c r="B16" s="18">
        <v>1522</v>
      </c>
      <c r="C16" s="18" t="s">
        <v>1196</v>
      </c>
      <c r="D16" s="18" t="s">
        <v>1567</v>
      </c>
      <c r="E16" s="18" t="s">
        <v>1343</v>
      </c>
      <c r="F16" s="18" t="s">
        <v>1568</v>
      </c>
      <c r="G16" s="18" t="s">
        <v>1569</v>
      </c>
      <c r="H16" s="18" t="s">
        <v>338</v>
      </c>
      <c r="I16" s="18" t="s">
        <v>949</v>
      </c>
      <c r="J16" s="18" t="s">
        <v>30</v>
      </c>
      <c r="K16" s="18" t="s">
        <v>30</v>
      </c>
      <c r="L16" s="20" t="s">
        <v>344</v>
      </c>
      <c r="M16" s="18" t="s">
        <v>56</v>
      </c>
      <c r="N16" s="20" t="s">
        <v>463</v>
      </c>
      <c r="O16" s="20" t="s">
        <v>153</v>
      </c>
      <c r="P16" s="18" t="s">
        <v>44</v>
      </c>
      <c r="Q16" s="156">
        <v>6059</v>
      </c>
      <c r="R16" s="180">
        <v>1</v>
      </c>
      <c r="S16" s="181">
        <v>3644</v>
      </c>
      <c r="T16" s="20"/>
      <c r="U16" s="156">
        <v>220.79</v>
      </c>
      <c r="V16" s="182">
        <v>3.9999999999999998E-6</v>
      </c>
      <c r="W16" s="182">
        <v>9.99769685154549E-2</v>
      </c>
      <c r="X16" s="182">
        <v>2.1653926623994301E-2</v>
      </c>
    </row>
    <row r="17" spans="1:24">
      <c r="A17" s="18">
        <v>158</v>
      </c>
      <c r="B17" s="18">
        <v>1522</v>
      </c>
      <c r="C17" s="18" t="s">
        <v>1570</v>
      </c>
      <c r="D17" s="18" t="s">
        <v>1571</v>
      </c>
      <c r="E17" s="18" t="s">
        <v>1343</v>
      </c>
      <c r="F17" s="18" t="s">
        <v>1572</v>
      </c>
      <c r="G17" s="18" t="s">
        <v>1573</v>
      </c>
      <c r="H17" s="18" t="s">
        <v>338</v>
      </c>
      <c r="I17" s="18" t="s">
        <v>949</v>
      </c>
      <c r="J17" s="18" t="s">
        <v>30</v>
      </c>
      <c r="K17" s="18" t="s">
        <v>30</v>
      </c>
      <c r="L17" s="20" t="s">
        <v>344</v>
      </c>
      <c r="M17" s="18" t="s">
        <v>56</v>
      </c>
      <c r="N17" s="20" t="s">
        <v>463</v>
      </c>
      <c r="O17" s="20" t="s">
        <v>153</v>
      </c>
      <c r="P17" s="18" t="s">
        <v>44</v>
      </c>
      <c r="Q17" s="156">
        <v>597</v>
      </c>
      <c r="R17" s="180">
        <v>1</v>
      </c>
      <c r="S17" s="181">
        <v>14550</v>
      </c>
      <c r="T17" s="20"/>
      <c r="U17" s="156">
        <v>86.864000000000004</v>
      </c>
      <c r="V17" s="182">
        <v>1.9999999999999999E-6</v>
      </c>
      <c r="W17" s="182">
        <v>3.9333081108589497E-2</v>
      </c>
      <c r="X17" s="182">
        <v>8.5191186016942595E-3</v>
      </c>
    </row>
    <row r="18" spans="1:24">
      <c r="A18" s="18">
        <v>158</v>
      </c>
      <c r="B18" s="18">
        <v>1522</v>
      </c>
      <c r="C18" s="18" t="s">
        <v>1574</v>
      </c>
      <c r="D18" s="18" t="s">
        <v>1575</v>
      </c>
      <c r="E18" s="18" t="s">
        <v>1343</v>
      </c>
      <c r="F18" s="18" t="s">
        <v>1576</v>
      </c>
      <c r="G18" s="18" t="s">
        <v>1577</v>
      </c>
      <c r="H18" s="18" t="s">
        <v>338</v>
      </c>
      <c r="I18" s="18" t="s">
        <v>949</v>
      </c>
      <c r="J18" s="18" t="s">
        <v>30</v>
      </c>
      <c r="K18" s="18" t="s">
        <v>30</v>
      </c>
      <c r="L18" s="20" t="s">
        <v>344</v>
      </c>
      <c r="M18" s="18" t="s">
        <v>56</v>
      </c>
      <c r="N18" s="20" t="s">
        <v>492</v>
      </c>
      <c r="O18" s="20" t="s">
        <v>153</v>
      </c>
      <c r="P18" s="18" t="s">
        <v>44</v>
      </c>
      <c r="Q18" s="156">
        <v>618</v>
      </c>
      <c r="R18" s="180">
        <v>1</v>
      </c>
      <c r="S18" s="181">
        <v>7125</v>
      </c>
      <c r="T18" s="155">
        <v>0.50700000000000001</v>
      </c>
      <c r="U18" s="156">
        <v>44.539000000000001</v>
      </c>
      <c r="V18" s="182">
        <v>1.0000000000000001E-5</v>
      </c>
      <c r="W18" s="182">
        <v>2.0168037508234801E-2</v>
      </c>
      <c r="X18" s="182">
        <v>4.3681780997967701E-3</v>
      </c>
    </row>
    <row r="19" spans="1:24">
      <c r="A19" s="18">
        <v>158</v>
      </c>
      <c r="B19" s="18">
        <v>1522</v>
      </c>
      <c r="C19" s="18" t="s">
        <v>1578</v>
      </c>
      <c r="D19" s="18" t="s">
        <v>1579</v>
      </c>
      <c r="E19" s="18" t="s">
        <v>1343</v>
      </c>
      <c r="F19" s="18" t="s">
        <v>1580</v>
      </c>
      <c r="G19" s="18" t="s">
        <v>1581</v>
      </c>
      <c r="H19" s="18" t="s">
        <v>338</v>
      </c>
      <c r="I19" s="18" t="s">
        <v>949</v>
      </c>
      <c r="J19" s="18" t="s">
        <v>30</v>
      </c>
      <c r="K19" s="18" t="s">
        <v>30</v>
      </c>
      <c r="L19" s="20" t="s">
        <v>344</v>
      </c>
      <c r="M19" s="18" t="s">
        <v>56</v>
      </c>
      <c r="N19" s="20" t="s">
        <v>479</v>
      </c>
      <c r="O19" s="20" t="s">
        <v>153</v>
      </c>
      <c r="P19" s="18" t="s">
        <v>44</v>
      </c>
      <c r="Q19" s="156">
        <v>147</v>
      </c>
      <c r="R19" s="180">
        <v>1</v>
      </c>
      <c r="S19" s="181">
        <v>28210</v>
      </c>
      <c r="T19" s="20"/>
      <c r="U19" s="156">
        <v>41.469000000000001</v>
      </c>
      <c r="V19" s="182">
        <v>3.0000000000000001E-6</v>
      </c>
      <c r="W19" s="182">
        <v>1.8777642399486101E-2</v>
      </c>
      <c r="X19" s="182">
        <v>4.0670336051169802E-3</v>
      </c>
    </row>
    <row r="20" spans="1:24">
      <c r="A20" s="4">
        <v>158</v>
      </c>
      <c r="B20" s="4">
        <v>1522</v>
      </c>
      <c r="C20" s="4" t="s">
        <v>1511</v>
      </c>
      <c r="D20" s="4" t="s">
        <v>1512</v>
      </c>
      <c r="E20" s="18" t="s">
        <v>1343</v>
      </c>
      <c r="F20" s="4" t="s">
        <v>1582</v>
      </c>
      <c r="G20" s="4" t="s">
        <v>1514</v>
      </c>
      <c r="H20" s="18" t="s">
        <v>338</v>
      </c>
      <c r="I20" s="4" t="s">
        <v>949</v>
      </c>
      <c r="J20" s="4" t="s">
        <v>30</v>
      </c>
      <c r="K20" s="18" t="s">
        <v>315</v>
      </c>
      <c r="L20" s="20" t="s">
        <v>344</v>
      </c>
      <c r="M20" s="18" t="s">
        <v>56</v>
      </c>
      <c r="N20" s="20" t="s">
        <v>473</v>
      </c>
      <c r="O20" s="4" t="s">
        <v>153</v>
      </c>
      <c r="P20" s="4" t="s">
        <v>44</v>
      </c>
      <c r="Q20" s="154">
        <v>21</v>
      </c>
      <c r="R20" s="171">
        <v>1</v>
      </c>
      <c r="S20" s="173">
        <v>77890</v>
      </c>
      <c r="U20" s="154">
        <v>16.356999999999999</v>
      </c>
      <c r="V20" s="170">
        <v>9.9999999999999995E-7</v>
      </c>
      <c r="W20" s="170">
        <v>7.4066469159668503E-3</v>
      </c>
      <c r="X20" s="170">
        <v>1.6041993594093399E-3</v>
      </c>
    </row>
    <row r="21" spans="1:24">
      <c r="A21" s="4">
        <v>158</v>
      </c>
      <c r="B21" s="4">
        <v>1522</v>
      </c>
      <c r="C21" s="4" t="s">
        <v>1583</v>
      </c>
      <c r="D21" s="4" t="s">
        <v>1584</v>
      </c>
      <c r="E21" s="4" t="s">
        <v>329</v>
      </c>
      <c r="F21" s="4" t="s">
        <v>1585</v>
      </c>
      <c r="G21" s="4" t="s">
        <v>1586</v>
      </c>
      <c r="H21" s="4" t="s">
        <v>338</v>
      </c>
      <c r="I21" s="4" t="s">
        <v>949</v>
      </c>
      <c r="J21" s="4" t="s">
        <v>30</v>
      </c>
      <c r="K21" s="4" t="s">
        <v>30</v>
      </c>
      <c r="L21" s="2" t="s">
        <v>344</v>
      </c>
      <c r="M21" s="4" t="s">
        <v>56</v>
      </c>
      <c r="N21" s="20" t="s">
        <v>469</v>
      </c>
      <c r="O21" s="4" t="s">
        <v>153</v>
      </c>
      <c r="P21" s="4" t="s">
        <v>44</v>
      </c>
      <c r="Q21" s="154">
        <v>2366</v>
      </c>
      <c r="R21" s="171">
        <v>1</v>
      </c>
      <c r="S21" s="173">
        <v>1025</v>
      </c>
      <c r="U21" s="154">
        <v>24.251999999999999</v>
      </c>
      <c r="V21" s="170">
        <v>1.9999999999999999E-6</v>
      </c>
      <c r="W21" s="170">
        <v>1.09814388840532E-2</v>
      </c>
      <c r="X21" s="170">
        <v>2.3784605129771202E-3</v>
      </c>
    </row>
    <row r="22" spans="1:24">
      <c r="A22" s="4">
        <v>158</v>
      </c>
      <c r="B22" s="4">
        <v>1522</v>
      </c>
      <c r="C22" s="4" t="s">
        <v>1587</v>
      </c>
      <c r="D22" s="4" t="s">
        <v>1588</v>
      </c>
      <c r="E22" s="4" t="s">
        <v>1343</v>
      </c>
      <c r="F22" s="4" t="s">
        <v>1589</v>
      </c>
      <c r="G22" s="4" t="s">
        <v>1590</v>
      </c>
      <c r="H22" s="4" t="s">
        <v>338</v>
      </c>
      <c r="I22" s="4" t="s">
        <v>949</v>
      </c>
      <c r="J22" s="4" t="s">
        <v>30</v>
      </c>
      <c r="K22" s="4" t="s">
        <v>107</v>
      </c>
      <c r="L22" s="2" t="s">
        <v>344</v>
      </c>
      <c r="M22" s="4" t="s">
        <v>56</v>
      </c>
      <c r="N22" s="4" t="s">
        <v>496</v>
      </c>
      <c r="O22" s="4" t="s">
        <v>153</v>
      </c>
      <c r="P22" s="4" t="s">
        <v>44</v>
      </c>
      <c r="Q22" s="154">
        <v>117</v>
      </c>
      <c r="R22" s="171">
        <v>1</v>
      </c>
      <c r="S22" s="173">
        <v>64880</v>
      </c>
      <c r="U22" s="154">
        <v>75.91</v>
      </c>
      <c r="V22" s="170">
        <v>1.9999999999999999E-6</v>
      </c>
      <c r="W22" s="170">
        <v>3.4372992726756098E-2</v>
      </c>
      <c r="X22" s="170">
        <v>7.4448172754628802E-3</v>
      </c>
    </row>
    <row r="23" spans="1:24">
      <c r="A23" s="4">
        <v>158</v>
      </c>
      <c r="B23" s="4">
        <v>1522</v>
      </c>
      <c r="C23" s="4" t="s">
        <v>1591</v>
      </c>
      <c r="D23" s="4" t="s">
        <v>1592</v>
      </c>
      <c r="E23" s="4" t="s">
        <v>1343</v>
      </c>
      <c r="F23" s="4" t="s">
        <v>1591</v>
      </c>
      <c r="G23" s="4" t="s">
        <v>1593</v>
      </c>
      <c r="H23" s="4" t="s">
        <v>338</v>
      </c>
      <c r="I23" s="4" t="s">
        <v>949</v>
      </c>
      <c r="J23" s="4" t="s">
        <v>30</v>
      </c>
      <c r="K23" s="4" t="s">
        <v>30</v>
      </c>
      <c r="L23" s="2" t="s">
        <v>344</v>
      </c>
      <c r="M23" s="2" t="s">
        <v>56</v>
      </c>
      <c r="N23" s="4" t="s">
        <v>454</v>
      </c>
      <c r="O23" s="4" t="s">
        <v>153</v>
      </c>
      <c r="P23" s="4" t="s">
        <v>44</v>
      </c>
      <c r="Q23" s="154">
        <v>800</v>
      </c>
      <c r="R23" s="171">
        <v>1</v>
      </c>
      <c r="S23" s="173">
        <v>3950</v>
      </c>
      <c r="U23" s="154">
        <v>31.6</v>
      </c>
      <c r="V23" s="170">
        <v>1.0000000000000001E-5</v>
      </c>
      <c r="W23" s="170">
        <v>1.4308948672704E-2</v>
      </c>
      <c r="X23" s="170">
        <v>3.0991630295065099E-3</v>
      </c>
    </row>
    <row r="24" spans="1:24">
      <c r="A24" s="4">
        <v>158</v>
      </c>
      <c r="B24" s="4">
        <v>1522</v>
      </c>
      <c r="C24" s="4" t="s">
        <v>1594</v>
      </c>
      <c r="D24" s="4" t="s">
        <v>1595</v>
      </c>
      <c r="E24" s="4" t="s">
        <v>1343</v>
      </c>
      <c r="F24" s="4" t="s">
        <v>1596</v>
      </c>
      <c r="G24" s="4" t="s">
        <v>1597</v>
      </c>
      <c r="H24" s="4" t="s">
        <v>338</v>
      </c>
      <c r="I24" s="4" t="s">
        <v>949</v>
      </c>
      <c r="J24" s="4" t="s">
        <v>30</v>
      </c>
      <c r="K24" s="4" t="s">
        <v>30</v>
      </c>
      <c r="L24" s="2" t="s">
        <v>344</v>
      </c>
      <c r="M24" s="2" t="s">
        <v>56</v>
      </c>
      <c r="N24" s="4" t="s">
        <v>479</v>
      </c>
      <c r="O24" s="4" t="s">
        <v>153</v>
      </c>
      <c r="P24" s="4" t="s">
        <v>44</v>
      </c>
      <c r="Q24" s="154">
        <v>364</v>
      </c>
      <c r="R24" s="171">
        <v>1</v>
      </c>
      <c r="S24" s="173">
        <v>25940</v>
      </c>
      <c r="U24" s="154">
        <v>94.421999999999997</v>
      </c>
      <c r="V24" s="170">
        <v>3.0000000000000001E-6</v>
      </c>
      <c r="W24" s="170">
        <v>4.2755500885904803E-2</v>
      </c>
      <c r="X24" s="170">
        <v>9.2603775919889806E-3</v>
      </c>
    </row>
    <row r="25" spans="1:24">
      <c r="A25" s="4">
        <v>158</v>
      </c>
      <c r="B25" s="4">
        <v>1522</v>
      </c>
      <c r="C25" s="4" t="s">
        <v>1598</v>
      </c>
      <c r="D25" s="4" t="s">
        <v>1599</v>
      </c>
      <c r="E25" s="4" t="s">
        <v>1343</v>
      </c>
      <c r="F25" s="4" t="s">
        <v>1600</v>
      </c>
      <c r="G25" s="4" t="s">
        <v>1601</v>
      </c>
      <c r="H25" s="4" t="s">
        <v>338</v>
      </c>
      <c r="I25" s="4" t="s">
        <v>949</v>
      </c>
      <c r="J25" s="4" t="s">
        <v>30</v>
      </c>
      <c r="K25" s="4" t="s">
        <v>30</v>
      </c>
      <c r="L25" s="2" t="s">
        <v>344</v>
      </c>
      <c r="M25" s="2" t="s">
        <v>56</v>
      </c>
      <c r="N25" s="4" t="s">
        <v>463</v>
      </c>
      <c r="O25" s="4" t="s">
        <v>153</v>
      </c>
      <c r="P25" s="4" t="s">
        <v>44</v>
      </c>
      <c r="Q25" s="154">
        <v>3948</v>
      </c>
      <c r="R25" s="171">
        <v>1</v>
      </c>
      <c r="S25" s="173">
        <v>3729</v>
      </c>
      <c r="U25" s="154">
        <v>147.221</v>
      </c>
      <c r="V25" s="170">
        <v>3.0000000000000001E-6</v>
      </c>
      <c r="W25" s="170">
        <v>6.6663816070514803E-2</v>
      </c>
      <c r="X25" s="170">
        <v>1.44386592542385E-2</v>
      </c>
    </row>
    <row r="26" spans="1:24">
      <c r="A26" s="4">
        <v>158</v>
      </c>
      <c r="B26" s="4">
        <v>1522</v>
      </c>
      <c r="C26" s="4" t="s">
        <v>1602</v>
      </c>
      <c r="D26" s="4" t="s">
        <v>1603</v>
      </c>
      <c r="E26" s="4" t="s">
        <v>1343</v>
      </c>
      <c r="F26" s="4" t="s">
        <v>1604</v>
      </c>
      <c r="G26" s="4" t="s">
        <v>1605</v>
      </c>
      <c r="H26" s="4" t="s">
        <v>338</v>
      </c>
      <c r="I26" s="4" t="s">
        <v>949</v>
      </c>
      <c r="J26" s="4" t="s">
        <v>30</v>
      </c>
      <c r="K26" s="4" t="s">
        <v>30</v>
      </c>
      <c r="L26" s="2" t="s">
        <v>344</v>
      </c>
      <c r="M26" s="2" t="s">
        <v>56</v>
      </c>
      <c r="N26" s="4" t="s">
        <v>491</v>
      </c>
      <c r="O26" s="4" t="s">
        <v>153</v>
      </c>
      <c r="P26" s="4" t="s">
        <v>44</v>
      </c>
      <c r="Q26" s="154">
        <v>160</v>
      </c>
      <c r="R26" s="171">
        <v>1</v>
      </c>
      <c r="S26" s="173">
        <v>28150</v>
      </c>
      <c r="U26" s="154">
        <v>45.04</v>
      </c>
      <c r="V26" s="170">
        <v>1.2E-5</v>
      </c>
      <c r="W26" s="170">
        <v>2.0394780006917398E-2</v>
      </c>
      <c r="X26" s="170">
        <v>4.4172880648409201E-3</v>
      </c>
    </row>
    <row r="27" spans="1:24">
      <c r="A27" s="4">
        <v>158</v>
      </c>
      <c r="B27" s="4">
        <v>1522</v>
      </c>
      <c r="C27" s="4" t="s">
        <v>1606</v>
      </c>
      <c r="D27" s="4" t="s">
        <v>1607</v>
      </c>
      <c r="E27" s="4" t="s">
        <v>1343</v>
      </c>
      <c r="F27" s="4" t="s">
        <v>1608</v>
      </c>
      <c r="G27" s="4" t="s">
        <v>1609</v>
      </c>
      <c r="H27" s="4" t="s">
        <v>338</v>
      </c>
      <c r="I27" s="4" t="s">
        <v>949</v>
      </c>
      <c r="J27" s="4" t="s">
        <v>30</v>
      </c>
      <c r="K27" s="4" t="s">
        <v>30</v>
      </c>
      <c r="L27" s="2" t="s">
        <v>344</v>
      </c>
      <c r="M27" s="2" t="s">
        <v>56</v>
      </c>
      <c r="N27" s="4" t="s">
        <v>492</v>
      </c>
      <c r="O27" s="4" t="s">
        <v>153</v>
      </c>
      <c r="P27" s="4" t="s">
        <v>44</v>
      </c>
      <c r="Q27" s="154">
        <v>99</v>
      </c>
      <c r="R27" s="171">
        <v>1</v>
      </c>
      <c r="S27" s="173">
        <v>29830</v>
      </c>
      <c r="U27" s="154">
        <v>29.532</v>
      </c>
      <c r="V27" s="170">
        <v>6.0000000000000002E-6</v>
      </c>
      <c r="W27" s="170">
        <v>1.3372391756889E-2</v>
      </c>
      <c r="X27" s="170">
        <v>2.8963149632429499E-3</v>
      </c>
    </row>
    <row r="28" spans="1:24">
      <c r="A28" s="4">
        <v>158</v>
      </c>
      <c r="B28" s="4">
        <v>1522</v>
      </c>
      <c r="C28" s="4" t="s">
        <v>1610</v>
      </c>
      <c r="D28" s="4" t="s">
        <v>1611</v>
      </c>
      <c r="E28" s="4" t="s">
        <v>1343</v>
      </c>
      <c r="F28" s="4" t="s">
        <v>1612</v>
      </c>
      <c r="G28" s="4" t="s">
        <v>1613</v>
      </c>
      <c r="H28" s="4" t="s">
        <v>338</v>
      </c>
      <c r="I28" s="4" t="s">
        <v>949</v>
      </c>
      <c r="J28" s="4" t="s">
        <v>30</v>
      </c>
      <c r="K28" s="4" t="s">
        <v>315</v>
      </c>
      <c r="L28" s="2" t="s">
        <v>344</v>
      </c>
      <c r="M28" s="2" t="s">
        <v>56</v>
      </c>
      <c r="N28" s="4" t="s">
        <v>473</v>
      </c>
      <c r="O28" s="4" t="s">
        <v>153</v>
      </c>
      <c r="P28" s="4" t="s">
        <v>44</v>
      </c>
      <c r="Q28" s="154">
        <v>205</v>
      </c>
      <c r="R28" s="171">
        <v>1</v>
      </c>
      <c r="S28" s="173">
        <v>29980</v>
      </c>
      <c r="U28" s="154">
        <v>61.459000000000003</v>
      </c>
      <c r="V28" s="170">
        <v>5.0000000000000004E-6</v>
      </c>
      <c r="W28" s="170">
        <v>2.7829546723915102E-2</v>
      </c>
      <c r="X28" s="170">
        <v>6.02757786805191E-3</v>
      </c>
    </row>
    <row r="29" spans="1:24">
      <c r="A29" s="4">
        <v>158</v>
      </c>
      <c r="B29" s="4">
        <v>1522</v>
      </c>
      <c r="C29" s="4" t="s">
        <v>1614</v>
      </c>
      <c r="D29" s="4" t="s">
        <v>1615</v>
      </c>
      <c r="E29" s="4" t="s">
        <v>331</v>
      </c>
      <c r="F29" s="4" t="s">
        <v>1616</v>
      </c>
      <c r="G29" s="4" t="s">
        <v>1617</v>
      </c>
      <c r="H29" s="4" t="s">
        <v>338</v>
      </c>
      <c r="I29" s="4" t="s">
        <v>949</v>
      </c>
      <c r="J29" s="4" t="s">
        <v>106</v>
      </c>
      <c r="K29" s="4" t="s">
        <v>107</v>
      </c>
      <c r="L29" s="2" t="s">
        <v>344</v>
      </c>
      <c r="M29" s="2" t="s">
        <v>363</v>
      </c>
      <c r="N29" s="4" t="s">
        <v>564</v>
      </c>
      <c r="O29" s="4" t="s">
        <v>153</v>
      </c>
      <c r="P29" s="4" t="s">
        <v>34</v>
      </c>
      <c r="Q29" s="154">
        <v>60</v>
      </c>
      <c r="R29" s="171">
        <v>3.71</v>
      </c>
      <c r="S29" s="173">
        <v>16408</v>
      </c>
      <c r="U29" s="154">
        <v>36.524000000000001</v>
      </c>
      <c r="V29" s="170">
        <v>0</v>
      </c>
      <c r="W29" s="170">
        <v>1.65387030880749E-2</v>
      </c>
      <c r="X29" s="170">
        <v>3.58210364289892E-3</v>
      </c>
    </row>
    <row r="30" spans="1:24">
      <c r="A30" s="4">
        <v>158</v>
      </c>
      <c r="B30" s="4">
        <v>1522</v>
      </c>
      <c r="C30" s="4" t="s">
        <v>1618</v>
      </c>
      <c r="D30" s="4" t="s">
        <v>1619</v>
      </c>
      <c r="E30" s="4" t="s">
        <v>331</v>
      </c>
      <c r="F30" s="4" t="s">
        <v>1620</v>
      </c>
      <c r="G30" s="4" t="s">
        <v>1621</v>
      </c>
      <c r="H30" s="4" t="s">
        <v>338</v>
      </c>
      <c r="I30" s="4" t="s">
        <v>949</v>
      </c>
      <c r="J30" s="4" t="s">
        <v>106</v>
      </c>
      <c r="K30" s="4" t="s">
        <v>107</v>
      </c>
      <c r="L30" s="2" t="s">
        <v>344</v>
      </c>
      <c r="M30" s="2" t="s">
        <v>363</v>
      </c>
      <c r="N30" s="4" t="s">
        <v>531</v>
      </c>
      <c r="O30" s="4" t="s">
        <v>153</v>
      </c>
      <c r="P30" s="4" t="s">
        <v>34</v>
      </c>
      <c r="Q30" s="154">
        <v>65</v>
      </c>
      <c r="R30" s="171">
        <v>3.71</v>
      </c>
      <c r="S30" s="173">
        <v>18633</v>
      </c>
      <c r="U30" s="154">
        <v>44.933</v>
      </c>
      <c r="V30" s="170">
        <v>0</v>
      </c>
      <c r="W30" s="170">
        <v>2.0346545944667699E-2</v>
      </c>
      <c r="X30" s="170">
        <v>4.4068410903002697E-3</v>
      </c>
    </row>
    <row r="31" spans="1:24">
      <c r="A31" s="4">
        <v>158</v>
      </c>
      <c r="B31" s="4">
        <v>1522</v>
      </c>
      <c r="C31" s="4" t="s">
        <v>1622</v>
      </c>
      <c r="D31" s="4" t="s">
        <v>1623</v>
      </c>
      <c r="E31" s="4" t="s">
        <v>331</v>
      </c>
      <c r="F31" s="4" t="s">
        <v>1624</v>
      </c>
      <c r="G31" s="4" t="s">
        <v>1625</v>
      </c>
      <c r="H31" s="4" t="s">
        <v>338</v>
      </c>
      <c r="I31" s="4" t="s">
        <v>949</v>
      </c>
      <c r="J31" s="4" t="s">
        <v>106</v>
      </c>
      <c r="K31" s="4" t="s">
        <v>107</v>
      </c>
      <c r="L31" s="2" t="s">
        <v>344</v>
      </c>
      <c r="M31" s="2" t="s">
        <v>363</v>
      </c>
      <c r="N31" s="4" t="s">
        <v>564</v>
      </c>
      <c r="O31" s="4" t="s">
        <v>153</v>
      </c>
      <c r="P31" s="4" t="s">
        <v>34</v>
      </c>
      <c r="Q31" s="154">
        <v>31</v>
      </c>
      <c r="R31" s="171">
        <v>3.71</v>
      </c>
      <c r="S31" s="173">
        <v>83325</v>
      </c>
      <c r="U31" s="154">
        <v>95.831999999999994</v>
      </c>
      <c r="V31" s="170">
        <v>0</v>
      </c>
      <c r="W31" s="170">
        <v>4.3394188281355599E-2</v>
      </c>
      <c r="X31" s="170">
        <v>9.3987103520448596E-3</v>
      </c>
    </row>
    <row r="32" spans="1:24">
      <c r="A32" s="4">
        <v>158</v>
      </c>
      <c r="B32" s="4">
        <v>1522</v>
      </c>
      <c r="C32" s="4" t="s">
        <v>1626</v>
      </c>
      <c r="D32" s="4" t="s">
        <v>1627</v>
      </c>
      <c r="E32" s="4" t="s">
        <v>331</v>
      </c>
      <c r="F32" s="4" t="s">
        <v>1628</v>
      </c>
      <c r="G32" s="4" t="s">
        <v>1629</v>
      </c>
      <c r="H32" s="4" t="s">
        <v>338</v>
      </c>
      <c r="I32" s="4" t="s">
        <v>949</v>
      </c>
      <c r="J32" s="4" t="s">
        <v>106</v>
      </c>
      <c r="K32" s="4" t="s">
        <v>107</v>
      </c>
      <c r="L32" s="2" t="s">
        <v>344</v>
      </c>
      <c r="M32" s="2" t="s">
        <v>363</v>
      </c>
      <c r="N32" s="4" t="s">
        <v>564</v>
      </c>
      <c r="O32" s="4" t="s">
        <v>153</v>
      </c>
      <c r="P32" s="4" t="s">
        <v>34</v>
      </c>
      <c r="Q32" s="154">
        <v>60</v>
      </c>
      <c r="R32" s="171">
        <v>3.71</v>
      </c>
      <c r="S32" s="173">
        <v>17250</v>
      </c>
      <c r="U32" s="154">
        <v>38.398000000000003</v>
      </c>
      <c r="V32" s="170">
        <v>0</v>
      </c>
      <c r="W32" s="170">
        <v>1.7387410304076801E-2</v>
      </c>
      <c r="X32" s="170">
        <v>3.7659244173577698E-3</v>
      </c>
    </row>
    <row r="33" spans="1:24">
      <c r="A33" s="4">
        <v>158</v>
      </c>
      <c r="B33" s="4">
        <v>1522</v>
      </c>
      <c r="C33" s="4" t="s">
        <v>1630</v>
      </c>
      <c r="D33" s="4" t="s">
        <v>1631</v>
      </c>
      <c r="E33" s="4" t="s">
        <v>331</v>
      </c>
      <c r="F33" s="4" t="s">
        <v>1630</v>
      </c>
      <c r="G33" s="4" t="s">
        <v>1632</v>
      </c>
      <c r="H33" s="4" t="s">
        <v>338</v>
      </c>
      <c r="I33" s="4" t="s">
        <v>949</v>
      </c>
      <c r="J33" s="4" t="s">
        <v>106</v>
      </c>
      <c r="K33" s="4" t="s">
        <v>315</v>
      </c>
      <c r="L33" s="2" t="s">
        <v>344</v>
      </c>
      <c r="M33" s="2" t="s">
        <v>363</v>
      </c>
      <c r="N33" s="4" t="s">
        <v>1633</v>
      </c>
      <c r="O33" s="4" t="s">
        <v>153</v>
      </c>
      <c r="P33" s="4" t="s">
        <v>34</v>
      </c>
      <c r="Q33" s="154">
        <v>9</v>
      </c>
      <c r="R33" s="171">
        <v>3.71</v>
      </c>
      <c r="S33" s="173">
        <v>88652</v>
      </c>
      <c r="U33" s="154">
        <v>29.600999999999999</v>
      </c>
      <c r="V33" s="170">
        <v>0</v>
      </c>
      <c r="W33" s="170">
        <v>1.34037278111045E-2</v>
      </c>
      <c r="X33" s="170">
        <v>2.9031020125878399E-3</v>
      </c>
    </row>
    <row r="34" spans="1:24">
      <c r="A34" s="4">
        <v>158</v>
      </c>
      <c r="B34" s="4">
        <v>1522</v>
      </c>
      <c r="C34" s="4" t="s">
        <v>1634</v>
      </c>
      <c r="D34" s="4" t="s">
        <v>1635</v>
      </c>
      <c r="E34" s="4" t="s">
        <v>331</v>
      </c>
      <c r="F34" s="4" t="s">
        <v>1636</v>
      </c>
      <c r="G34" s="4" t="s">
        <v>1637</v>
      </c>
      <c r="H34" s="4" t="s">
        <v>338</v>
      </c>
      <c r="I34" s="4" t="s">
        <v>949</v>
      </c>
      <c r="J34" s="4" t="s">
        <v>106</v>
      </c>
      <c r="K34" s="4" t="s">
        <v>107</v>
      </c>
      <c r="L34" s="2" t="s">
        <v>344</v>
      </c>
      <c r="M34" s="2" t="s">
        <v>363</v>
      </c>
      <c r="N34" s="4" t="s">
        <v>565</v>
      </c>
      <c r="O34" s="4" t="s">
        <v>153</v>
      </c>
      <c r="P34" s="4" t="s">
        <v>34</v>
      </c>
      <c r="Q34" s="154">
        <v>162</v>
      </c>
      <c r="R34" s="171">
        <v>3.71</v>
      </c>
      <c r="S34" s="173">
        <v>16719</v>
      </c>
      <c r="U34" s="154">
        <v>100.485</v>
      </c>
      <c r="V34" s="170">
        <v>0</v>
      </c>
      <c r="W34" s="170">
        <v>4.5500887232430197E-2</v>
      </c>
      <c r="X34" s="170">
        <v>9.8549984870302896E-3</v>
      </c>
    </row>
    <row r="35" spans="1:24">
      <c r="A35" s="4">
        <v>158</v>
      </c>
      <c r="B35" s="4">
        <v>1522</v>
      </c>
      <c r="C35" s="4" t="s">
        <v>1638</v>
      </c>
      <c r="D35" s="4" t="s">
        <v>1639</v>
      </c>
      <c r="E35" s="4" t="s">
        <v>331</v>
      </c>
      <c r="F35" s="4" t="s">
        <v>1640</v>
      </c>
      <c r="G35" s="4" t="s">
        <v>1641</v>
      </c>
      <c r="H35" s="4" t="s">
        <v>338</v>
      </c>
      <c r="I35" s="4" t="s">
        <v>949</v>
      </c>
      <c r="J35" s="4" t="s">
        <v>106</v>
      </c>
      <c r="K35" s="4" t="s">
        <v>107</v>
      </c>
      <c r="L35" s="2" t="s">
        <v>344</v>
      </c>
      <c r="M35" s="2" t="s">
        <v>361</v>
      </c>
      <c r="N35" s="4" t="s">
        <v>1642</v>
      </c>
      <c r="O35" s="4" t="s">
        <v>153</v>
      </c>
      <c r="P35" s="4" t="s">
        <v>34</v>
      </c>
      <c r="Q35" s="154">
        <v>50</v>
      </c>
      <c r="R35" s="171">
        <v>3.71</v>
      </c>
      <c r="S35" s="173">
        <v>49380</v>
      </c>
      <c r="U35" s="154">
        <v>91.6</v>
      </c>
      <c r="V35" s="170">
        <v>0</v>
      </c>
      <c r="W35" s="170">
        <v>4.1477793276102001E-2</v>
      </c>
      <c r="X35" s="170">
        <v>8.98363998691434E-3</v>
      </c>
    </row>
    <row r="36" spans="1:24">
      <c r="A36" s="4">
        <v>158</v>
      </c>
      <c r="B36" s="4">
        <v>1522</v>
      </c>
      <c r="C36" s="4" t="s">
        <v>1643</v>
      </c>
      <c r="D36" s="4" t="s">
        <v>1644</v>
      </c>
      <c r="E36" s="4" t="s">
        <v>331</v>
      </c>
      <c r="F36" s="4" t="s">
        <v>1645</v>
      </c>
      <c r="G36" s="4" t="s">
        <v>1646</v>
      </c>
      <c r="H36" s="4" t="s">
        <v>338</v>
      </c>
      <c r="I36" s="4" t="s">
        <v>949</v>
      </c>
      <c r="J36" s="4" t="s">
        <v>106</v>
      </c>
      <c r="K36" s="4" t="s">
        <v>107</v>
      </c>
      <c r="L36" s="2" t="s">
        <v>344</v>
      </c>
      <c r="M36" s="2" t="s">
        <v>363</v>
      </c>
      <c r="N36" s="4" t="s">
        <v>560</v>
      </c>
      <c r="O36" s="4" t="s">
        <v>153</v>
      </c>
      <c r="P36" s="4" t="s">
        <v>34</v>
      </c>
      <c r="Q36" s="154">
        <v>8</v>
      </c>
      <c r="R36" s="171">
        <v>3.71</v>
      </c>
      <c r="S36" s="173">
        <v>43030</v>
      </c>
      <c r="U36" s="154">
        <v>12.771000000000001</v>
      </c>
      <c r="V36" s="170">
        <v>0</v>
      </c>
      <c r="W36" s="170">
        <v>5.78303586770569E-3</v>
      </c>
      <c r="X36" s="170">
        <v>1.2525428226388799E-3</v>
      </c>
    </row>
    <row r="37" spans="1:24">
      <c r="A37" s="4">
        <v>158</v>
      </c>
      <c r="B37" s="4">
        <v>1522</v>
      </c>
      <c r="C37" s="4" t="s">
        <v>1587</v>
      </c>
      <c r="D37" s="4" t="s">
        <v>1588</v>
      </c>
      <c r="E37" s="4" t="s">
        <v>1343</v>
      </c>
      <c r="F37" s="4" t="s">
        <v>1647</v>
      </c>
      <c r="G37" s="4" t="s">
        <v>1648</v>
      </c>
      <c r="H37" s="4" t="s">
        <v>338</v>
      </c>
      <c r="I37" s="4" t="s">
        <v>949</v>
      </c>
      <c r="J37" s="4" t="s">
        <v>106</v>
      </c>
      <c r="K37" s="4" t="s">
        <v>30</v>
      </c>
      <c r="L37" s="2" t="s">
        <v>344</v>
      </c>
      <c r="M37" s="2" t="s">
        <v>363</v>
      </c>
      <c r="N37" s="4" t="s">
        <v>566</v>
      </c>
      <c r="O37" s="4" t="s">
        <v>153</v>
      </c>
      <c r="P37" s="4" t="s">
        <v>34</v>
      </c>
      <c r="Q37" s="154">
        <v>22</v>
      </c>
      <c r="R37" s="171">
        <v>3.71</v>
      </c>
      <c r="S37" s="173">
        <v>17367</v>
      </c>
      <c r="U37" s="154">
        <v>14.175000000000001</v>
      </c>
      <c r="V37" s="170">
        <v>0</v>
      </c>
      <c r="W37" s="170">
        <v>6.41862551161336E-3</v>
      </c>
      <c r="X37" s="170">
        <v>1.39020464332131E-3</v>
      </c>
    </row>
    <row r="38" spans="1:24">
      <c r="A38" s="4">
        <v>158</v>
      </c>
      <c r="B38" s="4">
        <v>1522</v>
      </c>
      <c r="C38" s="4" t="s">
        <v>1649</v>
      </c>
      <c r="D38" s="4" t="s">
        <v>1650</v>
      </c>
      <c r="E38" s="4" t="s">
        <v>330</v>
      </c>
      <c r="F38" s="4" t="s">
        <v>1651</v>
      </c>
      <c r="G38" s="4" t="s">
        <v>1652</v>
      </c>
      <c r="H38" s="4" t="s">
        <v>338</v>
      </c>
      <c r="I38" s="4" t="s">
        <v>949</v>
      </c>
      <c r="J38" s="4" t="s">
        <v>106</v>
      </c>
      <c r="K38" s="4" t="s">
        <v>107</v>
      </c>
      <c r="L38" s="2" t="s">
        <v>344</v>
      </c>
      <c r="M38" s="2" t="s">
        <v>361</v>
      </c>
      <c r="N38" s="4" t="s">
        <v>573</v>
      </c>
      <c r="O38" s="4" t="s">
        <v>153</v>
      </c>
      <c r="P38" s="4" t="s">
        <v>34</v>
      </c>
      <c r="Q38" s="154">
        <v>28</v>
      </c>
      <c r="R38" s="171">
        <v>3.71</v>
      </c>
      <c r="S38" s="173">
        <v>7694</v>
      </c>
      <c r="U38" s="154">
        <v>7.9930000000000003</v>
      </c>
      <c r="V38" s="170">
        <v>0</v>
      </c>
      <c r="W38" s="170">
        <v>3.6191348566452799E-3</v>
      </c>
      <c r="X38" s="170">
        <v>7.8386534210649202E-4</v>
      </c>
    </row>
    <row r="39" spans="1:24">
      <c r="A39" s="4">
        <v>158</v>
      </c>
      <c r="B39" s="4">
        <v>9935</v>
      </c>
      <c r="C39" s="4" t="s">
        <v>1511</v>
      </c>
      <c r="D39" s="4" t="s">
        <v>1512</v>
      </c>
      <c r="E39" s="4" t="s">
        <v>1343</v>
      </c>
      <c r="F39" s="4" t="s">
        <v>1513</v>
      </c>
      <c r="G39" s="4" t="s">
        <v>1514</v>
      </c>
      <c r="H39" s="4" t="s">
        <v>338</v>
      </c>
      <c r="I39" s="4" t="s">
        <v>949</v>
      </c>
      <c r="J39" s="4" t="s">
        <v>30</v>
      </c>
      <c r="K39" s="4" t="s">
        <v>315</v>
      </c>
      <c r="L39" s="2" t="s">
        <v>344</v>
      </c>
      <c r="M39" s="2" t="s">
        <v>363</v>
      </c>
      <c r="N39" s="4" t="s">
        <v>473</v>
      </c>
      <c r="O39" s="4" t="s">
        <v>153</v>
      </c>
      <c r="P39" s="4" t="s">
        <v>34</v>
      </c>
      <c r="Q39" s="154">
        <v>2955</v>
      </c>
      <c r="R39" s="171">
        <v>3.71</v>
      </c>
      <c r="S39" s="173">
        <v>20834</v>
      </c>
      <c r="U39" s="154">
        <v>2284.0419999999999</v>
      </c>
      <c r="V39" s="170">
        <v>1.05E-4</v>
      </c>
      <c r="W39" s="170">
        <v>1.47845494160396E-2</v>
      </c>
      <c r="X39" s="170">
        <v>2.10835721663063E-3</v>
      </c>
    </row>
    <row r="40" spans="1:24">
      <c r="A40" s="4">
        <v>158</v>
      </c>
      <c r="B40" s="4">
        <v>9935</v>
      </c>
      <c r="C40" s="4" t="s">
        <v>1515</v>
      </c>
      <c r="D40" s="4" t="s">
        <v>1516</v>
      </c>
      <c r="E40" s="4" t="s">
        <v>1343</v>
      </c>
      <c r="F40" s="4" t="s">
        <v>1517</v>
      </c>
      <c r="G40" s="4" t="s">
        <v>1518</v>
      </c>
      <c r="H40" s="4" t="s">
        <v>338</v>
      </c>
      <c r="I40" s="4" t="s">
        <v>949</v>
      </c>
      <c r="J40" s="4" t="s">
        <v>30</v>
      </c>
      <c r="K40" s="4" t="s">
        <v>30</v>
      </c>
      <c r="L40" s="2" t="s">
        <v>344</v>
      </c>
      <c r="M40" s="2" t="s">
        <v>56</v>
      </c>
      <c r="N40" s="4" t="s">
        <v>461</v>
      </c>
      <c r="O40" s="4" t="s">
        <v>153</v>
      </c>
      <c r="P40" s="4" t="s">
        <v>44</v>
      </c>
      <c r="Q40" s="154">
        <v>1028</v>
      </c>
      <c r="R40" s="171">
        <v>1</v>
      </c>
      <c r="S40" s="173">
        <v>74080</v>
      </c>
      <c r="U40" s="154">
        <v>761.54200000000003</v>
      </c>
      <c r="V40" s="170">
        <v>2.3E-5</v>
      </c>
      <c r="W40" s="170">
        <v>4.9294461523514601E-3</v>
      </c>
      <c r="X40" s="170">
        <v>7.0296585150082303E-4</v>
      </c>
    </row>
    <row r="41" spans="1:24">
      <c r="A41" s="4">
        <v>158</v>
      </c>
      <c r="B41" s="4">
        <v>9935</v>
      </c>
      <c r="C41" s="4" t="s">
        <v>1519</v>
      </c>
      <c r="D41" s="4" t="s">
        <v>1520</v>
      </c>
      <c r="E41" s="4" t="s">
        <v>1343</v>
      </c>
      <c r="F41" s="4" t="s">
        <v>1521</v>
      </c>
      <c r="G41" s="4" t="s">
        <v>1522</v>
      </c>
      <c r="H41" s="4" t="s">
        <v>338</v>
      </c>
      <c r="I41" s="4" t="s">
        <v>949</v>
      </c>
      <c r="J41" s="4" t="s">
        <v>30</v>
      </c>
      <c r="K41" s="4" t="s">
        <v>30</v>
      </c>
      <c r="L41" s="2" t="s">
        <v>344</v>
      </c>
      <c r="M41" s="2" t="s">
        <v>56</v>
      </c>
      <c r="N41" s="4" t="s">
        <v>479</v>
      </c>
      <c r="O41" s="4" t="s">
        <v>153</v>
      </c>
      <c r="P41" s="4" t="s">
        <v>44</v>
      </c>
      <c r="Q41" s="154">
        <v>82276</v>
      </c>
      <c r="R41" s="171">
        <v>1</v>
      </c>
      <c r="S41" s="173">
        <v>2855</v>
      </c>
      <c r="U41" s="154">
        <v>2348.98</v>
      </c>
      <c r="V41" s="170">
        <v>4.26E-4</v>
      </c>
      <c r="W41" s="170">
        <v>1.5204891332460699E-2</v>
      </c>
      <c r="X41" s="170">
        <v>2.1683002617651102E-3</v>
      </c>
    </row>
    <row r="42" spans="1:24">
      <c r="A42" s="4">
        <v>158</v>
      </c>
      <c r="B42" s="4">
        <v>9935</v>
      </c>
      <c r="C42" s="4" t="s">
        <v>1523</v>
      </c>
      <c r="D42" s="4" t="s">
        <v>1524</v>
      </c>
      <c r="E42" s="4" t="s">
        <v>1343</v>
      </c>
      <c r="F42" s="4" t="s">
        <v>1525</v>
      </c>
      <c r="G42" s="4" t="s">
        <v>1526</v>
      </c>
      <c r="H42" s="4" t="s">
        <v>338</v>
      </c>
      <c r="I42" s="4" t="s">
        <v>949</v>
      </c>
      <c r="J42" s="4" t="s">
        <v>30</v>
      </c>
      <c r="K42" s="4" t="s">
        <v>30</v>
      </c>
      <c r="L42" s="2" t="s">
        <v>344</v>
      </c>
      <c r="M42" s="2" t="s">
        <v>56</v>
      </c>
      <c r="N42" s="4" t="s">
        <v>479</v>
      </c>
      <c r="O42" s="4" t="s">
        <v>153</v>
      </c>
      <c r="P42" s="4" t="s">
        <v>44</v>
      </c>
      <c r="Q42" s="154">
        <v>127200</v>
      </c>
      <c r="R42" s="171">
        <v>1</v>
      </c>
      <c r="S42" s="173">
        <v>1609</v>
      </c>
      <c r="U42" s="154">
        <v>2046.6479999999999</v>
      </c>
      <c r="V42" s="170">
        <v>2.7E-4</v>
      </c>
      <c r="W42" s="170">
        <v>1.32479046587791E-2</v>
      </c>
      <c r="X42" s="170">
        <v>1.8892233105372201E-3</v>
      </c>
    </row>
    <row r="43" spans="1:24">
      <c r="A43" s="4">
        <v>158</v>
      </c>
      <c r="B43" s="4">
        <v>9935</v>
      </c>
      <c r="C43" s="4" t="s">
        <v>1527</v>
      </c>
      <c r="D43" s="4" t="s">
        <v>1528</v>
      </c>
      <c r="E43" s="4" t="s">
        <v>1343</v>
      </c>
      <c r="F43" s="4" t="s">
        <v>1529</v>
      </c>
      <c r="G43" s="4" t="s">
        <v>1530</v>
      </c>
      <c r="H43" s="4" t="s">
        <v>338</v>
      </c>
      <c r="I43" s="4" t="s">
        <v>949</v>
      </c>
      <c r="J43" s="4" t="s">
        <v>30</v>
      </c>
      <c r="K43" s="4" t="s">
        <v>107</v>
      </c>
      <c r="L43" s="2" t="s">
        <v>344</v>
      </c>
      <c r="M43" s="2" t="s">
        <v>56</v>
      </c>
      <c r="N43" s="4" t="s">
        <v>456</v>
      </c>
      <c r="O43" s="4" t="s">
        <v>153</v>
      </c>
      <c r="P43" s="4" t="s">
        <v>44</v>
      </c>
      <c r="Q43" s="154">
        <v>31255.5</v>
      </c>
      <c r="R43" s="171">
        <v>1</v>
      </c>
      <c r="S43" s="173">
        <v>6254</v>
      </c>
      <c r="U43" s="154">
        <v>1954.7190000000001</v>
      </c>
      <c r="V43" s="170">
        <v>2.6400000000000002E-4</v>
      </c>
      <c r="W43" s="170">
        <v>1.26528501966468E-2</v>
      </c>
      <c r="X43" s="170">
        <v>1.8043653054522801E-3</v>
      </c>
    </row>
    <row r="44" spans="1:24">
      <c r="A44" s="4">
        <v>158</v>
      </c>
      <c r="B44" s="4">
        <v>9935</v>
      </c>
      <c r="C44" s="4" t="s">
        <v>1531</v>
      </c>
      <c r="D44" s="4" t="s">
        <v>1532</v>
      </c>
      <c r="E44" s="4" t="s">
        <v>1343</v>
      </c>
      <c r="F44" s="4" t="s">
        <v>1533</v>
      </c>
      <c r="G44" s="4" t="s">
        <v>1534</v>
      </c>
      <c r="H44" s="4" t="s">
        <v>338</v>
      </c>
      <c r="I44" s="4" t="s">
        <v>949</v>
      </c>
      <c r="J44" s="4" t="s">
        <v>30</v>
      </c>
      <c r="K44" s="4" t="s">
        <v>30</v>
      </c>
      <c r="L44" s="2" t="s">
        <v>344</v>
      </c>
      <c r="M44" s="2" t="s">
        <v>56</v>
      </c>
      <c r="N44" s="4" t="s">
        <v>456</v>
      </c>
      <c r="O44" s="4" t="s">
        <v>153</v>
      </c>
      <c r="P44" s="4" t="s">
        <v>44</v>
      </c>
      <c r="Q44" s="154">
        <v>182980</v>
      </c>
      <c r="R44" s="171">
        <v>1</v>
      </c>
      <c r="S44" s="173">
        <v>1348</v>
      </c>
      <c r="U44" s="154">
        <v>2466.5700000000002</v>
      </c>
      <c r="V44" s="170">
        <v>3.3300000000000002E-4</v>
      </c>
      <c r="W44" s="170">
        <v>1.59660525373032E-2</v>
      </c>
      <c r="X44" s="170">
        <v>2.2768459924525902E-3</v>
      </c>
    </row>
    <row r="45" spans="1:24">
      <c r="A45" s="4">
        <v>158</v>
      </c>
      <c r="B45" s="4">
        <v>9935</v>
      </c>
      <c r="C45" s="4" t="s">
        <v>1535</v>
      </c>
      <c r="D45" s="4" t="s">
        <v>1536</v>
      </c>
      <c r="E45" s="4" t="s">
        <v>1343</v>
      </c>
      <c r="F45" s="4" t="s">
        <v>1537</v>
      </c>
      <c r="G45" s="4" t="s">
        <v>1538</v>
      </c>
      <c r="H45" s="4" t="s">
        <v>338</v>
      </c>
      <c r="I45" s="4" t="s">
        <v>949</v>
      </c>
      <c r="J45" s="4" t="s">
        <v>30</v>
      </c>
      <c r="K45" s="4" t="s">
        <v>30</v>
      </c>
      <c r="L45" s="2" t="s">
        <v>344</v>
      </c>
      <c r="M45" s="2" t="s">
        <v>56</v>
      </c>
      <c r="N45" s="4" t="s">
        <v>462</v>
      </c>
      <c r="O45" s="4" t="s">
        <v>153</v>
      </c>
      <c r="P45" s="4" t="s">
        <v>44</v>
      </c>
      <c r="Q45" s="154">
        <v>6896</v>
      </c>
      <c r="R45" s="171">
        <v>1</v>
      </c>
      <c r="S45" s="173">
        <v>24250</v>
      </c>
      <c r="U45" s="154">
        <v>1672.28</v>
      </c>
      <c r="V45" s="170">
        <v>5.4500000000000002E-4</v>
      </c>
      <c r="W45" s="170">
        <v>1.0824629346513501E-2</v>
      </c>
      <c r="X45" s="170">
        <v>1.5436510615138401E-3</v>
      </c>
    </row>
    <row r="46" spans="1:24">
      <c r="A46" s="4">
        <v>158</v>
      </c>
      <c r="B46" s="4">
        <v>9935</v>
      </c>
      <c r="C46" s="4" t="s">
        <v>1539</v>
      </c>
      <c r="D46" s="4" t="s">
        <v>1540</v>
      </c>
      <c r="E46" s="4" t="s">
        <v>1343</v>
      </c>
      <c r="F46" s="4" t="s">
        <v>1541</v>
      </c>
      <c r="G46" s="4" t="s">
        <v>1542</v>
      </c>
      <c r="H46" s="4" t="s">
        <v>338</v>
      </c>
      <c r="I46" s="4" t="s">
        <v>949</v>
      </c>
      <c r="J46" s="4" t="s">
        <v>30</v>
      </c>
      <c r="K46" s="4" t="s">
        <v>30</v>
      </c>
      <c r="L46" s="2" t="s">
        <v>344</v>
      </c>
      <c r="M46" s="2" t="s">
        <v>56</v>
      </c>
      <c r="N46" s="4" t="s">
        <v>500</v>
      </c>
      <c r="O46" s="4" t="s">
        <v>153</v>
      </c>
      <c r="P46" s="4" t="s">
        <v>44</v>
      </c>
      <c r="Q46" s="154">
        <v>675000</v>
      </c>
      <c r="R46" s="171">
        <v>1</v>
      </c>
      <c r="S46" s="173">
        <v>428.6</v>
      </c>
      <c r="T46" s="153">
        <v>99.251000000000005</v>
      </c>
      <c r="U46" s="154">
        <v>2992.3009999999999</v>
      </c>
      <c r="V46" s="170">
        <v>2.4399999999999999E-4</v>
      </c>
      <c r="W46" s="170">
        <v>1.9369094809289899E-2</v>
      </c>
      <c r="X46" s="170">
        <v>2.7621383426447601E-3</v>
      </c>
    </row>
    <row r="47" spans="1:24">
      <c r="A47" s="4">
        <v>158</v>
      </c>
      <c r="B47" s="4">
        <v>9935</v>
      </c>
      <c r="C47" s="4" t="s">
        <v>1543</v>
      </c>
      <c r="D47" s="4" t="s">
        <v>1544</v>
      </c>
      <c r="E47" s="4" t="s">
        <v>1343</v>
      </c>
      <c r="F47" s="4" t="s">
        <v>1545</v>
      </c>
      <c r="G47" s="4" t="s">
        <v>1546</v>
      </c>
      <c r="H47" s="4" t="s">
        <v>338</v>
      </c>
      <c r="I47" s="4" t="s">
        <v>949</v>
      </c>
      <c r="J47" s="4" t="s">
        <v>30</v>
      </c>
      <c r="K47" s="4" t="s">
        <v>30</v>
      </c>
      <c r="L47" s="2" t="s">
        <v>344</v>
      </c>
      <c r="M47" s="2" t="s">
        <v>56</v>
      </c>
      <c r="N47" s="4" t="s">
        <v>463</v>
      </c>
      <c r="O47" s="4" t="s">
        <v>153</v>
      </c>
      <c r="P47" s="4" t="s">
        <v>44</v>
      </c>
      <c r="Q47" s="154">
        <v>292256.48</v>
      </c>
      <c r="R47" s="171">
        <v>1</v>
      </c>
      <c r="S47" s="173">
        <v>2085</v>
      </c>
      <c r="U47" s="154">
        <v>6093.5479999999998</v>
      </c>
      <c r="V47" s="170">
        <v>2.3599999999999999E-4</v>
      </c>
      <c r="W47" s="170">
        <v>3.9443391215546297E-2</v>
      </c>
      <c r="X47" s="170">
        <v>5.6248422713148002E-3</v>
      </c>
    </row>
    <row r="48" spans="1:24">
      <c r="A48" s="4">
        <v>158</v>
      </c>
      <c r="B48" s="4">
        <v>9935</v>
      </c>
      <c r="C48" s="4" t="s">
        <v>1547</v>
      </c>
      <c r="D48" s="4" t="s">
        <v>1548</v>
      </c>
      <c r="E48" s="4" t="s">
        <v>1343</v>
      </c>
      <c r="F48" s="4" t="s">
        <v>1549</v>
      </c>
      <c r="G48" s="4" t="s">
        <v>1550</v>
      </c>
      <c r="H48" s="4" t="s">
        <v>338</v>
      </c>
      <c r="I48" s="4" t="s">
        <v>949</v>
      </c>
      <c r="J48" s="4" t="s">
        <v>30</v>
      </c>
      <c r="K48" s="4" t="s">
        <v>30</v>
      </c>
      <c r="L48" s="2" t="s">
        <v>344</v>
      </c>
      <c r="M48" s="2" t="s">
        <v>56</v>
      </c>
      <c r="N48" s="4" t="s">
        <v>462</v>
      </c>
      <c r="O48" s="4" t="s">
        <v>153</v>
      </c>
      <c r="P48" s="4" t="s">
        <v>44</v>
      </c>
      <c r="Q48" s="154">
        <v>10750</v>
      </c>
      <c r="R48" s="171">
        <v>1</v>
      </c>
      <c r="S48" s="173">
        <v>33200</v>
      </c>
      <c r="U48" s="154">
        <v>3569</v>
      </c>
      <c r="V48" s="170">
        <v>5.4799999999999998E-4</v>
      </c>
      <c r="W48" s="170">
        <v>2.31020535662129E-2</v>
      </c>
      <c r="X48" s="170">
        <v>3.2944785792707498E-3</v>
      </c>
    </row>
    <row r="49" spans="1:24">
      <c r="A49" s="4">
        <v>158</v>
      </c>
      <c r="B49" s="4">
        <v>9935</v>
      </c>
      <c r="C49" s="4" t="s">
        <v>1551</v>
      </c>
      <c r="D49" s="4" t="s">
        <v>1552</v>
      </c>
      <c r="E49" s="4" t="s">
        <v>1343</v>
      </c>
      <c r="F49" s="4" t="s">
        <v>1553</v>
      </c>
      <c r="G49" s="4" t="s">
        <v>1554</v>
      </c>
      <c r="H49" s="4" t="s">
        <v>338</v>
      </c>
      <c r="I49" s="4" t="s">
        <v>949</v>
      </c>
      <c r="J49" s="4" t="s">
        <v>30</v>
      </c>
      <c r="K49" s="4" t="s">
        <v>30</v>
      </c>
      <c r="L49" s="2" t="s">
        <v>344</v>
      </c>
      <c r="M49" s="2" t="s">
        <v>56</v>
      </c>
      <c r="N49" s="4" t="s">
        <v>460</v>
      </c>
      <c r="O49" s="4" t="s">
        <v>153</v>
      </c>
      <c r="P49" s="4" t="s">
        <v>44</v>
      </c>
      <c r="Q49" s="154">
        <v>7915</v>
      </c>
      <c r="R49" s="171">
        <v>1</v>
      </c>
      <c r="S49" s="173">
        <v>4200</v>
      </c>
      <c r="U49" s="154">
        <v>332.43</v>
      </c>
      <c r="V49" s="170">
        <v>3.1000000000000001E-5</v>
      </c>
      <c r="W49" s="170">
        <v>2.1518116186652202E-3</v>
      </c>
      <c r="X49" s="170">
        <v>3.0686004878312598E-4</v>
      </c>
    </row>
    <row r="50" spans="1:24">
      <c r="A50" s="4">
        <v>158</v>
      </c>
      <c r="B50" s="4">
        <v>9935</v>
      </c>
      <c r="C50" s="4" t="s">
        <v>1555</v>
      </c>
      <c r="D50" s="4" t="s">
        <v>1556</v>
      </c>
      <c r="E50" s="4" t="s">
        <v>1343</v>
      </c>
      <c r="F50" s="4" t="s">
        <v>1557</v>
      </c>
      <c r="G50" s="4" t="s">
        <v>1558</v>
      </c>
      <c r="H50" s="4" t="s">
        <v>338</v>
      </c>
      <c r="I50" s="4" t="s">
        <v>949</v>
      </c>
      <c r="J50" s="4" t="s">
        <v>30</v>
      </c>
      <c r="K50" s="4" t="s">
        <v>107</v>
      </c>
      <c r="L50" s="2" t="s">
        <v>344</v>
      </c>
      <c r="M50" s="2" t="s">
        <v>56</v>
      </c>
      <c r="N50" s="4" t="s">
        <v>482</v>
      </c>
      <c r="O50" s="4" t="s">
        <v>153</v>
      </c>
      <c r="P50" s="4" t="s">
        <v>44</v>
      </c>
      <c r="Q50" s="154">
        <v>41300</v>
      </c>
      <c r="R50" s="171">
        <v>1</v>
      </c>
      <c r="S50" s="173">
        <v>6629</v>
      </c>
      <c r="U50" s="154">
        <v>2737.777</v>
      </c>
      <c r="V50" s="170">
        <v>3.6000000000000001E-5</v>
      </c>
      <c r="W50" s="170">
        <v>1.7721566519009701E-2</v>
      </c>
      <c r="X50" s="170">
        <v>2.5271918412216698E-3</v>
      </c>
    </row>
    <row r="51" spans="1:24">
      <c r="A51" s="4">
        <v>158</v>
      </c>
      <c r="B51" s="4">
        <v>9935</v>
      </c>
      <c r="C51" s="4" t="s">
        <v>1653</v>
      </c>
      <c r="D51" s="4" t="s">
        <v>1654</v>
      </c>
      <c r="E51" s="4" t="s">
        <v>1343</v>
      </c>
      <c r="F51" s="4" t="s">
        <v>1655</v>
      </c>
      <c r="G51" s="4" t="s">
        <v>1656</v>
      </c>
      <c r="H51" s="4" t="s">
        <v>338</v>
      </c>
      <c r="I51" s="4" t="s">
        <v>949</v>
      </c>
      <c r="J51" s="4" t="s">
        <v>30</v>
      </c>
      <c r="K51" s="4" t="s">
        <v>30</v>
      </c>
      <c r="L51" s="2" t="s">
        <v>344</v>
      </c>
      <c r="M51" s="2" t="s">
        <v>56</v>
      </c>
      <c r="N51" s="4" t="s">
        <v>491</v>
      </c>
      <c r="O51" s="4" t="s">
        <v>153</v>
      </c>
      <c r="P51" s="4" t="s">
        <v>44</v>
      </c>
      <c r="Q51" s="154">
        <v>82750</v>
      </c>
      <c r="R51" s="171">
        <v>1</v>
      </c>
      <c r="S51" s="173">
        <v>332.4</v>
      </c>
      <c r="U51" s="154">
        <v>275.06099999999998</v>
      </c>
      <c r="V51" s="170">
        <v>6.5799999999999995E-4</v>
      </c>
      <c r="W51" s="170">
        <v>1.7804634228008099E-3</v>
      </c>
      <c r="X51" s="170">
        <v>2.5390377486489001E-4</v>
      </c>
    </row>
    <row r="52" spans="1:24">
      <c r="A52" s="4">
        <v>158</v>
      </c>
      <c r="B52" s="4">
        <v>9935</v>
      </c>
      <c r="C52" s="4" t="s">
        <v>1559</v>
      </c>
      <c r="D52" s="4" t="s">
        <v>1560</v>
      </c>
      <c r="E52" s="4" t="s">
        <v>1343</v>
      </c>
      <c r="F52" s="4" t="s">
        <v>1561</v>
      </c>
      <c r="G52" s="4" t="s">
        <v>1562</v>
      </c>
      <c r="H52" s="4" t="s">
        <v>338</v>
      </c>
      <c r="I52" s="4" t="s">
        <v>949</v>
      </c>
      <c r="J52" s="4" t="s">
        <v>30</v>
      </c>
      <c r="K52" s="4" t="s">
        <v>30</v>
      </c>
      <c r="L52" s="2" t="s">
        <v>344</v>
      </c>
      <c r="M52" s="2" t="s">
        <v>56</v>
      </c>
      <c r="N52" s="4" t="s">
        <v>462</v>
      </c>
      <c r="O52" s="4" t="s">
        <v>153</v>
      </c>
      <c r="P52" s="4" t="s">
        <v>44</v>
      </c>
      <c r="Q52" s="154">
        <v>140000</v>
      </c>
      <c r="R52" s="171">
        <v>1</v>
      </c>
      <c r="S52" s="173">
        <v>1373</v>
      </c>
      <c r="U52" s="154">
        <v>1922.2</v>
      </c>
      <c r="V52" s="170">
        <v>4.3399999999999998E-4</v>
      </c>
      <c r="W52" s="170">
        <v>1.24423556640444E-2</v>
      </c>
      <c r="X52" s="170">
        <v>1.77434763941559E-3</v>
      </c>
    </row>
    <row r="53" spans="1:24">
      <c r="A53" s="4">
        <v>158</v>
      </c>
      <c r="B53" s="4">
        <v>9935</v>
      </c>
      <c r="C53" s="4" t="s">
        <v>1563</v>
      </c>
      <c r="D53" s="4" t="s">
        <v>1564</v>
      </c>
      <c r="E53" s="4" t="s">
        <v>1343</v>
      </c>
      <c r="F53" s="4" t="s">
        <v>1565</v>
      </c>
      <c r="G53" s="4" t="s">
        <v>1566</v>
      </c>
      <c r="H53" s="4" t="s">
        <v>338</v>
      </c>
      <c r="I53" s="4" t="s">
        <v>949</v>
      </c>
      <c r="J53" s="4" t="s">
        <v>30</v>
      </c>
      <c r="K53" s="4" t="s">
        <v>30</v>
      </c>
      <c r="L53" s="2" t="s">
        <v>344</v>
      </c>
      <c r="M53" s="2" t="s">
        <v>56</v>
      </c>
      <c r="N53" s="4" t="s">
        <v>460</v>
      </c>
      <c r="O53" s="4" t="s">
        <v>153</v>
      </c>
      <c r="P53" s="4" t="s">
        <v>44</v>
      </c>
      <c r="Q53" s="154">
        <v>25000</v>
      </c>
      <c r="R53" s="171">
        <v>1</v>
      </c>
      <c r="S53" s="173">
        <v>6329</v>
      </c>
      <c r="U53" s="154">
        <v>1582.25</v>
      </c>
      <c r="V53" s="170">
        <v>3.1599999999999998E-4</v>
      </c>
      <c r="W53" s="170">
        <v>1.02418672611769E-2</v>
      </c>
      <c r="X53" s="170">
        <v>1.46054601626538E-3</v>
      </c>
    </row>
    <row r="54" spans="1:24">
      <c r="A54" s="4">
        <v>158</v>
      </c>
      <c r="B54" s="4">
        <v>9935</v>
      </c>
      <c r="C54" s="4" t="s">
        <v>1196</v>
      </c>
      <c r="D54" s="4" t="s">
        <v>1567</v>
      </c>
      <c r="E54" s="4" t="s">
        <v>1343</v>
      </c>
      <c r="F54" s="4" t="s">
        <v>1568</v>
      </c>
      <c r="G54" s="4" t="s">
        <v>1569</v>
      </c>
      <c r="H54" s="4" t="s">
        <v>338</v>
      </c>
      <c r="I54" s="4" t="s">
        <v>949</v>
      </c>
      <c r="J54" s="4" t="s">
        <v>30</v>
      </c>
      <c r="K54" s="4" t="s">
        <v>30</v>
      </c>
      <c r="L54" s="2" t="s">
        <v>344</v>
      </c>
      <c r="M54" s="2" t="s">
        <v>56</v>
      </c>
      <c r="N54" s="4" t="s">
        <v>463</v>
      </c>
      <c r="O54" s="4" t="s">
        <v>153</v>
      </c>
      <c r="P54" s="4" t="s">
        <v>44</v>
      </c>
      <c r="Q54" s="154">
        <v>187821</v>
      </c>
      <c r="R54" s="171">
        <v>1</v>
      </c>
      <c r="S54" s="173">
        <v>3644</v>
      </c>
      <c r="U54" s="154">
        <v>6844.1970000000001</v>
      </c>
      <c r="V54" s="170">
        <v>1.2400000000000001E-4</v>
      </c>
      <c r="W54" s="170">
        <v>4.4302328735277903E-2</v>
      </c>
      <c r="X54" s="170">
        <v>6.3177532080369797E-3</v>
      </c>
    </row>
    <row r="55" spans="1:24">
      <c r="A55" s="4">
        <v>158</v>
      </c>
      <c r="B55" s="4">
        <v>9935</v>
      </c>
      <c r="C55" s="4" t="s">
        <v>1657</v>
      </c>
      <c r="D55" s="4" t="s">
        <v>1658</v>
      </c>
      <c r="E55" s="4" t="s">
        <v>1343</v>
      </c>
      <c r="F55" s="4" t="s">
        <v>1659</v>
      </c>
      <c r="G55" s="4" t="s">
        <v>1660</v>
      </c>
      <c r="H55" s="4" t="s">
        <v>338</v>
      </c>
      <c r="I55" s="4" t="s">
        <v>949</v>
      </c>
      <c r="J55" s="4" t="s">
        <v>30</v>
      </c>
      <c r="K55" s="4" t="s">
        <v>30</v>
      </c>
      <c r="L55" s="2" t="s">
        <v>344</v>
      </c>
      <c r="M55" s="2" t="s">
        <v>56</v>
      </c>
      <c r="N55" s="4" t="s">
        <v>494</v>
      </c>
      <c r="O55" s="4" t="s">
        <v>357</v>
      </c>
      <c r="P55" s="4" t="s">
        <v>44</v>
      </c>
      <c r="Q55" s="154">
        <v>129600</v>
      </c>
      <c r="R55" s="171">
        <v>1</v>
      </c>
      <c r="S55" s="173">
        <v>919.9</v>
      </c>
      <c r="T55" s="153">
        <v>18.173999999999999</v>
      </c>
      <c r="U55" s="154">
        <v>1210.365</v>
      </c>
      <c r="V55" s="170">
        <v>1.8259999999999999E-3</v>
      </c>
      <c r="W55" s="170">
        <v>7.8346611781067704E-3</v>
      </c>
      <c r="X55" s="170">
        <v>1.11726532678749E-3</v>
      </c>
    </row>
    <row r="56" spans="1:24">
      <c r="A56" s="4">
        <v>158</v>
      </c>
      <c r="B56" s="4">
        <v>9935</v>
      </c>
      <c r="C56" s="4" t="s">
        <v>1570</v>
      </c>
      <c r="D56" s="4" t="s">
        <v>1571</v>
      </c>
      <c r="E56" s="4" t="s">
        <v>1343</v>
      </c>
      <c r="F56" s="4" t="s">
        <v>1572</v>
      </c>
      <c r="G56" s="4" t="s">
        <v>1573</v>
      </c>
      <c r="H56" s="4" t="s">
        <v>338</v>
      </c>
      <c r="I56" s="4" t="s">
        <v>949</v>
      </c>
      <c r="J56" s="4" t="s">
        <v>30</v>
      </c>
      <c r="K56" s="4" t="s">
        <v>30</v>
      </c>
      <c r="L56" s="2" t="s">
        <v>344</v>
      </c>
      <c r="M56" s="2" t="s">
        <v>56</v>
      </c>
      <c r="N56" s="4" t="s">
        <v>463</v>
      </c>
      <c r="O56" s="4" t="s">
        <v>153</v>
      </c>
      <c r="P56" s="4" t="s">
        <v>44</v>
      </c>
      <c r="Q56" s="154">
        <v>20750</v>
      </c>
      <c r="R56" s="171">
        <v>1</v>
      </c>
      <c r="S56" s="173">
        <v>14550</v>
      </c>
      <c r="U56" s="154">
        <v>3019.125</v>
      </c>
      <c r="V56" s="170">
        <v>8.0000000000000007E-5</v>
      </c>
      <c r="W56" s="170">
        <v>1.9542725545837102E-2</v>
      </c>
      <c r="X56" s="170">
        <v>2.7868990307203202E-3</v>
      </c>
    </row>
    <row r="57" spans="1:24">
      <c r="A57" s="4">
        <v>158</v>
      </c>
      <c r="B57" s="4">
        <v>9935</v>
      </c>
      <c r="C57" s="4" t="s">
        <v>1574</v>
      </c>
      <c r="D57" s="4" t="s">
        <v>1575</v>
      </c>
      <c r="E57" s="4" t="s">
        <v>1343</v>
      </c>
      <c r="F57" s="4" t="s">
        <v>1576</v>
      </c>
      <c r="G57" s="4" t="s">
        <v>1577</v>
      </c>
      <c r="H57" s="4" t="s">
        <v>338</v>
      </c>
      <c r="I57" s="4" t="s">
        <v>949</v>
      </c>
      <c r="J57" s="4" t="s">
        <v>30</v>
      </c>
      <c r="K57" s="4" t="s">
        <v>30</v>
      </c>
      <c r="L57" s="2" t="s">
        <v>344</v>
      </c>
      <c r="M57" s="2" t="s">
        <v>56</v>
      </c>
      <c r="N57" s="4" t="s">
        <v>492</v>
      </c>
      <c r="O57" s="4" t="s">
        <v>153</v>
      </c>
      <c r="P57" s="4" t="s">
        <v>44</v>
      </c>
      <c r="Q57" s="154">
        <v>25448</v>
      </c>
      <c r="R57" s="171">
        <v>1</v>
      </c>
      <c r="S57" s="173">
        <v>7125</v>
      </c>
      <c r="T57" s="153">
        <v>20.867000000000001</v>
      </c>
      <c r="U57" s="154">
        <v>1834.037</v>
      </c>
      <c r="V57" s="170">
        <v>4.0099999999999999E-4</v>
      </c>
      <c r="W57" s="170">
        <v>1.18716809563339E-2</v>
      </c>
      <c r="X57" s="170">
        <v>1.69296632000624E-3</v>
      </c>
    </row>
    <row r="58" spans="1:24">
      <c r="A58" s="4">
        <v>158</v>
      </c>
      <c r="B58" s="4">
        <v>9935</v>
      </c>
      <c r="C58" s="4" t="s">
        <v>1578</v>
      </c>
      <c r="D58" s="4" t="s">
        <v>1579</v>
      </c>
      <c r="E58" s="4" t="s">
        <v>1343</v>
      </c>
      <c r="F58" s="4" t="s">
        <v>1580</v>
      </c>
      <c r="G58" s="4" t="s">
        <v>1581</v>
      </c>
      <c r="H58" s="4" t="s">
        <v>338</v>
      </c>
      <c r="I58" s="4" t="s">
        <v>949</v>
      </c>
      <c r="J58" s="4" t="s">
        <v>30</v>
      </c>
      <c r="K58" s="4" t="s">
        <v>30</v>
      </c>
      <c r="L58" s="2" t="s">
        <v>344</v>
      </c>
      <c r="M58" s="2" t="s">
        <v>56</v>
      </c>
      <c r="N58" s="4" t="s">
        <v>479</v>
      </c>
      <c r="O58" s="4" t="s">
        <v>153</v>
      </c>
      <c r="P58" s="4" t="s">
        <v>44</v>
      </c>
      <c r="Q58" s="154">
        <v>5631</v>
      </c>
      <c r="R58" s="171">
        <v>1</v>
      </c>
      <c r="S58" s="173">
        <v>28210</v>
      </c>
      <c r="U58" s="154">
        <v>1588.5050000000001</v>
      </c>
      <c r="V58" s="170">
        <v>1.18E-4</v>
      </c>
      <c r="W58" s="170">
        <v>1.02823563772492E-2</v>
      </c>
      <c r="X58" s="170">
        <v>1.4663199845929801E-3</v>
      </c>
    </row>
    <row r="59" spans="1:24">
      <c r="A59" s="4">
        <v>158</v>
      </c>
      <c r="B59" s="4">
        <v>9935</v>
      </c>
      <c r="C59" s="4" t="s">
        <v>1661</v>
      </c>
      <c r="D59" s="4" t="s">
        <v>1662</v>
      </c>
      <c r="E59" s="4" t="s">
        <v>1343</v>
      </c>
      <c r="F59" s="4" t="s">
        <v>1663</v>
      </c>
      <c r="G59" s="4" t="s">
        <v>1664</v>
      </c>
      <c r="H59" s="4" t="s">
        <v>338</v>
      </c>
      <c r="I59" s="4" t="s">
        <v>949</v>
      </c>
      <c r="J59" s="4" t="s">
        <v>30</v>
      </c>
      <c r="K59" s="4" t="s">
        <v>30</v>
      </c>
      <c r="L59" s="2" t="s">
        <v>344</v>
      </c>
      <c r="M59" s="2" t="s">
        <v>56</v>
      </c>
      <c r="N59" s="4" t="s">
        <v>479</v>
      </c>
      <c r="O59" s="4" t="s">
        <v>153</v>
      </c>
      <c r="P59" s="4" t="s">
        <v>44</v>
      </c>
      <c r="Q59" s="154">
        <v>543909</v>
      </c>
      <c r="R59" s="171">
        <v>1</v>
      </c>
      <c r="S59" s="173">
        <v>177.8</v>
      </c>
      <c r="U59" s="154">
        <v>967.07</v>
      </c>
      <c r="V59" s="170">
        <v>7.2800000000000002E-4</v>
      </c>
      <c r="W59" s="170">
        <v>6.2598228100006603E-3</v>
      </c>
      <c r="X59" s="170">
        <v>8.9268480390586704E-4</v>
      </c>
    </row>
    <row r="60" spans="1:24">
      <c r="A60" s="4">
        <v>158</v>
      </c>
      <c r="B60" s="4">
        <v>9935</v>
      </c>
      <c r="C60" s="4" t="s">
        <v>1583</v>
      </c>
      <c r="D60" s="4" t="s">
        <v>1584</v>
      </c>
      <c r="E60" s="4" t="s">
        <v>329</v>
      </c>
      <c r="F60" s="4" t="s">
        <v>1585</v>
      </c>
      <c r="G60" s="4" t="s">
        <v>1586</v>
      </c>
      <c r="H60" s="4" t="s">
        <v>338</v>
      </c>
      <c r="I60" s="4" t="s">
        <v>949</v>
      </c>
      <c r="J60" s="4" t="s">
        <v>30</v>
      </c>
      <c r="K60" s="4" t="s">
        <v>30</v>
      </c>
      <c r="L60" s="2" t="s">
        <v>344</v>
      </c>
      <c r="M60" s="2" t="s">
        <v>56</v>
      </c>
      <c r="N60" s="4" t="s">
        <v>469</v>
      </c>
      <c r="O60" s="4" t="s">
        <v>153</v>
      </c>
      <c r="P60" s="4" t="s">
        <v>44</v>
      </c>
      <c r="Q60" s="154">
        <v>139500</v>
      </c>
      <c r="R60" s="171">
        <v>1</v>
      </c>
      <c r="S60" s="173">
        <v>1025</v>
      </c>
      <c r="U60" s="154">
        <v>1429.875</v>
      </c>
      <c r="V60" s="170">
        <v>1.1900000000000001E-4</v>
      </c>
      <c r="W60" s="170">
        <v>9.2555474483016799E-3</v>
      </c>
      <c r="X60" s="170">
        <v>1.3198914425706801E-3</v>
      </c>
    </row>
    <row r="61" spans="1:24">
      <c r="A61" s="4">
        <v>158</v>
      </c>
      <c r="B61" s="4">
        <v>9935</v>
      </c>
      <c r="C61" s="4" t="s">
        <v>1587</v>
      </c>
      <c r="D61" s="4" t="s">
        <v>1588</v>
      </c>
      <c r="E61" s="4" t="s">
        <v>1343</v>
      </c>
      <c r="F61" s="4" t="s">
        <v>1589</v>
      </c>
      <c r="G61" s="4" t="s">
        <v>1590</v>
      </c>
      <c r="H61" s="4" t="s">
        <v>338</v>
      </c>
      <c r="I61" s="4" t="s">
        <v>949</v>
      </c>
      <c r="J61" s="4" t="s">
        <v>30</v>
      </c>
      <c r="K61" s="4" t="s">
        <v>107</v>
      </c>
      <c r="L61" s="2" t="s">
        <v>344</v>
      </c>
      <c r="M61" s="2" t="s">
        <v>56</v>
      </c>
      <c r="N61" s="4" t="s">
        <v>496</v>
      </c>
      <c r="O61" s="4" t="s">
        <v>153</v>
      </c>
      <c r="P61" s="4" t="s">
        <v>44</v>
      </c>
      <c r="Q61" s="154">
        <v>4266.5</v>
      </c>
      <c r="R61" s="171">
        <v>1</v>
      </c>
      <c r="S61" s="173">
        <v>64880</v>
      </c>
      <c r="U61" s="154">
        <v>2768.105</v>
      </c>
      <c r="V61" s="170">
        <v>6.7999999999999999E-5</v>
      </c>
      <c r="W61" s="170">
        <v>1.79178802486166E-2</v>
      </c>
      <c r="X61" s="170">
        <v>2.5551872475673798E-3</v>
      </c>
    </row>
    <row r="62" spans="1:24">
      <c r="A62" s="4">
        <v>158</v>
      </c>
      <c r="B62" s="4">
        <v>9935</v>
      </c>
      <c r="C62" s="4" t="s">
        <v>1591</v>
      </c>
      <c r="D62" s="4" t="s">
        <v>1592</v>
      </c>
      <c r="E62" s="4" t="s">
        <v>1343</v>
      </c>
      <c r="F62" s="4" t="s">
        <v>1591</v>
      </c>
      <c r="G62" s="4" t="s">
        <v>1593</v>
      </c>
      <c r="H62" s="4" t="s">
        <v>338</v>
      </c>
      <c r="I62" s="4" t="s">
        <v>949</v>
      </c>
      <c r="J62" s="4" t="s">
        <v>30</v>
      </c>
      <c r="K62" s="4" t="s">
        <v>30</v>
      </c>
      <c r="L62" s="2" t="s">
        <v>344</v>
      </c>
      <c r="M62" s="2" t="s">
        <v>56</v>
      </c>
      <c r="N62" s="4" t="s">
        <v>454</v>
      </c>
      <c r="O62" s="4" t="s">
        <v>153</v>
      </c>
      <c r="P62" s="4" t="s">
        <v>44</v>
      </c>
      <c r="Q62" s="154">
        <v>49000</v>
      </c>
      <c r="R62" s="171">
        <v>1</v>
      </c>
      <c r="S62" s="173">
        <v>3950</v>
      </c>
      <c r="U62" s="154">
        <v>1935.5</v>
      </c>
      <c r="V62" s="170">
        <v>6.1200000000000002E-4</v>
      </c>
      <c r="W62" s="170">
        <v>1.2528446253125601E-2</v>
      </c>
      <c r="X62" s="170">
        <v>1.7866246259956699E-3</v>
      </c>
    </row>
    <row r="63" spans="1:24">
      <c r="A63" s="4">
        <v>158</v>
      </c>
      <c r="B63" s="4">
        <v>9935</v>
      </c>
      <c r="C63" s="4" t="s">
        <v>1594</v>
      </c>
      <c r="D63" s="4" t="s">
        <v>1595</v>
      </c>
      <c r="E63" s="4" t="s">
        <v>1343</v>
      </c>
      <c r="F63" s="4" t="s">
        <v>1596</v>
      </c>
      <c r="G63" s="4" t="s">
        <v>1597</v>
      </c>
      <c r="H63" s="4" t="s">
        <v>338</v>
      </c>
      <c r="I63" s="4" t="s">
        <v>949</v>
      </c>
      <c r="J63" s="4" t="s">
        <v>30</v>
      </c>
      <c r="K63" s="4" t="s">
        <v>30</v>
      </c>
      <c r="L63" s="2" t="s">
        <v>344</v>
      </c>
      <c r="M63" s="2" t="s">
        <v>56</v>
      </c>
      <c r="N63" s="4" t="s">
        <v>479</v>
      </c>
      <c r="O63" s="4" t="s">
        <v>153</v>
      </c>
      <c r="P63" s="4" t="s">
        <v>44</v>
      </c>
      <c r="Q63" s="154">
        <v>10681</v>
      </c>
      <c r="R63" s="171">
        <v>1</v>
      </c>
      <c r="S63" s="173">
        <v>25940</v>
      </c>
      <c r="U63" s="154">
        <v>2770.6509999999998</v>
      </c>
      <c r="V63" s="170">
        <v>8.7999999999999998E-5</v>
      </c>
      <c r="W63" s="170">
        <v>1.7934361741693099E-2</v>
      </c>
      <c r="X63" s="170">
        <v>2.5575375981861902E-3</v>
      </c>
    </row>
    <row r="64" spans="1:24">
      <c r="A64" s="4">
        <v>158</v>
      </c>
      <c r="B64" s="4">
        <v>9935</v>
      </c>
      <c r="C64" s="4" t="s">
        <v>1598</v>
      </c>
      <c r="D64" s="4" t="s">
        <v>1599</v>
      </c>
      <c r="E64" s="4" t="s">
        <v>1343</v>
      </c>
      <c r="F64" s="4" t="s">
        <v>1600</v>
      </c>
      <c r="G64" s="4" t="s">
        <v>1601</v>
      </c>
      <c r="H64" s="4" t="s">
        <v>338</v>
      </c>
      <c r="I64" s="4" t="s">
        <v>949</v>
      </c>
      <c r="J64" s="4" t="s">
        <v>30</v>
      </c>
      <c r="K64" s="4" t="s">
        <v>30</v>
      </c>
      <c r="L64" s="2" t="s">
        <v>344</v>
      </c>
      <c r="M64" s="2" t="s">
        <v>56</v>
      </c>
      <c r="N64" s="4" t="s">
        <v>463</v>
      </c>
      <c r="O64" s="4" t="s">
        <v>153</v>
      </c>
      <c r="P64" s="4" t="s">
        <v>44</v>
      </c>
      <c r="Q64" s="154">
        <v>191714</v>
      </c>
      <c r="R64" s="171">
        <v>1</v>
      </c>
      <c r="S64" s="173">
        <v>3729</v>
      </c>
      <c r="U64" s="154">
        <v>7149.0150000000003</v>
      </c>
      <c r="V64" s="170">
        <v>1.44E-4</v>
      </c>
      <c r="W64" s="170">
        <v>4.6275407358302899E-2</v>
      </c>
      <c r="X64" s="170">
        <v>6.5991249588271197E-3</v>
      </c>
    </row>
    <row r="65" spans="1:24">
      <c r="A65" s="4">
        <v>158</v>
      </c>
      <c r="B65" s="4">
        <v>9935</v>
      </c>
      <c r="C65" s="4" t="s">
        <v>1602</v>
      </c>
      <c r="D65" s="4" t="s">
        <v>1603</v>
      </c>
      <c r="E65" s="4" t="s">
        <v>1343</v>
      </c>
      <c r="F65" s="4" t="s">
        <v>1604</v>
      </c>
      <c r="G65" s="4" t="s">
        <v>1605</v>
      </c>
      <c r="H65" s="4" t="s">
        <v>338</v>
      </c>
      <c r="I65" s="4" t="s">
        <v>949</v>
      </c>
      <c r="J65" s="4" t="s">
        <v>30</v>
      </c>
      <c r="K65" s="4" t="s">
        <v>30</v>
      </c>
      <c r="L65" s="2" t="s">
        <v>344</v>
      </c>
      <c r="M65" s="2" t="s">
        <v>56</v>
      </c>
      <c r="N65" s="4" t="s">
        <v>491</v>
      </c>
      <c r="O65" s="4" t="s">
        <v>153</v>
      </c>
      <c r="P65" s="4" t="s">
        <v>44</v>
      </c>
      <c r="Q65" s="154">
        <v>6629</v>
      </c>
      <c r="R65" s="171">
        <v>1</v>
      </c>
      <c r="S65" s="173">
        <v>28150</v>
      </c>
      <c r="U65" s="154">
        <v>1866.0630000000001</v>
      </c>
      <c r="V65" s="170">
        <v>4.8000000000000001E-4</v>
      </c>
      <c r="W65" s="170">
        <v>1.20789854118674E-2</v>
      </c>
      <c r="X65" s="170">
        <v>1.7225290636898301E-3</v>
      </c>
    </row>
    <row r="66" spans="1:24">
      <c r="A66" s="4">
        <v>158</v>
      </c>
      <c r="B66" s="4">
        <v>9935</v>
      </c>
      <c r="C66" s="4" t="s">
        <v>1606</v>
      </c>
      <c r="D66" s="4" t="s">
        <v>1607</v>
      </c>
      <c r="E66" s="4" t="s">
        <v>1343</v>
      </c>
      <c r="F66" s="4" t="s">
        <v>1608</v>
      </c>
      <c r="G66" s="4" t="s">
        <v>1609</v>
      </c>
      <c r="H66" s="4" t="s">
        <v>338</v>
      </c>
      <c r="I66" s="4" t="s">
        <v>949</v>
      </c>
      <c r="J66" s="4" t="s">
        <v>30</v>
      </c>
      <c r="K66" s="4" t="s">
        <v>30</v>
      </c>
      <c r="L66" s="2" t="s">
        <v>344</v>
      </c>
      <c r="M66" s="2" t="s">
        <v>56</v>
      </c>
      <c r="N66" s="4" t="s">
        <v>492</v>
      </c>
      <c r="O66" s="4" t="s">
        <v>153</v>
      </c>
      <c r="P66" s="4" t="s">
        <v>44</v>
      </c>
      <c r="Q66" s="154">
        <v>6641</v>
      </c>
      <c r="R66" s="171">
        <v>1</v>
      </c>
      <c r="S66" s="173">
        <v>29830</v>
      </c>
      <c r="U66" s="154">
        <v>1981.01</v>
      </c>
      <c r="V66" s="170">
        <v>4.3300000000000001E-4</v>
      </c>
      <c r="W66" s="170">
        <v>1.2823033361115E-2</v>
      </c>
      <c r="X66" s="170">
        <v>1.82863435098479E-3</v>
      </c>
    </row>
    <row r="67" spans="1:24">
      <c r="A67" s="4">
        <v>158</v>
      </c>
      <c r="B67" s="4">
        <v>9935</v>
      </c>
      <c r="C67" s="4" t="s">
        <v>1665</v>
      </c>
      <c r="D67" s="4" t="s">
        <v>1666</v>
      </c>
      <c r="E67" s="4" t="s">
        <v>1343</v>
      </c>
      <c r="F67" s="4" t="s">
        <v>1667</v>
      </c>
      <c r="G67" s="4" t="s">
        <v>1668</v>
      </c>
      <c r="H67" s="4" t="s">
        <v>338</v>
      </c>
      <c r="I67" s="4" t="s">
        <v>949</v>
      </c>
      <c r="J67" s="4" t="s">
        <v>30</v>
      </c>
      <c r="K67" s="4" t="s">
        <v>30</v>
      </c>
      <c r="L67" s="2" t="s">
        <v>344</v>
      </c>
      <c r="M67" s="2" t="s">
        <v>56</v>
      </c>
      <c r="N67" s="4" t="s">
        <v>493</v>
      </c>
      <c r="O67" s="4" t="s">
        <v>153</v>
      </c>
      <c r="P67" s="4" t="s">
        <v>44</v>
      </c>
      <c r="Q67" s="154">
        <v>5938</v>
      </c>
      <c r="R67" s="171">
        <v>1</v>
      </c>
      <c r="S67" s="173">
        <v>1412</v>
      </c>
      <c r="U67" s="154">
        <v>83.844999999999999</v>
      </c>
      <c r="V67" s="170">
        <v>2.6499999999999999E-4</v>
      </c>
      <c r="W67" s="170">
        <v>5.4272387681578995E-4</v>
      </c>
      <c r="X67" s="170">
        <v>7.7395378791925195E-5</v>
      </c>
    </row>
    <row r="68" spans="1:24">
      <c r="A68" s="4">
        <v>158</v>
      </c>
      <c r="B68" s="4">
        <v>9935</v>
      </c>
      <c r="C68" s="4" t="s">
        <v>1515</v>
      </c>
      <c r="D68" s="4" t="s">
        <v>1516</v>
      </c>
      <c r="E68" s="4" t="s">
        <v>1343</v>
      </c>
      <c r="F68" s="4" t="s">
        <v>1517</v>
      </c>
      <c r="G68" s="4" t="s">
        <v>1518</v>
      </c>
      <c r="H68" s="4" t="s">
        <v>338</v>
      </c>
      <c r="I68" s="4" t="s">
        <v>949</v>
      </c>
      <c r="J68" s="4" t="s">
        <v>30</v>
      </c>
      <c r="K68" s="4" t="s">
        <v>30</v>
      </c>
      <c r="L68" s="2" t="s">
        <v>344</v>
      </c>
      <c r="M68" s="2" t="s">
        <v>56</v>
      </c>
      <c r="N68" s="4" t="s">
        <v>461</v>
      </c>
      <c r="O68" s="4" t="s">
        <v>153</v>
      </c>
      <c r="P68" s="4" t="s">
        <v>44</v>
      </c>
      <c r="Q68" s="154">
        <v>862</v>
      </c>
      <c r="R68" s="171">
        <v>1</v>
      </c>
      <c r="S68" s="173">
        <v>74080</v>
      </c>
      <c r="U68" s="154">
        <v>638.57000000000005</v>
      </c>
      <c r="V68" s="170">
        <v>1.9000000000000001E-5</v>
      </c>
      <c r="W68" s="170">
        <v>4.1334460927305002E-3</v>
      </c>
      <c r="X68" s="170">
        <v>5.8945191049971702E-4</v>
      </c>
    </row>
    <row r="69" spans="1:24">
      <c r="A69" s="4">
        <v>158</v>
      </c>
      <c r="B69" s="4">
        <v>9935</v>
      </c>
      <c r="C69" s="4" t="s">
        <v>1519</v>
      </c>
      <c r="D69" s="4" t="s">
        <v>1520</v>
      </c>
      <c r="E69" s="4" t="s">
        <v>1343</v>
      </c>
      <c r="F69" s="4" t="s">
        <v>1521</v>
      </c>
      <c r="G69" s="4" t="s">
        <v>1522</v>
      </c>
      <c r="H69" s="4" t="s">
        <v>338</v>
      </c>
      <c r="I69" s="4" t="s">
        <v>949</v>
      </c>
      <c r="J69" s="4" t="s">
        <v>30</v>
      </c>
      <c r="K69" s="4" t="s">
        <v>30</v>
      </c>
      <c r="L69" s="2" t="s">
        <v>344</v>
      </c>
      <c r="M69" s="2" t="s">
        <v>56</v>
      </c>
      <c r="N69" s="4" t="s">
        <v>479</v>
      </c>
      <c r="O69" s="4" t="s">
        <v>153</v>
      </c>
      <c r="P69" s="4" t="s">
        <v>44</v>
      </c>
      <c r="Q69" s="154">
        <v>45500.2</v>
      </c>
      <c r="R69" s="171">
        <v>1</v>
      </c>
      <c r="S69" s="173">
        <v>2855</v>
      </c>
      <c r="U69" s="154">
        <v>1299.0309999999999</v>
      </c>
      <c r="V69" s="170">
        <v>2.3599999999999999E-4</v>
      </c>
      <c r="W69" s="170">
        <v>8.4085954179253606E-3</v>
      </c>
      <c r="X69" s="170">
        <v>1.19911147321655E-3</v>
      </c>
    </row>
    <row r="70" spans="1:24">
      <c r="A70" s="4">
        <v>158</v>
      </c>
      <c r="B70" s="4">
        <v>9935</v>
      </c>
      <c r="C70" s="4" t="s">
        <v>1523</v>
      </c>
      <c r="D70" s="4" t="s">
        <v>1524</v>
      </c>
      <c r="E70" s="4" t="s">
        <v>1343</v>
      </c>
      <c r="F70" s="4" t="s">
        <v>1525</v>
      </c>
      <c r="G70" s="4" t="s">
        <v>1526</v>
      </c>
      <c r="H70" s="4" t="s">
        <v>338</v>
      </c>
      <c r="I70" s="4" t="s">
        <v>949</v>
      </c>
      <c r="J70" s="4" t="s">
        <v>30</v>
      </c>
      <c r="K70" s="4" t="s">
        <v>30</v>
      </c>
      <c r="L70" s="2" t="s">
        <v>344</v>
      </c>
      <c r="M70" s="2" t="s">
        <v>56</v>
      </c>
      <c r="N70" s="4" t="s">
        <v>479</v>
      </c>
      <c r="O70" s="4" t="s">
        <v>153</v>
      </c>
      <c r="P70" s="4" t="s">
        <v>44</v>
      </c>
      <c r="Q70" s="154">
        <v>48927</v>
      </c>
      <c r="R70" s="171">
        <v>1</v>
      </c>
      <c r="S70" s="173">
        <v>1609</v>
      </c>
      <c r="U70" s="154">
        <v>787.23500000000001</v>
      </c>
      <c r="V70" s="170">
        <v>1.0399999999999999E-4</v>
      </c>
      <c r="W70" s="170">
        <v>5.0957565349063197E-3</v>
      </c>
      <c r="X70" s="170">
        <v>7.2668261725357202E-4</v>
      </c>
    </row>
    <row r="71" spans="1:24">
      <c r="A71" s="4">
        <v>158</v>
      </c>
      <c r="B71" s="4">
        <v>9935</v>
      </c>
      <c r="C71" s="4" t="s">
        <v>1527</v>
      </c>
      <c r="D71" s="4" t="s">
        <v>1528</v>
      </c>
      <c r="E71" s="4" t="s">
        <v>1343</v>
      </c>
      <c r="F71" s="4" t="s">
        <v>1529</v>
      </c>
      <c r="G71" s="4" t="s">
        <v>1530</v>
      </c>
      <c r="H71" s="4" t="s">
        <v>338</v>
      </c>
      <c r="I71" s="4" t="s">
        <v>949</v>
      </c>
      <c r="J71" s="4" t="s">
        <v>30</v>
      </c>
      <c r="K71" s="4" t="s">
        <v>107</v>
      </c>
      <c r="L71" s="2" t="s">
        <v>344</v>
      </c>
      <c r="M71" s="2" t="s">
        <v>56</v>
      </c>
      <c r="N71" s="4" t="s">
        <v>456</v>
      </c>
      <c r="O71" s="4" t="s">
        <v>153</v>
      </c>
      <c r="P71" s="4" t="s">
        <v>44</v>
      </c>
      <c r="Q71" s="154">
        <v>35385.199999999997</v>
      </c>
      <c r="R71" s="171">
        <v>1</v>
      </c>
      <c r="S71" s="173">
        <v>6254</v>
      </c>
      <c r="U71" s="154">
        <v>2212.9899999999998</v>
      </c>
      <c r="V71" s="170">
        <v>2.99E-4</v>
      </c>
      <c r="W71" s="170">
        <v>1.43246351771172E-2</v>
      </c>
      <c r="X71" s="170">
        <v>2.04277094292173E-3</v>
      </c>
    </row>
    <row r="72" spans="1:24">
      <c r="A72" s="4">
        <v>158</v>
      </c>
      <c r="B72" s="4">
        <v>9935</v>
      </c>
      <c r="C72" s="4" t="s">
        <v>1531</v>
      </c>
      <c r="D72" s="4" t="s">
        <v>1532</v>
      </c>
      <c r="E72" s="4" t="s">
        <v>1343</v>
      </c>
      <c r="F72" s="4" t="s">
        <v>1533</v>
      </c>
      <c r="G72" s="4" t="s">
        <v>1534</v>
      </c>
      <c r="H72" s="4" t="s">
        <v>338</v>
      </c>
      <c r="I72" s="4" t="s">
        <v>949</v>
      </c>
      <c r="J72" s="4" t="s">
        <v>30</v>
      </c>
      <c r="K72" s="4" t="s">
        <v>30</v>
      </c>
      <c r="L72" s="2" t="s">
        <v>344</v>
      </c>
      <c r="M72" s="2" t="s">
        <v>56</v>
      </c>
      <c r="N72" s="4" t="s">
        <v>456</v>
      </c>
      <c r="O72" s="4" t="s">
        <v>153</v>
      </c>
      <c r="P72" s="4" t="s">
        <v>44</v>
      </c>
      <c r="Q72" s="154">
        <v>197401</v>
      </c>
      <c r="R72" s="171">
        <v>1</v>
      </c>
      <c r="S72" s="173">
        <v>1348</v>
      </c>
      <c r="U72" s="154">
        <v>2660.9650000000001</v>
      </c>
      <c r="V72" s="170">
        <v>3.59E-4</v>
      </c>
      <c r="W72" s="170">
        <v>1.7224367345700101E-2</v>
      </c>
      <c r="X72" s="170">
        <v>2.45628853293329E-3</v>
      </c>
    </row>
    <row r="73" spans="1:24">
      <c r="A73" s="4">
        <v>158</v>
      </c>
      <c r="B73" s="4">
        <v>9935</v>
      </c>
      <c r="C73" s="4" t="s">
        <v>1539</v>
      </c>
      <c r="D73" s="4" t="s">
        <v>1540</v>
      </c>
      <c r="E73" s="4" t="s">
        <v>1343</v>
      </c>
      <c r="F73" s="4" t="s">
        <v>1541</v>
      </c>
      <c r="G73" s="4" t="s">
        <v>1542</v>
      </c>
      <c r="H73" s="4" t="s">
        <v>338</v>
      </c>
      <c r="I73" s="4" t="s">
        <v>949</v>
      </c>
      <c r="J73" s="4" t="s">
        <v>30</v>
      </c>
      <c r="K73" s="4" t="s">
        <v>30</v>
      </c>
      <c r="L73" s="2" t="s">
        <v>344</v>
      </c>
      <c r="M73" s="2" t="s">
        <v>56</v>
      </c>
      <c r="N73" s="4" t="s">
        <v>500</v>
      </c>
      <c r="O73" s="4" t="s">
        <v>153</v>
      </c>
      <c r="P73" s="4" t="s">
        <v>44</v>
      </c>
      <c r="Q73" s="154">
        <v>485119</v>
      </c>
      <c r="R73" s="171">
        <v>1</v>
      </c>
      <c r="S73" s="173">
        <v>428.6</v>
      </c>
      <c r="T73" s="153">
        <v>71.331000000000003</v>
      </c>
      <c r="U73" s="154">
        <v>2150.5509999999999</v>
      </c>
      <c r="V73" s="170">
        <v>1.75E-4</v>
      </c>
      <c r="W73" s="170">
        <v>1.3920467798748301E-2</v>
      </c>
      <c r="X73" s="170">
        <v>1.9851344749488601E-3</v>
      </c>
    </row>
    <row r="74" spans="1:24">
      <c r="A74" s="4">
        <v>158</v>
      </c>
      <c r="B74" s="4">
        <v>9935</v>
      </c>
      <c r="C74" s="4" t="s">
        <v>1543</v>
      </c>
      <c r="D74" s="4" t="s">
        <v>1544</v>
      </c>
      <c r="E74" s="4" t="s">
        <v>1343</v>
      </c>
      <c r="F74" s="4" t="s">
        <v>1545</v>
      </c>
      <c r="G74" s="4" t="s">
        <v>1546</v>
      </c>
      <c r="H74" s="4" t="s">
        <v>338</v>
      </c>
      <c r="I74" s="4" t="s">
        <v>949</v>
      </c>
      <c r="J74" s="4" t="s">
        <v>30</v>
      </c>
      <c r="K74" s="4" t="s">
        <v>30</v>
      </c>
      <c r="L74" s="2" t="s">
        <v>344</v>
      </c>
      <c r="M74" s="2" t="s">
        <v>56</v>
      </c>
      <c r="N74" s="4" t="s">
        <v>463</v>
      </c>
      <c r="O74" s="4" t="s">
        <v>153</v>
      </c>
      <c r="P74" s="4" t="s">
        <v>44</v>
      </c>
      <c r="Q74" s="154">
        <v>199048</v>
      </c>
      <c r="R74" s="171">
        <v>1</v>
      </c>
      <c r="S74" s="173">
        <v>2085</v>
      </c>
      <c r="U74" s="154">
        <v>4150.1509999999998</v>
      </c>
      <c r="V74" s="170">
        <v>1.6100000000000001E-4</v>
      </c>
      <c r="W74" s="170">
        <v>2.6863829108843201E-2</v>
      </c>
      <c r="X74" s="170">
        <v>3.8309282463836799E-3</v>
      </c>
    </row>
    <row r="75" spans="1:24">
      <c r="A75" s="4">
        <v>158</v>
      </c>
      <c r="B75" s="4">
        <v>9935</v>
      </c>
      <c r="C75" s="4" t="s">
        <v>1547</v>
      </c>
      <c r="D75" s="4" t="s">
        <v>1548</v>
      </c>
      <c r="E75" s="4" t="s">
        <v>1343</v>
      </c>
      <c r="F75" s="4" t="s">
        <v>1549</v>
      </c>
      <c r="G75" s="4" t="s">
        <v>1550</v>
      </c>
      <c r="H75" s="4" t="s">
        <v>338</v>
      </c>
      <c r="I75" s="4" t="s">
        <v>949</v>
      </c>
      <c r="J75" s="4" t="s">
        <v>30</v>
      </c>
      <c r="K75" s="4" t="s">
        <v>30</v>
      </c>
      <c r="L75" s="2" t="s">
        <v>344</v>
      </c>
      <c r="M75" s="2" t="s">
        <v>56</v>
      </c>
      <c r="N75" s="4" t="s">
        <v>462</v>
      </c>
      <c r="O75" s="4" t="s">
        <v>153</v>
      </c>
      <c r="P75" s="4" t="s">
        <v>44</v>
      </c>
      <c r="Q75" s="154">
        <v>4500</v>
      </c>
      <c r="R75" s="171">
        <v>1</v>
      </c>
      <c r="S75" s="173">
        <v>33200</v>
      </c>
      <c r="U75" s="154">
        <v>1494</v>
      </c>
      <c r="V75" s="170">
        <v>2.2900000000000001E-4</v>
      </c>
      <c r="W75" s="170">
        <v>9.6706270742286608E-3</v>
      </c>
      <c r="X75" s="170">
        <v>1.37908405643892E-3</v>
      </c>
    </row>
    <row r="76" spans="1:24">
      <c r="A76" s="4">
        <v>158</v>
      </c>
      <c r="B76" s="4">
        <v>9935</v>
      </c>
      <c r="C76" s="4" t="s">
        <v>1551</v>
      </c>
      <c r="D76" s="4" t="s">
        <v>1552</v>
      </c>
      <c r="E76" s="4" t="s">
        <v>1343</v>
      </c>
      <c r="F76" s="4" t="s">
        <v>1553</v>
      </c>
      <c r="G76" s="4" t="s">
        <v>1554</v>
      </c>
      <c r="H76" s="4" t="s">
        <v>338</v>
      </c>
      <c r="I76" s="4" t="s">
        <v>949</v>
      </c>
      <c r="J76" s="4" t="s">
        <v>30</v>
      </c>
      <c r="K76" s="4" t="s">
        <v>30</v>
      </c>
      <c r="L76" s="2" t="s">
        <v>344</v>
      </c>
      <c r="M76" s="2" t="s">
        <v>56</v>
      </c>
      <c r="N76" s="4" t="s">
        <v>460</v>
      </c>
      <c r="O76" s="4" t="s">
        <v>153</v>
      </c>
      <c r="P76" s="4" t="s">
        <v>44</v>
      </c>
      <c r="Q76" s="154">
        <v>29531</v>
      </c>
      <c r="R76" s="171">
        <v>1</v>
      </c>
      <c r="S76" s="173">
        <v>4200</v>
      </c>
      <c r="U76" s="154">
        <v>1240.3019999999999</v>
      </c>
      <c r="V76" s="170">
        <v>1.17E-4</v>
      </c>
      <c r="W76" s="170">
        <v>8.0284458510173802E-3</v>
      </c>
      <c r="X76" s="170">
        <v>1.1449000758830699E-3</v>
      </c>
    </row>
    <row r="77" spans="1:24">
      <c r="A77" s="4">
        <v>158</v>
      </c>
      <c r="B77" s="4">
        <v>9935</v>
      </c>
      <c r="C77" s="4" t="s">
        <v>1559</v>
      </c>
      <c r="D77" s="4" t="s">
        <v>1560</v>
      </c>
      <c r="E77" s="4" t="s">
        <v>1343</v>
      </c>
      <c r="F77" s="4" t="s">
        <v>1561</v>
      </c>
      <c r="G77" s="4" t="s">
        <v>1562</v>
      </c>
      <c r="H77" s="4" t="s">
        <v>338</v>
      </c>
      <c r="I77" s="4" t="s">
        <v>949</v>
      </c>
      <c r="J77" s="4" t="s">
        <v>30</v>
      </c>
      <c r="K77" s="4" t="s">
        <v>30</v>
      </c>
      <c r="L77" s="2" t="s">
        <v>344</v>
      </c>
      <c r="M77" s="2" t="s">
        <v>56</v>
      </c>
      <c r="N77" s="4" t="s">
        <v>462</v>
      </c>
      <c r="O77" s="4" t="s">
        <v>153</v>
      </c>
      <c r="P77" s="4" t="s">
        <v>44</v>
      </c>
      <c r="Q77" s="154">
        <v>42000</v>
      </c>
      <c r="R77" s="171">
        <v>1</v>
      </c>
      <c r="S77" s="173">
        <v>1373</v>
      </c>
      <c r="U77" s="154">
        <v>576.66</v>
      </c>
      <c r="V77" s="170">
        <v>1.2999999999999999E-4</v>
      </c>
      <c r="W77" s="170">
        <v>3.7327066992133202E-3</v>
      </c>
      <c r="X77" s="170">
        <v>5.3230429182467699E-4</v>
      </c>
    </row>
    <row r="78" spans="1:24">
      <c r="A78" s="4">
        <v>158</v>
      </c>
      <c r="B78" s="4">
        <v>9935</v>
      </c>
      <c r="C78" s="4" t="s">
        <v>1563</v>
      </c>
      <c r="D78" s="4" t="s">
        <v>1564</v>
      </c>
      <c r="E78" s="4" t="s">
        <v>1343</v>
      </c>
      <c r="F78" s="4" t="s">
        <v>1565</v>
      </c>
      <c r="G78" s="4" t="s">
        <v>1566</v>
      </c>
      <c r="H78" s="4" t="s">
        <v>338</v>
      </c>
      <c r="I78" s="4" t="s">
        <v>949</v>
      </c>
      <c r="J78" s="4" t="s">
        <v>30</v>
      </c>
      <c r="K78" s="4" t="s">
        <v>30</v>
      </c>
      <c r="L78" s="2" t="s">
        <v>344</v>
      </c>
      <c r="M78" s="2" t="s">
        <v>56</v>
      </c>
      <c r="N78" s="4" t="s">
        <v>460</v>
      </c>
      <c r="O78" s="4" t="s">
        <v>153</v>
      </c>
      <c r="P78" s="4" t="s">
        <v>44</v>
      </c>
      <c r="Q78" s="154">
        <v>7100</v>
      </c>
      <c r="R78" s="171">
        <v>1</v>
      </c>
      <c r="S78" s="173">
        <v>6329</v>
      </c>
      <c r="U78" s="154">
        <v>449.35899999999998</v>
      </c>
      <c r="V78" s="170">
        <v>9.0000000000000006E-5</v>
      </c>
      <c r="W78" s="170">
        <v>2.9086903021742399E-3</v>
      </c>
      <c r="X78" s="170">
        <v>4.1479506861936798E-4</v>
      </c>
    </row>
    <row r="79" spans="1:24">
      <c r="A79" s="4">
        <v>158</v>
      </c>
      <c r="B79" s="4">
        <v>9935</v>
      </c>
      <c r="C79" s="4" t="s">
        <v>1196</v>
      </c>
      <c r="D79" s="4" t="s">
        <v>1567</v>
      </c>
      <c r="E79" s="4" t="s">
        <v>1343</v>
      </c>
      <c r="F79" s="4" t="s">
        <v>1568</v>
      </c>
      <c r="G79" s="4" t="s">
        <v>1569</v>
      </c>
      <c r="H79" s="4" t="s">
        <v>338</v>
      </c>
      <c r="I79" s="4" t="s">
        <v>949</v>
      </c>
      <c r="J79" s="4" t="s">
        <v>30</v>
      </c>
      <c r="K79" s="4" t="s">
        <v>30</v>
      </c>
      <c r="L79" s="2" t="s">
        <v>344</v>
      </c>
      <c r="M79" s="2" t="s">
        <v>56</v>
      </c>
      <c r="N79" s="4" t="s">
        <v>463</v>
      </c>
      <c r="O79" s="4" t="s">
        <v>153</v>
      </c>
      <c r="P79" s="4" t="s">
        <v>44</v>
      </c>
      <c r="Q79" s="154">
        <v>200025</v>
      </c>
      <c r="R79" s="171">
        <v>1</v>
      </c>
      <c r="S79" s="173">
        <v>3644</v>
      </c>
      <c r="U79" s="154">
        <v>7288.9110000000001</v>
      </c>
      <c r="V79" s="170">
        <v>1.3200000000000001E-4</v>
      </c>
      <c r="W79" s="170">
        <v>4.71809505075255E-2</v>
      </c>
      <c r="X79" s="170">
        <v>6.7282603406306901E-3</v>
      </c>
    </row>
    <row r="80" spans="1:24">
      <c r="A80" s="4">
        <v>158</v>
      </c>
      <c r="B80" s="4">
        <v>9935</v>
      </c>
      <c r="C80" s="4" t="s">
        <v>1570</v>
      </c>
      <c r="D80" s="4" t="s">
        <v>1571</v>
      </c>
      <c r="E80" s="4" t="s">
        <v>1343</v>
      </c>
      <c r="F80" s="4" t="s">
        <v>1572</v>
      </c>
      <c r="G80" s="4" t="s">
        <v>1573</v>
      </c>
      <c r="H80" s="4" t="s">
        <v>338</v>
      </c>
      <c r="I80" s="4" t="s">
        <v>949</v>
      </c>
      <c r="J80" s="4" t="s">
        <v>30</v>
      </c>
      <c r="K80" s="4" t="s">
        <v>30</v>
      </c>
      <c r="L80" s="2" t="s">
        <v>344</v>
      </c>
      <c r="M80" s="2" t="s">
        <v>56</v>
      </c>
      <c r="N80" s="4" t="s">
        <v>463</v>
      </c>
      <c r="O80" s="4" t="s">
        <v>153</v>
      </c>
      <c r="P80" s="4" t="s">
        <v>44</v>
      </c>
      <c r="Q80" s="154">
        <v>10237</v>
      </c>
      <c r="R80" s="171">
        <v>1</v>
      </c>
      <c r="S80" s="173">
        <v>14550</v>
      </c>
      <c r="U80" s="154">
        <v>1489.4839999999999</v>
      </c>
      <c r="V80" s="170">
        <v>4.0000000000000003E-5</v>
      </c>
      <c r="W80" s="170">
        <v>9.6413918753125005E-3</v>
      </c>
      <c r="X80" s="170">
        <v>1.37491495795103E-3</v>
      </c>
    </row>
    <row r="81" spans="1:24">
      <c r="A81" s="4">
        <v>158</v>
      </c>
      <c r="B81" s="4">
        <v>9935</v>
      </c>
      <c r="C81" s="4" t="s">
        <v>1574</v>
      </c>
      <c r="D81" s="4" t="s">
        <v>1575</v>
      </c>
      <c r="E81" s="4" t="s">
        <v>1343</v>
      </c>
      <c r="F81" s="4" t="s">
        <v>1576</v>
      </c>
      <c r="G81" s="4" t="s">
        <v>1577</v>
      </c>
      <c r="H81" s="4" t="s">
        <v>338</v>
      </c>
      <c r="I81" s="4" t="s">
        <v>949</v>
      </c>
      <c r="J81" s="4" t="s">
        <v>30</v>
      </c>
      <c r="K81" s="4" t="s">
        <v>30</v>
      </c>
      <c r="L81" s="2" t="s">
        <v>344</v>
      </c>
      <c r="M81" s="2" t="s">
        <v>56</v>
      </c>
      <c r="N81" s="4" t="s">
        <v>492</v>
      </c>
      <c r="O81" s="4" t="s">
        <v>153</v>
      </c>
      <c r="P81" s="4" t="s">
        <v>44</v>
      </c>
      <c r="Q81" s="154">
        <v>13243</v>
      </c>
      <c r="R81" s="171">
        <v>1</v>
      </c>
      <c r="S81" s="173">
        <v>7125</v>
      </c>
      <c r="T81" s="153">
        <v>10.859</v>
      </c>
      <c r="U81" s="154">
        <v>954.423</v>
      </c>
      <c r="V81" s="170">
        <v>2.0799999999999999E-4</v>
      </c>
      <c r="W81" s="170">
        <v>6.1779578318425796E-3</v>
      </c>
      <c r="X81" s="170">
        <v>8.8101041244273296E-4</v>
      </c>
    </row>
    <row r="82" spans="1:24">
      <c r="A82" s="4">
        <v>158</v>
      </c>
      <c r="B82" s="4">
        <v>9935</v>
      </c>
      <c r="C82" s="4" t="s">
        <v>1578</v>
      </c>
      <c r="D82" s="4" t="s">
        <v>1579</v>
      </c>
      <c r="E82" s="4" t="s">
        <v>1343</v>
      </c>
      <c r="F82" s="4" t="s">
        <v>1580</v>
      </c>
      <c r="G82" s="4" t="s">
        <v>1581</v>
      </c>
      <c r="H82" s="4" t="s">
        <v>338</v>
      </c>
      <c r="I82" s="4" t="s">
        <v>949</v>
      </c>
      <c r="J82" s="4" t="s">
        <v>30</v>
      </c>
      <c r="K82" s="4" t="s">
        <v>30</v>
      </c>
      <c r="L82" s="2" t="s">
        <v>344</v>
      </c>
      <c r="M82" s="2" t="s">
        <v>56</v>
      </c>
      <c r="N82" s="4" t="s">
        <v>479</v>
      </c>
      <c r="O82" s="4" t="s">
        <v>153</v>
      </c>
      <c r="P82" s="4" t="s">
        <v>44</v>
      </c>
      <c r="Q82" s="154">
        <v>3327</v>
      </c>
      <c r="R82" s="171">
        <v>1</v>
      </c>
      <c r="S82" s="173">
        <v>28210</v>
      </c>
      <c r="U82" s="154">
        <v>938.54700000000003</v>
      </c>
      <c r="V82" s="170">
        <v>6.9999999999999994E-5</v>
      </c>
      <c r="W82" s="170">
        <v>6.0751908483587498E-3</v>
      </c>
      <c r="X82" s="170">
        <v>8.6635528125392301E-4</v>
      </c>
    </row>
    <row r="83" spans="1:24">
      <c r="A83" s="4">
        <v>158</v>
      </c>
      <c r="B83" s="4">
        <v>9935</v>
      </c>
      <c r="C83" s="4" t="s">
        <v>1583</v>
      </c>
      <c r="D83" s="4" t="s">
        <v>1584</v>
      </c>
      <c r="E83" s="4" t="s">
        <v>329</v>
      </c>
      <c r="F83" s="4" t="s">
        <v>1585</v>
      </c>
      <c r="G83" s="4" t="s">
        <v>1586</v>
      </c>
      <c r="H83" s="4" t="s">
        <v>338</v>
      </c>
      <c r="I83" s="4" t="s">
        <v>949</v>
      </c>
      <c r="J83" s="4" t="s">
        <v>30</v>
      </c>
      <c r="K83" s="4" t="s">
        <v>30</v>
      </c>
      <c r="L83" s="2" t="s">
        <v>344</v>
      </c>
      <c r="M83" s="2" t="s">
        <v>56</v>
      </c>
      <c r="N83" s="4" t="s">
        <v>469</v>
      </c>
      <c r="O83" s="4" t="s">
        <v>153</v>
      </c>
      <c r="P83" s="4" t="s">
        <v>44</v>
      </c>
      <c r="Q83" s="154">
        <v>115222</v>
      </c>
      <c r="R83" s="171">
        <v>1</v>
      </c>
      <c r="S83" s="173">
        <v>1025</v>
      </c>
      <c r="U83" s="154">
        <v>1181.0250000000001</v>
      </c>
      <c r="V83" s="170">
        <v>9.7999999999999997E-5</v>
      </c>
      <c r="W83" s="170">
        <v>7.6447504522452799E-3</v>
      </c>
      <c r="X83" s="170">
        <v>1.09018302362637E-3</v>
      </c>
    </row>
    <row r="84" spans="1:24">
      <c r="A84" s="4">
        <v>158</v>
      </c>
      <c r="B84" s="4">
        <v>9935</v>
      </c>
      <c r="C84" s="4" t="s">
        <v>1587</v>
      </c>
      <c r="D84" s="4" t="s">
        <v>1588</v>
      </c>
      <c r="E84" s="4" t="s">
        <v>1343</v>
      </c>
      <c r="F84" s="4" t="s">
        <v>1589</v>
      </c>
      <c r="G84" s="4" t="s">
        <v>1590</v>
      </c>
      <c r="H84" s="4" t="s">
        <v>338</v>
      </c>
      <c r="I84" s="4" t="s">
        <v>949</v>
      </c>
      <c r="J84" s="4" t="s">
        <v>30</v>
      </c>
      <c r="K84" s="4" t="s">
        <v>107</v>
      </c>
      <c r="L84" s="2" t="s">
        <v>344</v>
      </c>
      <c r="M84" s="2" t="s">
        <v>56</v>
      </c>
      <c r="N84" s="4" t="s">
        <v>496</v>
      </c>
      <c r="O84" s="4" t="s">
        <v>153</v>
      </c>
      <c r="P84" s="4" t="s">
        <v>44</v>
      </c>
      <c r="Q84" s="154">
        <v>4262</v>
      </c>
      <c r="R84" s="171">
        <v>1</v>
      </c>
      <c r="S84" s="173">
        <v>64880</v>
      </c>
      <c r="U84" s="154">
        <v>2765.1860000000001</v>
      </c>
      <c r="V84" s="170">
        <v>6.7999999999999999E-5</v>
      </c>
      <c r="W84" s="170">
        <v>1.78989817460691E-2</v>
      </c>
      <c r="X84" s="170">
        <v>2.5524922182426301E-3</v>
      </c>
    </row>
    <row r="85" spans="1:24">
      <c r="A85" s="4">
        <v>158</v>
      </c>
      <c r="B85" s="4">
        <v>9935</v>
      </c>
      <c r="C85" s="4" t="s">
        <v>1594</v>
      </c>
      <c r="D85" s="4" t="s">
        <v>1595</v>
      </c>
      <c r="E85" s="4" t="s">
        <v>1343</v>
      </c>
      <c r="F85" s="4" t="s">
        <v>1596</v>
      </c>
      <c r="G85" s="4" t="s">
        <v>1597</v>
      </c>
      <c r="H85" s="4" t="s">
        <v>338</v>
      </c>
      <c r="I85" s="4" t="s">
        <v>949</v>
      </c>
      <c r="J85" s="4" t="s">
        <v>30</v>
      </c>
      <c r="K85" s="4" t="s">
        <v>30</v>
      </c>
      <c r="L85" s="2" t="s">
        <v>344</v>
      </c>
      <c r="M85" s="2" t="s">
        <v>56</v>
      </c>
      <c r="N85" s="4" t="s">
        <v>479</v>
      </c>
      <c r="O85" s="4" t="s">
        <v>153</v>
      </c>
      <c r="P85" s="4" t="s">
        <v>44</v>
      </c>
      <c r="Q85" s="154">
        <v>7339</v>
      </c>
      <c r="R85" s="171">
        <v>1</v>
      </c>
      <c r="S85" s="173">
        <v>25940</v>
      </c>
      <c r="U85" s="154">
        <v>1903.7370000000001</v>
      </c>
      <c r="V85" s="170">
        <v>6.0999999999999999E-5</v>
      </c>
      <c r="W85" s="170">
        <v>1.23228425074699E-2</v>
      </c>
      <c r="X85" s="170">
        <v>1.75730441279735E-3</v>
      </c>
    </row>
    <row r="86" spans="1:24">
      <c r="A86" s="4">
        <v>158</v>
      </c>
      <c r="B86" s="4">
        <v>9935</v>
      </c>
      <c r="C86" s="4" t="s">
        <v>1598</v>
      </c>
      <c r="D86" s="4" t="s">
        <v>1599</v>
      </c>
      <c r="E86" s="4" t="s">
        <v>1343</v>
      </c>
      <c r="F86" s="4" t="s">
        <v>1600</v>
      </c>
      <c r="G86" s="4" t="s">
        <v>1601</v>
      </c>
      <c r="H86" s="4" t="s">
        <v>338</v>
      </c>
      <c r="I86" s="4" t="s">
        <v>949</v>
      </c>
      <c r="J86" s="4" t="s">
        <v>30</v>
      </c>
      <c r="K86" s="4" t="s">
        <v>30</v>
      </c>
      <c r="L86" s="2" t="s">
        <v>344</v>
      </c>
      <c r="M86" s="2" t="s">
        <v>56</v>
      </c>
      <c r="N86" s="4" t="s">
        <v>463</v>
      </c>
      <c r="O86" s="4" t="s">
        <v>153</v>
      </c>
      <c r="P86" s="4" t="s">
        <v>44</v>
      </c>
      <c r="Q86" s="154">
        <v>121431</v>
      </c>
      <c r="R86" s="171">
        <v>1</v>
      </c>
      <c r="S86" s="173">
        <v>3729</v>
      </c>
      <c r="U86" s="154">
        <v>4528.1620000000003</v>
      </c>
      <c r="V86" s="170">
        <v>9.1000000000000003E-5</v>
      </c>
      <c r="W86" s="170">
        <v>2.9310686704810698E-2</v>
      </c>
      <c r="X86" s="170">
        <v>4.17986345741749E-3</v>
      </c>
    </row>
    <row r="87" spans="1:24">
      <c r="A87" s="4">
        <v>158</v>
      </c>
      <c r="B87" s="4">
        <v>9935</v>
      </c>
      <c r="C87" s="4" t="s">
        <v>1602</v>
      </c>
      <c r="D87" s="4" t="s">
        <v>1603</v>
      </c>
      <c r="E87" s="4" t="s">
        <v>1343</v>
      </c>
      <c r="F87" s="4" t="s">
        <v>1604</v>
      </c>
      <c r="G87" s="4" t="s">
        <v>1605</v>
      </c>
      <c r="H87" s="4" t="s">
        <v>338</v>
      </c>
      <c r="I87" s="4" t="s">
        <v>949</v>
      </c>
      <c r="J87" s="4" t="s">
        <v>30</v>
      </c>
      <c r="K87" s="4" t="s">
        <v>30</v>
      </c>
      <c r="L87" s="2" t="s">
        <v>344</v>
      </c>
      <c r="M87" s="2" t="s">
        <v>56</v>
      </c>
      <c r="N87" s="4" t="s">
        <v>491</v>
      </c>
      <c r="O87" s="4" t="s">
        <v>153</v>
      </c>
      <c r="P87" s="4" t="s">
        <v>44</v>
      </c>
      <c r="Q87" s="154">
        <v>3559</v>
      </c>
      <c r="R87" s="171">
        <v>1</v>
      </c>
      <c r="S87" s="173">
        <v>28150</v>
      </c>
      <c r="U87" s="154">
        <v>1001.859</v>
      </c>
      <c r="V87" s="170">
        <v>2.5799999999999998E-4</v>
      </c>
      <c r="W87" s="170">
        <v>6.4850066496962002E-3</v>
      </c>
      <c r="X87" s="170">
        <v>9.2479724508554896E-4</v>
      </c>
    </row>
    <row r="88" spans="1:24">
      <c r="A88" s="4">
        <v>158</v>
      </c>
      <c r="B88" s="4">
        <v>9935</v>
      </c>
      <c r="C88" s="4" t="s">
        <v>1614</v>
      </c>
      <c r="D88" s="4" t="s">
        <v>1615</v>
      </c>
      <c r="E88" s="4" t="s">
        <v>331</v>
      </c>
      <c r="F88" s="4" t="s">
        <v>1616</v>
      </c>
      <c r="G88" s="4" t="s">
        <v>1617</v>
      </c>
      <c r="H88" s="4" t="s">
        <v>338</v>
      </c>
      <c r="I88" s="4" t="s">
        <v>949</v>
      </c>
      <c r="J88" s="4" t="s">
        <v>106</v>
      </c>
      <c r="K88" s="4" t="s">
        <v>107</v>
      </c>
      <c r="L88" s="2" t="s">
        <v>344</v>
      </c>
      <c r="M88" s="2" t="s">
        <v>363</v>
      </c>
      <c r="N88" s="4" t="s">
        <v>564</v>
      </c>
      <c r="O88" s="4" t="s">
        <v>153</v>
      </c>
      <c r="P88" s="4" t="s">
        <v>34</v>
      </c>
      <c r="Q88" s="154">
        <v>2504</v>
      </c>
      <c r="R88" s="171">
        <v>3.71</v>
      </c>
      <c r="S88" s="173">
        <v>16408</v>
      </c>
      <c r="U88" s="154">
        <v>1524.277</v>
      </c>
      <c r="V88" s="170">
        <v>1.9999999999999999E-6</v>
      </c>
      <c r="W88" s="170">
        <v>9.8666090456592595E-3</v>
      </c>
      <c r="X88" s="170">
        <v>1.4070321522629901E-3</v>
      </c>
    </row>
    <row r="89" spans="1:24">
      <c r="A89" s="4">
        <v>158</v>
      </c>
      <c r="B89" s="4">
        <v>9935</v>
      </c>
      <c r="C89" s="4" t="s">
        <v>1669</v>
      </c>
      <c r="D89" s="4" t="s">
        <v>1670</v>
      </c>
      <c r="E89" s="4" t="s">
        <v>331</v>
      </c>
      <c r="F89" s="4" t="s">
        <v>1671</v>
      </c>
      <c r="G89" s="4" t="s">
        <v>1672</v>
      </c>
      <c r="H89" s="4" t="s">
        <v>338</v>
      </c>
      <c r="I89" s="4" t="s">
        <v>949</v>
      </c>
      <c r="J89" s="4" t="s">
        <v>106</v>
      </c>
      <c r="K89" s="4" t="s">
        <v>300</v>
      </c>
      <c r="L89" s="2" t="s">
        <v>344</v>
      </c>
      <c r="M89" s="2" t="s">
        <v>381</v>
      </c>
      <c r="N89" s="4" t="s">
        <v>1633</v>
      </c>
      <c r="O89" s="4" t="s">
        <v>153</v>
      </c>
      <c r="P89" s="4" t="s">
        <v>1199</v>
      </c>
      <c r="Q89" s="154">
        <v>2625</v>
      </c>
      <c r="R89" s="171">
        <v>4.1524000000000001</v>
      </c>
      <c r="S89" s="173">
        <v>13122</v>
      </c>
      <c r="U89" s="154">
        <v>1430.3050000000001</v>
      </c>
      <c r="V89" s="170">
        <v>3.0000000000000001E-6</v>
      </c>
      <c r="W89" s="170">
        <v>9.2583279866126807E-3</v>
      </c>
      <c r="X89" s="170">
        <v>1.3202879624678501E-3</v>
      </c>
    </row>
    <row r="90" spans="1:24">
      <c r="A90" s="4">
        <v>158</v>
      </c>
      <c r="B90" s="4">
        <v>9935</v>
      </c>
      <c r="C90" s="4" t="s">
        <v>1618</v>
      </c>
      <c r="D90" s="4" t="s">
        <v>1619</v>
      </c>
      <c r="E90" s="4" t="s">
        <v>331</v>
      </c>
      <c r="F90" s="4" t="s">
        <v>1620</v>
      </c>
      <c r="G90" s="4" t="s">
        <v>1621</v>
      </c>
      <c r="H90" s="4" t="s">
        <v>338</v>
      </c>
      <c r="I90" s="4" t="s">
        <v>949</v>
      </c>
      <c r="J90" s="4" t="s">
        <v>106</v>
      </c>
      <c r="K90" s="4" t="s">
        <v>107</v>
      </c>
      <c r="L90" s="2" t="s">
        <v>344</v>
      </c>
      <c r="M90" s="2" t="s">
        <v>363</v>
      </c>
      <c r="N90" s="4" t="s">
        <v>531</v>
      </c>
      <c r="O90" s="4" t="s">
        <v>153</v>
      </c>
      <c r="P90" s="4" t="s">
        <v>34</v>
      </c>
      <c r="Q90" s="154">
        <v>2900</v>
      </c>
      <c r="R90" s="171">
        <v>3.71</v>
      </c>
      <c r="S90" s="173">
        <v>18633</v>
      </c>
      <c r="U90" s="154">
        <v>2004.7239999999999</v>
      </c>
      <c r="V90" s="170">
        <v>0</v>
      </c>
      <c r="W90" s="170">
        <v>1.29765346291504E-2</v>
      </c>
      <c r="X90" s="170">
        <v>1.85052446728913E-3</v>
      </c>
    </row>
    <row r="91" spans="1:24">
      <c r="A91" s="4">
        <v>158</v>
      </c>
      <c r="B91" s="4">
        <v>9935</v>
      </c>
      <c r="C91" s="4" t="s">
        <v>1622</v>
      </c>
      <c r="D91" s="4" t="s">
        <v>1623</v>
      </c>
      <c r="E91" s="4" t="s">
        <v>331</v>
      </c>
      <c r="F91" s="4" t="s">
        <v>1624</v>
      </c>
      <c r="G91" s="4" t="s">
        <v>1625</v>
      </c>
      <c r="H91" s="4" t="s">
        <v>338</v>
      </c>
      <c r="I91" s="4" t="s">
        <v>949</v>
      </c>
      <c r="J91" s="4" t="s">
        <v>106</v>
      </c>
      <c r="K91" s="4" t="s">
        <v>107</v>
      </c>
      <c r="L91" s="2" t="s">
        <v>344</v>
      </c>
      <c r="M91" s="2" t="s">
        <v>363</v>
      </c>
      <c r="N91" s="4" t="s">
        <v>564</v>
      </c>
      <c r="O91" s="4" t="s">
        <v>153</v>
      </c>
      <c r="P91" s="4" t="s">
        <v>34</v>
      </c>
      <c r="Q91" s="154">
        <v>845</v>
      </c>
      <c r="R91" s="171">
        <v>3.71</v>
      </c>
      <c r="S91" s="173">
        <v>83325</v>
      </c>
      <c r="U91" s="154">
        <v>2612.1970000000001</v>
      </c>
      <c r="V91" s="170">
        <v>1.9999999999999999E-6</v>
      </c>
      <c r="W91" s="170">
        <v>1.69086906811237E-2</v>
      </c>
      <c r="X91" s="170">
        <v>2.4112713223878399E-3</v>
      </c>
    </row>
    <row r="92" spans="1:24">
      <c r="A92" s="4">
        <v>158</v>
      </c>
      <c r="B92" s="4">
        <v>9935</v>
      </c>
      <c r="C92" s="4" t="s">
        <v>1626</v>
      </c>
      <c r="D92" s="4" t="s">
        <v>1627</v>
      </c>
      <c r="E92" s="4" t="s">
        <v>331</v>
      </c>
      <c r="F92" s="4" t="s">
        <v>1628</v>
      </c>
      <c r="G92" s="4" t="s">
        <v>1629</v>
      </c>
      <c r="H92" s="4" t="s">
        <v>338</v>
      </c>
      <c r="I92" s="4" t="s">
        <v>949</v>
      </c>
      <c r="J92" s="4" t="s">
        <v>106</v>
      </c>
      <c r="K92" s="4" t="s">
        <v>107</v>
      </c>
      <c r="L92" s="2" t="s">
        <v>344</v>
      </c>
      <c r="M92" s="2" t="s">
        <v>363</v>
      </c>
      <c r="N92" s="4" t="s">
        <v>564</v>
      </c>
      <c r="O92" s="4" t="s">
        <v>153</v>
      </c>
      <c r="P92" s="4" t="s">
        <v>34</v>
      </c>
      <c r="Q92" s="154">
        <v>2650</v>
      </c>
      <c r="R92" s="171">
        <v>3.71</v>
      </c>
      <c r="S92" s="173">
        <v>17250</v>
      </c>
      <c r="U92" s="154">
        <v>1695.934</v>
      </c>
      <c r="V92" s="170">
        <v>6.0000000000000002E-6</v>
      </c>
      <c r="W92" s="170">
        <v>1.0977739517301299E-2</v>
      </c>
      <c r="X92" s="170">
        <v>1.565485405222E-3</v>
      </c>
    </row>
    <row r="93" spans="1:24">
      <c r="A93" s="4">
        <v>158</v>
      </c>
      <c r="B93" s="4">
        <v>9935</v>
      </c>
      <c r="C93" s="4" t="s">
        <v>1630</v>
      </c>
      <c r="D93" s="4" t="s">
        <v>1631</v>
      </c>
      <c r="E93" s="4" t="s">
        <v>331</v>
      </c>
      <c r="F93" s="4" t="s">
        <v>1630</v>
      </c>
      <c r="G93" s="4" t="s">
        <v>1632</v>
      </c>
      <c r="H93" s="4" t="s">
        <v>338</v>
      </c>
      <c r="I93" s="4" t="s">
        <v>949</v>
      </c>
      <c r="J93" s="4" t="s">
        <v>106</v>
      </c>
      <c r="K93" s="4" t="s">
        <v>315</v>
      </c>
      <c r="L93" s="2" t="s">
        <v>344</v>
      </c>
      <c r="M93" s="2" t="s">
        <v>363</v>
      </c>
      <c r="N93" s="4" t="s">
        <v>1633</v>
      </c>
      <c r="O93" s="4" t="s">
        <v>153</v>
      </c>
      <c r="P93" s="4" t="s">
        <v>34</v>
      </c>
      <c r="Q93" s="154">
        <v>300</v>
      </c>
      <c r="R93" s="171">
        <v>3.71</v>
      </c>
      <c r="S93" s="173">
        <v>88652</v>
      </c>
      <c r="U93" s="154">
        <v>986.697</v>
      </c>
      <c r="V93" s="170">
        <v>9.9999999999999995E-7</v>
      </c>
      <c r="W93" s="170">
        <v>6.3868650611176104E-3</v>
      </c>
      <c r="X93" s="170">
        <v>9.1080172038550096E-4</v>
      </c>
    </row>
    <row r="94" spans="1:24">
      <c r="A94" s="4">
        <v>158</v>
      </c>
      <c r="B94" s="4">
        <v>9935</v>
      </c>
      <c r="C94" s="4" t="s">
        <v>1634</v>
      </c>
      <c r="D94" s="4" t="s">
        <v>1635</v>
      </c>
      <c r="E94" s="4" t="s">
        <v>331</v>
      </c>
      <c r="F94" s="4" t="s">
        <v>1636</v>
      </c>
      <c r="G94" s="4" t="s">
        <v>1637</v>
      </c>
      <c r="H94" s="4" t="s">
        <v>338</v>
      </c>
      <c r="I94" s="4" t="s">
        <v>949</v>
      </c>
      <c r="J94" s="4" t="s">
        <v>106</v>
      </c>
      <c r="K94" s="4" t="s">
        <v>107</v>
      </c>
      <c r="L94" s="2" t="s">
        <v>344</v>
      </c>
      <c r="M94" s="2" t="s">
        <v>363</v>
      </c>
      <c r="N94" s="4" t="s">
        <v>565</v>
      </c>
      <c r="O94" s="4" t="s">
        <v>153</v>
      </c>
      <c r="P94" s="4" t="s">
        <v>34</v>
      </c>
      <c r="Q94" s="154">
        <v>3160</v>
      </c>
      <c r="R94" s="171">
        <v>3.71</v>
      </c>
      <c r="S94" s="173">
        <v>16719</v>
      </c>
      <c r="U94" s="154">
        <v>1960.069</v>
      </c>
      <c r="V94" s="170">
        <v>9.9999999999999995E-7</v>
      </c>
      <c r="W94" s="170">
        <v>1.2687478770306701E-2</v>
      </c>
      <c r="X94" s="170">
        <v>1.80930352853388E-3</v>
      </c>
    </row>
    <row r="95" spans="1:24">
      <c r="A95" s="4">
        <v>158</v>
      </c>
      <c r="B95" s="4">
        <v>9935</v>
      </c>
      <c r="C95" s="4" t="s">
        <v>1638</v>
      </c>
      <c r="D95" s="4" t="s">
        <v>1639</v>
      </c>
      <c r="E95" s="4" t="s">
        <v>331</v>
      </c>
      <c r="F95" s="4" t="s">
        <v>1640</v>
      </c>
      <c r="G95" s="4" t="s">
        <v>1641</v>
      </c>
      <c r="H95" s="4" t="s">
        <v>338</v>
      </c>
      <c r="I95" s="4" t="s">
        <v>949</v>
      </c>
      <c r="J95" s="4" t="s">
        <v>106</v>
      </c>
      <c r="K95" s="4" t="s">
        <v>107</v>
      </c>
      <c r="L95" s="2" t="s">
        <v>344</v>
      </c>
      <c r="M95" s="2" t="s">
        <v>361</v>
      </c>
      <c r="N95" s="4" t="s">
        <v>1642</v>
      </c>
      <c r="O95" s="4" t="s">
        <v>153</v>
      </c>
      <c r="P95" s="4" t="s">
        <v>34</v>
      </c>
      <c r="Q95" s="154">
        <v>1485</v>
      </c>
      <c r="R95" s="171">
        <v>3.71</v>
      </c>
      <c r="S95" s="173">
        <v>49380</v>
      </c>
      <c r="U95" s="154">
        <v>2720.5169999999998</v>
      </c>
      <c r="V95" s="170">
        <v>9.9999999999999995E-7</v>
      </c>
      <c r="W95" s="170">
        <v>1.7609843136692199E-2</v>
      </c>
      <c r="X95" s="170">
        <v>2.5112594788109502E-3</v>
      </c>
    </row>
    <row r="96" spans="1:24">
      <c r="A96" s="4">
        <v>158</v>
      </c>
      <c r="B96" s="4">
        <v>9935</v>
      </c>
      <c r="C96" s="4" t="s">
        <v>1643</v>
      </c>
      <c r="D96" s="4" t="s">
        <v>1644</v>
      </c>
      <c r="E96" s="4" t="s">
        <v>331</v>
      </c>
      <c r="F96" s="4" t="s">
        <v>1645</v>
      </c>
      <c r="G96" s="4" t="s">
        <v>1646</v>
      </c>
      <c r="H96" s="4" t="s">
        <v>338</v>
      </c>
      <c r="I96" s="4" t="s">
        <v>949</v>
      </c>
      <c r="J96" s="4" t="s">
        <v>106</v>
      </c>
      <c r="K96" s="4" t="s">
        <v>107</v>
      </c>
      <c r="L96" s="2" t="s">
        <v>344</v>
      </c>
      <c r="M96" s="2" t="s">
        <v>363</v>
      </c>
      <c r="N96" s="4" t="s">
        <v>560</v>
      </c>
      <c r="O96" s="4" t="s">
        <v>153</v>
      </c>
      <c r="P96" s="4" t="s">
        <v>34</v>
      </c>
      <c r="Q96" s="154">
        <v>2407</v>
      </c>
      <c r="R96" s="171">
        <v>3.71</v>
      </c>
      <c r="S96" s="173">
        <v>43030</v>
      </c>
      <c r="U96" s="154">
        <v>3842.5659999999998</v>
      </c>
      <c r="V96" s="170">
        <v>0</v>
      </c>
      <c r="W96" s="170">
        <v>2.48728404780038E-2</v>
      </c>
      <c r="X96" s="170">
        <v>3.5470024309979401E-3</v>
      </c>
    </row>
    <row r="97" spans="1:24">
      <c r="A97" s="4">
        <v>158</v>
      </c>
      <c r="B97" s="4">
        <v>9935</v>
      </c>
      <c r="C97" s="4" t="s">
        <v>1673</v>
      </c>
      <c r="D97" s="4" t="s">
        <v>1674</v>
      </c>
      <c r="E97" s="4" t="s">
        <v>331</v>
      </c>
      <c r="F97" s="4" t="s">
        <v>1675</v>
      </c>
      <c r="G97" s="4" t="s">
        <v>1676</v>
      </c>
      <c r="H97" s="4" t="s">
        <v>338</v>
      </c>
      <c r="I97" s="4" t="s">
        <v>949</v>
      </c>
      <c r="J97" s="4" t="s">
        <v>106</v>
      </c>
      <c r="K97" s="4" t="s">
        <v>107</v>
      </c>
      <c r="L97" s="2" t="s">
        <v>344</v>
      </c>
      <c r="M97" s="2" t="s">
        <v>363</v>
      </c>
      <c r="N97" s="4" t="s">
        <v>564</v>
      </c>
      <c r="O97" s="4" t="s">
        <v>153</v>
      </c>
      <c r="P97" s="4" t="s">
        <v>34</v>
      </c>
      <c r="Q97" s="154">
        <v>10550</v>
      </c>
      <c r="R97" s="171">
        <v>3.71</v>
      </c>
      <c r="S97" s="173">
        <v>12144</v>
      </c>
      <c r="T97" s="153">
        <v>7.9000000000000001E-2</v>
      </c>
      <c r="U97" s="154">
        <v>4753.5169999999998</v>
      </c>
      <c r="V97" s="170">
        <v>0</v>
      </c>
      <c r="W97" s="170">
        <v>3.0769403121740799E-2</v>
      </c>
      <c r="X97" s="170">
        <v>4.38788435802848E-3</v>
      </c>
    </row>
    <row r="98" spans="1:24">
      <c r="A98" s="4">
        <v>158</v>
      </c>
      <c r="B98" s="4">
        <v>9935</v>
      </c>
      <c r="C98" s="4" t="s">
        <v>1649</v>
      </c>
      <c r="D98" s="4" t="s">
        <v>1650</v>
      </c>
      <c r="E98" s="4" t="s">
        <v>330</v>
      </c>
      <c r="F98" s="4" t="s">
        <v>1651</v>
      </c>
      <c r="G98" s="4" t="s">
        <v>1652</v>
      </c>
      <c r="H98" s="4" t="s">
        <v>338</v>
      </c>
      <c r="I98" s="4" t="s">
        <v>949</v>
      </c>
      <c r="J98" s="4" t="s">
        <v>106</v>
      </c>
      <c r="K98" s="4" t="s">
        <v>107</v>
      </c>
      <c r="L98" s="2" t="s">
        <v>344</v>
      </c>
      <c r="M98" s="2" t="s">
        <v>361</v>
      </c>
      <c r="N98" s="4" t="s">
        <v>573</v>
      </c>
      <c r="O98" s="4" t="s">
        <v>153</v>
      </c>
      <c r="P98" s="4" t="s">
        <v>34</v>
      </c>
      <c r="Q98" s="154">
        <v>7655</v>
      </c>
      <c r="R98" s="171">
        <v>3.71</v>
      </c>
      <c r="S98" s="173">
        <v>7694</v>
      </c>
      <c r="U98" s="154">
        <v>2185.1</v>
      </c>
      <c r="V98" s="170">
        <v>1.26E-4</v>
      </c>
      <c r="W98" s="170">
        <v>1.4144100227771799E-2</v>
      </c>
      <c r="X98" s="170">
        <v>2.01702567652264E-3</v>
      </c>
    </row>
    <row r="99" spans="1:24">
      <c r="A99" s="4">
        <v>158</v>
      </c>
      <c r="B99" s="4">
        <v>9935</v>
      </c>
      <c r="C99" s="4" t="s">
        <v>1677</v>
      </c>
      <c r="D99" s="4" t="s">
        <v>1678</v>
      </c>
      <c r="E99" s="4" t="s">
        <v>331</v>
      </c>
      <c r="F99" s="4" t="s">
        <v>1679</v>
      </c>
      <c r="G99" s="4" t="s">
        <v>1680</v>
      </c>
      <c r="H99" s="4" t="s">
        <v>338</v>
      </c>
      <c r="I99" s="4" t="s">
        <v>949</v>
      </c>
      <c r="J99" s="4" t="s">
        <v>106</v>
      </c>
      <c r="K99" s="4" t="s">
        <v>107</v>
      </c>
      <c r="L99" s="2" t="s">
        <v>344</v>
      </c>
      <c r="M99" s="2" t="s">
        <v>397</v>
      </c>
      <c r="N99" s="4" t="s">
        <v>562</v>
      </c>
      <c r="O99" s="4" t="s">
        <v>153</v>
      </c>
      <c r="P99" s="4" t="s">
        <v>34</v>
      </c>
      <c r="Q99" s="154">
        <v>323</v>
      </c>
      <c r="R99" s="171">
        <v>3.71</v>
      </c>
      <c r="S99" s="173">
        <v>116900</v>
      </c>
      <c r="U99" s="154">
        <v>1400.848</v>
      </c>
      <c r="V99" s="170">
        <v>9.9999999999999995E-7</v>
      </c>
      <c r="W99" s="170">
        <v>9.0676548670915996E-3</v>
      </c>
      <c r="X99" s="170">
        <v>1.2930969378212899E-3</v>
      </c>
    </row>
    <row r="100" spans="1:24">
      <c r="A100" s="4">
        <v>158</v>
      </c>
      <c r="B100" s="4">
        <v>9935</v>
      </c>
      <c r="C100" s="4" t="s">
        <v>1681</v>
      </c>
      <c r="D100" s="4" t="s">
        <v>1682</v>
      </c>
      <c r="E100" s="4" t="s">
        <v>331</v>
      </c>
      <c r="F100" s="4" t="s">
        <v>1681</v>
      </c>
      <c r="G100" s="4" t="s">
        <v>1683</v>
      </c>
      <c r="H100" s="4" t="s">
        <v>338</v>
      </c>
      <c r="I100" s="4" t="s">
        <v>949</v>
      </c>
      <c r="J100" s="4" t="s">
        <v>106</v>
      </c>
      <c r="K100" s="4" t="s">
        <v>107</v>
      </c>
      <c r="L100" s="2" t="s">
        <v>344</v>
      </c>
      <c r="M100" s="2" t="s">
        <v>363</v>
      </c>
      <c r="N100" s="4" t="s">
        <v>528</v>
      </c>
      <c r="O100" s="4" t="s">
        <v>153</v>
      </c>
      <c r="P100" s="4" t="s">
        <v>34</v>
      </c>
      <c r="Q100" s="154">
        <v>1700</v>
      </c>
      <c r="R100" s="171">
        <v>3.71</v>
      </c>
      <c r="S100" s="173">
        <v>26163</v>
      </c>
      <c r="U100" s="154">
        <v>1650.1</v>
      </c>
      <c r="V100" s="170">
        <v>9.9999999999999995E-7</v>
      </c>
      <c r="W100" s="170">
        <v>1.06810613789437E-2</v>
      </c>
      <c r="X100" s="170">
        <v>1.52317748792123E-3</v>
      </c>
    </row>
    <row r="101" spans="1:24">
      <c r="A101" s="4">
        <v>158</v>
      </c>
      <c r="B101" s="4">
        <v>9935</v>
      </c>
      <c r="C101" s="4" t="s">
        <v>1684</v>
      </c>
      <c r="D101" s="4" t="s">
        <v>1685</v>
      </c>
      <c r="E101" s="4" t="s">
        <v>331</v>
      </c>
      <c r="F101" s="4" t="s">
        <v>1686</v>
      </c>
      <c r="G101" s="4" t="s">
        <v>1687</v>
      </c>
      <c r="H101" s="4" t="s">
        <v>338</v>
      </c>
      <c r="I101" s="4" t="s">
        <v>949</v>
      </c>
      <c r="J101" s="4" t="s">
        <v>106</v>
      </c>
      <c r="K101" s="4" t="s">
        <v>107</v>
      </c>
      <c r="L101" s="2" t="s">
        <v>344</v>
      </c>
      <c r="M101" s="2" t="s">
        <v>361</v>
      </c>
      <c r="N101" s="4" t="s">
        <v>1642</v>
      </c>
      <c r="O101" s="4" t="s">
        <v>153</v>
      </c>
      <c r="P101" s="4" t="s">
        <v>34</v>
      </c>
      <c r="Q101" s="154">
        <v>1800</v>
      </c>
      <c r="R101" s="171">
        <v>3.71</v>
      </c>
      <c r="S101" s="173">
        <v>27495</v>
      </c>
      <c r="U101" s="154">
        <v>1836.116</v>
      </c>
      <c r="V101" s="170">
        <v>9.9999999999999995E-7</v>
      </c>
      <c r="W101" s="170">
        <v>1.1885136591758501E-2</v>
      </c>
      <c r="X101" s="170">
        <v>1.6948851668546201E-3</v>
      </c>
    </row>
    <row r="102" spans="1:24">
      <c r="A102" s="4">
        <v>158</v>
      </c>
      <c r="B102" s="4">
        <v>9935</v>
      </c>
      <c r="C102" s="4" t="s">
        <v>1688</v>
      </c>
      <c r="D102" s="4" t="s">
        <v>1689</v>
      </c>
      <c r="E102" s="4" t="s">
        <v>331</v>
      </c>
      <c r="F102" s="4" t="s">
        <v>1690</v>
      </c>
      <c r="G102" s="4" t="s">
        <v>1691</v>
      </c>
      <c r="H102" s="4" t="s">
        <v>338</v>
      </c>
      <c r="I102" s="4" t="s">
        <v>949</v>
      </c>
      <c r="J102" s="4" t="s">
        <v>106</v>
      </c>
      <c r="K102" s="4" t="s">
        <v>107</v>
      </c>
      <c r="L102" s="2" t="s">
        <v>344</v>
      </c>
      <c r="M102" s="2" t="s">
        <v>361</v>
      </c>
      <c r="N102" s="4" t="s">
        <v>1633</v>
      </c>
      <c r="O102" s="4" t="s">
        <v>153</v>
      </c>
      <c r="P102" s="4" t="s">
        <v>34</v>
      </c>
      <c r="Q102" s="154">
        <v>6606</v>
      </c>
      <c r="R102" s="171">
        <v>3.71</v>
      </c>
      <c r="S102" s="173">
        <v>8075</v>
      </c>
      <c r="U102" s="154">
        <v>1979.0419999999999</v>
      </c>
      <c r="V102" s="170">
        <v>9.9999999999999995E-7</v>
      </c>
      <c r="W102" s="170">
        <v>1.2810292568863801E-2</v>
      </c>
      <c r="X102" s="170">
        <v>1.8268174446637001E-3</v>
      </c>
    </row>
    <row r="103" spans="1:24">
      <c r="A103" s="4">
        <v>158</v>
      </c>
      <c r="B103" s="4">
        <v>9935</v>
      </c>
      <c r="C103" s="4" t="s">
        <v>1692</v>
      </c>
      <c r="D103" s="4" t="s">
        <v>1693</v>
      </c>
      <c r="E103" s="4" t="s">
        <v>331</v>
      </c>
      <c r="F103" s="4" t="s">
        <v>1694</v>
      </c>
      <c r="G103" s="4" t="s">
        <v>1695</v>
      </c>
      <c r="H103" s="4" t="s">
        <v>338</v>
      </c>
      <c r="I103" s="4" t="s">
        <v>949</v>
      </c>
      <c r="J103" s="4" t="s">
        <v>106</v>
      </c>
      <c r="K103" s="4" t="s">
        <v>107</v>
      </c>
      <c r="L103" s="2" t="s">
        <v>344</v>
      </c>
      <c r="M103" s="2" t="s">
        <v>363</v>
      </c>
      <c r="N103" s="4" t="s">
        <v>560</v>
      </c>
      <c r="O103" s="4" t="s">
        <v>153</v>
      </c>
      <c r="P103" s="4" t="s">
        <v>34</v>
      </c>
      <c r="Q103" s="154">
        <v>16</v>
      </c>
      <c r="R103" s="171">
        <v>3.71</v>
      </c>
      <c r="S103" s="173">
        <v>27777</v>
      </c>
      <c r="U103" s="154">
        <v>16.488</v>
      </c>
      <c r="V103" s="170">
        <v>0</v>
      </c>
      <c r="W103" s="170">
        <v>1.06729203809751E-4</v>
      </c>
      <c r="X103" s="170">
        <v>1.52201653730079E-5</v>
      </c>
    </row>
    <row r="104" spans="1:24">
      <c r="A104" s="4">
        <v>158</v>
      </c>
      <c r="B104" s="4">
        <v>9935</v>
      </c>
      <c r="C104" s="4" t="s">
        <v>1696</v>
      </c>
      <c r="D104" s="4" t="s">
        <v>1697</v>
      </c>
      <c r="E104" s="4" t="s">
        <v>1343</v>
      </c>
      <c r="F104" s="4" t="s">
        <v>1696</v>
      </c>
      <c r="G104" s="4" t="s">
        <v>1698</v>
      </c>
      <c r="H104" s="4" t="s">
        <v>338</v>
      </c>
      <c r="I104" s="4" t="s">
        <v>949</v>
      </c>
      <c r="J104" s="4" t="s">
        <v>30</v>
      </c>
      <c r="K104" s="4" t="s">
        <v>30</v>
      </c>
      <c r="L104" s="2" t="s">
        <v>344</v>
      </c>
      <c r="M104" s="2" t="s">
        <v>363</v>
      </c>
      <c r="N104" s="4" t="s">
        <v>560</v>
      </c>
      <c r="O104" s="4" t="s">
        <v>153</v>
      </c>
      <c r="P104" s="4" t="s">
        <v>34</v>
      </c>
      <c r="Q104" s="154">
        <v>38</v>
      </c>
      <c r="R104" s="171">
        <v>3.71</v>
      </c>
      <c r="S104" s="173">
        <v>2904</v>
      </c>
      <c r="U104" s="154">
        <v>4.0940000000000003</v>
      </c>
      <c r="V104" s="170">
        <v>0</v>
      </c>
      <c r="W104" s="170">
        <v>2.6500749493316599E-5</v>
      </c>
      <c r="X104" s="170">
        <v>3.77915111702616E-6</v>
      </c>
    </row>
    <row r="105" spans="1:24">
      <c r="A105" s="4">
        <v>158</v>
      </c>
      <c r="B105" s="4">
        <v>9935</v>
      </c>
      <c r="C105" s="4" t="s">
        <v>1699</v>
      </c>
      <c r="D105" s="4" t="s">
        <v>1700</v>
      </c>
      <c r="E105" s="4" t="s">
        <v>331</v>
      </c>
      <c r="F105" s="4" t="s">
        <v>1699</v>
      </c>
      <c r="G105" s="4" t="s">
        <v>1701</v>
      </c>
      <c r="H105" s="4" t="s">
        <v>338</v>
      </c>
      <c r="I105" s="4" t="s">
        <v>949</v>
      </c>
      <c r="J105" s="4" t="s">
        <v>106</v>
      </c>
      <c r="K105" s="4" t="s">
        <v>107</v>
      </c>
      <c r="L105" s="2" t="s">
        <v>344</v>
      </c>
      <c r="M105" s="2" t="s">
        <v>363</v>
      </c>
      <c r="N105" s="4" t="s">
        <v>516</v>
      </c>
      <c r="O105" s="4" t="s">
        <v>153</v>
      </c>
      <c r="P105" s="4" t="s">
        <v>34</v>
      </c>
      <c r="Q105" s="154">
        <v>10</v>
      </c>
      <c r="R105" s="171">
        <v>3.71</v>
      </c>
      <c r="S105" s="173">
        <v>744</v>
      </c>
      <c r="U105" s="154">
        <v>0.27600000000000002</v>
      </c>
      <c r="V105" s="170">
        <v>0</v>
      </c>
      <c r="W105" s="170">
        <v>1.7866968992884201E-6</v>
      </c>
      <c r="X105" s="170">
        <v>2.5479270253982302E-7</v>
      </c>
    </row>
    <row r="106" spans="1:24">
      <c r="A106" s="4">
        <v>158</v>
      </c>
      <c r="B106" s="4">
        <v>9935</v>
      </c>
      <c r="C106" s="4" t="s">
        <v>1618</v>
      </c>
      <c r="D106" s="4" t="s">
        <v>1619</v>
      </c>
      <c r="E106" s="4" t="s">
        <v>331</v>
      </c>
      <c r="F106" s="4" t="s">
        <v>1620</v>
      </c>
      <c r="G106" s="4" t="s">
        <v>1621</v>
      </c>
      <c r="H106" s="4" t="s">
        <v>338</v>
      </c>
      <c r="I106" s="4" t="s">
        <v>949</v>
      </c>
      <c r="J106" s="4" t="s">
        <v>106</v>
      </c>
      <c r="K106" s="4" t="s">
        <v>107</v>
      </c>
      <c r="L106" s="2" t="s">
        <v>344</v>
      </c>
      <c r="M106" s="2" t="s">
        <v>363</v>
      </c>
      <c r="N106" s="4" t="s">
        <v>531</v>
      </c>
      <c r="O106" s="4" t="s">
        <v>153</v>
      </c>
      <c r="P106" s="4" t="s">
        <v>34</v>
      </c>
      <c r="Q106" s="154">
        <v>2800</v>
      </c>
      <c r="R106" s="171">
        <v>3.71</v>
      </c>
      <c r="S106" s="173">
        <v>18633</v>
      </c>
      <c r="U106" s="154">
        <v>1935.596</v>
      </c>
      <c r="V106" s="170">
        <v>0</v>
      </c>
      <c r="W106" s="170">
        <v>1.25290679178004E-2</v>
      </c>
      <c r="X106" s="170">
        <v>1.7867132787619199E-3</v>
      </c>
    </row>
    <row r="107" spans="1:24">
      <c r="A107" s="4">
        <v>158</v>
      </c>
      <c r="B107" s="4">
        <v>9935</v>
      </c>
      <c r="C107" s="4" t="s">
        <v>1622</v>
      </c>
      <c r="D107" s="4" t="s">
        <v>1623</v>
      </c>
      <c r="E107" s="4" t="s">
        <v>331</v>
      </c>
      <c r="F107" s="4" t="s">
        <v>1624</v>
      </c>
      <c r="G107" s="4" t="s">
        <v>1625</v>
      </c>
      <c r="H107" s="4" t="s">
        <v>338</v>
      </c>
      <c r="I107" s="4" t="s">
        <v>949</v>
      </c>
      <c r="J107" s="4" t="s">
        <v>106</v>
      </c>
      <c r="K107" s="4" t="s">
        <v>107</v>
      </c>
      <c r="L107" s="2" t="s">
        <v>344</v>
      </c>
      <c r="M107" s="2" t="s">
        <v>363</v>
      </c>
      <c r="N107" s="4" t="s">
        <v>564</v>
      </c>
      <c r="O107" s="4" t="s">
        <v>153</v>
      </c>
      <c r="P107" s="4" t="s">
        <v>34</v>
      </c>
      <c r="Q107" s="154">
        <v>280</v>
      </c>
      <c r="R107" s="171">
        <v>3.71</v>
      </c>
      <c r="S107" s="173">
        <v>83325</v>
      </c>
      <c r="U107" s="154">
        <v>865.58</v>
      </c>
      <c r="V107" s="170">
        <v>9.9999999999999995E-7</v>
      </c>
      <c r="W107" s="170">
        <v>5.6028797523249999E-3</v>
      </c>
      <c r="X107" s="170">
        <v>7.9900114824685699E-4</v>
      </c>
    </row>
    <row r="108" spans="1:24">
      <c r="A108" s="4">
        <v>158</v>
      </c>
      <c r="B108" s="4">
        <v>9935</v>
      </c>
      <c r="C108" s="4" t="s">
        <v>1626</v>
      </c>
      <c r="D108" s="4" t="s">
        <v>1627</v>
      </c>
      <c r="E108" s="4" t="s">
        <v>331</v>
      </c>
      <c r="F108" s="4" t="s">
        <v>1628</v>
      </c>
      <c r="G108" s="4" t="s">
        <v>1629</v>
      </c>
      <c r="H108" s="4" t="s">
        <v>338</v>
      </c>
      <c r="I108" s="4" t="s">
        <v>949</v>
      </c>
      <c r="J108" s="4" t="s">
        <v>106</v>
      </c>
      <c r="K108" s="4" t="s">
        <v>107</v>
      </c>
      <c r="L108" s="2" t="s">
        <v>344</v>
      </c>
      <c r="M108" s="2" t="s">
        <v>363</v>
      </c>
      <c r="N108" s="4" t="s">
        <v>564</v>
      </c>
      <c r="O108" s="4" t="s">
        <v>153</v>
      </c>
      <c r="P108" s="4" t="s">
        <v>34</v>
      </c>
      <c r="Q108" s="154">
        <v>1350</v>
      </c>
      <c r="R108" s="171">
        <v>3.71</v>
      </c>
      <c r="S108" s="173">
        <v>17250</v>
      </c>
      <c r="U108" s="154">
        <v>863.96600000000001</v>
      </c>
      <c r="V108" s="170">
        <v>3.0000000000000001E-6</v>
      </c>
      <c r="W108" s="170">
        <v>5.5924333390025499E-3</v>
      </c>
      <c r="X108" s="170">
        <v>7.9751143284894298E-4</v>
      </c>
    </row>
    <row r="109" spans="1:24">
      <c r="A109" s="4">
        <v>158</v>
      </c>
      <c r="B109" s="4">
        <v>9935</v>
      </c>
      <c r="C109" s="4" t="s">
        <v>1610</v>
      </c>
      <c r="D109" s="4" t="s">
        <v>1611</v>
      </c>
      <c r="E109" s="4" t="s">
        <v>1343</v>
      </c>
      <c r="F109" s="4" t="s">
        <v>1702</v>
      </c>
      <c r="G109" s="4" t="s">
        <v>1613</v>
      </c>
      <c r="H109" s="4" t="s">
        <v>338</v>
      </c>
      <c r="I109" s="4" t="s">
        <v>949</v>
      </c>
      <c r="J109" s="4" t="s">
        <v>106</v>
      </c>
      <c r="K109" s="4" t="s">
        <v>315</v>
      </c>
      <c r="L109" s="2" t="s">
        <v>344</v>
      </c>
      <c r="M109" s="2" t="s">
        <v>363</v>
      </c>
      <c r="N109" s="4" t="s">
        <v>564</v>
      </c>
      <c r="O109" s="4" t="s">
        <v>153</v>
      </c>
      <c r="P109" s="4" t="s">
        <v>34</v>
      </c>
      <c r="Q109" s="154">
        <v>4015</v>
      </c>
      <c r="R109" s="171">
        <v>3.71</v>
      </c>
      <c r="S109" s="173">
        <v>7985</v>
      </c>
      <c r="U109" s="154">
        <v>1189.4179999999999</v>
      </c>
      <c r="V109" s="170">
        <v>9.2999999999999997E-5</v>
      </c>
      <c r="W109" s="170">
        <v>7.6990726591914397E-3</v>
      </c>
      <c r="X109" s="170">
        <v>1.09792966600385E-3</v>
      </c>
    </row>
    <row r="110" spans="1:24">
      <c r="A110" s="4">
        <v>158</v>
      </c>
      <c r="B110" s="4">
        <v>9935</v>
      </c>
      <c r="C110" s="4" t="s">
        <v>1630</v>
      </c>
      <c r="D110" s="4" t="s">
        <v>1631</v>
      </c>
      <c r="E110" s="4" t="s">
        <v>331</v>
      </c>
      <c r="F110" s="4" t="s">
        <v>1630</v>
      </c>
      <c r="G110" s="4" t="s">
        <v>1632</v>
      </c>
      <c r="H110" s="4" t="s">
        <v>338</v>
      </c>
      <c r="I110" s="4" t="s">
        <v>949</v>
      </c>
      <c r="J110" s="4" t="s">
        <v>106</v>
      </c>
      <c r="K110" s="4" t="s">
        <v>315</v>
      </c>
      <c r="L110" s="2" t="s">
        <v>344</v>
      </c>
      <c r="M110" s="2" t="s">
        <v>363</v>
      </c>
      <c r="N110" s="4" t="s">
        <v>1633</v>
      </c>
      <c r="O110" s="4" t="s">
        <v>153</v>
      </c>
      <c r="P110" s="4" t="s">
        <v>34</v>
      </c>
      <c r="Q110" s="154">
        <v>255</v>
      </c>
      <c r="R110" s="171">
        <v>3.71</v>
      </c>
      <c r="S110" s="173">
        <v>88652</v>
      </c>
      <c r="U110" s="154">
        <v>838.69200000000001</v>
      </c>
      <c r="V110" s="170">
        <v>9.9999999999999995E-7</v>
      </c>
      <c r="W110" s="170">
        <v>5.4288353019499701E-3</v>
      </c>
      <c r="X110" s="170">
        <v>7.7418146232767601E-4</v>
      </c>
    </row>
    <row r="111" spans="1:24">
      <c r="A111" s="4">
        <v>158</v>
      </c>
      <c r="B111" s="4">
        <v>9935</v>
      </c>
      <c r="C111" s="4" t="s">
        <v>1634</v>
      </c>
      <c r="D111" s="4" t="s">
        <v>1635</v>
      </c>
      <c r="E111" s="4" t="s">
        <v>331</v>
      </c>
      <c r="F111" s="4" t="s">
        <v>1636</v>
      </c>
      <c r="G111" s="4" t="s">
        <v>1637</v>
      </c>
      <c r="H111" s="4" t="s">
        <v>338</v>
      </c>
      <c r="I111" s="4" t="s">
        <v>949</v>
      </c>
      <c r="J111" s="4" t="s">
        <v>106</v>
      </c>
      <c r="K111" s="4" t="s">
        <v>107</v>
      </c>
      <c r="L111" s="2" t="s">
        <v>344</v>
      </c>
      <c r="M111" s="2" t="s">
        <v>363</v>
      </c>
      <c r="N111" s="4" t="s">
        <v>565</v>
      </c>
      <c r="O111" s="4" t="s">
        <v>153</v>
      </c>
      <c r="P111" s="4" t="s">
        <v>34</v>
      </c>
      <c r="Q111" s="154">
        <v>8119</v>
      </c>
      <c r="R111" s="171">
        <v>3.71</v>
      </c>
      <c r="S111" s="173">
        <v>16719</v>
      </c>
      <c r="U111" s="154">
        <v>5036.0119999999997</v>
      </c>
      <c r="V111" s="170">
        <v>9.9999999999999995E-7</v>
      </c>
      <c r="W111" s="170">
        <v>3.2597987384848003E-2</v>
      </c>
      <c r="X111" s="170">
        <v>4.6486504266349798E-3</v>
      </c>
    </row>
    <row r="112" spans="1:24">
      <c r="A112" s="4">
        <v>158</v>
      </c>
      <c r="B112" s="4">
        <v>9935</v>
      </c>
      <c r="C112" s="4" t="s">
        <v>1638</v>
      </c>
      <c r="D112" s="4" t="s">
        <v>1639</v>
      </c>
      <c r="E112" s="4" t="s">
        <v>331</v>
      </c>
      <c r="F112" s="4" t="s">
        <v>1640</v>
      </c>
      <c r="G112" s="4" t="s">
        <v>1641</v>
      </c>
      <c r="H112" s="4" t="s">
        <v>338</v>
      </c>
      <c r="I112" s="4" t="s">
        <v>949</v>
      </c>
      <c r="J112" s="4" t="s">
        <v>106</v>
      </c>
      <c r="K112" s="4" t="s">
        <v>107</v>
      </c>
      <c r="L112" s="2" t="s">
        <v>344</v>
      </c>
      <c r="M112" s="2" t="s">
        <v>361</v>
      </c>
      <c r="N112" s="4" t="s">
        <v>1642</v>
      </c>
      <c r="O112" s="4" t="s">
        <v>153</v>
      </c>
      <c r="P112" s="4" t="s">
        <v>34</v>
      </c>
      <c r="Q112" s="154">
        <v>1000</v>
      </c>
      <c r="R112" s="171">
        <v>3.71</v>
      </c>
      <c r="S112" s="173">
        <v>49380</v>
      </c>
      <c r="U112" s="154">
        <v>1831.998</v>
      </c>
      <c r="V112" s="170">
        <v>9.9999999999999995E-7</v>
      </c>
      <c r="W112" s="170">
        <v>1.18584802267288E-2</v>
      </c>
      <c r="X112" s="170">
        <v>1.69108382411512E-3</v>
      </c>
    </row>
    <row r="113" spans="1:24">
      <c r="A113" s="4">
        <v>158</v>
      </c>
      <c r="B113" s="4">
        <v>9935</v>
      </c>
      <c r="C113" s="4" t="s">
        <v>1643</v>
      </c>
      <c r="D113" s="4" t="s">
        <v>1644</v>
      </c>
      <c r="E113" s="4" t="s">
        <v>331</v>
      </c>
      <c r="F113" s="4" t="s">
        <v>1645</v>
      </c>
      <c r="G113" s="4" t="s">
        <v>1646</v>
      </c>
      <c r="H113" s="4" t="s">
        <v>338</v>
      </c>
      <c r="I113" s="4" t="s">
        <v>949</v>
      </c>
      <c r="J113" s="4" t="s">
        <v>106</v>
      </c>
      <c r="K113" s="4" t="s">
        <v>107</v>
      </c>
      <c r="L113" s="2" t="s">
        <v>344</v>
      </c>
      <c r="M113" s="2" t="s">
        <v>363</v>
      </c>
      <c r="N113" s="4" t="s">
        <v>560</v>
      </c>
      <c r="O113" s="4" t="s">
        <v>153</v>
      </c>
      <c r="P113" s="4" t="s">
        <v>34</v>
      </c>
      <c r="Q113" s="154">
        <v>441</v>
      </c>
      <c r="R113" s="171">
        <v>3.71</v>
      </c>
      <c r="S113" s="173">
        <v>43030</v>
      </c>
      <c r="U113" s="154">
        <v>704.01800000000003</v>
      </c>
      <c r="V113" s="170">
        <v>0</v>
      </c>
      <c r="W113" s="170">
        <v>4.5570929168257798E-3</v>
      </c>
      <c r="X113" s="170">
        <v>6.4986625345662301E-4</v>
      </c>
    </row>
    <row r="114" spans="1:24">
      <c r="A114" s="4">
        <v>158</v>
      </c>
      <c r="B114" s="4">
        <v>9935</v>
      </c>
      <c r="C114" s="4" t="s">
        <v>1649</v>
      </c>
      <c r="D114" s="4" t="s">
        <v>1650</v>
      </c>
      <c r="E114" s="4" t="s">
        <v>330</v>
      </c>
      <c r="F114" s="4" t="s">
        <v>1651</v>
      </c>
      <c r="G114" s="4" t="s">
        <v>1652</v>
      </c>
      <c r="H114" s="4" t="s">
        <v>338</v>
      </c>
      <c r="I114" s="4" t="s">
        <v>949</v>
      </c>
      <c r="J114" s="4" t="s">
        <v>106</v>
      </c>
      <c r="K114" s="4" t="s">
        <v>107</v>
      </c>
      <c r="L114" s="2" t="s">
        <v>344</v>
      </c>
      <c r="M114" s="2" t="s">
        <v>361</v>
      </c>
      <c r="N114" s="4" t="s">
        <v>573</v>
      </c>
      <c r="O114" s="4" t="s">
        <v>153</v>
      </c>
      <c r="P114" s="4" t="s">
        <v>34</v>
      </c>
      <c r="Q114" s="154">
        <v>1413</v>
      </c>
      <c r="R114" s="171">
        <v>3.71</v>
      </c>
      <c r="S114" s="173">
        <v>7694</v>
      </c>
      <c r="U114" s="154">
        <v>403.33699999999999</v>
      </c>
      <c r="V114" s="170">
        <v>2.3E-5</v>
      </c>
      <c r="W114" s="170">
        <v>2.6107921125854499E-3</v>
      </c>
      <c r="X114" s="170">
        <v>3.7231316537250002E-4</v>
      </c>
    </row>
    <row r="115" spans="1:24">
      <c r="A115" s="4">
        <v>158</v>
      </c>
      <c r="B115" s="4">
        <v>9935</v>
      </c>
      <c r="C115" s="4" t="s">
        <v>1703</v>
      </c>
      <c r="D115" s="4" t="s">
        <v>1704</v>
      </c>
      <c r="E115" s="4" t="s">
        <v>331</v>
      </c>
      <c r="F115" s="4" t="s">
        <v>1705</v>
      </c>
      <c r="G115" s="4" t="s">
        <v>1706</v>
      </c>
      <c r="H115" s="4" t="s">
        <v>338</v>
      </c>
      <c r="I115" s="4" t="s">
        <v>949</v>
      </c>
      <c r="J115" s="4" t="s">
        <v>106</v>
      </c>
      <c r="K115" s="4" t="s">
        <v>107</v>
      </c>
      <c r="L115" s="2" t="s">
        <v>344</v>
      </c>
      <c r="M115" s="2" t="s">
        <v>363</v>
      </c>
      <c r="N115" s="4" t="s">
        <v>533</v>
      </c>
      <c r="O115" s="4" t="s">
        <v>153</v>
      </c>
      <c r="P115" s="4" t="s">
        <v>34</v>
      </c>
      <c r="Q115" s="154">
        <v>66988</v>
      </c>
      <c r="R115" s="171">
        <v>3.71</v>
      </c>
      <c r="S115" s="173">
        <v>7.68</v>
      </c>
      <c r="U115" s="154">
        <v>19.087</v>
      </c>
      <c r="V115" s="170">
        <v>1.2300000000000001E-4</v>
      </c>
      <c r="W115" s="170">
        <v>1.2354813098274301E-4</v>
      </c>
      <c r="X115" s="170">
        <v>1.7618635930567899E-5</v>
      </c>
    </row>
    <row r="116" spans="1:24">
      <c r="A116" s="4">
        <v>158</v>
      </c>
      <c r="B116" s="4">
        <v>9936</v>
      </c>
      <c r="C116" s="4" t="s">
        <v>1511</v>
      </c>
      <c r="D116" s="4" t="s">
        <v>1512</v>
      </c>
      <c r="E116" s="4" t="s">
        <v>1343</v>
      </c>
      <c r="F116" s="4" t="s">
        <v>1513</v>
      </c>
      <c r="G116" s="4" t="s">
        <v>1514</v>
      </c>
      <c r="H116" s="4" t="s">
        <v>338</v>
      </c>
      <c r="I116" s="4" t="s">
        <v>949</v>
      </c>
      <c r="J116" s="4" t="s">
        <v>30</v>
      </c>
      <c r="K116" s="4" t="s">
        <v>315</v>
      </c>
      <c r="L116" s="2" t="s">
        <v>344</v>
      </c>
      <c r="M116" s="2" t="s">
        <v>363</v>
      </c>
      <c r="N116" s="4" t="s">
        <v>473</v>
      </c>
      <c r="O116" s="4" t="s">
        <v>153</v>
      </c>
      <c r="P116" s="4" t="s">
        <v>34</v>
      </c>
      <c r="Q116" s="154">
        <v>45</v>
      </c>
      <c r="R116" s="171">
        <v>3.71</v>
      </c>
      <c r="S116" s="173">
        <v>20834</v>
      </c>
      <c r="U116" s="154">
        <v>34.781999999999996</v>
      </c>
      <c r="V116" s="170">
        <v>1.9999999999999999E-6</v>
      </c>
      <c r="W116" s="170">
        <v>2.03520023983614E-2</v>
      </c>
      <c r="X116" s="170">
        <v>2.17568690297976E-3</v>
      </c>
    </row>
    <row r="117" spans="1:24">
      <c r="A117" s="4">
        <v>158</v>
      </c>
      <c r="B117" s="4">
        <v>9936</v>
      </c>
      <c r="C117" s="4" t="s">
        <v>1515</v>
      </c>
      <c r="D117" s="4" t="s">
        <v>1516</v>
      </c>
      <c r="E117" s="4" t="s">
        <v>1343</v>
      </c>
      <c r="F117" s="4" t="s">
        <v>1517</v>
      </c>
      <c r="G117" s="4" t="s">
        <v>1518</v>
      </c>
      <c r="H117" s="4" t="s">
        <v>338</v>
      </c>
      <c r="I117" s="4" t="s">
        <v>949</v>
      </c>
      <c r="J117" s="4" t="s">
        <v>30</v>
      </c>
      <c r="K117" s="4" t="s">
        <v>30</v>
      </c>
      <c r="L117" s="2" t="s">
        <v>344</v>
      </c>
      <c r="M117" s="2" t="s">
        <v>56</v>
      </c>
      <c r="N117" s="4" t="s">
        <v>461</v>
      </c>
      <c r="O117" s="4" t="s">
        <v>153</v>
      </c>
      <c r="P117" s="4" t="s">
        <v>44</v>
      </c>
      <c r="Q117" s="154">
        <v>33</v>
      </c>
      <c r="R117" s="171">
        <v>1</v>
      </c>
      <c r="S117" s="173">
        <v>74080</v>
      </c>
      <c r="U117" s="154">
        <v>24.446000000000002</v>
      </c>
      <c r="V117" s="170">
        <v>9.9999999999999995E-7</v>
      </c>
      <c r="W117" s="170">
        <v>1.4304180294803501E-2</v>
      </c>
      <c r="X117" s="170">
        <v>1.52915753035538E-3</v>
      </c>
    </row>
    <row r="118" spans="1:24">
      <c r="A118" s="4">
        <v>158</v>
      </c>
      <c r="B118" s="4">
        <v>9936</v>
      </c>
      <c r="C118" s="4" t="s">
        <v>1519</v>
      </c>
      <c r="D118" s="4" t="s">
        <v>1520</v>
      </c>
      <c r="E118" s="4" t="s">
        <v>1343</v>
      </c>
      <c r="F118" s="4" t="s">
        <v>1521</v>
      </c>
      <c r="G118" s="4" t="s">
        <v>1522</v>
      </c>
      <c r="H118" s="4" t="s">
        <v>338</v>
      </c>
      <c r="I118" s="4" t="s">
        <v>949</v>
      </c>
      <c r="J118" s="4" t="s">
        <v>30</v>
      </c>
      <c r="K118" s="4" t="s">
        <v>30</v>
      </c>
      <c r="L118" s="2" t="s">
        <v>344</v>
      </c>
      <c r="M118" s="2" t="s">
        <v>56</v>
      </c>
      <c r="N118" s="4" t="s">
        <v>479</v>
      </c>
      <c r="O118" s="4" t="s">
        <v>153</v>
      </c>
      <c r="P118" s="4" t="s">
        <v>44</v>
      </c>
      <c r="Q118" s="154">
        <v>560</v>
      </c>
      <c r="R118" s="171">
        <v>1</v>
      </c>
      <c r="S118" s="173">
        <v>2855</v>
      </c>
      <c r="U118" s="154">
        <v>15.988</v>
      </c>
      <c r="V118" s="170">
        <v>3.0000000000000001E-6</v>
      </c>
      <c r="W118" s="170">
        <v>9.3549657435580708E-3</v>
      </c>
      <c r="X118" s="170">
        <v>1.0000724276507699E-3</v>
      </c>
    </row>
    <row r="119" spans="1:24">
      <c r="A119" s="4">
        <v>158</v>
      </c>
      <c r="B119" s="4">
        <v>9936</v>
      </c>
      <c r="C119" s="4" t="s">
        <v>1523</v>
      </c>
      <c r="D119" s="4" t="s">
        <v>1524</v>
      </c>
      <c r="E119" s="4" t="s">
        <v>1343</v>
      </c>
      <c r="F119" s="4" t="s">
        <v>1525</v>
      </c>
      <c r="G119" s="4" t="s">
        <v>1526</v>
      </c>
      <c r="H119" s="4" t="s">
        <v>338</v>
      </c>
      <c r="I119" s="4" t="s">
        <v>949</v>
      </c>
      <c r="J119" s="4" t="s">
        <v>30</v>
      </c>
      <c r="K119" s="4" t="s">
        <v>30</v>
      </c>
      <c r="L119" s="2" t="s">
        <v>344</v>
      </c>
      <c r="M119" s="2" t="s">
        <v>56</v>
      </c>
      <c r="N119" s="4" t="s">
        <v>479</v>
      </c>
      <c r="O119" s="4" t="s">
        <v>153</v>
      </c>
      <c r="P119" s="4" t="s">
        <v>44</v>
      </c>
      <c r="Q119" s="154">
        <v>2388</v>
      </c>
      <c r="R119" s="171">
        <v>1</v>
      </c>
      <c r="S119" s="173">
        <v>1609</v>
      </c>
      <c r="U119" s="154">
        <v>38.423000000000002</v>
      </c>
      <c r="V119" s="170">
        <v>5.0000000000000004E-6</v>
      </c>
      <c r="W119" s="170">
        <v>2.2482180408273201E-2</v>
      </c>
      <c r="X119" s="170">
        <v>2.4034089868546099E-3</v>
      </c>
    </row>
    <row r="120" spans="1:24">
      <c r="A120" s="4">
        <v>158</v>
      </c>
      <c r="B120" s="4">
        <v>9936</v>
      </c>
      <c r="C120" s="4" t="s">
        <v>1527</v>
      </c>
      <c r="D120" s="4" t="s">
        <v>1528</v>
      </c>
      <c r="E120" s="4" t="s">
        <v>1343</v>
      </c>
      <c r="F120" s="4" t="s">
        <v>1529</v>
      </c>
      <c r="G120" s="4" t="s">
        <v>1530</v>
      </c>
      <c r="H120" s="4" t="s">
        <v>338</v>
      </c>
      <c r="I120" s="4" t="s">
        <v>949</v>
      </c>
      <c r="J120" s="4" t="s">
        <v>30</v>
      </c>
      <c r="K120" s="4" t="s">
        <v>107</v>
      </c>
      <c r="L120" s="2" t="s">
        <v>344</v>
      </c>
      <c r="M120" s="2" t="s">
        <v>56</v>
      </c>
      <c r="N120" s="4" t="s">
        <v>456</v>
      </c>
      <c r="O120" s="4" t="s">
        <v>153</v>
      </c>
      <c r="P120" s="4" t="s">
        <v>44</v>
      </c>
      <c r="Q120" s="154">
        <v>424.1</v>
      </c>
      <c r="R120" s="171">
        <v>1</v>
      </c>
      <c r="S120" s="173">
        <v>6254</v>
      </c>
      <c r="U120" s="154">
        <v>26.523</v>
      </c>
      <c r="V120" s="170">
        <v>3.9999999999999998E-6</v>
      </c>
      <c r="W120" s="170">
        <v>1.55193744295134E-2</v>
      </c>
      <c r="X120" s="170">
        <v>1.6590652373080399E-3</v>
      </c>
    </row>
    <row r="121" spans="1:24">
      <c r="A121" s="4">
        <v>158</v>
      </c>
      <c r="B121" s="4">
        <v>9936</v>
      </c>
      <c r="C121" s="4" t="s">
        <v>1531</v>
      </c>
      <c r="D121" s="4" t="s">
        <v>1532</v>
      </c>
      <c r="E121" s="4" t="s">
        <v>1343</v>
      </c>
      <c r="F121" s="4" t="s">
        <v>1533</v>
      </c>
      <c r="G121" s="4" t="s">
        <v>1534</v>
      </c>
      <c r="H121" s="4" t="s">
        <v>338</v>
      </c>
      <c r="I121" s="4" t="s">
        <v>949</v>
      </c>
      <c r="J121" s="4" t="s">
        <v>30</v>
      </c>
      <c r="K121" s="4" t="s">
        <v>30</v>
      </c>
      <c r="L121" s="2" t="s">
        <v>344</v>
      </c>
      <c r="M121" s="2" t="s">
        <v>56</v>
      </c>
      <c r="N121" s="4" t="s">
        <v>456</v>
      </c>
      <c r="O121" s="4" t="s">
        <v>153</v>
      </c>
      <c r="P121" s="4" t="s">
        <v>44</v>
      </c>
      <c r="Q121" s="154">
        <v>6217</v>
      </c>
      <c r="R121" s="171">
        <v>1</v>
      </c>
      <c r="S121" s="173">
        <v>1348</v>
      </c>
      <c r="U121" s="154">
        <v>83.805000000000007</v>
      </c>
      <c r="V121" s="170">
        <v>1.1E-5</v>
      </c>
      <c r="W121" s="170">
        <v>4.9036427378871802E-2</v>
      </c>
      <c r="X121" s="170">
        <v>5.2421334632762996E-3</v>
      </c>
    </row>
    <row r="122" spans="1:24">
      <c r="A122" s="4">
        <v>158</v>
      </c>
      <c r="B122" s="4">
        <v>9936</v>
      </c>
      <c r="C122" s="4" t="s">
        <v>1535</v>
      </c>
      <c r="D122" s="4" t="s">
        <v>1536</v>
      </c>
      <c r="E122" s="4" t="s">
        <v>1343</v>
      </c>
      <c r="F122" s="4" t="s">
        <v>1537</v>
      </c>
      <c r="G122" s="4" t="s">
        <v>1538</v>
      </c>
      <c r="H122" s="4" t="s">
        <v>338</v>
      </c>
      <c r="I122" s="4" t="s">
        <v>949</v>
      </c>
      <c r="J122" s="4" t="s">
        <v>30</v>
      </c>
      <c r="K122" s="4" t="s">
        <v>30</v>
      </c>
      <c r="L122" s="2" t="s">
        <v>344</v>
      </c>
      <c r="M122" s="2" t="s">
        <v>56</v>
      </c>
      <c r="N122" s="4" t="s">
        <v>462</v>
      </c>
      <c r="O122" s="4" t="s">
        <v>153</v>
      </c>
      <c r="P122" s="4" t="s">
        <v>44</v>
      </c>
      <c r="Q122" s="154">
        <v>98</v>
      </c>
      <c r="R122" s="171">
        <v>1</v>
      </c>
      <c r="S122" s="173">
        <v>24250</v>
      </c>
      <c r="U122" s="154">
        <v>23.765000000000001</v>
      </c>
      <c r="V122" s="170">
        <v>7.9999999999999996E-6</v>
      </c>
      <c r="W122" s="170">
        <v>1.3905476663476199E-2</v>
      </c>
      <c r="X122" s="170">
        <v>1.48653497892924E-3</v>
      </c>
    </row>
    <row r="123" spans="1:24">
      <c r="A123" s="4">
        <v>158</v>
      </c>
      <c r="B123" s="4">
        <v>9936</v>
      </c>
      <c r="C123" s="4" t="s">
        <v>1539</v>
      </c>
      <c r="D123" s="4" t="s">
        <v>1540</v>
      </c>
      <c r="E123" s="4" t="s">
        <v>1343</v>
      </c>
      <c r="F123" s="4" t="s">
        <v>1541</v>
      </c>
      <c r="G123" s="4" t="s">
        <v>1542</v>
      </c>
      <c r="H123" s="4" t="s">
        <v>338</v>
      </c>
      <c r="I123" s="4" t="s">
        <v>949</v>
      </c>
      <c r="J123" s="4" t="s">
        <v>30</v>
      </c>
      <c r="K123" s="4" t="s">
        <v>30</v>
      </c>
      <c r="L123" s="2" t="s">
        <v>344</v>
      </c>
      <c r="M123" s="2" t="s">
        <v>56</v>
      </c>
      <c r="N123" s="4" t="s">
        <v>500</v>
      </c>
      <c r="O123" s="4" t="s">
        <v>153</v>
      </c>
      <c r="P123" s="4" t="s">
        <v>44</v>
      </c>
      <c r="Q123" s="154">
        <v>15003</v>
      </c>
      <c r="R123" s="171">
        <v>1</v>
      </c>
      <c r="S123" s="173">
        <v>428.6</v>
      </c>
      <c r="T123" s="153">
        <v>2.206</v>
      </c>
      <c r="U123" s="154">
        <v>66.509</v>
      </c>
      <c r="V123" s="170">
        <v>5.0000000000000004E-6</v>
      </c>
      <c r="W123" s="170">
        <v>3.8915954173910597E-2</v>
      </c>
      <c r="X123" s="170">
        <v>4.1602261121959699E-3</v>
      </c>
    </row>
    <row r="124" spans="1:24">
      <c r="A124" s="4">
        <v>158</v>
      </c>
      <c r="B124" s="4">
        <v>9936</v>
      </c>
      <c r="C124" s="4" t="s">
        <v>1543</v>
      </c>
      <c r="D124" s="4" t="s">
        <v>1544</v>
      </c>
      <c r="E124" s="4" t="s">
        <v>1343</v>
      </c>
      <c r="F124" s="4" t="s">
        <v>1545</v>
      </c>
      <c r="G124" s="4" t="s">
        <v>1546</v>
      </c>
      <c r="H124" s="4" t="s">
        <v>338</v>
      </c>
      <c r="I124" s="4" t="s">
        <v>949</v>
      </c>
      <c r="J124" s="4" t="s">
        <v>30</v>
      </c>
      <c r="K124" s="4" t="s">
        <v>30</v>
      </c>
      <c r="L124" s="2" t="s">
        <v>344</v>
      </c>
      <c r="M124" s="2" t="s">
        <v>56</v>
      </c>
      <c r="N124" s="4" t="s">
        <v>463</v>
      </c>
      <c r="O124" s="4" t="s">
        <v>153</v>
      </c>
      <c r="P124" s="4" t="s">
        <v>44</v>
      </c>
      <c r="Q124" s="154">
        <v>7020</v>
      </c>
      <c r="R124" s="171">
        <v>1</v>
      </c>
      <c r="S124" s="173">
        <v>2085</v>
      </c>
      <c r="U124" s="154">
        <v>146.36699999999999</v>
      </c>
      <c r="V124" s="170">
        <v>6.0000000000000002E-6</v>
      </c>
      <c r="W124" s="170">
        <v>8.5642874092279497E-2</v>
      </c>
      <c r="X124" s="170">
        <v>9.1554666636202604E-3</v>
      </c>
    </row>
    <row r="125" spans="1:24">
      <c r="A125" s="4">
        <v>158</v>
      </c>
      <c r="B125" s="4">
        <v>9936</v>
      </c>
      <c r="C125" s="4" t="s">
        <v>1547</v>
      </c>
      <c r="D125" s="4" t="s">
        <v>1548</v>
      </c>
      <c r="E125" s="4" t="s">
        <v>1343</v>
      </c>
      <c r="F125" s="4" t="s">
        <v>1549</v>
      </c>
      <c r="G125" s="4" t="s">
        <v>1550</v>
      </c>
      <c r="H125" s="4" t="s">
        <v>338</v>
      </c>
      <c r="I125" s="4" t="s">
        <v>949</v>
      </c>
      <c r="J125" s="4" t="s">
        <v>30</v>
      </c>
      <c r="K125" s="4" t="s">
        <v>30</v>
      </c>
      <c r="L125" s="2" t="s">
        <v>344</v>
      </c>
      <c r="M125" s="2" t="s">
        <v>56</v>
      </c>
      <c r="N125" s="4" t="s">
        <v>462</v>
      </c>
      <c r="O125" s="4" t="s">
        <v>153</v>
      </c>
      <c r="P125" s="4" t="s">
        <v>44</v>
      </c>
      <c r="Q125" s="154">
        <v>145</v>
      </c>
      <c r="R125" s="171">
        <v>1</v>
      </c>
      <c r="S125" s="173">
        <v>33200</v>
      </c>
      <c r="U125" s="154">
        <v>48.14</v>
      </c>
      <c r="V125" s="170">
        <v>6.9999999999999999E-6</v>
      </c>
      <c r="W125" s="170">
        <v>2.8167879090248E-2</v>
      </c>
      <c r="X125" s="170">
        <v>3.0112263364465998E-3</v>
      </c>
    </row>
    <row r="126" spans="1:24">
      <c r="A126" s="4">
        <v>158</v>
      </c>
      <c r="B126" s="4">
        <v>9936</v>
      </c>
      <c r="C126" s="4" t="s">
        <v>1551</v>
      </c>
      <c r="D126" s="4" t="s">
        <v>1552</v>
      </c>
      <c r="E126" s="4" t="s">
        <v>1343</v>
      </c>
      <c r="F126" s="4" t="s">
        <v>1553</v>
      </c>
      <c r="G126" s="4" t="s">
        <v>1554</v>
      </c>
      <c r="H126" s="4" t="s">
        <v>338</v>
      </c>
      <c r="I126" s="4" t="s">
        <v>949</v>
      </c>
      <c r="J126" s="4" t="s">
        <v>30</v>
      </c>
      <c r="K126" s="4" t="s">
        <v>30</v>
      </c>
      <c r="L126" s="2" t="s">
        <v>344</v>
      </c>
      <c r="M126" s="2" t="s">
        <v>56</v>
      </c>
      <c r="N126" s="4" t="s">
        <v>460</v>
      </c>
      <c r="O126" s="4" t="s">
        <v>153</v>
      </c>
      <c r="P126" s="4" t="s">
        <v>44</v>
      </c>
      <c r="Q126" s="154">
        <v>654</v>
      </c>
      <c r="R126" s="171">
        <v>1</v>
      </c>
      <c r="S126" s="173">
        <v>4200</v>
      </c>
      <c r="U126" s="154">
        <v>27.468</v>
      </c>
      <c r="V126" s="170">
        <v>3.0000000000000001E-6</v>
      </c>
      <c r="W126" s="170">
        <v>1.6072191583941301E-2</v>
      </c>
      <c r="X126" s="170">
        <v>1.7181629623912601E-3</v>
      </c>
    </row>
    <row r="127" spans="1:24">
      <c r="A127" s="4">
        <v>158</v>
      </c>
      <c r="B127" s="4">
        <v>9936</v>
      </c>
      <c r="C127" s="4" t="s">
        <v>1555</v>
      </c>
      <c r="D127" s="4" t="s">
        <v>1556</v>
      </c>
      <c r="E127" s="4" t="s">
        <v>1343</v>
      </c>
      <c r="F127" s="4" t="s">
        <v>1557</v>
      </c>
      <c r="G127" s="4" t="s">
        <v>1558</v>
      </c>
      <c r="H127" s="4" t="s">
        <v>338</v>
      </c>
      <c r="I127" s="4" t="s">
        <v>949</v>
      </c>
      <c r="J127" s="4" t="s">
        <v>30</v>
      </c>
      <c r="K127" s="4" t="s">
        <v>107</v>
      </c>
      <c r="L127" s="2" t="s">
        <v>344</v>
      </c>
      <c r="M127" s="2" t="s">
        <v>56</v>
      </c>
      <c r="N127" s="4" t="s">
        <v>482</v>
      </c>
      <c r="O127" s="4" t="s">
        <v>153</v>
      </c>
      <c r="P127" s="4" t="s">
        <v>44</v>
      </c>
      <c r="Q127" s="154">
        <v>370</v>
      </c>
      <c r="R127" s="171">
        <v>1</v>
      </c>
      <c r="S127" s="173">
        <v>6629</v>
      </c>
      <c r="U127" s="154">
        <v>24.527000000000001</v>
      </c>
      <c r="V127" s="170">
        <v>0</v>
      </c>
      <c r="W127" s="170">
        <v>1.4351516842755299E-2</v>
      </c>
      <c r="X127" s="170">
        <v>1.53421794187633E-3</v>
      </c>
    </row>
    <row r="128" spans="1:24">
      <c r="A128" s="4">
        <v>158</v>
      </c>
      <c r="B128" s="4">
        <v>9936</v>
      </c>
      <c r="C128" s="4" t="s">
        <v>1559</v>
      </c>
      <c r="D128" s="4" t="s">
        <v>1560</v>
      </c>
      <c r="E128" s="4" t="s">
        <v>1343</v>
      </c>
      <c r="F128" s="4" t="s">
        <v>1561</v>
      </c>
      <c r="G128" s="4" t="s">
        <v>1562</v>
      </c>
      <c r="H128" s="4" t="s">
        <v>338</v>
      </c>
      <c r="I128" s="4" t="s">
        <v>949</v>
      </c>
      <c r="J128" s="4" t="s">
        <v>30</v>
      </c>
      <c r="K128" s="4" t="s">
        <v>30</v>
      </c>
      <c r="L128" s="2" t="s">
        <v>344</v>
      </c>
      <c r="M128" s="2" t="s">
        <v>56</v>
      </c>
      <c r="N128" s="4" t="s">
        <v>462</v>
      </c>
      <c r="O128" s="4" t="s">
        <v>153</v>
      </c>
      <c r="P128" s="4" t="s">
        <v>44</v>
      </c>
      <c r="Q128" s="154">
        <v>2900</v>
      </c>
      <c r="R128" s="171">
        <v>1</v>
      </c>
      <c r="S128" s="173">
        <v>1373</v>
      </c>
      <c r="U128" s="154">
        <v>39.817</v>
      </c>
      <c r="V128" s="170">
        <v>9.0000000000000002E-6</v>
      </c>
      <c r="W128" s="170">
        <v>2.3297890355970199E-2</v>
      </c>
      <c r="X128" s="170">
        <v>2.49061069875975E-3</v>
      </c>
    </row>
    <row r="129" spans="1:24">
      <c r="A129" s="4">
        <v>158</v>
      </c>
      <c r="B129" s="4">
        <v>9936</v>
      </c>
      <c r="C129" s="4" t="s">
        <v>1563</v>
      </c>
      <c r="D129" s="4" t="s">
        <v>1564</v>
      </c>
      <c r="E129" s="4" t="s">
        <v>1343</v>
      </c>
      <c r="F129" s="4" t="s">
        <v>1565</v>
      </c>
      <c r="G129" s="4" t="s">
        <v>1566</v>
      </c>
      <c r="H129" s="4" t="s">
        <v>338</v>
      </c>
      <c r="I129" s="4" t="s">
        <v>949</v>
      </c>
      <c r="J129" s="4" t="s">
        <v>30</v>
      </c>
      <c r="K129" s="4" t="s">
        <v>30</v>
      </c>
      <c r="L129" s="2" t="s">
        <v>344</v>
      </c>
      <c r="M129" s="2" t="s">
        <v>56</v>
      </c>
      <c r="N129" s="4" t="s">
        <v>460</v>
      </c>
      <c r="O129" s="4" t="s">
        <v>153</v>
      </c>
      <c r="P129" s="4" t="s">
        <v>44</v>
      </c>
      <c r="Q129" s="154">
        <v>450</v>
      </c>
      <c r="R129" s="171">
        <v>1</v>
      </c>
      <c r="S129" s="173">
        <v>6329</v>
      </c>
      <c r="U129" s="154">
        <v>28.48</v>
      </c>
      <c r="V129" s="170">
        <v>6.0000000000000002E-6</v>
      </c>
      <c r="W129" s="170">
        <v>1.66646298385918E-2</v>
      </c>
      <c r="X129" s="170">
        <v>1.7814962957035201E-3</v>
      </c>
    </row>
    <row r="130" spans="1:24">
      <c r="A130" s="4">
        <v>158</v>
      </c>
      <c r="B130" s="4">
        <v>9936</v>
      </c>
      <c r="C130" s="4" t="s">
        <v>1196</v>
      </c>
      <c r="D130" s="4" t="s">
        <v>1567</v>
      </c>
      <c r="E130" s="4" t="s">
        <v>1343</v>
      </c>
      <c r="F130" s="4" t="s">
        <v>1568</v>
      </c>
      <c r="G130" s="4" t="s">
        <v>1569</v>
      </c>
      <c r="H130" s="4" t="s">
        <v>338</v>
      </c>
      <c r="I130" s="4" t="s">
        <v>949</v>
      </c>
      <c r="J130" s="4" t="s">
        <v>30</v>
      </c>
      <c r="K130" s="4" t="s">
        <v>30</v>
      </c>
      <c r="L130" s="2" t="s">
        <v>344</v>
      </c>
      <c r="M130" s="2" t="s">
        <v>56</v>
      </c>
      <c r="N130" s="4" t="s">
        <v>463</v>
      </c>
      <c r="O130" s="4" t="s">
        <v>153</v>
      </c>
      <c r="P130" s="4" t="s">
        <v>44</v>
      </c>
      <c r="Q130" s="154">
        <v>5782</v>
      </c>
      <c r="R130" s="171">
        <v>1</v>
      </c>
      <c r="S130" s="173">
        <v>3644</v>
      </c>
      <c r="U130" s="154">
        <v>210.696</v>
      </c>
      <c r="V130" s="170">
        <v>3.9999999999999998E-6</v>
      </c>
      <c r="W130" s="170">
        <v>0.123283375700649</v>
      </c>
      <c r="X130" s="170">
        <v>1.31793432713349E-2</v>
      </c>
    </row>
    <row r="131" spans="1:24">
      <c r="A131" s="4">
        <v>158</v>
      </c>
      <c r="B131" s="4">
        <v>9936</v>
      </c>
      <c r="C131" s="4" t="s">
        <v>1570</v>
      </c>
      <c r="D131" s="4" t="s">
        <v>1571</v>
      </c>
      <c r="E131" s="4" t="s">
        <v>1343</v>
      </c>
      <c r="F131" s="4" t="s">
        <v>1572</v>
      </c>
      <c r="G131" s="4" t="s">
        <v>1573</v>
      </c>
      <c r="H131" s="4" t="s">
        <v>338</v>
      </c>
      <c r="I131" s="4" t="s">
        <v>949</v>
      </c>
      <c r="J131" s="4" t="s">
        <v>30</v>
      </c>
      <c r="K131" s="4" t="s">
        <v>30</v>
      </c>
      <c r="L131" s="2" t="s">
        <v>344</v>
      </c>
      <c r="M131" s="2" t="s">
        <v>56</v>
      </c>
      <c r="N131" s="4" t="s">
        <v>463</v>
      </c>
      <c r="O131" s="4" t="s">
        <v>153</v>
      </c>
      <c r="P131" s="4" t="s">
        <v>44</v>
      </c>
      <c r="Q131" s="154">
        <v>414</v>
      </c>
      <c r="R131" s="171">
        <v>1</v>
      </c>
      <c r="S131" s="173">
        <v>14550</v>
      </c>
      <c r="U131" s="154">
        <v>60.237000000000002</v>
      </c>
      <c r="V131" s="170">
        <v>1.9999999999999999E-6</v>
      </c>
      <c r="W131" s="170">
        <v>3.5246126563341702E-2</v>
      </c>
      <c r="X131" s="170">
        <v>3.7679111098573698E-3</v>
      </c>
    </row>
    <row r="132" spans="1:24">
      <c r="A132" s="4">
        <v>158</v>
      </c>
      <c r="B132" s="4">
        <v>9936</v>
      </c>
      <c r="C132" s="4" t="s">
        <v>1574</v>
      </c>
      <c r="D132" s="4" t="s">
        <v>1575</v>
      </c>
      <c r="E132" s="4" t="s">
        <v>1343</v>
      </c>
      <c r="F132" s="4" t="s">
        <v>1576</v>
      </c>
      <c r="G132" s="4" t="s">
        <v>1577</v>
      </c>
      <c r="H132" s="4" t="s">
        <v>338</v>
      </c>
      <c r="I132" s="4" t="s">
        <v>949</v>
      </c>
      <c r="J132" s="4" t="s">
        <v>30</v>
      </c>
      <c r="K132" s="4" t="s">
        <v>30</v>
      </c>
      <c r="L132" s="2" t="s">
        <v>344</v>
      </c>
      <c r="M132" s="2" t="s">
        <v>56</v>
      </c>
      <c r="N132" s="4" t="s">
        <v>492</v>
      </c>
      <c r="O132" s="4" t="s">
        <v>153</v>
      </c>
      <c r="P132" s="4" t="s">
        <v>44</v>
      </c>
      <c r="Q132" s="154">
        <v>488</v>
      </c>
      <c r="R132" s="171">
        <v>1</v>
      </c>
      <c r="S132" s="173">
        <v>7125</v>
      </c>
      <c r="T132" s="153">
        <v>0.4</v>
      </c>
      <c r="U132" s="154">
        <v>35.17</v>
      </c>
      <c r="V132" s="170">
        <v>7.9999999999999996E-6</v>
      </c>
      <c r="W132" s="170">
        <v>2.0578911808572499E-2</v>
      </c>
      <c r="X132" s="170">
        <v>2.1999441638770401E-3</v>
      </c>
    </row>
    <row r="133" spans="1:24">
      <c r="A133" s="4">
        <v>158</v>
      </c>
      <c r="B133" s="4">
        <v>9936</v>
      </c>
      <c r="C133" s="4" t="s">
        <v>1578</v>
      </c>
      <c r="D133" s="4" t="s">
        <v>1579</v>
      </c>
      <c r="E133" s="4" t="s">
        <v>1343</v>
      </c>
      <c r="F133" s="4" t="s">
        <v>1580</v>
      </c>
      <c r="G133" s="4" t="s">
        <v>1581</v>
      </c>
      <c r="H133" s="4" t="s">
        <v>338</v>
      </c>
      <c r="I133" s="4" t="s">
        <v>949</v>
      </c>
      <c r="J133" s="4" t="s">
        <v>30</v>
      </c>
      <c r="K133" s="4" t="s">
        <v>30</v>
      </c>
      <c r="L133" s="2" t="s">
        <v>344</v>
      </c>
      <c r="M133" s="2" t="s">
        <v>56</v>
      </c>
      <c r="N133" s="4" t="s">
        <v>479</v>
      </c>
      <c r="O133" s="4" t="s">
        <v>153</v>
      </c>
      <c r="P133" s="4" t="s">
        <v>44</v>
      </c>
      <c r="Q133" s="154">
        <v>94</v>
      </c>
      <c r="R133" s="171">
        <v>1</v>
      </c>
      <c r="S133" s="173">
        <v>28210</v>
      </c>
      <c r="U133" s="154">
        <v>26.516999999999999</v>
      </c>
      <c r="V133" s="170">
        <v>1.9999999999999999E-6</v>
      </c>
      <c r="W133" s="170">
        <v>1.55159725174022E-2</v>
      </c>
      <c r="X133" s="170">
        <v>1.6587015632340901E-3</v>
      </c>
    </row>
    <row r="134" spans="1:24">
      <c r="A134" s="4">
        <v>158</v>
      </c>
      <c r="B134" s="4">
        <v>9936</v>
      </c>
      <c r="C134" s="4" t="s">
        <v>1511</v>
      </c>
      <c r="D134" s="4" t="s">
        <v>1512</v>
      </c>
      <c r="E134" s="4" t="s">
        <v>1343</v>
      </c>
      <c r="F134" s="4" t="s">
        <v>1582</v>
      </c>
      <c r="G134" s="4" t="s">
        <v>1514</v>
      </c>
      <c r="H134" s="4" t="s">
        <v>338</v>
      </c>
      <c r="I134" s="4" t="s">
        <v>949</v>
      </c>
      <c r="J134" s="4" t="s">
        <v>30</v>
      </c>
      <c r="K134" s="4" t="s">
        <v>315</v>
      </c>
      <c r="L134" s="2" t="s">
        <v>344</v>
      </c>
      <c r="M134" s="2" t="s">
        <v>56</v>
      </c>
      <c r="N134" s="4" t="s">
        <v>473</v>
      </c>
      <c r="O134" s="4" t="s">
        <v>153</v>
      </c>
      <c r="P134" s="4" t="s">
        <v>44</v>
      </c>
      <c r="Q134" s="154">
        <v>22</v>
      </c>
      <c r="R134" s="171">
        <v>1</v>
      </c>
      <c r="S134" s="173">
        <v>77890</v>
      </c>
      <c r="U134" s="154">
        <v>17.135999999999999</v>
      </c>
      <c r="V134" s="170">
        <v>9.9999999999999995E-7</v>
      </c>
      <c r="W134" s="170">
        <v>1.0026571302756001E-2</v>
      </c>
      <c r="X134" s="170">
        <v>1.0718689708367601E-3</v>
      </c>
    </row>
    <row r="135" spans="1:24">
      <c r="A135" s="4">
        <v>158</v>
      </c>
      <c r="B135" s="4">
        <v>9936</v>
      </c>
      <c r="C135" s="4" t="s">
        <v>1583</v>
      </c>
      <c r="D135" s="4" t="s">
        <v>1584</v>
      </c>
      <c r="E135" s="4" t="s">
        <v>329</v>
      </c>
      <c r="F135" s="4" t="s">
        <v>1585</v>
      </c>
      <c r="G135" s="4" t="s">
        <v>1586</v>
      </c>
      <c r="H135" s="4" t="s">
        <v>338</v>
      </c>
      <c r="I135" s="4" t="s">
        <v>949</v>
      </c>
      <c r="J135" s="4" t="s">
        <v>30</v>
      </c>
      <c r="K135" s="4" t="s">
        <v>30</v>
      </c>
      <c r="L135" s="2" t="s">
        <v>344</v>
      </c>
      <c r="M135" s="2" t="s">
        <v>56</v>
      </c>
      <c r="N135" s="4" t="s">
        <v>469</v>
      </c>
      <c r="O135" s="4" t="s">
        <v>153</v>
      </c>
      <c r="P135" s="4" t="s">
        <v>44</v>
      </c>
      <c r="Q135" s="154">
        <v>2886</v>
      </c>
      <c r="R135" s="171">
        <v>1</v>
      </c>
      <c r="S135" s="173">
        <v>1025</v>
      </c>
      <c r="U135" s="154">
        <v>29.581</v>
      </c>
      <c r="V135" s="170">
        <v>1.9999999999999999E-6</v>
      </c>
      <c r="W135" s="170">
        <v>1.7308851585130298E-2</v>
      </c>
      <c r="X135" s="170">
        <v>1.8503654314830701E-3</v>
      </c>
    </row>
    <row r="136" spans="1:24">
      <c r="A136" s="4">
        <v>158</v>
      </c>
      <c r="B136" s="4">
        <v>9936</v>
      </c>
      <c r="C136" s="4" t="s">
        <v>1587</v>
      </c>
      <c r="D136" s="4" t="s">
        <v>1588</v>
      </c>
      <c r="E136" s="4" t="s">
        <v>1343</v>
      </c>
      <c r="F136" s="4" t="s">
        <v>1589</v>
      </c>
      <c r="G136" s="4" t="s">
        <v>1590</v>
      </c>
      <c r="H136" s="4" t="s">
        <v>338</v>
      </c>
      <c r="I136" s="4" t="s">
        <v>949</v>
      </c>
      <c r="J136" s="4" t="s">
        <v>30</v>
      </c>
      <c r="K136" s="4" t="s">
        <v>107</v>
      </c>
      <c r="L136" s="2" t="s">
        <v>344</v>
      </c>
      <c r="M136" s="2" t="s">
        <v>56</v>
      </c>
      <c r="N136" s="4" t="s">
        <v>496</v>
      </c>
      <c r="O136" s="4" t="s">
        <v>153</v>
      </c>
      <c r="P136" s="4" t="s">
        <v>44</v>
      </c>
      <c r="Q136" s="154">
        <v>60</v>
      </c>
      <c r="R136" s="171">
        <v>1</v>
      </c>
      <c r="S136" s="173">
        <v>64880</v>
      </c>
      <c r="U136" s="154">
        <v>38.927999999999997</v>
      </c>
      <c r="V136" s="170">
        <v>9.9999999999999995E-7</v>
      </c>
      <c r="W136" s="170">
        <v>2.2777714940281999E-2</v>
      </c>
      <c r="X136" s="170">
        <v>2.4350024683255801E-3</v>
      </c>
    </row>
    <row r="137" spans="1:24">
      <c r="A137" s="4">
        <v>158</v>
      </c>
      <c r="B137" s="4">
        <v>9936</v>
      </c>
      <c r="C137" s="4" t="s">
        <v>1591</v>
      </c>
      <c r="D137" s="4" t="s">
        <v>1592</v>
      </c>
      <c r="E137" s="4" t="s">
        <v>1343</v>
      </c>
      <c r="F137" s="4" t="s">
        <v>1591</v>
      </c>
      <c r="G137" s="4" t="s">
        <v>1593</v>
      </c>
      <c r="H137" s="4" t="s">
        <v>338</v>
      </c>
      <c r="I137" s="4" t="s">
        <v>949</v>
      </c>
      <c r="J137" s="4" t="s">
        <v>30</v>
      </c>
      <c r="K137" s="4" t="s">
        <v>30</v>
      </c>
      <c r="L137" s="2" t="s">
        <v>344</v>
      </c>
      <c r="M137" s="2" t="s">
        <v>56</v>
      </c>
      <c r="N137" s="4" t="s">
        <v>454</v>
      </c>
      <c r="O137" s="4" t="s">
        <v>153</v>
      </c>
      <c r="P137" s="4" t="s">
        <v>44</v>
      </c>
      <c r="Q137" s="154">
        <v>600</v>
      </c>
      <c r="R137" s="171">
        <v>1</v>
      </c>
      <c r="S137" s="173">
        <v>3950</v>
      </c>
      <c r="U137" s="154">
        <v>23.7</v>
      </c>
      <c r="V137" s="170">
        <v>6.9999999999999999E-6</v>
      </c>
      <c r="W137" s="170">
        <v>1.38674435903381E-2</v>
      </c>
      <c r="X137" s="170">
        <v>1.48246913530919E-3</v>
      </c>
    </row>
    <row r="138" spans="1:24">
      <c r="A138" s="4">
        <v>158</v>
      </c>
      <c r="B138" s="4">
        <v>9936</v>
      </c>
      <c r="C138" s="4" t="s">
        <v>1594</v>
      </c>
      <c r="D138" s="4" t="s">
        <v>1595</v>
      </c>
      <c r="E138" s="4" t="s">
        <v>1343</v>
      </c>
      <c r="F138" s="4" t="s">
        <v>1596</v>
      </c>
      <c r="G138" s="4" t="s">
        <v>1597</v>
      </c>
      <c r="H138" s="4" t="s">
        <v>338</v>
      </c>
      <c r="I138" s="4" t="s">
        <v>949</v>
      </c>
      <c r="J138" s="4" t="s">
        <v>30</v>
      </c>
      <c r="K138" s="4" t="s">
        <v>30</v>
      </c>
      <c r="L138" s="2" t="s">
        <v>344</v>
      </c>
      <c r="M138" s="2" t="s">
        <v>56</v>
      </c>
      <c r="N138" s="4" t="s">
        <v>479</v>
      </c>
      <c r="O138" s="4" t="s">
        <v>153</v>
      </c>
      <c r="P138" s="4" t="s">
        <v>44</v>
      </c>
      <c r="Q138" s="154">
        <v>220</v>
      </c>
      <c r="R138" s="171">
        <v>1</v>
      </c>
      <c r="S138" s="173">
        <v>25940</v>
      </c>
      <c r="U138" s="154">
        <v>57.067999999999998</v>
      </c>
      <c r="V138" s="170">
        <v>1.9999999999999999E-6</v>
      </c>
      <c r="W138" s="170">
        <v>3.3391867966810901E-2</v>
      </c>
      <c r="X138" s="170">
        <v>3.5696855955200399E-3</v>
      </c>
    </row>
    <row r="139" spans="1:24">
      <c r="A139" s="4">
        <v>158</v>
      </c>
      <c r="B139" s="4">
        <v>9936</v>
      </c>
      <c r="C139" s="4" t="s">
        <v>1598</v>
      </c>
      <c r="D139" s="4" t="s">
        <v>1599</v>
      </c>
      <c r="E139" s="4" t="s">
        <v>1343</v>
      </c>
      <c r="F139" s="4" t="s">
        <v>1600</v>
      </c>
      <c r="G139" s="4" t="s">
        <v>1601</v>
      </c>
      <c r="H139" s="4" t="s">
        <v>338</v>
      </c>
      <c r="I139" s="4" t="s">
        <v>949</v>
      </c>
      <c r="J139" s="4" t="s">
        <v>30</v>
      </c>
      <c r="K139" s="4" t="s">
        <v>30</v>
      </c>
      <c r="L139" s="2" t="s">
        <v>344</v>
      </c>
      <c r="M139" s="2" t="s">
        <v>56</v>
      </c>
      <c r="N139" s="4" t="s">
        <v>463</v>
      </c>
      <c r="O139" s="4" t="s">
        <v>153</v>
      </c>
      <c r="P139" s="4" t="s">
        <v>44</v>
      </c>
      <c r="Q139" s="154">
        <v>3422</v>
      </c>
      <c r="R139" s="171">
        <v>1</v>
      </c>
      <c r="S139" s="173">
        <v>3729</v>
      </c>
      <c r="U139" s="154">
        <v>127.60599999999999</v>
      </c>
      <c r="V139" s="170">
        <v>3.0000000000000001E-6</v>
      </c>
      <c r="W139" s="170">
        <v>7.4665581283428401E-2</v>
      </c>
      <c r="X139" s="170">
        <v>7.9819628615416006E-3</v>
      </c>
    </row>
    <row r="140" spans="1:24">
      <c r="A140" s="4">
        <v>158</v>
      </c>
      <c r="B140" s="4">
        <v>9936</v>
      </c>
      <c r="C140" s="4" t="s">
        <v>1602</v>
      </c>
      <c r="D140" s="4" t="s">
        <v>1603</v>
      </c>
      <c r="E140" s="4" t="s">
        <v>1343</v>
      </c>
      <c r="F140" s="4" t="s">
        <v>1604</v>
      </c>
      <c r="G140" s="4" t="s">
        <v>1605</v>
      </c>
      <c r="H140" s="4" t="s">
        <v>338</v>
      </c>
      <c r="I140" s="4" t="s">
        <v>949</v>
      </c>
      <c r="J140" s="4" t="s">
        <v>30</v>
      </c>
      <c r="K140" s="4" t="s">
        <v>30</v>
      </c>
      <c r="L140" s="2" t="s">
        <v>344</v>
      </c>
      <c r="M140" s="2" t="s">
        <v>56</v>
      </c>
      <c r="N140" s="4" t="s">
        <v>491</v>
      </c>
      <c r="O140" s="4" t="s">
        <v>153</v>
      </c>
      <c r="P140" s="4" t="s">
        <v>44</v>
      </c>
      <c r="Q140" s="154">
        <v>101</v>
      </c>
      <c r="R140" s="171">
        <v>1</v>
      </c>
      <c r="S140" s="173">
        <v>28150</v>
      </c>
      <c r="U140" s="154">
        <v>28.431000000000001</v>
      </c>
      <c r="V140" s="170">
        <v>6.9999999999999999E-6</v>
      </c>
      <c r="W140" s="170">
        <v>1.66359587526877E-2</v>
      </c>
      <c r="X140" s="170">
        <v>1.7784312751284101E-3</v>
      </c>
    </row>
    <row r="141" spans="1:24">
      <c r="A141" s="4">
        <v>158</v>
      </c>
      <c r="B141" s="4">
        <v>9936</v>
      </c>
      <c r="C141" s="4" t="s">
        <v>1606</v>
      </c>
      <c r="D141" s="4" t="s">
        <v>1607</v>
      </c>
      <c r="E141" s="4" t="s">
        <v>1343</v>
      </c>
      <c r="F141" s="4" t="s">
        <v>1608</v>
      </c>
      <c r="G141" s="4" t="s">
        <v>1609</v>
      </c>
      <c r="H141" s="4" t="s">
        <v>338</v>
      </c>
      <c r="I141" s="4" t="s">
        <v>949</v>
      </c>
      <c r="J141" s="4" t="s">
        <v>30</v>
      </c>
      <c r="K141" s="4" t="s">
        <v>30</v>
      </c>
      <c r="L141" s="2" t="s">
        <v>344</v>
      </c>
      <c r="M141" s="2" t="s">
        <v>56</v>
      </c>
      <c r="N141" s="4" t="s">
        <v>492</v>
      </c>
      <c r="O141" s="4" t="s">
        <v>153</v>
      </c>
      <c r="P141" s="4" t="s">
        <v>44</v>
      </c>
      <c r="Q141" s="154">
        <v>74</v>
      </c>
      <c r="R141" s="171">
        <v>1</v>
      </c>
      <c r="S141" s="173">
        <v>29830</v>
      </c>
      <c r="U141" s="154">
        <v>22.074000000000002</v>
      </c>
      <c r="V141" s="170">
        <v>5.0000000000000004E-6</v>
      </c>
      <c r="W141" s="170">
        <v>1.2916148662525001E-2</v>
      </c>
      <c r="X141" s="170">
        <v>1.3807730036557899E-3</v>
      </c>
    </row>
    <row r="142" spans="1:24">
      <c r="A142" s="4">
        <v>158</v>
      </c>
      <c r="B142" s="4">
        <v>9936</v>
      </c>
      <c r="C142" s="4" t="s">
        <v>1610</v>
      </c>
      <c r="D142" s="4" t="s">
        <v>1611</v>
      </c>
      <c r="E142" s="4" t="s">
        <v>1343</v>
      </c>
      <c r="F142" s="4" t="s">
        <v>1612</v>
      </c>
      <c r="G142" s="4" t="s">
        <v>1613</v>
      </c>
      <c r="H142" s="4" t="s">
        <v>338</v>
      </c>
      <c r="I142" s="4" t="s">
        <v>949</v>
      </c>
      <c r="J142" s="4" t="s">
        <v>30</v>
      </c>
      <c r="K142" s="4" t="s">
        <v>315</v>
      </c>
      <c r="L142" s="2" t="s">
        <v>344</v>
      </c>
      <c r="M142" s="2" t="s">
        <v>56</v>
      </c>
      <c r="N142" s="4" t="s">
        <v>473</v>
      </c>
      <c r="O142" s="4" t="s">
        <v>153</v>
      </c>
      <c r="P142" s="4" t="s">
        <v>44</v>
      </c>
      <c r="Q142" s="154">
        <v>150</v>
      </c>
      <c r="R142" s="171">
        <v>1</v>
      </c>
      <c r="S142" s="173">
        <v>29980</v>
      </c>
      <c r="U142" s="154">
        <v>44.97</v>
      </c>
      <c r="V142" s="170">
        <v>3.0000000000000001E-6</v>
      </c>
      <c r="W142" s="170">
        <v>2.6313035369515E-2</v>
      </c>
      <c r="X142" s="170">
        <v>2.81293827066896E-3</v>
      </c>
    </row>
    <row r="143" spans="1:24">
      <c r="A143" s="4">
        <v>158</v>
      </c>
      <c r="B143" s="4">
        <v>9936</v>
      </c>
      <c r="C143" s="4" t="s">
        <v>1614</v>
      </c>
      <c r="D143" s="4" t="s">
        <v>1615</v>
      </c>
      <c r="E143" s="4" t="s">
        <v>331</v>
      </c>
      <c r="F143" s="4" t="s">
        <v>1616</v>
      </c>
      <c r="G143" s="4" t="s">
        <v>1617</v>
      </c>
      <c r="H143" s="4" t="s">
        <v>338</v>
      </c>
      <c r="I143" s="4" t="s">
        <v>949</v>
      </c>
      <c r="J143" s="4" t="s">
        <v>106</v>
      </c>
      <c r="K143" s="4" t="s">
        <v>107</v>
      </c>
      <c r="L143" s="2" t="s">
        <v>344</v>
      </c>
      <c r="M143" s="2" t="s">
        <v>363</v>
      </c>
      <c r="N143" s="4" t="s">
        <v>564</v>
      </c>
      <c r="O143" s="4" t="s">
        <v>153</v>
      </c>
      <c r="P143" s="4" t="s">
        <v>34</v>
      </c>
      <c r="Q143" s="154">
        <v>50</v>
      </c>
      <c r="R143" s="171">
        <v>3.71</v>
      </c>
      <c r="S143" s="173">
        <v>16408</v>
      </c>
      <c r="U143" s="154">
        <v>30.437000000000001</v>
      </c>
      <c r="V143" s="170">
        <v>0</v>
      </c>
      <c r="W143" s="170">
        <v>1.7809331720175001E-2</v>
      </c>
      <c r="X143" s="170">
        <v>1.90386818043646E-3</v>
      </c>
    </row>
    <row r="144" spans="1:24">
      <c r="A144" s="4">
        <v>158</v>
      </c>
      <c r="B144" s="4">
        <v>9936</v>
      </c>
      <c r="C144" s="4" t="s">
        <v>1618</v>
      </c>
      <c r="D144" s="4" t="s">
        <v>1619</v>
      </c>
      <c r="E144" s="4" t="s">
        <v>331</v>
      </c>
      <c r="F144" s="4" t="s">
        <v>1620</v>
      </c>
      <c r="G144" s="4" t="s">
        <v>1621</v>
      </c>
      <c r="H144" s="4" t="s">
        <v>338</v>
      </c>
      <c r="I144" s="4" t="s">
        <v>949</v>
      </c>
      <c r="J144" s="4" t="s">
        <v>106</v>
      </c>
      <c r="K144" s="4" t="s">
        <v>107</v>
      </c>
      <c r="L144" s="2" t="s">
        <v>344</v>
      </c>
      <c r="M144" s="2" t="s">
        <v>363</v>
      </c>
      <c r="N144" s="4" t="s">
        <v>531</v>
      </c>
      <c r="O144" s="4" t="s">
        <v>153</v>
      </c>
      <c r="P144" s="4" t="s">
        <v>34</v>
      </c>
      <c r="Q144" s="154">
        <v>80</v>
      </c>
      <c r="R144" s="171">
        <v>3.71</v>
      </c>
      <c r="S144" s="173">
        <v>18633</v>
      </c>
      <c r="U144" s="154">
        <v>55.302999999999997</v>
      </c>
      <c r="V144" s="170">
        <v>0</v>
      </c>
      <c r="W144" s="170">
        <v>3.2358973958266299E-2</v>
      </c>
      <c r="X144" s="170">
        <v>3.4592662902069799E-3</v>
      </c>
    </row>
    <row r="145" spans="1:24">
      <c r="A145" s="4">
        <v>158</v>
      </c>
      <c r="B145" s="4">
        <v>9936</v>
      </c>
      <c r="C145" s="4" t="s">
        <v>1622</v>
      </c>
      <c r="D145" s="4" t="s">
        <v>1623</v>
      </c>
      <c r="E145" s="4" t="s">
        <v>331</v>
      </c>
      <c r="F145" s="4" t="s">
        <v>1624</v>
      </c>
      <c r="G145" s="4" t="s">
        <v>1625</v>
      </c>
      <c r="H145" s="4" t="s">
        <v>338</v>
      </c>
      <c r="I145" s="4" t="s">
        <v>949</v>
      </c>
      <c r="J145" s="4" t="s">
        <v>106</v>
      </c>
      <c r="K145" s="4" t="s">
        <v>107</v>
      </c>
      <c r="L145" s="2" t="s">
        <v>344</v>
      </c>
      <c r="M145" s="2" t="s">
        <v>363</v>
      </c>
      <c r="N145" s="4" t="s">
        <v>564</v>
      </c>
      <c r="O145" s="4" t="s">
        <v>153</v>
      </c>
      <c r="P145" s="4" t="s">
        <v>34</v>
      </c>
      <c r="Q145" s="154">
        <v>15</v>
      </c>
      <c r="R145" s="171">
        <v>3.71</v>
      </c>
      <c r="S145" s="173">
        <v>83325</v>
      </c>
      <c r="U145" s="154">
        <v>46.37</v>
      </c>
      <c r="V145" s="170">
        <v>0</v>
      </c>
      <c r="W145" s="170">
        <v>2.7132421360011899E-2</v>
      </c>
      <c r="X145" s="170">
        <v>2.9005329619978398E-3</v>
      </c>
    </row>
    <row r="146" spans="1:24">
      <c r="A146" s="4">
        <v>158</v>
      </c>
      <c r="B146" s="4">
        <v>9936</v>
      </c>
      <c r="C146" s="4" t="s">
        <v>1626</v>
      </c>
      <c r="D146" s="4" t="s">
        <v>1627</v>
      </c>
      <c r="E146" s="4" t="s">
        <v>331</v>
      </c>
      <c r="F146" s="4" t="s">
        <v>1628</v>
      </c>
      <c r="G146" s="4" t="s">
        <v>1629</v>
      </c>
      <c r="H146" s="4" t="s">
        <v>338</v>
      </c>
      <c r="I146" s="4" t="s">
        <v>949</v>
      </c>
      <c r="J146" s="4" t="s">
        <v>106</v>
      </c>
      <c r="K146" s="4" t="s">
        <v>107</v>
      </c>
      <c r="L146" s="2" t="s">
        <v>344</v>
      </c>
      <c r="M146" s="2" t="s">
        <v>363</v>
      </c>
      <c r="N146" s="4" t="s">
        <v>564</v>
      </c>
      <c r="O146" s="4" t="s">
        <v>153</v>
      </c>
      <c r="P146" s="4" t="s">
        <v>34</v>
      </c>
      <c r="Q146" s="154">
        <v>50</v>
      </c>
      <c r="R146" s="171">
        <v>3.71</v>
      </c>
      <c r="S146" s="173">
        <v>17250</v>
      </c>
      <c r="U146" s="154">
        <v>31.998999999999999</v>
      </c>
      <c r="V146" s="170">
        <v>0</v>
      </c>
      <c r="W146" s="170">
        <v>1.8723243062714501E-2</v>
      </c>
      <c r="X146" s="170">
        <v>2.0015679005685599E-3</v>
      </c>
    </row>
    <row r="147" spans="1:24">
      <c r="A147" s="4">
        <v>158</v>
      </c>
      <c r="B147" s="4">
        <v>9936</v>
      </c>
      <c r="C147" s="4" t="s">
        <v>1630</v>
      </c>
      <c r="D147" s="4" t="s">
        <v>1631</v>
      </c>
      <c r="E147" s="4" t="s">
        <v>331</v>
      </c>
      <c r="F147" s="4" t="s">
        <v>1630</v>
      </c>
      <c r="G147" s="4" t="s">
        <v>1632</v>
      </c>
      <c r="H147" s="4" t="s">
        <v>338</v>
      </c>
      <c r="I147" s="4" t="s">
        <v>949</v>
      </c>
      <c r="J147" s="4" t="s">
        <v>106</v>
      </c>
      <c r="K147" s="4" t="s">
        <v>315</v>
      </c>
      <c r="L147" s="2" t="s">
        <v>344</v>
      </c>
      <c r="M147" s="2" t="s">
        <v>363</v>
      </c>
      <c r="N147" s="4" t="s">
        <v>1633</v>
      </c>
      <c r="O147" s="4" t="s">
        <v>153</v>
      </c>
      <c r="P147" s="4" t="s">
        <v>34</v>
      </c>
      <c r="Q147" s="154">
        <v>10</v>
      </c>
      <c r="R147" s="171">
        <v>3.71</v>
      </c>
      <c r="S147" s="173">
        <v>88652</v>
      </c>
      <c r="U147" s="154">
        <v>32.89</v>
      </c>
      <c r="V147" s="170">
        <v>0</v>
      </c>
      <c r="W147" s="170">
        <v>1.9244671814443601E-2</v>
      </c>
      <c r="X147" s="170">
        <v>2.0573101161878802E-3</v>
      </c>
    </row>
    <row r="148" spans="1:24">
      <c r="A148" s="4">
        <v>158</v>
      </c>
      <c r="B148" s="4">
        <v>9936</v>
      </c>
      <c r="C148" s="4" t="s">
        <v>1634</v>
      </c>
      <c r="D148" s="4" t="s">
        <v>1635</v>
      </c>
      <c r="E148" s="4" t="s">
        <v>331</v>
      </c>
      <c r="F148" s="4" t="s">
        <v>1636</v>
      </c>
      <c r="G148" s="4" t="s">
        <v>1637</v>
      </c>
      <c r="H148" s="4" t="s">
        <v>338</v>
      </c>
      <c r="I148" s="4" t="s">
        <v>949</v>
      </c>
      <c r="J148" s="4" t="s">
        <v>106</v>
      </c>
      <c r="K148" s="4" t="s">
        <v>107</v>
      </c>
      <c r="L148" s="2" t="s">
        <v>344</v>
      </c>
      <c r="M148" s="2" t="s">
        <v>363</v>
      </c>
      <c r="N148" s="4" t="s">
        <v>565</v>
      </c>
      <c r="O148" s="4" t="s">
        <v>153</v>
      </c>
      <c r="P148" s="4" t="s">
        <v>34</v>
      </c>
      <c r="Q148" s="154">
        <v>106</v>
      </c>
      <c r="R148" s="171">
        <v>3.71</v>
      </c>
      <c r="S148" s="173">
        <v>16719</v>
      </c>
      <c r="U148" s="154">
        <v>65.748999999999995</v>
      </c>
      <c r="V148" s="170">
        <v>0</v>
      </c>
      <c r="W148" s="170">
        <v>3.84714127317628E-2</v>
      </c>
      <c r="X148" s="170">
        <v>4.1127033685080796E-3</v>
      </c>
    </row>
    <row r="149" spans="1:24">
      <c r="A149" s="4">
        <v>158</v>
      </c>
      <c r="B149" s="4">
        <v>9936</v>
      </c>
      <c r="C149" s="4" t="s">
        <v>1638</v>
      </c>
      <c r="D149" s="4" t="s">
        <v>1639</v>
      </c>
      <c r="E149" s="4" t="s">
        <v>331</v>
      </c>
      <c r="F149" s="4" t="s">
        <v>1640</v>
      </c>
      <c r="G149" s="4" t="s">
        <v>1641</v>
      </c>
      <c r="H149" s="4" t="s">
        <v>338</v>
      </c>
      <c r="I149" s="4" t="s">
        <v>949</v>
      </c>
      <c r="J149" s="4" t="s">
        <v>106</v>
      </c>
      <c r="K149" s="4" t="s">
        <v>107</v>
      </c>
      <c r="L149" s="2" t="s">
        <v>344</v>
      </c>
      <c r="M149" s="2" t="s">
        <v>361</v>
      </c>
      <c r="N149" s="4" t="s">
        <v>1642</v>
      </c>
      <c r="O149" s="4" t="s">
        <v>153</v>
      </c>
      <c r="P149" s="4" t="s">
        <v>34</v>
      </c>
      <c r="Q149" s="154">
        <v>25</v>
      </c>
      <c r="R149" s="171">
        <v>3.71</v>
      </c>
      <c r="S149" s="173">
        <v>49380</v>
      </c>
      <c r="U149" s="154">
        <v>45.8</v>
      </c>
      <c r="V149" s="170">
        <v>0</v>
      </c>
      <c r="W149" s="170">
        <v>2.67986592010678E-2</v>
      </c>
      <c r="X149" s="170">
        <v>2.86485283855292E-3</v>
      </c>
    </row>
    <row r="150" spans="1:24">
      <c r="A150" s="4">
        <v>158</v>
      </c>
      <c r="B150" s="4">
        <v>9936</v>
      </c>
      <c r="C150" s="4" t="s">
        <v>1643</v>
      </c>
      <c r="D150" s="4" t="s">
        <v>1644</v>
      </c>
      <c r="E150" s="4" t="s">
        <v>331</v>
      </c>
      <c r="F150" s="4" t="s">
        <v>1645</v>
      </c>
      <c r="G150" s="4" t="s">
        <v>1646</v>
      </c>
      <c r="H150" s="4" t="s">
        <v>338</v>
      </c>
      <c r="I150" s="4" t="s">
        <v>949</v>
      </c>
      <c r="J150" s="4" t="s">
        <v>106</v>
      </c>
      <c r="K150" s="4" t="s">
        <v>107</v>
      </c>
      <c r="L150" s="2" t="s">
        <v>344</v>
      </c>
      <c r="M150" s="2" t="s">
        <v>363</v>
      </c>
      <c r="N150" s="4" t="s">
        <v>560</v>
      </c>
      <c r="O150" s="4" t="s">
        <v>153</v>
      </c>
      <c r="P150" s="4" t="s">
        <v>34</v>
      </c>
      <c r="Q150" s="154">
        <v>12</v>
      </c>
      <c r="R150" s="171">
        <v>3.71</v>
      </c>
      <c r="S150" s="173">
        <v>43030</v>
      </c>
      <c r="U150" s="154">
        <v>19.157</v>
      </c>
      <c r="V150" s="170">
        <v>0</v>
      </c>
      <c r="W150" s="170">
        <v>1.1209198594623999E-2</v>
      </c>
      <c r="X150" s="170">
        <v>1.1982951897247299E-3</v>
      </c>
    </row>
    <row r="151" spans="1:24">
      <c r="A151" s="4">
        <v>158</v>
      </c>
      <c r="B151" s="4">
        <v>9936</v>
      </c>
      <c r="C151" s="4" t="s">
        <v>1587</v>
      </c>
      <c r="D151" s="4" t="s">
        <v>1588</v>
      </c>
      <c r="E151" s="4" t="s">
        <v>1343</v>
      </c>
      <c r="F151" s="4" t="s">
        <v>1647</v>
      </c>
      <c r="G151" s="4" t="s">
        <v>1648</v>
      </c>
      <c r="H151" s="4" t="s">
        <v>338</v>
      </c>
      <c r="I151" s="4" t="s">
        <v>949</v>
      </c>
      <c r="J151" s="4" t="s">
        <v>106</v>
      </c>
      <c r="K151" s="4" t="s">
        <v>30</v>
      </c>
      <c r="L151" s="2" t="s">
        <v>344</v>
      </c>
      <c r="M151" s="2" t="s">
        <v>363</v>
      </c>
      <c r="N151" s="4" t="s">
        <v>566</v>
      </c>
      <c r="O151" s="4" t="s">
        <v>153</v>
      </c>
      <c r="P151" s="4" t="s">
        <v>34</v>
      </c>
      <c r="Q151" s="154">
        <v>30</v>
      </c>
      <c r="R151" s="171">
        <v>3.71</v>
      </c>
      <c r="S151" s="173">
        <v>17367</v>
      </c>
      <c r="U151" s="154">
        <v>19.329000000000001</v>
      </c>
      <c r="V151" s="170">
        <v>9.9999999999999995E-7</v>
      </c>
      <c r="W151" s="170">
        <v>1.13101412963535E-2</v>
      </c>
      <c r="X151" s="170">
        <v>1.2090862514495401E-3</v>
      </c>
    </row>
    <row r="152" spans="1:24">
      <c r="A152" s="4">
        <v>158</v>
      </c>
      <c r="B152" s="4">
        <v>9936</v>
      </c>
      <c r="C152" s="4" t="s">
        <v>1649</v>
      </c>
      <c r="D152" s="4" t="s">
        <v>1650</v>
      </c>
      <c r="E152" s="4" t="s">
        <v>330</v>
      </c>
      <c r="F152" s="4" t="s">
        <v>1651</v>
      </c>
      <c r="G152" s="4" t="s">
        <v>1652</v>
      </c>
      <c r="H152" s="4" t="s">
        <v>338</v>
      </c>
      <c r="I152" s="4" t="s">
        <v>949</v>
      </c>
      <c r="J152" s="4" t="s">
        <v>106</v>
      </c>
      <c r="K152" s="4" t="s">
        <v>107</v>
      </c>
      <c r="L152" s="2" t="s">
        <v>344</v>
      </c>
      <c r="M152" s="2" t="s">
        <v>361</v>
      </c>
      <c r="N152" s="4" t="s">
        <v>573</v>
      </c>
      <c r="O152" s="4" t="s">
        <v>153</v>
      </c>
      <c r="P152" s="4" t="s">
        <v>34</v>
      </c>
      <c r="Q152" s="154">
        <v>38</v>
      </c>
      <c r="R152" s="171">
        <v>3.71</v>
      </c>
      <c r="S152" s="173">
        <v>7694</v>
      </c>
      <c r="U152" s="154">
        <v>10.847</v>
      </c>
      <c r="V152" s="170">
        <v>9.9999999999999995E-7</v>
      </c>
      <c r="W152" s="170">
        <v>6.3468429225877702E-3</v>
      </c>
      <c r="X152" s="170">
        <v>6.7849554808699396E-4</v>
      </c>
    </row>
    <row r="153" spans="1:24">
      <c r="A153" s="4">
        <v>158</v>
      </c>
      <c r="B153" s="4">
        <v>9937</v>
      </c>
      <c r="C153" s="4" t="s">
        <v>1511</v>
      </c>
      <c r="D153" s="4" t="s">
        <v>1512</v>
      </c>
      <c r="E153" s="4" t="s">
        <v>1343</v>
      </c>
      <c r="F153" s="4" t="s">
        <v>1513</v>
      </c>
      <c r="G153" s="4" t="s">
        <v>1514</v>
      </c>
      <c r="H153" s="4" t="s">
        <v>338</v>
      </c>
      <c r="I153" s="4" t="s">
        <v>949</v>
      </c>
      <c r="J153" s="4" t="s">
        <v>30</v>
      </c>
      <c r="K153" s="4" t="s">
        <v>315</v>
      </c>
      <c r="L153" s="2" t="s">
        <v>344</v>
      </c>
      <c r="M153" s="2" t="s">
        <v>363</v>
      </c>
      <c r="N153" s="4" t="s">
        <v>473</v>
      </c>
      <c r="O153" s="4" t="s">
        <v>153</v>
      </c>
      <c r="P153" s="4" t="s">
        <v>34</v>
      </c>
      <c r="Q153" s="154">
        <v>65</v>
      </c>
      <c r="R153" s="171">
        <v>3.71</v>
      </c>
      <c r="S153" s="173">
        <v>20834</v>
      </c>
      <c r="U153" s="154">
        <v>50.241</v>
      </c>
      <c r="V153" s="170">
        <v>1.9999999999999999E-6</v>
      </c>
      <c r="W153" s="170">
        <v>2.1563034758305202E-2</v>
      </c>
      <c r="X153" s="170">
        <v>1.6037262397323401E-3</v>
      </c>
    </row>
    <row r="154" spans="1:24">
      <c r="A154" s="4">
        <v>158</v>
      </c>
      <c r="B154" s="4">
        <v>9937</v>
      </c>
      <c r="C154" s="4" t="s">
        <v>1649</v>
      </c>
      <c r="D154" s="4" t="s">
        <v>1650</v>
      </c>
      <c r="E154" s="4" t="s">
        <v>330</v>
      </c>
      <c r="F154" s="4" t="s">
        <v>1707</v>
      </c>
      <c r="G154" s="4" t="s">
        <v>1652</v>
      </c>
      <c r="H154" s="4" t="s">
        <v>338</v>
      </c>
      <c r="I154" s="4" t="s">
        <v>949</v>
      </c>
      <c r="J154" s="4" t="s">
        <v>30</v>
      </c>
      <c r="K154" s="4" t="s">
        <v>107</v>
      </c>
      <c r="L154" s="2" t="s">
        <v>344</v>
      </c>
      <c r="M154" s="2" t="s">
        <v>56</v>
      </c>
      <c r="N154" s="4" t="s">
        <v>456</v>
      </c>
      <c r="O154" s="4" t="s">
        <v>153</v>
      </c>
      <c r="P154" s="4" t="s">
        <v>44</v>
      </c>
      <c r="Q154" s="154">
        <v>166</v>
      </c>
      <c r="R154" s="171">
        <v>1</v>
      </c>
      <c r="S154" s="173">
        <v>28560</v>
      </c>
      <c r="U154" s="154">
        <v>47.41</v>
      </c>
      <c r="V154" s="170">
        <v>3.0000000000000001E-6</v>
      </c>
      <c r="W154" s="170">
        <v>2.0347743202929699E-2</v>
      </c>
      <c r="X154" s="170">
        <v>1.5133403094527401E-3</v>
      </c>
    </row>
    <row r="155" spans="1:24">
      <c r="A155" s="4">
        <v>158</v>
      </c>
      <c r="B155" s="4">
        <v>9937</v>
      </c>
      <c r="C155" s="4" t="s">
        <v>1515</v>
      </c>
      <c r="D155" s="4" t="s">
        <v>1516</v>
      </c>
      <c r="E155" s="4" t="s">
        <v>1343</v>
      </c>
      <c r="F155" s="4" t="s">
        <v>1517</v>
      </c>
      <c r="G155" s="4" t="s">
        <v>1518</v>
      </c>
      <c r="H155" s="4" t="s">
        <v>338</v>
      </c>
      <c r="I155" s="4" t="s">
        <v>949</v>
      </c>
      <c r="J155" s="4" t="s">
        <v>30</v>
      </c>
      <c r="K155" s="4" t="s">
        <v>30</v>
      </c>
      <c r="L155" s="2" t="s">
        <v>344</v>
      </c>
      <c r="M155" s="2" t="s">
        <v>56</v>
      </c>
      <c r="N155" s="4" t="s">
        <v>461</v>
      </c>
      <c r="O155" s="4" t="s">
        <v>153</v>
      </c>
      <c r="P155" s="4" t="s">
        <v>44</v>
      </c>
      <c r="Q155" s="154">
        <v>51</v>
      </c>
      <c r="R155" s="171">
        <v>1</v>
      </c>
      <c r="S155" s="173">
        <v>74080</v>
      </c>
      <c r="U155" s="154">
        <v>37.780999999999999</v>
      </c>
      <c r="V155" s="170">
        <v>9.9999999999999995E-7</v>
      </c>
      <c r="W155" s="170">
        <v>1.6215155082541201E-2</v>
      </c>
      <c r="X155" s="170">
        <v>1.20598375779108E-3</v>
      </c>
    </row>
    <row r="156" spans="1:24">
      <c r="A156" s="4">
        <v>158</v>
      </c>
      <c r="B156" s="4">
        <v>9937</v>
      </c>
      <c r="C156" s="4" t="s">
        <v>1519</v>
      </c>
      <c r="D156" s="4" t="s">
        <v>1520</v>
      </c>
      <c r="E156" s="4" t="s">
        <v>1343</v>
      </c>
      <c r="F156" s="4" t="s">
        <v>1521</v>
      </c>
      <c r="G156" s="4" t="s">
        <v>1522</v>
      </c>
      <c r="H156" s="4" t="s">
        <v>338</v>
      </c>
      <c r="I156" s="4" t="s">
        <v>949</v>
      </c>
      <c r="J156" s="4" t="s">
        <v>30</v>
      </c>
      <c r="K156" s="4" t="s">
        <v>30</v>
      </c>
      <c r="L156" s="2" t="s">
        <v>344</v>
      </c>
      <c r="M156" s="2" t="s">
        <v>56</v>
      </c>
      <c r="N156" s="4" t="s">
        <v>479</v>
      </c>
      <c r="O156" s="4" t="s">
        <v>153</v>
      </c>
      <c r="P156" s="4" t="s">
        <v>44</v>
      </c>
      <c r="Q156" s="154">
        <v>2550</v>
      </c>
      <c r="R156" s="171">
        <v>1</v>
      </c>
      <c r="S156" s="173">
        <v>2855</v>
      </c>
      <c r="U156" s="154">
        <v>72.802000000000007</v>
      </c>
      <c r="V156" s="170">
        <v>1.2999999999999999E-5</v>
      </c>
      <c r="W156" s="170">
        <v>3.1246131047958401E-2</v>
      </c>
      <c r="X156" s="170">
        <v>2.3238955375901298E-3</v>
      </c>
    </row>
    <row r="157" spans="1:24">
      <c r="A157" s="4">
        <v>158</v>
      </c>
      <c r="B157" s="4">
        <v>9937</v>
      </c>
      <c r="C157" s="4" t="s">
        <v>1523</v>
      </c>
      <c r="D157" s="4" t="s">
        <v>1524</v>
      </c>
      <c r="E157" s="4" t="s">
        <v>1343</v>
      </c>
      <c r="F157" s="4" t="s">
        <v>1525</v>
      </c>
      <c r="G157" s="4" t="s">
        <v>1526</v>
      </c>
      <c r="H157" s="4" t="s">
        <v>338</v>
      </c>
      <c r="I157" s="4" t="s">
        <v>949</v>
      </c>
      <c r="J157" s="4" t="s">
        <v>30</v>
      </c>
      <c r="K157" s="4" t="s">
        <v>30</v>
      </c>
      <c r="L157" s="2" t="s">
        <v>344</v>
      </c>
      <c r="M157" s="2" t="s">
        <v>56</v>
      </c>
      <c r="N157" s="4" t="s">
        <v>479</v>
      </c>
      <c r="O157" s="4" t="s">
        <v>153</v>
      </c>
      <c r="P157" s="4" t="s">
        <v>44</v>
      </c>
      <c r="Q157" s="154">
        <v>2839</v>
      </c>
      <c r="R157" s="171">
        <v>1</v>
      </c>
      <c r="S157" s="173">
        <v>1609</v>
      </c>
      <c r="U157" s="154">
        <v>45.68</v>
      </c>
      <c r="V157" s="170">
        <v>6.0000000000000002E-6</v>
      </c>
      <c r="W157" s="170">
        <v>1.9605205256227901E-2</v>
      </c>
      <c r="X157" s="170">
        <v>1.4581148923224301E-3</v>
      </c>
    </row>
    <row r="158" spans="1:24">
      <c r="A158" s="4">
        <v>158</v>
      </c>
      <c r="B158" s="4">
        <v>9937</v>
      </c>
      <c r="C158" s="4" t="s">
        <v>1527</v>
      </c>
      <c r="D158" s="4" t="s">
        <v>1528</v>
      </c>
      <c r="E158" s="4" t="s">
        <v>1343</v>
      </c>
      <c r="F158" s="4" t="s">
        <v>1529</v>
      </c>
      <c r="G158" s="4" t="s">
        <v>1530</v>
      </c>
      <c r="H158" s="4" t="s">
        <v>338</v>
      </c>
      <c r="I158" s="4" t="s">
        <v>949</v>
      </c>
      <c r="J158" s="4" t="s">
        <v>30</v>
      </c>
      <c r="K158" s="4" t="s">
        <v>107</v>
      </c>
      <c r="L158" s="2" t="s">
        <v>344</v>
      </c>
      <c r="M158" s="2" t="s">
        <v>56</v>
      </c>
      <c r="N158" s="4" t="s">
        <v>456</v>
      </c>
      <c r="O158" s="4" t="s">
        <v>153</v>
      </c>
      <c r="P158" s="4" t="s">
        <v>44</v>
      </c>
      <c r="Q158" s="154">
        <v>471</v>
      </c>
      <c r="R158" s="171">
        <v>1</v>
      </c>
      <c r="S158" s="173">
        <v>6254</v>
      </c>
      <c r="U158" s="154">
        <v>29.456</v>
      </c>
      <c r="V158" s="170">
        <v>3.9999999999999998E-6</v>
      </c>
      <c r="W158" s="170">
        <v>1.26423771138796E-2</v>
      </c>
      <c r="X158" s="170">
        <v>9.4026245087377102E-4</v>
      </c>
    </row>
    <row r="159" spans="1:24">
      <c r="A159" s="4">
        <v>158</v>
      </c>
      <c r="B159" s="4">
        <v>9937</v>
      </c>
      <c r="C159" s="4" t="s">
        <v>1531</v>
      </c>
      <c r="D159" s="4" t="s">
        <v>1532</v>
      </c>
      <c r="E159" s="4" t="s">
        <v>1343</v>
      </c>
      <c r="F159" s="4" t="s">
        <v>1533</v>
      </c>
      <c r="G159" s="4" t="s">
        <v>1534</v>
      </c>
      <c r="H159" s="4" t="s">
        <v>338</v>
      </c>
      <c r="I159" s="4" t="s">
        <v>949</v>
      </c>
      <c r="J159" s="4" t="s">
        <v>30</v>
      </c>
      <c r="K159" s="4" t="s">
        <v>30</v>
      </c>
      <c r="L159" s="2" t="s">
        <v>344</v>
      </c>
      <c r="M159" s="2" t="s">
        <v>56</v>
      </c>
      <c r="N159" s="4" t="s">
        <v>456</v>
      </c>
      <c r="O159" s="4" t="s">
        <v>153</v>
      </c>
      <c r="P159" s="4" t="s">
        <v>44</v>
      </c>
      <c r="Q159" s="154">
        <v>4641</v>
      </c>
      <c r="R159" s="171">
        <v>1</v>
      </c>
      <c r="S159" s="173">
        <v>1348</v>
      </c>
      <c r="U159" s="154">
        <v>62.561</v>
      </c>
      <c r="V159" s="170">
        <v>7.9999999999999996E-6</v>
      </c>
      <c r="W159" s="170">
        <v>2.6850440654227401E-2</v>
      </c>
      <c r="X159" s="170">
        <v>1.9969710529254398E-3</v>
      </c>
    </row>
    <row r="160" spans="1:24">
      <c r="A160" s="4">
        <v>158</v>
      </c>
      <c r="B160" s="4">
        <v>9937</v>
      </c>
      <c r="C160" s="4" t="s">
        <v>1535</v>
      </c>
      <c r="D160" s="4" t="s">
        <v>1536</v>
      </c>
      <c r="E160" s="4" t="s">
        <v>1343</v>
      </c>
      <c r="F160" s="4" t="s">
        <v>1537</v>
      </c>
      <c r="G160" s="4" t="s">
        <v>1538</v>
      </c>
      <c r="H160" s="4" t="s">
        <v>338</v>
      </c>
      <c r="I160" s="4" t="s">
        <v>949</v>
      </c>
      <c r="J160" s="4" t="s">
        <v>30</v>
      </c>
      <c r="K160" s="4" t="s">
        <v>30</v>
      </c>
      <c r="L160" s="2" t="s">
        <v>344</v>
      </c>
      <c r="M160" s="2" t="s">
        <v>56</v>
      </c>
      <c r="N160" s="4" t="s">
        <v>462</v>
      </c>
      <c r="O160" s="4" t="s">
        <v>153</v>
      </c>
      <c r="P160" s="4" t="s">
        <v>44</v>
      </c>
      <c r="Q160" s="154">
        <v>140</v>
      </c>
      <c r="R160" s="171">
        <v>1</v>
      </c>
      <c r="S160" s="173">
        <v>24250</v>
      </c>
      <c r="U160" s="154">
        <v>33.950000000000003</v>
      </c>
      <c r="V160" s="170">
        <v>1.1E-5</v>
      </c>
      <c r="W160" s="170">
        <v>1.45710126586064E-2</v>
      </c>
      <c r="X160" s="170">
        <v>1.08370253083596E-3</v>
      </c>
    </row>
    <row r="161" spans="1:24">
      <c r="A161" s="4">
        <v>158</v>
      </c>
      <c r="B161" s="4">
        <v>9937</v>
      </c>
      <c r="C161" s="4" t="s">
        <v>1539</v>
      </c>
      <c r="D161" s="4" t="s">
        <v>1540</v>
      </c>
      <c r="E161" s="4" t="s">
        <v>1343</v>
      </c>
      <c r="F161" s="4" t="s">
        <v>1541</v>
      </c>
      <c r="G161" s="4" t="s">
        <v>1542</v>
      </c>
      <c r="H161" s="4" t="s">
        <v>338</v>
      </c>
      <c r="I161" s="4" t="s">
        <v>949</v>
      </c>
      <c r="J161" s="4" t="s">
        <v>30</v>
      </c>
      <c r="K161" s="4" t="s">
        <v>30</v>
      </c>
      <c r="L161" s="2" t="s">
        <v>344</v>
      </c>
      <c r="M161" s="2" t="s">
        <v>56</v>
      </c>
      <c r="N161" s="4" t="s">
        <v>500</v>
      </c>
      <c r="O161" s="4" t="s">
        <v>153</v>
      </c>
      <c r="P161" s="4" t="s">
        <v>44</v>
      </c>
      <c r="Q161" s="154">
        <v>12353</v>
      </c>
      <c r="R161" s="171">
        <v>1</v>
      </c>
      <c r="S161" s="173">
        <v>428.6</v>
      </c>
      <c r="T161" s="153">
        <v>1.8160000000000001</v>
      </c>
      <c r="U161" s="154">
        <v>54.761000000000003</v>
      </c>
      <c r="V161" s="170">
        <v>3.9999999999999998E-6</v>
      </c>
      <c r="W161" s="170">
        <v>2.35030339761442E-2</v>
      </c>
      <c r="X161" s="170">
        <v>1.7480114799864001E-3</v>
      </c>
    </row>
    <row r="162" spans="1:24">
      <c r="A162" s="4">
        <v>158</v>
      </c>
      <c r="B162" s="4">
        <v>9937</v>
      </c>
      <c r="C162" s="4" t="s">
        <v>1543</v>
      </c>
      <c r="D162" s="4" t="s">
        <v>1544</v>
      </c>
      <c r="E162" s="4" t="s">
        <v>1343</v>
      </c>
      <c r="F162" s="4" t="s">
        <v>1545</v>
      </c>
      <c r="G162" s="4" t="s">
        <v>1546</v>
      </c>
      <c r="H162" s="4" t="s">
        <v>338</v>
      </c>
      <c r="I162" s="4" t="s">
        <v>949</v>
      </c>
      <c r="J162" s="4" t="s">
        <v>30</v>
      </c>
      <c r="K162" s="4" t="s">
        <v>30</v>
      </c>
      <c r="L162" s="2" t="s">
        <v>344</v>
      </c>
      <c r="M162" s="2" t="s">
        <v>56</v>
      </c>
      <c r="N162" s="4" t="s">
        <v>463</v>
      </c>
      <c r="O162" s="4" t="s">
        <v>153</v>
      </c>
      <c r="P162" s="4" t="s">
        <v>44</v>
      </c>
      <c r="Q162" s="154">
        <v>8531</v>
      </c>
      <c r="R162" s="171">
        <v>1</v>
      </c>
      <c r="S162" s="173">
        <v>2085</v>
      </c>
      <c r="U162" s="154">
        <v>177.87100000000001</v>
      </c>
      <c r="V162" s="170">
        <v>6.9999999999999999E-6</v>
      </c>
      <c r="W162" s="170">
        <v>7.6340668408053106E-2</v>
      </c>
      <c r="X162" s="170">
        <v>5.6777505790341302E-3</v>
      </c>
    </row>
    <row r="163" spans="1:24">
      <c r="A163" s="4">
        <v>158</v>
      </c>
      <c r="B163" s="4">
        <v>9937</v>
      </c>
      <c r="C163" s="4" t="s">
        <v>1547</v>
      </c>
      <c r="D163" s="4" t="s">
        <v>1548</v>
      </c>
      <c r="E163" s="4" t="s">
        <v>1343</v>
      </c>
      <c r="F163" s="4" t="s">
        <v>1549</v>
      </c>
      <c r="G163" s="4" t="s">
        <v>1550</v>
      </c>
      <c r="H163" s="4" t="s">
        <v>338</v>
      </c>
      <c r="I163" s="4" t="s">
        <v>949</v>
      </c>
      <c r="J163" s="4" t="s">
        <v>30</v>
      </c>
      <c r="K163" s="4" t="s">
        <v>30</v>
      </c>
      <c r="L163" s="2" t="s">
        <v>344</v>
      </c>
      <c r="M163" s="2" t="s">
        <v>56</v>
      </c>
      <c r="N163" s="4" t="s">
        <v>462</v>
      </c>
      <c r="O163" s="4" t="s">
        <v>153</v>
      </c>
      <c r="P163" s="4" t="s">
        <v>44</v>
      </c>
      <c r="Q163" s="154">
        <v>235</v>
      </c>
      <c r="R163" s="171">
        <v>1</v>
      </c>
      <c r="S163" s="173">
        <v>33200</v>
      </c>
      <c r="U163" s="154">
        <v>78.02</v>
      </c>
      <c r="V163" s="170">
        <v>1.2E-5</v>
      </c>
      <c r="W163" s="170">
        <v>3.3485431741515997E-2</v>
      </c>
      <c r="X163" s="170">
        <v>2.49044098544393E-3</v>
      </c>
    </row>
    <row r="164" spans="1:24">
      <c r="A164" s="4">
        <v>158</v>
      </c>
      <c r="B164" s="4">
        <v>9937</v>
      </c>
      <c r="C164" s="4" t="s">
        <v>1551</v>
      </c>
      <c r="D164" s="4" t="s">
        <v>1552</v>
      </c>
      <c r="E164" s="4" t="s">
        <v>1343</v>
      </c>
      <c r="F164" s="4" t="s">
        <v>1553</v>
      </c>
      <c r="G164" s="4" t="s">
        <v>1554</v>
      </c>
      <c r="H164" s="4" t="s">
        <v>338</v>
      </c>
      <c r="I164" s="4" t="s">
        <v>949</v>
      </c>
      <c r="J164" s="4" t="s">
        <v>30</v>
      </c>
      <c r="K164" s="4" t="s">
        <v>30</v>
      </c>
      <c r="L164" s="2" t="s">
        <v>344</v>
      </c>
      <c r="M164" s="2" t="s">
        <v>56</v>
      </c>
      <c r="N164" s="4" t="s">
        <v>460</v>
      </c>
      <c r="O164" s="4" t="s">
        <v>153</v>
      </c>
      <c r="P164" s="4" t="s">
        <v>44</v>
      </c>
      <c r="Q164" s="154">
        <v>1245</v>
      </c>
      <c r="R164" s="171">
        <v>1</v>
      </c>
      <c r="S164" s="173">
        <v>4200</v>
      </c>
      <c r="U164" s="154">
        <v>52.29</v>
      </c>
      <c r="V164" s="170">
        <v>5.0000000000000004E-6</v>
      </c>
      <c r="W164" s="170">
        <v>2.2442363826760701E-2</v>
      </c>
      <c r="X164" s="170">
        <v>1.6691253413081699E-3</v>
      </c>
    </row>
    <row r="165" spans="1:24">
      <c r="A165" s="4">
        <v>158</v>
      </c>
      <c r="B165" s="4">
        <v>9937</v>
      </c>
      <c r="C165" s="4" t="s">
        <v>1555</v>
      </c>
      <c r="D165" s="4" t="s">
        <v>1556</v>
      </c>
      <c r="E165" s="4" t="s">
        <v>1343</v>
      </c>
      <c r="F165" s="4" t="s">
        <v>1557</v>
      </c>
      <c r="G165" s="4" t="s">
        <v>1558</v>
      </c>
      <c r="H165" s="4" t="s">
        <v>338</v>
      </c>
      <c r="I165" s="4" t="s">
        <v>949</v>
      </c>
      <c r="J165" s="4" t="s">
        <v>30</v>
      </c>
      <c r="K165" s="4" t="s">
        <v>107</v>
      </c>
      <c r="L165" s="2" t="s">
        <v>344</v>
      </c>
      <c r="M165" s="2" t="s">
        <v>56</v>
      </c>
      <c r="N165" s="4" t="s">
        <v>482</v>
      </c>
      <c r="O165" s="4" t="s">
        <v>153</v>
      </c>
      <c r="P165" s="4" t="s">
        <v>44</v>
      </c>
      <c r="Q165" s="154">
        <v>500</v>
      </c>
      <c r="R165" s="171">
        <v>1</v>
      </c>
      <c r="S165" s="173">
        <v>6629</v>
      </c>
      <c r="U165" s="154">
        <v>33.145000000000003</v>
      </c>
      <c r="V165" s="170">
        <v>0</v>
      </c>
      <c r="W165" s="170">
        <v>1.4225514420309501E-2</v>
      </c>
      <c r="X165" s="170">
        <v>1.0580064914449999E-3</v>
      </c>
    </row>
    <row r="166" spans="1:24">
      <c r="A166" s="4">
        <v>158</v>
      </c>
      <c r="B166" s="4">
        <v>9937</v>
      </c>
      <c r="C166" s="4" t="s">
        <v>1653</v>
      </c>
      <c r="D166" s="4" t="s">
        <v>1654</v>
      </c>
      <c r="E166" s="4" t="s">
        <v>1343</v>
      </c>
      <c r="F166" s="4" t="s">
        <v>1655</v>
      </c>
      <c r="G166" s="4" t="s">
        <v>1656</v>
      </c>
      <c r="H166" s="4" t="s">
        <v>338</v>
      </c>
      <c r="I166" s="4" t="s">
        <v>949</v>
      </c>
      <c r="J166" s="4" t="s">
        <v>30</v>
      </c>
      <c r="K166" s="4" t="s">
        <v>30</v>
      </c>
      <c r="L166" s="2" t="s">
        <v>344</v>
      </c>
      <c r="M166" s="2" t="s">
        <v>56</v>
      </c>
      <c r="N166" s="4" t="s">
        <v>491</v>
      </c>
      <c r="O166" s="4" t="s">
        <v>153</v>
      </c>
      <c r="P166" s="4" t="s">
        <v>44</v>
      </c>
      <c r="Q166" s="154">
        <v>1830</v>
      </c>
      <c r="R166" s="171">
        <v>1</v>
      </c>
      <c r="S166" s="173">
        <v>332.4</v>
      </c>
      <c r="U166" s="154">
        <v>6.0830000000000002</v>
      </c>
      <c r="V166" s="170">
        <v>1.5E-5</v>
      </c>
      <c r="W166" s="170">
        <v>2.6107306132927802E-3</v>
      </c>
      <c r="X166" s="170">
        <v>1.9417012662364299E-4</v>
      </c>
    </row>
    <row r="167" spans="1:24">
      <c r="A167" s="4">
        <v>158</v>
      </c>
      <c r="B167" s="4">
        <v>9937</v>
      </c>
      <c r="C167" s="4" t="s">
        <v>1559</v>
      </c>
      <c r="D167" s="4" t="s">
        <v>1560</v>
      </c>
      <c r="E167" s="4" t="s">
        <v>1343</v>
      </c>
      <c r="F167" s="4" t="s">
        <v>1561</v>
      </c>
      <c r="G167" s="4" t="s">
        <v>1562</v>
      </c>
      <c r="H167" s="4" t="s">
        <v>338</v>
      </c>
      <c r="I167" s="4" t="s">
        <v>949</v>
      </c>
      <c r="J167" s="4" t="s">
        <v>30</v>
      </c>
      <c r="K167" s="4" t="s">
        <v>30</v>
      </c>
      <c r="L167" s="2" t="s">
        <v>344</v>
      </c>
      <c r="M167" s="2" t="s">
        <v>56</v>
      </c>
      <c r="N167" s="4" t="s">
        <v>462</v>
      </c>
      <c r="O167" s="4" t="s">
        <v>153</v>
      </c>
      <c r="P167" s="4" t="s">
        <v>44</v>
      </c>
      <c r="Q167" s="154">
        <v>3600</v>
      </c>
      <c r="R167" s="171">
        <v>1</v>
      </c>
      <c r="S167" s="173">
        <v>1373</v>
      </c>
      <c r="U167" s="154">
        <v>49.427999999999997</v>
      </c>
      <c r="V167" s="170">
        <v>1.1E-5</v>
      </c>
      <c r="W167" s="170">
        <v>2.1214021021784799E-2</v>
      </c>
      <c r="X167" s="170">
        <v>1.5777687391505099E-3</v>
      </c>
    </row>
    <row r="168" spans="1:24">
      <c r="A168" s="4">
        <v>158</v>
      </c>
      <c r="B168" s="4">
        <v>9937</v>
      </c>
      <c r="C168" s="4" t="s">
        <v>1563</v>
      </c>
      <c r="D168" s="4" t="s">
        <v>1564</v>
      </c>
      <c r="E168" s="4" t="s">
        <v>1343</v>
      </c>
      <c r="F168" s="4" t="s">
        <v>1565</v>
      </c>
      <c r="G168" s="4" t="s">
        <v>1566</v>
      </c>
      <c r="H168" s="4" t="s">
        <v>338</v>
      </c>
      <c r="I168" s="4" t="s">
        <v>949</v>
      </c>
      <c r="J168" s="4" t="s">
        <v>30</v>
      </c>
      <c r="K168" s="4" t="s">
        <v>30</v>
      </c>
      <c r="L168" s="2" t="s">
        <v>344</v>
      </c>
      <c r="M168" s="2" t="s">
        <v>56</v>
      </c>
      <c r="N168" s="4" t="s">
        <v>460</v>
      </c>
      <c r="O168" s="4" t="s">
        <v>153</v>
      </c>
      <c r="P168" s="4" t="s">
        <v>44</v>
      </c>
      <c r="Q168" s="154">
        <v>330</v>
      </c>
      <c r="R168" s="171">
        <v>1</v>
      </c>
      <c r="S168" s="173">
        <v>6329</v>
      </c>
      <c r="U168" s="154">
        <v>20.885999999999999</v>
      </c>
      <c r="V168" s="170">
        <v>3.9999999999999998E-6</v>
      </c>
      <c r="W168" s="170">
        <v>8.9639410628528701E-3</v>
      </c>
      <c r="X168" s="170">
        <v>6.6668294398470099E-4</v>
      </c>
    </row>
    <row r="169" spans="1:24">
      <c r="A169" s="4">
        <v>158</v>
      </c>
      <c r="B169" s="4">
        <v>9937</v>
      </c>
      <c r="C169" s="4" t="s">
        <v>1196</v>
      </c>
      <c r="D169" s="4" t="s">
        <v>1567</v>
      </c>
      <c r="E169" s="4" t="s">
        <v>1343</v>
      </c>
      <c r="F169" s="4" t="s">
        <v>1568</v>
      </c>
      <c r="G169" s="4" t="s">
        <v>1569</v>
      </c>
      <c r="H169" s="4" t="s">
        <v>338</v>
      </c>
      <c r="I169" s="4" t="s">
        <v>949</v>
      </c>
      <c r="J169" s="4" t="s">
        <v>30</v>
      </c>
      <c r="K169" s="4" t="s">
        <v>30</v>
      </c>
      <c r="L169" s="2" t="s">
        <v>344</v>
      </c>
      <c r="M169" s="2" t="s">
        <v>56</v>
      </c>
      <c r="N169" s="4" t="s">
        <v>463</v>
      </c>
      <c r="O169" s="4" t="s">
        <v>153</v>
      </c>
      <c r="P169" s="4" t="s">
        <v>44</v>
      </c>
      <c r="Q169" s="154">
        <v>4494</v>
      </c>
      <c r="R169" s="171">
        <v>1</v>
      </c>
      <c r="S169" s="173">
        <v>3644</v>
      </c>
      <c r="U169" s="154">
        <v>163.761</v>
      </c>
      <c r="V169" s="170">
        <v>3.0000000000000001E-6</v>
      </c>
      <c r="W169" s="170">
        <v>7.0284796746703807E-2</v>
      </c>
      <c r="X169" s="170">
        <v>5.2273519966167499E-3</v>
      </c>
    </row>
    <row r="170" spans="1:24">
      <c r="A170" s="4">
        <v>158</v>
      </c>
      <c r="B170" s="4">
        <v>9937</v>
      </c>
      <c r="C170" s="4" t="s">
        <v>1657</v>
      </c>
      <c r="D170" s="4" t="s">
        <v>1658</v>
      </c>
      <c r="E170" s="4" t="s">
        <v>1343</v>
      </c>
      <c r="F170" s="4" t="s">
        <v>1659</v>
      </c>
      <c r="G170" s="4" t="s">
        <v>1660</v>
      </c>
      <c r="H170" s="4" t="s">
        <v>338</v>
      </c>
      <c r="I170" s="4" t="s">
        <v>949</v>
      </c>
      <c r="J170" s="4" t="s">
        <v>30</v>
      </c>
      <c r="K170" s="4" t="s">
        <v>30</v>
      </c>
      <c r="L170" s="2" t="s">
        <v>344</v>
      </c>
      <c r="M170" s="2" t="s">
        <v>56</v>
      </c>
      <c r="N170" s="4" t="s">
        <v>494</v>
      </c>
      <c r="O170" s="4" t="s">
        <v>357</v>
      </c>
      <c r="P170" s="4" t="s">
        <v>44</v>
      </c>
      <c r="Q170" s="154">
        <v>2150</v>
      </c>
      <c r="R170" s="171">
        <v>1</v>
      </c>
      <c r="S170" s="173">
        <v>919.9</v>
      </c>
      <c r="T170" s="153">
        <v>0.30099999999999999</v>
      </c>
      <c r="U170" s="154">
        <v>20.079000000000001</v>
      </c>
      <c r="V170" s="170">
        <v>3.0000000000000001E-5</v>
      </c>
      <c r="W170" s="170">
        <v>8.6178634175725407E-3</v>
      </c>
      <c r="X170" s="170">
        <v>6.4094381185687897E-4</v>
      </c>
    </row>
    <row r="171" spans="1:24">
      <c r="A171" s="4">
        <v>158</v>
      </c>
      <c r="B171" s="4">
        <v>9937</v>
      </c>
      <c r="C171" s="4" t="s">
        <v>1570</v>
      </c>
      <c r="D171" s="4" t="s">
        <v>1571</v>
      </c>
      <c r="E171" s="4" t="s">
        <v>1343</v>
      </c>
      <c r="F171" s="4" t="s">
        <v>1572</v>
      </c>
      <c r="G171" s="4" t="s">
        <v>1573</v>
      </c>
      <c r="H171" s="4" t="s">
        <v>338</v>
      </c>
      <c r="I171" s="4" t="s">
        <v>949</v>
      </c>
      <c r="J171" s="4" t="s">
        <v>30</v>
      </c>
      <c r="K171" s="4" t="s">
        <v>30</v>
      </c>
      <c r="L171" s="2" t="s">
        <v>344</v>
      </c>
      <c r="M171" s="2" t="s">
        <v>56</v>
      </c>
      <c r="N171" s="4" t="s">
        <v>463</v>
      </c>
      <c r="O171" s="4" t="s">
        <v>153</v>
      </c>
      <c r="P171" s="4" t="s">
        <v>44</v>
      </c>
      <c r="Q171" s="154">
        <v>355</v>
      </c>
      <c r="R171" s="171">
        <v>1</v>
      </c>
      <c r="S171" s="173">
        <v>14550</v>
      </c>
      <c r="U171" s="154">
        <v>51.652999999999999</v>
      </c>
      <c r="V171" s="170">
        <v>9.9999999999999995E-7</v>
      </c>
      <c r="W171" s="170">
        <v>2.21687549734511E-2</v>
      </c>
      <c r="X171" s="170">
        <v>1.6487759933432799E-3</v>
      </c>
    </row>
    <row r="172" spans="1:24">
      <c r="A172" s="4">
        <v>158</v>
      </c>
      <c r="B172" s="4">
        <v>9937</v>
      </c>
      <c r="C172" s="4" t="s">
        <v>1574</v>
      </c>
      <c r="D172" s="4" t="s">
        <v>1575</v>
      </c>
      <c r="E172" s="4" t="s">
        <v>1343</v>
      </c>
      <c r="F172" s="4" t="s">
        <v>1576</v>
      </c>
      <c r="G172" s="4" t="s">
        <v>1577</v>
      </c>
      <c r="H172" s="4" t="s">
        <v>338</v>
      </c>
      <c r="I172" s="4" t="s">
        <v>949</v>
      </c>
      <c r="J172" s="4" t="s">
        <v>30</v>
      </c>
      <c r="K172" s="4" t="s">
        <v>30</v>
      </c>
      <c r="L172" s="2" t="s">
        <v>344</v>
      </c>
      <c r="M172" s="2" t="s">
        <v>56</v>
      </c>
      <c r="N172" s="4" t="s">
        <v>492</v>
      </c>
      <c r="O172" s="4" t="s">
        <v>153</v>
      </c>
      <c r="P172" s="4" t="s">
        <v>44</v>
      </c>
      <c r="Q172" s="154">
        <v>369</v>
      </c>
      <c r="R172" s="171">
        <v>1</v>
      </c>
      <c r="S172" s="173">
        <v>7125</v>
      </c>
      <c r="T172" s="153">
        <v>0.30299999999999999</v>
      </c>
      <c r="U172" s="154">
        <v>26.594000000000001</v>
      </c>
      <c r="V172" s="170">
        <v>6.0000000000000002E-6</v>
      </c>
      <c r="W172" s="170">
        <v>1.14138154218211E-2</v>
      </c>
      <c r="X172" s="170">
        <v>8.4888956923773998E-4</v>
      </c>
    </row>
    <row r="173" spans="1:24">
      <c r="A173" s="4">
        <v>158</v>
      </c>
      <c r="B173" s="4">
        <v>9937</v>
      </c>
      <c r="C173" s="4" t="s">
        <v>1578</v>
      </c>
      <c r="D173" s="4" t="s">
        <v>1579</v>
      </c>
      <c r="E173" s="4" t="s">
        <v>1343</v>
      </c>
      <c r="F173" s="4" t="s">
        <v>1580</v>
      </c>
      <c r="G173" s="4" t="s">
        <v>1581</v>
      </c>
      <c r="H173" s="4" t="s">
        <v>338</v>
      </c>
      <c r="I173" s="4" t="s">
        <v>949</v>
      </c>
      <c r="J173" s="4" t="s">
        <v>30</v>
      </c>
      <c r="K173" s="4" t="s">
        <v>30</v>
      </c>
      <c r="L173" s="2" t="s">
        <v>344</v>
      </c>
      <c r="M173" s="2" t="s">
        <v>56</v>
      </c>
      <c r="N173" s="4" t="s">
        <v>479</v>
      </c>
      <c r="O173" s="4" t="s">
        <v>153</v>
      </c>
      <c r="P173" s="4" t="s">
        <v>44</v>
      </c>
      <c r="Q173" s="154">
        <v>77</v>
      </c>
      <c r="R173" s="171">
        <v>1</v>
      </c>
      <c r="S173" s="173">
        <v>28210</v>
      </c>
      <c r="U173" s="154">
        <v>21.722000000000001</v>
      </c>
      <c r="V173" s="170">
        <v>1.9999999999999999E-6</v>
      </c>
      <c r="W173" s="170">
        <v>9.3227442022518394E-3</v>
      </c>
      <c r="X173" s="170">
        <v>6.9336852029630201E-4</v>
      </c>
    </row>
    <row r="174" spans="1:24">
      <c r="A174" s="4">
        <v>158</v>
      </c>
      <c r="B174" s="4">
        <v>9937</v>
      </c>
      <c r="C174" s="4" t="s">
        <v>1583</v>
      </c>
      <c r="D174" s="4" t="s">
        <v>1584</v>
      </c>
      <c r="E174" s="4" t="s">
        <v>329</v>
      </c>
      <c r="F174" s="4" t="s">
        <v>1585</v>
      </c>
      <c r="G174" s="4" t="s">
        <v>1586</v>
      </c>
      <c r="H174" s="4" t="s">
        <v>338</v>
      </c>
      <c r="I174" s="4" t="s">
        <v>949</v>
      </c>
      <c r="J174" s="4" t="s">
        <v>30</v>
      </c>
      <c r="K174" s="4" t="s">
        <v>30</v>
      </c>
      <c r="L174" s="2" t="s">
        <v>344</v>
      </c>
      <c r="M174" s="2" t="s">
        <v>56</v>
      </c>
      <c r="N174" s="4" t="s">
        <v>469</v>
      </c>
      <c r="O174" s="4" t="s">
        <v>153</v>
      </c>
      <c r="P174" s="4" t="s">
        <v>44</v>
      </c>
      <c r="Q174" s="154">
        <v>2000</v>
      </c>
      <c r="R174" s="171">
        <v>1</v>
      </c>
      <c r="S174" s="173">
        <v>1025</v>
      </c>
      <c r="U174" s="154">
        <v>20.5</v>
      </c>
      <c r="V174" s="170">
        <v>1.9999999999999999E-6</v>
      </c>
      <c r="W174" s="170">
        <v>8.7984023417210701E-3</v>
      </c>
      <c r="X174" s="170">
        <v>6.5437118945912195E-4</v>
      </c>
    </row>
    <row r="175" spans="1:24">
      <c r="A175" s="4">
        <v>158</v>
      </c>
      <c r="B175" s="4">
        <v>9937</v>
      </c>
      <c r="C175" s="4" t="s">
        <v>1587</v>
      </c>
      <c r="D175" s="4" t="s">
        <v>1588</v>
      </c>
      <c r="E175" s="4" t="s">
        <v>1343</v>
      </c>
      <c r="F175" s="4" t="s">
        <v>1589</v>
      </c>
      <c r="G175" s="4" t="s">
        <v>1590</v>
      </c>
      <c r="H175" s="4" t="s">
        <v>338</v>
      </c>
      <c r="I175" s="4" t="s">
        <v>949</v>
      </c>
      <c r="J175" s="4" t="s">
        <v>30</v>
      </c>
      <c r="K175" s="4" t="s">
        <v>107</v>
      </c>
      <c r="L175" s="2" t="s">
        <v>344</v>
      </c>
      <c r="M175" s="2" t="s">
        <v>56</v>
      </c>
      <c r="N175" s="4" t="s">
        <v>496</v>
      </c>
      <c r="O175" s="4" t="s">
        <v>153</v>
      </c>
      <c r="P175" s="4" t="s">
        <v>44</v>
      </c>
      <c r="Q175" s="154">
        <v>118</v>
      </c>
      <c r="R175" s="171">
        <v>1</v>
      </c>
      <c r="S175" s="173">
        <v>64880</v>
      </c>
      <c r="U175" s="154">
        <v>76.558000000000007</v>
      </c>
      <c r="V175" s="170">
        <v>1.9999999999999999E-6</v>
      </c>
      <c r="W175" s="170">
        <v>3.2858127114069199E-2</v>
      </c>
      <c r="X175" s="170">
        <v>2.4437859156627899E-3</v>
      </c>
    </row>
    <row r="176" spans="1:24">
      <c r="A176" s="4">
        <v>158</v>
      </c>
      <c r="B176" s="4">
        <v>9937</v>
      </c>
      <c r="C176" s="4" t="s">
        <v>1591</v>
      </c>
      <c r="D176" s="4" t="s">
        <v>1592</v>
      </c>
      <c r="E176" s="4" t="s">
        <v>1343</v>
      </c>
      <c r="F176" s="4" t="s">
        <v>1591</v>
      </c>
      <c r="G176" s="4" t="s">
        <v>1593</v>
      </c>
      <c r="H176" s="4" t="s">
        <v>338</v>
      </c>
      <c r="I176" s="4" t="s">
        <v>949</v>
      </c>
      <c r="J176" s="4" t="s">
        <v>30</v>
      </c>
      <c r="K176" s="4" t="s">
        <v>30</v>
      </c>
      <c r="L176" s="2" t="s">
        <v>344</v>
      </c>
      <c r="M176" s="2" t="s">
        <v>56</v>
      </c>
      <c r="N176" s="4" t="s">
        <v>454</v>
      </c>
      <c r="O176" s="4" t="s">
        <v>153</v>
      </c>
      <c r="P176" s="4" t="s">
        <v>44</v>
      </c>
      <c r="Q176" s="154">
        <v>900</v>
      </c>
      <c r="R176" s="171">
        <v>1</v>
      </c>
      <c r="S176" s="173">
        <v>3950</v>
      </c>
      <c r="U176" s="154">
        <v>35.549999999999997</v>
      </c>
      <c r="V176" s="170">
        <v>1.1E-5</v>
      </c>
      <c r="W176" s="170">
        <v>1.52577172316187E-2</v>
      </c>
      <c r="X176" s="170">
        <v>1.1347754041596001E-3</v>
      </c>
    </row>
    <row r="177" spans="1:24">
      <c r="A177" s="4">
        <v>158</v>
      </c>
      <c r="B177" s="4">
        <v>9937</v>
      </c>
      <c r="C177" s="4" t="s">
        <v>1594</v>
      </c>
      <c r="D177" s="4" t="s">
        <v>1595</v>
      </c>
      <c r="E177" s="4" t="s">
        <v>1343</v>
      </c>
      <c r="F177" s="4" t="s">
        <v>1596</v>
      </c>
      <c r="G177" s="4" t="s">
        <v>1597</v>
      </c>
      <c r="H177" s="4" t="s">
        <v>338</v>
      </c>
      <c r="I177" s="4" t="s">
        <v>949</v>
      </c>
      <c r="J177" s="4" t="s">
        <v>30</v>
      </c>
      <c r="K177" s="4" t="s">
        <v>30</v>
      </c>
      <c r="L177" s="2" t="s">
        <v>344</v>
      </c>
      <c r="M177" s="2" t="s">
        <v>56</v>
      </c>
      <c r="N177" s="4" t="s">
        <v>479</v>
      </c>
      <c r="O177" s="4" t="s">
        <v>153</v>
      </c>
      <c r="P177" s="4" t="s">
        <v>44</v>
      </c>
      <c r="Q177" s="154">
        <v>213</v>
      </c>
      <c r="R177" s="171">
        <v>1</v>
      </c>
      <c r="S177" s="173">
        <v>25940</v>
      </c>
      <c r="U177" s="154">
        <v>55.252000000000002</v>
      </c>
      <c r="V177" s="170">
        <v>1.9999999999999999E-6</v>
      </c>
      <c r="W177" s="170">
        <v>2.3713711505621501E-2</v>
      </c>
      <c r="X177" s="170">
        <v>1.7636803821577201E-3</v>
      </c>
    </row>
    <row r="178" spans="1:24">
      <c r="A178" s="4">
        <v>158</v>
      </c>
      <c r="B178" s="4">
        <v>9937</v>
      </c>
      <c r="C178" s="4" t="s">
        <v>1598</v>
      </c>
      <c r="D178" s="4" t="s">
        <v>1599</v>
      </c>
      <c r="E178" s="4" t="s">
        <v>1343</v>
      </c>
      <c r="F178" s="4" t="s">
        <v>1600</v>
      </c>
      <c r="G178" s="4" t="s">
        <v>1601</v>
      </c>
      <c r="H178" s="4" t="s">
        <v>338</v>
      </c>
      <c r="I178" s="4" t="s">
        <v>949</v>
      </c>
      <c r="J178" s="4" t="s">
        <v>30</v>
      </c>
      <c r="K178" s="4" t="s">
        <v>30</v>
      </c>
      <c r="L178" s="2" t="s">
        <v>344</v>
      </c>
      <c r="M178" s="2" t="s">
        <v>56</v>
      </c>
      <c r="N178" s="4" t="s">
        <v>463</v>
      </c>
      <c r="O178" s="4" t="s">
        <v>153</v>
      </c>
      <c r="P178" s="4" t="s">
        <v>44</v>
      </c>
      <c r="Q178" s="154">
        <v>4540</v>
      </c>
      <c r="R178" s="171">
        <v>1</v>
      </c>
      <c r="S178" s="173">
        <v>3729</v>
      </c>
      <c r="U178" s="154">
        <v>169.297</v>
      </c>
      <c r="V178" s="170">
        <v>3.0000000000000001E-6</v>
      </c>
      <c r="W178" s="170">
        <v>7.2660468384654398E-2</v>
      </c>
      <c r="X178" s="170">
        <v>5.4040398787017097E-3</v>
      </c>
    </row>
    <row r="179" spans="1:24">
      <c r="A179" s="4">
        <v>158</v>
      </c>
      <c r="B179" s="4">
        <v>9937</v>
      </c>
      <c r="C179" s="4" t="s">
        <v>1602</v>
      </c>
      <c r="D179" s="4" t="s">
        <v>1603</v>
      </c>
      <c r="E179" s="4" t="s">
        <v>1343</v>
      </c>
      <c r="F179" s="4" t="s">
        <v>1604</v>
      </c>
      <c r="G179" s="4" t="s">
        <v>1605</v>
      </c>
      <c r="H179" s="4" t="s">
        <v>338</v>
      </c>
      <c r="I179" s="4" t="s">
        <v>949</v>
      </c>
      <c r="J179" s="4" t="s">
        <v>30</v>
      </c>
      <c r="K179" s="4" t="s">
        <v>30</v>
      </c>
      <c r="L179" s="2" t="s">
        <v>344</v>
      </c>
      <c r="M179" s="2" t="s">
        <v>56</v>
      </c>
      <c r="N179" s="4" t="s">
        <v>491</v>
      </c>
      <c r="O179" s="4" t="s">
        <v>153</v>
      </c>
      <c r="P179" s="4" t="s">
        <v>44</v>
      </c>
      <c r="Q179" s="154">
        <v>72</v>
      </c>
      <c r="R179" s="171">
        <v>1</v>
      </c>
      <c r="S179" s="173">
        <v>28150</v>
      </c>
      <c r="U179" s="154">
        <v>20.268000000000001</v>
      </c>
      <c r="V179" s="170">
        <v>5.0000000000000004E-6</v>
      </c>
      <c r="W179" s="170">
        <v>8.6988301786342804E-3</v>
      </c>
      <c r="X179" s="170">
        <v>6.46965622827194E-4</v>
      </c>
    </row>
    <row r="180" spans="1:24">
      <c r="A180" s="4">
        <v>158</v>
      </c>
      <c r="B180" s="4">
        <v>9937</v>
      </c>
      <c r="C180" s="4" t="s">
        <v>1606</v>
      </c>
      <c r="D180" s="4" t="s">
        <v>1607</v>
      </c>
      <c r="E180" s="4" t="s">
        <v>1343</v>
      </c>
      <c r="F180" s="4" t="s">
        <v>1608</v>
      </c>
      <c r="G180" s="4" t="s">
        <v>1609</v>
      </c>
      <c r="H180" s="4" t="s">
        <v>338</v>
      </c>
      <c r="I180" s="4" t="s">
        <v>949</v>
      </c>
      <c r="J180" s="4" t="s">
        <v>30</v>
      </c>
      <c r="K180" s="4" t="s">
        <v>30</v>
      </c>
      <c r="L180" s="2" t="s">
        <v>344</v>
      </c>
      <c r="M180" s="2" t="s">
        <v>56</v>
      </c>
      <c r="N180" s="4" t="s">
        <v>492</v>
      </c>
      <c r="O180" s="4" t="s">
        <v>153</v>
      </c>
      <c r="P180" s="4" t="s">
        <v>44</v>
      </c>
      <c r="Q180" s="154">
        <v>91</v>
      </c>
      <c r="R180" s="171">
        <v>1</v>
      </c>
      <c r="S180" s="173">
        <v>29830</v>
      </c>
      <c r="U180" s="154">
        <v>27.145</v>
      </c>
      <c r="V180" s="170">
        <v>6.0000000000000002E-6</v>
      </c>
      <c r="W180" s="170">
        <v>1.1650501028620501E-2</v>
      </c>
      <c r="X180" s="170">
        <v>8.6649279264510695E-4</v>
      </c>
    </row>
    <row r="181" spans="1:24">
      <c r="A181" s="4">
        <v>158</v>
      </c>
      <c r="B181" s="4">
        <v>9937</v>
      </c>
      <c r="C181" s="4" t="s">
        <v>1614</v>
      </c>
      <c r="D181" s="4" t="s">
        <v>1615</v>
      </c>
      <c r="E181" s="4" t="s">
        <v>331</v>
      </c>
      <c r="F181" s="4" t="s">
        <v>1616</v>
      </c>
      <c r="G181" s="4" t="s">
        <v>1617</v>
      </c>
      <c r="H181" s="4" t="s">
        <v>338</v>
      </c>
      <c r="I181" s="4" t="s">
        <v>949</v>
      </c>
      <c r="J181" s="4" t="s">
        <v>106</v>
      </c>
      <c r="K181" s="4" t="s">
        <v>107</v>
      </c>
      <c r="L181" s="2" t="s">
        <v>344</v>
      </c>
      <c r="M181" s="2" t="s">
        <v>363</v>
      </c>
      <c r="N181" s="4" t="s">
        <v>564</v>
      </c>
      <c r="O181" s="4" t="s">
        <v>153</v>
      </c>
      <c r="P181" s="4" t="s">
        <v>34</v>
      </c>
      <c r="Q181" s="154">
        <v>79</v>
      </c>
      <c r="R181" s="171">
        <v>3.71</v>
      </c>
      <c r="S181" s="173">
        <v>16408</v>
      </c>
      <c r="U181" s="154">
        <v>48.09</v>
      </c>
      <c r="V181" s="170">
        <v>0</v>
      </c>
      <c r="W181" s="170">
        <v>2.06398532508454E-2</v>
      </c>
      <c r="X181" s="170">
        <v>1.53506566277071E-3</v>
      </c>
    </row>
    <row r="182" spans="1:24">
      <c r="A182" s="4">
        <v>158</v>
      </c>
      <c r="B182" s="4">
        <v>9937</v>
      </c>
      <c r="C182" s="4" t="s">
        <v>1618</v>
      </c>
      <c r="D182" s="4" t="s">
        <v>1619</v>
      </c>
      <c r="E182" s="4" t="s">
        <v>331</v>
      </c>
      <c r="F182" s="4" t="s">
        <v>1620</v>
      </c>
      <c r="G182" s="4" t="s">
        <v>1621</v>
      </c>
      <c r="H182" s="4" t="s">
        <v>338</v>
      </c>
      <c r="I182" s="4" t="s">
        <v>949</v>
      </c>
      <c r="J182" s="4" t="s">
        <v>106</v>
      </c>
      <c r="K182" s="4" t="s">
        <v>107</v>
      </c>
      <c r="L182" s="2" t="s">
        <v>344</v>
      </c>
      <c r="M182" s="2" t="s">
        <v>363</v>
      </c>
      <c r="N182" s="4" t="s">
        <v>531</v>
      </c>
      <c r="O182" s="4" t="s">
        <v>153</v>
      </c>
      <c r="P182" s="4" t="s">
        <v>34</v>
      </c>
      <c r="Q182" s="154">
        <v>65</v>
      </c>
      <c r="R182" s="171">
        <v>3.71</v>
      </c>
      <c r="S182" s="173">
        <v>18633</v>
      </c>
      <c r="U182" s="154">
        <v>44.933</v>
      </c>
      <c r="V182" s="170">
        <v>0</v>
      </c>
      <c r="W182" s="170">
        <v>1.92850161587549E-2</v>
      </c>
      <c r="X182" s="170">
        <v>1.4343011915586401E-3</v>
      </c>
    </row>
    <row r="183" spans="1:24">
      <c r="A183" s="4">
        <v>158</v>
      </c>
      <c r="B183" s="4">
        <v>9937</v>
      </c>
      <c r="C183" s="4" t="s">
        <v>1622</v>
      </c>
      <c r="D183" s="4" t="s">
        <v>1623</v>
      </c>
      <c r="E183" s="4" t="s">
        <v>331</v>
      </c>
      <c r="F183" s="4" t="s">
        <v>1624</v>
      </c>
      <c r="G183" s="4" t="s">
        <v>1625</v>
      </c>
      <c r="H183" s="4" t="s">
        <v>338</v>
      </c>
      <c r="I183" s="4" t="s">
        <v>949</v>
      </c>
      <c r="J183" s="4" t="s">
        <v>106</v>
      </c>
      <c r="K183" s="4" t="s">
        <v>107</v>
      </c>
      <c r="L183" s="2" t="s">
        <v>344</v>
      </c>
      <c r="M183" s="2" t="s">
        <v>363</v>
      </c>
      <c r="N183" s="4" t="s">
        <v>564</v>
      </c>
      <c r="O183" s="4" t="s">
        <v>153</v>
      </c>
      <c r="P183" s="4" t="s">
        <v>34</v>
      </c>
      <c r="Q183" s="154">
        <v>16</v>
      </c>
      <c r="R183" s="171">
        <v>3.71</v>
      </c>
      <c r="S183" s="173">
        <v>83325</v>
      </c>
      <c r="U183" s="154">
        <v>49.462000000000003</v>
      </c>
      <c r="V183" s="170">
        <v>0</v>
      </c>
      <c r="W183" s="170">
        <v>2.1228493320661099E-2</v>
      </c>
      <c r="X183" s="170">
        <v>1.5788450999558101E-3</v>
      </c>
    </row>
    <row r="184" spans="1:24">
      <c r="A184" s="4">
        <v>158</v>
      </c>
      <c r="B184" s="4">
        <v>9937</v>
      </c>
      <c r="C184" s="4" t="s">
        <v>1626</v>
      </c>
      <c r="D184" s="4" t="s">
        <v>1627</v>
      </c>
      <c r="E184" s="4" t="s">
        <v>331</v>
      </c>
      <c r="F184" s="4" t="s">
        <v>1628</v>
      </c>
      <c r="G184" s="4" t="s">
        <v>1629</v>
      </c>
      <c r="H184" s="4" t="s">
        <v>338</v>
      </c>
      <c r="I184" s="4" t="s">
        <v>949</v>
      </c>
      <c r="J184" s="4" t="s">
        <v>106</v>
      </c>
      <c r="K184" s="4" t="s">
        <v>107</v>
      </c>
      <c r="L184" s="2" t="s">
        <v>344</v>
      </c>
      <c r="M184" s="2" t="s">
        <v>363</v>
      </c>
      <c r="N184" s="4" t="s">
        <v>564</v>
      </c>
      <c r="O184" s="4" t="s">
        <v>153</v>
      </c>
      <c r="P184" s="4" t="s">
        <v>34</v>
      </c>
      <c r="Q184" s="154">
        <v>120</v>
      </c>
      <c r="R184" s="171">
        <v>3.71</v>
      </c>
      <c r="S184" s="173">
        <v>17250</v>
      </c>
      <c r="U184" s="154">
        <v>76.796999999999997</v>
      </c>
      <c r="V184" s="170">
        <v>0</v>
      </c>
      <c r="W184" s="170">
        <v>3.29605319335197E-2</v>
      </c>
      <c r="X184" s="170">
        <v>2.4514021578971798E-3</v>
      </c>
    </row>
    <row r="185" spans="1:24">
      <c r="A185" s="4">
        <v>158</v>
      </c>
      <c r="B185" s="4">
        <v>9937</v>
      </c>
      <c r="C185" s="4" t="s">
        <v>1610</v>
      </c>
      <c r="D185" s="4" t="s">
        <v>1611</v>
      </c>
      <c r="E185" s="4" t="s">
        <v>1343</v>
      </c>
      <c r="F185" s="4" t="s">
        <v>1702</v>
      </c>
      <c r="G185" s="4" t="s">
        <v>1613</v>
      </c>
      <c r="H185" s="4" t="s">
        <v>338</v>
      </c>
      <c r="I185" s="4" t="s">
        <v>949</v>
      </c>
      <c r="J185" s="4" t="s">
        <v>106</v>
      </c>
      <c r="K185" s="4" t="s">
        <v>315</v>
      </c>
      <c r="L185" s="2" t="s">
        <v>344</v>
      </c>
      <c r="M185" s="2" t="s">
        <v>363</v>
      </c>
      <c r="N185" s="4" t="s">
        <v>564</v>
      </c>
      <c r="O185" s="4" t="s">
        <v>153</v>
      </c>
      <c r="P185" s="4" t="s">
        <v>34</v>
      </c>
      <c r="Q185" s="154">
        <v>100</v>
      </c>
      <c r="R185" s="171">
        <v>3.71</v>
      </c>
      <c r="S185" s="173">
        <v>7985</v>
      </c>
      <c r="U185" s="154">
        <v>29.623999999999999</v>
      </c>
      <c r="V185" s="170">
        <v>1.9999999999999999E-6</v>
      </c>
      <c r="W185" s="170">
        <v>1.2714485385949501E-2</v>
      </c>
      <c r="X185" s="170">
        <v>9.4562542177821095E-4</v>
      </c>
    </row>
    <row r="186" spans="1:24">
      <c r="A186" s="4">
        <v>158</v>
      </c>
      <c r="B186" s="4">
        <v>9937</v>
      </c>
      <c r="C186" s="4" t="s">
        <v>1630</v>
      </c>
      <c r="D186" s="4" t="s">
        <v>1631</v>
      </c>
      <c r="E186" s="4" t="s">
        <v>331</v>
      </c>
      <c r="F186" s="4" t="s">
        <v>1630</v>
      </c>
      <c r="G186" s="4" t="s">
        <v>1632</v>
      </c>
      <c r="H186" s="4" t="s">
        <v>338</v>
      </c>
      <c r="I186" s="4" t="s">
        <v>949</v>
      </c>
      <c r="J186" s="4" t="s">
        <v>106</v>
      </c>
      <c r="K186" s="4" t="s">
        <v>315</v>
      </c>
      <c r="L186" s="2" t="s">
        <v>344</v>
      </c>
      <c r="M186" s="2" t="s">
        <v>363</v>
      </c>
      <c r="N186" s="4" t="s">
        <v>1633</v>
      </c>
      <c r="O186" s="4" t="s">
        <v>153</v>
      </c>
      <c r="P186" s="4" t="s">
        <v>34</v>
      </c>
      <c r="Q186" s="154">
        <v>20</v>
      </c>
      <c r="R186" s="171">
        <v>3.71</v>
      </c>
      <c r="S186" s="173">
        <v>88652</v>
      </c>
      <c r="U186" s="154">
        <v>65.78</v>
      </c>
      <c r="V186" s="170">
        <v>0</v>
      </c>
      <c r="W186" s="170">
        <v>2.8232049052854001E-2</v>
      </c>
      <c r="X186" s="170">
        <v>2.0997266096802001E-3</v>
      </c>
    </row>
    <row r="187" spans="1:24">
      <c r="A187" s="4">
        <v>158</v>
      </c>
      <c r="B187" s="4">
        <v>9937</v>
      </c>
      <c r="C187" s="4" t="s">
        <v>1634</v>
      </c>
      <c r="D187" s="4" t="s">
        <v>1635</v>
      </c>
      <c r="E187" s="4" t="s">
        <v>331</v>
      </c>
      <c r="F187" s="4" t="s">
        <v>1708</v>
      </c>
      <c r="G187" s="4" t="s">
        <v>1709</v>
      </c>
      <c r="H187" s="4" t="s">
        <v>338</v>
      </c>
      <c r="I187" s="4" t="s">
        <v>949</v>
      </c>
      <c r="J187" s="4" t="s">
        <v>106</v>
      </c>
      <c r="K187" s="4" t="s">
        <v>107</v>
      </c>
      <c r="L187" s="2" t="s">
        <v>344</v>
      </c>
      <c r="M187" s="2" t="s">
        <v>363</v>
      </c>
      <c r="N187" s="4" t="s">
        <v>565</v>
      </c>
      <c r="O187" s="4" t="s">
        <v>153</v>
      </c>
      <c r="P187" s="4" t="s">
        <v>34</v>
      </c>
      <c r="Q187" s="154">
        <v>40</v>
      </c>
      <c r="R187" s="171">
        <v>3.71</v>
      </c>
      <c r="S187" s="173">
        <v>16585</v>
      </c>
      <c r="U187" s="154">
        <v>24.611999999999998</v>
      </c>
      <c r="V187" s="170">
        <v>0</v>
      </c>
      <c r="W187" s="170">
        <v>1.0563293181012999E-2</v>
      </c>
      <c r="X187" s="170">
        <v>7.8563294277728905E-4</v>
      </c>
    </row>
    <row r="188" spans="1:24">
      <c r="A188" s="4">
        <v>158</v>
      </c>
      <c r="B188" s="4">
        <v>9937</v>
      </c>
      <c r="C188" s="4" t="s">
        <v>1634</v>
      </c>
      <c r="D188" s="4" t="s">
        <v>1635</v>
      </c>
      <c r="E188" s="4" t="s">
        <v>331</v>
      </c>
      <c r="F188" s="4" t="s">
        <v>1636</v>
      </c>
      <c r="G188" s="4" t="s">
        <v>1637</v>
      </c>
      <c r="H188" s="4" t="s">
        <v>338</v>
      </c>
      <c r="I188" s="4" t="s">
        <v>949</v>
      </c>
      <c r="J188" s="4" t="s">
        <v>106</v>
      </c>
      <c r="K188" s="4" t="s">
        <v>107</v>
      </c>
      <c r="L188" s="2" t="s">
        <v>344</v>
      </c>
      <c r="M188" s="2" t="s">
        <v>363</v>
      </c>
      <c r="N188" s="4" t="s">
        <v>565</v>
      </c>
      <c r="O188" s="4" t="s">
        <v>153</v>
      </c>
      <c r="P188" s="4" t="s">
        <v>34</v>
      </c>
      <c r="Q188" s="154">
        <v>100</v>
      </c>
      <c r="R188" s="171">
        <v>3.71</v>
      </c>
      <c r="S188" s="173">
        <v>16719</v>
      </c>
      <c r="U188" s="154">
        <v>62.027000000000001</v>
      </c>
      <c r="V188" s="170">
        <v>0</v>
      </c>
      <c r="W188" s="170">
        <v>2.6621600647174701E-2</v>
      </c>
      <c r="X188" s="170">
        <v>1.9799513370957898E-3</v>
      </c>
    </row>
    <row r="189" spans="1:24">
      <c r="A189" s="4">
        <v>158</v>
      </c>
      <c r="B189" s="4">
        <v>9937</v>
      </c>
      <c r="C189" s="4" t="s">
        <v>1710</v>
      </c>
      <c r="D189" s="4" t="s">
        <v>1711</v>
      </c>
      <c r="E189" s="4" t="s">
        <v>331</v>
      </c>
      <c r="F189" s="4" t="s">
        <v>1712</v>
      </c>
      <c r="G189" s="4" t="s">
        <v>1713</v>
      </c>
      <c r="H189" s="4" t="s">
        <v>338</v>
      </c>
      <c r="I189" s="4" t="s">
        <v>949</v>
      </c>
      <c r="J189" s="4" t="s">
        <v>106</v>
      </c>
      <c r="K189" s="4" t="s">
        <v>287</v>
      </c>
      <c r="L189" s="2" t="s">
        <v>344</v>
      </c>
      <c r="M189" s="2" t="s">
        <v>387</v>
      </c>
      <c r="N189" s="4" t="s">
        <v>531</v>
      </c>
      <c r="O189" s="4" t="s">
        <v>153</v>
      </c>
      <c r="P189" s="4" t="s">
        <v>1198</v>
      </c>
      <c r="Q189" s="154">
        <v>6</v>
      </c>
      <c r="R189" s="171">
        <v>0.47660000000000002</v>
      </c>
      <c r="S189" s="173">
        <v>16710</v>
      </c>
      <c r="U189" s="154">
        <v>0.47799999999999998</v>
      </c>
      <c r="V189" s="170">
        <v>0</v>
      </c>
      <c r="W189" s="170">
        <v>2.05083960210245E-4</v>
      </c>
      <c r="X189" s="170">
        <v>1.52528868048462E-5</v>
      </c>
    </row>
    <row r="190" spans="1:24">
      <c r="A190" s="4">
        <v>158</v>
      </c>
      <c r="B190" s="4">
        <v>9937</v>
      </c>
      <c r="C190" s="4" t="s">
        <v>1638</v>
      </c>
      <c r="D190" s="4" t="s">
        <v>1639</v>
      </c>
      <c r="E190" s="4" t="s">
        <v>331</v>
      </c>
      <c r="F190" s="4" t="s">
        <v>1640</v>
      </c>
      <c r="G190" s="4" t="s">
        <v>1641</v>
      </c>
      <c r="H190" s="4" t="s">
        <v>338</v>
      </c>
      <c r="I190" s="4" t="s">
        <v>949</v>
      </c>
      <c r="J190" s="4" t="s">
        <v>106</v>
      </c>
      <c r="K190" s="4" t="s">
        <v>107</v>
      </c>
      <c r="L190" s="2" t="s">
        <v>344</v>
      </c>
      <c r="M190" s="2" t="s">
        <v>361</v>
      </c>
      <c r="N190" s="4" t="s">
        <v>1642</v>
      </c>
      <c r="O190" s="4" t="s">
        <v>153</v>
      </c>
      <c r="P190" s="4" t="s">
        <v>34</v>
      </c>
      <c r="Q190" s="154">
        <v>41</v>
      </c>
      <c r="R190" s="171">
        <v>3.71</v>
      </c>
      <c r="S190" s="173">
        <v>49380</v>
      </c>
      <c r="U190" s="154">
        <v>75.111999999999995</v>
      </c>
      <c r="V190" s="170">
        <v>0</v>
      </c>
      <c r="W190" s="170">
        <v>3.2237310986456602E-2</v>
      </c>
      <c r="X190" s="170">
        <v>2.3976134206934599E-3</v>
      </c>
    </row>
    <row r="191" spans="1:24">
      <c r="A191" s="4">
        <v>158</v>
      </c>
      <c r="B191" s="4">
        <v>9937</v>
      </c>
      <c r="C191" s="4" t="s">
        <v>1643</v>
      </c>
      <c r="D191" s="4" t="s">
        <v>1644</v>
      </c>
      <c r="E191" s="4" t="s">
        <v>331</v>
      </c>
      <c r="F191" s="4" t="s">
        <v>1645</v>
      </c>
      <c r="G191" s="4" t="s">
        <v>1646</v>
      </c>
      <c r="H191" s="4" t="s">
        <v>338</v>
      </c>
      <c r="I191" s="4" t="s">
        <v>949</v>
      </c>
      <c r="J191" s="4" t="s">
        <v>106</v>
      </c>
      <c r="K191" s="4" t="s">
        <v>107</v>
      </c>
      <c r="L191" s="2" t="s">
        <v>344</v>
      </c>
      <c r="M191" s="2" t="s">
        <v>363</v>
      </c>
      <c r="N191" s="4" t="s">
        <v>560</v>
      </c>
      <c r="O191" s="4" t="s">
        <v>153</v>
      </c>
      <c r="P191" s="4" t="s">
        <v>34</v>
      </c>
      <c r="Q191" s="154">
        <v>59</v>
      </c>
      <c r="R191" s="171">
        <v>3.71</v>
      </c>
      <c r="S191" s="173">
        <v>43030</v>
      </c>
      <c r="U191" s="154">
        <v>94.188000000000002</v>
      </c>
      <c r="V191" s="170">
        <v>0</v>
      </c>
      <c r="W191" s="170">
        <v>4.04247389646675E-2</v>
      </c>
      <c r="X191" s="170">
        <v>3.0065440852196199E-3</v>
      </c>
    </row>
    <row r="192" spans="1:24">
      <c r="A192" s="4">
        <v>158</v>
      </c>
      <c r="B192" s="4">
        <v>9937</v>
      </c>
      <c r="C192" s="4" t="s">
        <v>1673</v>
      </c>
      <c r="D192" s="4" t="s">
        <v>1674</v>
      </c>
      <c r="E192" s="4" t="s">
        <v>331</v>
      </c>
      <c r="F192" s="4" t="s">
        <v>1675</v>
      </c>
      <c r="G192" s="4" t="s">
        <v>1676</v>
      </c>
      <c r="H192" s="4" t="s">
        <v>338</v>
      </c>
      <c r="I192" s="4" t="s">
        <v>949</v>
      </c>
      <c r="J192" s="4" t="s">
        <v>106</v>
      </c>
      <c r="K192" s="4" t="s">
        <v>107</v>
      </c>
      <c r="L192" s="2" t="s">
        <v>344</v>
      </c>
      <c r="M192" s="2" t="s">
        <v>363</v>
      </c>
      <c r="N192" s="4" t="s">
        <v>564</v>
      </c>
      <c r="O192" s="4" t="s">
        <v>153</v>
      </c>
      <c r="P192" s="4" t="s">
        <v>34</v>
      </c>
      <c r="Q192" s="154">
        <v>190</v>
      </c>
      <c r="R192" s="171">
        <v>3.71</v>
      </c>
      <c r="S192" s="173">
        <v>12144</v>
      </c>
      <c r="T192" s="153">
        <v>1E-3</v>
      </c>
      <c r="U192" s="154">
        <v>85.608000000000004</v>
      </c>
      <c r="V192" s="170">
        <v>0</v>
      </c>
      <c r="W192" s="170">
        <v>3.67422766788911E-2</v>
      </c>
      <c r="X192" s="170">
        <v>2.7326651316901501E-3</v>
      </c>
    </row>
    <row r="193" spans="1:24">
      <c r="A193" s="4">
        <v>158</v>
      </c>
      <c r="B193" s="4">
        <v>9937</v>
      </c>
      <c r="C193" s="4" t="s">
        <v>1649</v>
      </c>
      <c r="D193" s="4" t="s">
        <v>1650</v>
      </c>
      <c r="E193" s="4" t="s">
        <v>330</v>
      </c>
      <c r="F193" s="4" t="s">
        <v>1651</v>
      </c>
      <c r="G193" s="4" t="s">
        <v>1652</v>
      </c>
      <c r="H193" s="4" t="s">
        <v>338</v>
      </c>
      <c r="I193" s="4" t="s">
        <v>949</v>
      </c>
      <c r="J193" s="4" t="s">
        <v>106</v>
      </c>
      <c r="K193" s="4" t="s">
        <v>107</v>
      </c>
      <c r="L193" s="2" t="s">
        <v>344</v>
      </c>
      <c r="M193" s="2" t="s">
        <v>361</v>
      </c>
      <c r="N193" s="4" t="s">
        <v>573</v>
      </c>
      <c r="O193" s="4" t="s">
        <v>153</v>
      </c>
      <c r="P193" s="4" t="s">
        <v>34</v>
      </c>
      <c r="Q193" s="154">
        <v>162</v>
      </c>
      <c r="R193" s="171">
        <v>3.71</v>
      </c>
      <c r="S193" s="173">
        <v>7694</v>
      </c>
      <c r="U193" s="154">
        <v>46.241999999999997</v>
      </c>
      <c r="V193" s="170">
        <v>3.0000000000000001E-6</v>
      </c>
      <c r="W193" s="170">
        <v>1.9846826037117401E-2</v>
      </c>
      <c r="X193" s="170">
        <v>1.4760851637021599E-3</v>
      </c>
    </row>
    <row r="194" spans="1:24">
      <c r="A194" s="4">
        <v>158</v>
      </c>
      <c r="B194" s="4">
        <v>9937</v>
      </c>
      <c r="C194" s="4" t="s">
        <v>1677</v>
      </c>
      <c r="D194" s="4" t="s">
        <v>1678</v>
      </c>
      <c r="E194" s="4" t="s">
        <v>331</v>
      </c>
      <c r="F194" s="4" t="s">
        <v>1679</v>
      </c>
      <c r="G194" s="4" t="s">
        <v>1680</v>
      </c>
      <c r="H194" s="4" t="s">
        <v>338</v>
      </c>
      <c r="I194" s="4" t="s">
        <v>949</v>
      </c>
      <c r="J194" s="4" t="s">
        <v>106</v>
      </c>
      <c r="K194" s="4" t="s">
        <v>107</v>
      </c>
      <c r="L194" s="2" t="s">
        <v>344</v>
      </c>
      <c r="M194" s="2" t="s">
        <v>397</v>
      </c>
      <c r="N194" s="4" t="s">
        <v>562</v>
      </c>
      <c r="O194" s="4" t="s">
        <v>153</v>
      </c>
      <c r="P194" s="4" t="s">
        <v>34</v>
      </c>
      <c r="Q194" s="154">
        <v>6</v>
      </c>
      <c r="R194" s="171">
        <v>3.71</v>
      </c>
      <c r="S194" s="173">
        <v>116900</v>
      </c>
      <c r="U194" s="154">
        <v>26.021999999999998</v>
      </c>
      <c r="V194" s="170">
        <v>0</v>
      </c>
      <c r="W194" s="170">
        <v>1.11683657479085E-2</v>
      </c>
      <c r="X194" s="170">
        <v>8.3063452828458005E-4</v>
      </c>
    </row>
    <row r="195" spans="1:24">
      <c r="A195" s="4">
        <v>158</v>
      </c>
      <c r="B195" s="4">
        <v>9937</v>
      </c>
      <c r="C195" s="4" t="s">
        <v>1681</v>
      </c>
      <c r="D195" s="4" t="s">
        <v>1682</v>
      </c>
      <c r="E195" s="4" t="s">
        <v>331</v>
      </c>
      <c r="F195" s="4" t="s">
        <v>1681</v>
      </c>
      <c r="G195" s="4" t="s">
        <v>1683</v>
      </c>
      <c r="H195" s="4" t="s">
        <v>338</v>
      </c>
      <c r="I195" s="4" t="s">
        <v>949</v>
      </c>
      <c r="J195" s="4" t="s">
        <v>106</v>
      </c>
      <c r="K195" s="4" t="s">
        <v>107</v>
      </c>
      <c r="L195" s="2" t="s">
        <v>344</v>
      </c>
      <c r="M195" s="2" t="s">
        <v>363</v>
      </c>
      <c r="N195" s="4" t="s">
        <v>528</v>
      </c>
      <c r="O195" s="4" t="s">
        <v>153</v>
      </c>
      <c r="P195" s="4" t="s">
        <v>34</v>
      </c>
      <c r="Q195" s="154">
        <v>40</v>
      </c>
      <c r="R195" s="171">
        <v>3.71</v>
      </c>
      <c r="S195" s="173">
        <v>26163</v>
      </c>
      <c r="U195" s="154">
        <v>38.826000000000001</v>
      </c>
      <c r="V195" s="170">
        <v>0</v>
      </c>
      <c r="W195" s="170">
        <v>1.6663698492302901E-2</v>
      </c>
      <c r="X195" s="170">
        <v>1.2393436648708001E-3</v>
      </c>
    </row>
    <row r="196" spans="1:24">
      <c r="A196" s="4">
        <v>158</v>
      </c>
      <c r="B196" s="4">
        <v>9937</v>
      </c>
      <c r="C196" s="4" t="s">
        <v>1684</v>
      </c>
      <c r="D196" s="4" t="s">
        <v>1685</v>
      </c>
      <c r="E196" s="4" t="s">
        <v>331</v>
      </c>
      <c r="F196" s="4" t="s">
        <v>1686</v>
      </c>
      <c r="G196" s="4" t="s">
        <v>1687</v>
      </c>
      <c r="H196" s="4" t="s">
        <v>338</v>
      </c>
      <c r="I196" s="4" t="s">
        <v>949</v>
      </c>
      <c r="J196" s="4" t="s">
        <v>106</v>
      </c>
      <c r="K196" s="4" t="s">
        <v>107</v>
      </c>
      <c r="L196" s="2" t="s">
        <v>344</v>
      </c>
      <c r="M196" s="2" t="s">
        <v>361</v>
      </c>
      <c r="N196" s="4" t="s">
        <v>1642</v>
      </c>
      <c r="O196" s="4" t="s">
        <v>153</v>
      </c>
      <c r="P196" s="4" t="s">
        <v>34</v>
      </c>
      <c r="Q196" s="154">
        <v>21</v>
      </c>
      <c r="R196" s="171">
        <v>3.71</v>
      </c>
      <c r="S196" s="173">
        <v>27495</v>
      </c>
      <c r="U196" s="154">
        <v>21.420999999999999</v>
      </c>
      <c r="V196" s="170">
        <v>0</v>
      </c>
      <c r="W196" s="170">
        <v>9.1938388095432807E-3</v>
      </c>
      <c r="X196" s="170">
        <v>6.8378132799953699E-4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30"/>
  <sheetViews>
    <sheetView rightToLeft="1" topLeftCell="G100" zoomScale="70" zoomScaleNormal="70" workbookViewId="0">
      <selection activeCell="K30" sqref="K30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3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586</v>
      </c>
      <c r="N1" s="19" t="s">
        <v>139</v>
      </c>
      <c r="O1" s="19" t="s">
        <v>11</v>
      </c>
      <c r="P1" s="19" t="s">
        <v>17</v>
      </c>
      <c r="Q1" s="161" t="s">
        <v>18</v>
      </c>
      <c r="R1" s="172" t="s">
        <v>19</v>
      </c>
      <c r="S1" s="19" t="s">
        <v>16</v>
      </c>
      <c r="T1" s="19" t="s">
        <v>20</v>
      </c>
      <c r="U1" s="167" t="s">
        <v>23</v>
      </c>
      <c r="V1" s="167" t="s">
        <v>24</v>
      </c>
      <c r="W1" s="167" t="s">
        <v>25</v>
      </c>
    </row>
    <row r="2" spans="1:23">
      <c r="A2" s="20">
        <v>158</v>
      </c>
      <c r="B2" s="20">
        <v>1441</v>
      </c>
      <c r="C2" s="20" t="s">
        <v>1362</v>
      </c>
      <c r="D2" s="20" t="s">
        <v>1363</v>
      </c>
      <c r="E2" s="18" t="s">
        <v>1343</v>
      </c>
      <c r="F2" s="20" t="s">
        <v>1376</v>
      </c>
      <c r="G2" s="20" t="s">
        <v>1377</v>
      </c>
      <c r="H2" s="18" t="s">
        <v>338</v>
      </c>
      <c r="I2" s="20" t="s">
        <v>1001</v>
      </c>
      <c r="J2" s="18" t="s">
        <v>30</v>
      </c>
      <c r="K2" s="18" t="s">
        <v>30</v>
      </c>
      <c r="L2" s="18" t="s">
        <v>56</v>
      </c>
      <c r="M2" s="20" t="s">
        <v>1378</v>
      </c>
      <c r="N2" s="20" t="s">
        <v>153</v>
      </c>
      <c r="O2" s="18" t="s">
        <v>44</v>
      </c>
      <c r="P2" s="156">
        <v>4900</v>
      </c>
      <c r="Q2" s="177">
        <v>1</v>
      </c>
      <c r="R2" s="178">
        <v>3880.51</v>
      </c>
      <c r="S2" s="132"/>
      <c r="T2" s="155">
        <v>190.14500000000001</v>
      </c>
      <c r="U2" s="176">
        <v>1.3999999999999999E-4</v>
      </c>
      <c r="V2" s="176">
        <v>0.574633670260423</v>
      </c>
      <c r="W2" s="176">
        <v>1.94919347714088E-2</v>
      </c>
    </row>
    <row r="3" spans="1:23">
      <c r="A3" s="20">
        <v>158</v>
      </c>
      <c r="B3" s="20">
        <v>1441</v>
      </c>
      <c r="C3" s="20" t="s">
        <v>1379</v>
      </c>
      <c r="D3" s="20" t="s">
        <v>1380</v>
      </c>
      <c r="E3" s="18" t="s">
        <v>331</v>
      </c>
      <c r="F3" s="20" t="s">
        <v>1381</v>
      </c>
      <c r="G3" s="20" t="s">
        <v>1382</v>
      </c>
      <c r="H3" s="18" t="s">
        <v>338</v>
      </c>
      <c r="I3" s="20" t="s">
        <v>1002</v>
      </c>
      <c r="J3" s="18" t="s">
        <v>106</v>
      </c>
      <c r="K3" s="18" t="s">
        <v>107</v>
      </c>
      <c r="L3" s="18" t="s">
        <v>397</v>
      </c>
      <c r="M3" s="20" t="s">
        <v>749</v>
      </c>
      <c r="N3" s="20" t="s">
        <v>153</v>
      </c>
      <c r="O3" s="18" t="s">
        <v>34</v>
      </c>
      <c r="P3" s="156">
        <v>700</v>
      </c>
      <c r="Q3" s="177">
        <v>3.71</v>
      </c>
      <c r="R3" s="178">
        <v>2915.25</v>
      </c>
      <c r="S3" s="132"/>
      <c r="T3" s="155">
        <v>75.709000000000003</v>
      </c>
      <c r="U3" s="176">
        <v>0</v>
      </c>
      <c r="V3" s="176">
        <v>0.22879890216238299</v>
      </c>
      <c r="W3" s="176">
        <v>7.7610023699063403E-3</v>
      </c>
    </row>
    <row r="4" spans="1:23">
      <c r="A4" s="20">
        <v>158</v>
      </c>
      <c r="B4" s="20">
        <v>1441</v>
      </c>
      <c r="C4" s="20" t="s">
        <v>1383</v>
      </c>
      <c r="D4" s="20" t="s">
        <v>1384</v>
      </c>
      <c r="E4" s="18" t="s">
        <v>331</v>
      </c>
      <c r="F4" s="20" t="s">
        <v>1385</v>
      </c>
      <c r="G4" s="20" t="s">
        <v>1386</v>
      </c>
      <c r="H4" s="18" t="s">
        <v>338</v>
      </c>
      <c r="I4" s="20" t="s">
        <v>1002</v>
      </c>
      <c r="J4" s="18" t="s">
        <v>106</v>
      </c>
      <c r="K4" s="18" t="s">
        <v>107</v>
      </c>
      <c r="L4" s="18" t="s">
        <v>397</v>
      </c>
      <c r="M4" s="20" t="s">
        <v>749</v>
      </c>
      <c r="N4" s="20" t="s">
        <v>153</v>
      </c>
      <c r="O4" s="18" t="s">
        <v>34</v>
      </c>
      <c r="P4" s="156">
        <v>300</v>
      </c>
      <c r="Q4" s="177">
        <v>3.71</v>
      </c>
      <c r="R4" s="178">
        <v>5844</v>
      </c>
      <c r="S4" s="132"/>
      <c r="T4" s="155">
        <v>65.043999999999997</v>
      </c>
      <c r="U4" s="176">
        <v>0</v>
      </c>
      <c r="V4" s="176">
        <v>0.196567427577194</v>
      </c>
      <c r="W4" s="176">
        <v>6.6676905214793202E-3</v>
      </c>
    </row>
    <row r="5" spans="1:23">
      <c r="A5" s="20">
        <v>158</v>
      </c>
      <c r="B5" s="20">
        <v>1522</v>
      </c>
      <c r="C5" s="20" t="s">
        <v>1387</v>
      </c>
      <c r="D5" s="20" t="s">
        <v>1388</v>
      </c>
      <c r="E5" s="18" t="s">
        <v>331</v>
      </c>
      <c r="F5" s="20" t="s">
        <v>1389</v>
      </c>
      <c r="G5" s="20" t="s">
        <v>1390</v>
      </c>
      <c r="H5" s="18" t="s">
        <v>338</v>
      </c>
      <c r="I5" s="20" t="s">
        <v>1000</v>
      </c>
      <c r="J5" s="18" t="s">
        <v>106</v>
      </c>
      <c r="K5" s="18" t="s">
        <v>107</v>
      </c>
      <c r="L5" s="18" t="s">
        <v>361</v>
      </c>
      <c r="M5" s="20" t="s">
        <v>1391</v>
      </c>
      <c r="N5" s="20" t="s">
        <v>153</v>
      </c>
      <c r="O5" s="18" t="s">
        <v>34</v>
      </c>
      <c r="P5" s="156">
        <v>270</v>
      </c>
      <c r="Q5" s="177">
        <v>3.71</v>
      </c>
      <c r="R5" s="178">
        <v>12710</v>
      </c>
      <c r="S5" s="132"/>
      <c r="T5" s="155">
        <v>127.316</v>
      </c>
      <c r="U5" s="176">
        <v>6.9999999999999999E-6</v>
      </c>
      <c r="V5" s="176">
        <v>2.9220607483471099E-2</v>
      </c>
      <c r="W5" s="176">
        <v>1.24864954812045E-2</v>
      </c>
    </row>
    <row r="6" spans="1:23">
      <c r="A6" s="20">
        <v>158</v>
      </c>
      <c r="B6" s="20">
        <v>1522</v>
      </c>
      <c r="C6" s="20" t="s">
        <v>1357</v>
      </c>
      <c r="D6" s="20" t="s">
        <v>1358</v>
      </c>
      <c r="E6" s="18" t="s">
        <v>1343</v>
      </c>
      <c r="F6" s="20" t="s">
        <v>1392</v>
      </c>
      <c r="G6" s="20" t="s">
        <v>1393</v>
      </c>
      <c r="H6" s="18" t="s">
        <v>338</v>
      </c>
      <c r="I6" s="20" t="s">
        <v>999</v>
      </c>
      <c r="J6" s="18" t="s">
        <v>30</v>
      </c>
      <c r="K6" s="18" t="s">
        <v>30</v>
      </c>
      <c r="L6" s="18" t="s">
        <v>56</v>
      </c>
      <c r="M6" s="20" t="s">
        <v>1370</v>
      </c>
      <c r="N6" s="20" t="s">
        <v>153</v>
      </c>
      <c r="O6" s="18" t="s">
        <v>44</v>
      </c>
      <c r="P6" s="156">
        <v>7300</v>
      </c>
      <c r="Q6" s="177">
        <v>1</v>
      </c>
      <c r="R6" s="178">
        <v>3034</v>
      </c>
      <c r="S6" s="132"/>
      <c r="T6" s="155">
        <v>221.482</v>
      </c>
      <c r="U6" s="176">
        <v>2.03E-4</v>
      </c>
      <c r="V6" s="176">
        <v>5.0832849196917197E-2</v>
      </c>
      <c r="W6" s="176">
        <v>2.17217982943405E-2</v>
      </c>
    </row>
    <row r="7" spans="1:23">
      <c r="A7" s="20">
        <v>158</v>
      </c>
      <c r="B7" s="20">
        <v>1522</v>
      </c>
      <c r="C7" s="20" t="s">
        <v>1394</v>
      </c>
      <c r="D7" s="20" t="s">
        <v>1395</v>
      </c>
      <c r="E7" s="18" t="s">
        <v>1343</v>
      </c>
      <c r="F7" s="20" t="s">
        <v>1396</v>
      </c>
      <c r="G7" s="20" t="s">
        <v>1397</v>
      </c>
      <c r="H7" s="18" t="s">
        <v>338</v>
      </c>
      <c r="I7" s="20" t="s">
        <v>999</v>
      </c>
      <c r="J7" s="18" t="s">
        <v>30</v>
      </c>
      <c r="K7" s="18" t="s">
        <v>30</v>
      </c>
      <c r="L7" s="18" t="s">
        <v>56</v>
      </c>
      <c r="M7" s="20" t="s">
        <v>1370</v>
      </c>
      <c r="N7" s="20" t="s">
        <v>153</v>
      </c>
      <c r="O7" s="18" t="s">
        <v>44</v>
      </c>
      <c r="P7" s="156">
        <v>8000</v>
      </c>
      <c r="Q7" s="177">
        <v>1</v>
      </c>
      <c r="R7" s="178">
        <v>2076</v>
      </c>
      <c r="S7" s="132"/>
      <c r="T7" s="155">
        <v>166.08</v>
      </c>
      <c r="U7" s="176">
        <v>1.11E-4</v>
      </c>
      <c r="V7" s="176">
        <v>3.8117407259389002E-2</v>
      </c>
      <c r="W7" s="176">
        <v>1.6288259365203801E-2</v>
      </c>
    </row>
    <row r="8" spans="1:23">
      <c r="A8" s="20">
        <v>158</v>
      </c>
      <c r="B8" s="20">
        <v>1522</v>
      </c>
      <c r="C8" s="20" t="s">
        <v>1398</v>
      </c>
      <c r="D8" s="20" t="s">
        <v>1399</v>
      </c>
      <c r="E8" s="18" t="s">
        <v>1343</v>
      </c>
      <c r="F8" s="20" t="s">
        <v>1400</v>
      </c>
      <c r="G8" s="20" t="s">
        <v>1401</v>
      </c>
      <c r="H8" s="18" t="s">
        <v>338</v>
      </c>
      <c r="I8" s="20" t="s">
        <v>1000</v>
      </c>
      <c r="J8" s="18" t="s">
        <v>30</v>
      </c>
      <c r="K8" s="18" t="s">
        <v>107</v>
      </c>
      <c r="L8" s="18" t="s">
        <v>56</v>
      </c>
      <c r="M8" s="20" t="s">
        <v>1361</v>
      </c>
      <c r="N8" s="20" t="s">
        <v>357</v>
      </c>
      <c r="O8" s="18" t="s">
        <v>44</v>
      </c>
      <c r="P8" s="156">
        <v>930</v>
      </c>
      <c r="Q8" s="177">
        <v>1</v>
      </c>
      <c r="R8" s="178">
        <v>9006</v>
      </c>
      <c r="S8" s="132"/>
      <c r="T8" s="155">
        <v>83.756</v>
      </c>
      <c r="U8" s="176">
        <v>6.8999999999999997E-5</v>
      </c>
      <c r="V8" s="176">
        <v>1.92229885533233E-2</v>
      </c>
      <c r="W8" s="176">
        <v>8.2143316097070002E-3</v>
      </c>
    </row>
    <row r="9" spans="1:23">
      <c r="A9" s="20">
        <v>158</v>
      </c>
      <c r="B9" s="20">
        <v>1522</v>
      </c>
      <c r="C9" s="20" t="s">
        <v>1362</v>
      </c>
      <c r="D9" s="20" t="s">
        <v>1363</v>
      </c>
      <c r="E9" s="18" t="s">
        <v>1343</v>
      </c>
      <c r="F9" s="20" t="s">
        <v>1402</v>
      </c>
      <c r="G9" s="20" t="s">
        <v>1403</v>
      </c>
      <c r="H9" s="18" t="s">
        <v>338</v>
      </c>
      <c r="I9" s="20" t="s">
        <v>999</v>
      </c>
      <c r="J9" s="18" t="s">
        <v>30</v>
      </c>
      <c r="K9" s="18" t="s">
        <v>30</v>
      </c>
      <c r="L9" s="18" t="s">
        <v>56</v>
      </c>
      <c r="M9" s="20" t="s">
        <v>1370</v>
      </c>
      <c r="N9" s="20" t="s">
        <v>153</v>
      </c>
      <c r="O9" s="18" t="s">
        <v>44</v>
      </c>
      <c r="P9" s="156">
        <v>480</v>
      </c>
      <c r="Q9" s="177">
        <v>1</v>
      </c>
      <c r="R9" s="178">
        <v>20710</v>
      </c>
      <c r="S9" s="132"/>
      <c r="T9" s="155">
        <v>99.408000000000001</v>
      </c>
      <c r="U9" s="176">
        <v>1.8E-5</v>
      </c>
      <c r="V9" s="176">
        <v>2.2815361397166101E-2</v>
      </c>
      <c r="W9" s="176">
        <v>9.7494176720627507E-3</v>
      </c>
    </row>
    <row r="10" spans="1:23">
      <c r="A10" s="20">
        <v>158</v>
      </c>
      <c r="B10" s="20">
        <v>1522</v>
      </c>
      <c r="C10" s="20" t="s">
        <v>1362</v>
      </c>
      <c r="D10" s="20" t="s">
        <v>1363</v>
      </c>
      <c r="E10" s="18" t="s">
        <v>1343</v>
      </c>
      <c r="F10" s="20" t="s">
        <v>1404</v>
      </c>
      <c r="G10" s="20" t="s">
        <v>1405</v>
      </c>
      <c r="H10" s="18" t="s">
        <v>338</v>
      </c>
      <c r="I10" s="20" t="s">
        <v>999</v>
      </c>
      <c r="J10" s="18" t="s">
        <v>30</v>
      </c>
      <c r="K10" s="18" t="s">
        <v>30</v>
      </c>
      <c r="L10" s="18" t="s">
        <v>56</v>
      </c>
      <c r="M10" s="20" t="s">
        <v>1370</v>
      </c>
      <c r="N10" s="20" t="s">
        <v>153</v>
      </c>
      <c r="O10" s="18" t="s">
        <v>44</v>
      </c>
      <c r="P10" s="156">
        <v>1900</v>
      </c>
      <c r="Q10" s="177">
        <v>1</v>
      </c>
      <c r="R10" s="178">
        <v>9066</v>
      </c>
      <c r="S10" s="132"/>
      <c r="T10" s="155">
        <v>172.25399999999999</v>
      </c>
      <c r="U10" s="176">
        <v>1.7960000000000001E-3</v>
      </c>
      <c r="V10" s="176">
        <v>3.9534416365961E-2</v>
      </c>
      <c r="W10" s="176">
        <v>1.68937730533106E-2</v>
      </c>
    </row>
    <row r="11" spans="1:23">
      <c r="A11" s="20">
        <v>158</v>
      </c>
      <c r="B11" s="20">
        <v>1522</v>
      </c>
      <c r="C11" s="20" t="s">
        <v>1387</v>
      </c>
      <c r="D11" s="20" t="s">
        <v>1388</v>
      </c>
      <c r="E11" s="18" t="s">
        <v>331</v>
      </c>
      <c r="F11" s="20" t="s">
        <v>1406</v>
      </c>
      <c r="G11" s="20" t="s">
        <v>1407</v>
      </c>
      <c r="H11" s="18" t="s">
        <v>338</v>
      </c>
      <c r="I11" s="20" t="s">
        <v>1000</v>
      </c>
      <c r="J11" s="18" t="s">
        <v>106</v>
      </c>
      <c r="K11" s="18" t="s">
        <v>107</v>
      </c>
      <c r="L11" s="18" t="s">
        <v>31</v>
      </c>
      <c r="M11" s="20" t="s">
        <v>752</v>
      </c>
      <c r="N11" s="20" t="s">
        <v>153</v>
      </c>
      <c r="O11" s="18" t="s">
        <v>34</v>
      </c>
      <c r="P11" s="156">
        <v>6</v>
      </c>
      <c r="Q11" s="177">
        <v>3.71</v>
      </c>
      <c r="R11" s="178">
        <v>114221</v>
      </c>
      <c r="S11" s="132"/>
      <c r="T11" s="155">
        <v>25.425999999999998</v>
      </c>
      <c r="U11" s="176">
        <v>0</v>
      </c>
      <c r="V11" s="176">
        <v>5.8354873806618704E-3</v>
      </c>
      <c r="W11" s="176">
        <v>2.4936095818841901E-3</v>
      </c>
    </row>
    <row r="12" spans="1:23">
      <c r="A12" s="20">
        <v>158</v>
      </c>
      <c r="B12" s="20">
        <v>1522</v>
      </c>
      <c r="C12" s="20" t="s">
        <v>1408</v>
      </c>
      <c r="D12" s="20" t="s">
        <v>1409</v>
      </c>
      <c r="E12" s="18" t="s">
        <v>331</v>
      </c>
      <c r="F12" s="20" t="s">
        <v>1410</v>
      </c>
      <c r="G12" s="20" t="s">
        <v>1411</v>
      </c>
      <c r="H12" s="18" t="s">
        <v>338</v>
      </c>
      <c r="I12" s="20" t="s">
        <v>1000</v>
      </c>
      <c r="J12" s="18" t="s">
        <v>106</v>
      </c>
      <c r="K12" s="18" t="s">
        <v>312</v>
      </c>
      <c r="L12" s="18" t="s">
        <v>385</v>
      </c>
      <c r="M12" s="20" t="s">
        <v>752</v>
      </c>
      <c r="N12" s="20" t="s">
        <v>153</v>
      </c>
      <c r="O12" s="18" t="s">
        <v>1199</v>
      </c>
      <c r="P12" s="156">
        <v>410</v>
      </c>
      <c r="Q12" s="177">
        <v>4.1524000000000001</v>
      </c>
      <c r="R12" s="178">
        <v>5022</v>
      </c>
      <c r="S12" s="132"/>
      <c r="T12" s="155">
        <v>85.498999999999995</v>
      </c>
      <c r="U12" s="176">
        <v>3.9999999999999998E-6</v>
      </c>
      <c r="V12" s="176">
        <v>1.9623016255692498E-2</v>
      </c>
      <c r="W12" s="176">
        <v>8.3852707012647392E-3</v>
      </c>
    </row>
    <row r="13" spans="1:23">
      <c r="A13" s="20">
        <v>158</v>
      </c>
      <c r="B13" s="20">
        <v>1522</v>
      </c>
      <c r="C13" s="20" t="s">
        <v>1408</v>
      </c>
      <c r="D13" s="20" t="s">
        <v>1409</v>
      </c>
      <c r="E13" s="18" t="s">
        <v>331</v>
      </c>
      <c r="F13" s="20" t="s">
        <v>1412</v>
      </c>
      <c r="G13" s="20" t="s">
        <v>1413</v>
      </c>
      <c r="H13" s="18" t="s">
        <v>338</v>
      </c>
      <c r="I13" s="20" t="s">
        <v>1000</v>
      </c>
      <c r="J13" s="18" t="s">
        <v>106</v>
      </c>
      <c r="K13" s="18" t="s">
        <v>107</v>
      </c>
      <c r="L13" s="18" t="s">
        <v>363</v>
      </c>
      <c r="M13" s="20" t="s">
        <v>752</v>
      </c>
      <c r="N13" s="20" t="s">
        <v>153</v>
      </c>
      <c r="O13" s="18" t="s">
        <v>34</v>
      </c>
      <c r="P13" s="156">
        <v>60</v>
      </c>
      <c r="Q13" s="177">
        <v>3.71</v>
      </c>
      <c r="R13" s="178">
        <v>23059</v>
      </c>
      <c r="S13" s="132"/>
      <c r="T13" s="155">
        <v>51.329000000000001</v>
      </c>
      <c r="U13" s="176">
        <v>3.0000000000000001E-6</v>
      </c>
      <c r="V13" s="176">
        <v>1.17807148869894E-2</v>
      </c>
      <c r="W13" s="176">
        <v>5.0341131095566899E-3</v>
      </c>
    </row>
    <row r="14" spans="1:23">
      <c r="A14" s="20">
        <v>158</v>
      </c>
      <c r="B14" s="20">
        <v>1522</v>
      </c>
      <c r="C14" s="20" t="s">
        <v>1371</v>
      </c>
      <c r="D14" s="20" t="s">
        <v>1372</v>
      </c>
      <c r="E14" s="18" t="s">
        <v>331</v>
      </c>
      <c r="F14" s="20" t="s">
        <v>1414</v>
      </c>
      <c r="G14" s="20" t="s">
        <v>1415</v>
      </c>
      <c r="H14" s="18" t="s">
        <v>338</v>
      </c>
      <c r="I14" s="20" t="s">
        <v>1000</v>
      </c>
      <c r="J14" s="18" t="s">
        <v>106</v>
      </c>
      <c r="K14" s="18" t="s">
        <v>107</v>
      </c>
      <c r="L14" s="18" t="s">
        <v>363</v>
      </c>
      <c r="M14" s="20" t="s">
        <v>752</v>
      </c>
      <c r="N14" s="20" t="s">
        <v>153</v>
      </c>
      <c r="O14" s="18" t="s">
        <v>34</v>
      </c>
      <c r="P14" s="156">
        <v>355</v>
      </c>
      <c r="Q14" s="177">
        <v>3.71</v>
      </c>
      <c r="R14" s="178">
        <v>48807</v>
      </c>
      <c r="S14" s="157">
        <v>0.18099999999999999</v>
      </c>
      <c r="T14" s="155">
        <v>643.48299999999995</v>
      </c>
      <c r="U14" s="176">
        <v>9.9999999999999995E-7</v>
      </c>
      <c r="V14" s="176">
        <v>0.147687366403812</v>
      </c>
      <c r="W14" s="176">
        <v>6.3109489913080005E-2</v>
      </c>
    </row>
    <row r="15" spans="1:23">
      <c r="A15" s="20">
        <v>158</v>
      </c>
      <c r="B15" s="20">
        <v>1522</v>
      </c>
      <c r="C15" s="20" t="s">
        <v>1371</v>
      </c>
      <c r="D15" s="20" t="s">
        <v>1372</v>
      </c>
      <c r="E15" s="18" t="s">
        <v>331</v>
      </c>
      <c r="F15" s="20" t="s">
        <v>1416</v>
      </c>
      <c r="G15" s="20" t="s">
        <v>1417</v>
      </c>
      <c r="H15" s="18" t="s">
        <v>338</v>
      </c>
      <c r="I15" s="20" t="s">
        <v>1000</v>
      </c>
      <c r="J15" s="18" t="s">
        <v>106</v>
      </c>
      <c r="K15" s="18" t="s">
        <v>107</v>
      </c>
      <c r="L15" s="18" t="s">
        <v>397</v>
      </c>
      <c r="M15" s="20" t="s">
        <v>752</v>
      </c>
      <c r="N15" s="20" t="s">
        <v>153</v>
      </c>
      <c r="O15" s="18" t="s">
        <v>34</v>
      </c>
      <c r="P15" s="156">
        <v>108</v>
      </c>
      <c r="Q15" s="177">
        <v>3.71</v>
      </c>
      <c r="R15" s="178">
        <v>112716</v>
      </c>
      <c r="S15" s="132"/>
      <c r="T15" s="155">
        <v>451.63</v>
      </c>
      <c r="U15" s="176">
        <v>2.0999999999999999E-5</v>
      </c>
      <c r="V15" s="176">
        <v>0.10365475981453801</v>
      </c>
      <c r="W15" s="176">
        <v>4.4293558604545903E-2</v>
      </c>
    </row>
    <row r="16" spans="1:23">
      <c r="A16" s="20">
        <v>158</v>
      </c>
      <c r="B16" s="20">
        <v>1522</v>
      </c>
      <c r="C16" s="20" t="s">
        <v>1418</v>
      </c>
      <c r="D16" s="20" t="s">
        <v>1380</v>
      </c>
      <c r="E16" s="18" t="s">
        <v>331</v>
      </c>
      <c r="F16" s="20" t="s">
        <v>1419</v>
      </c>
      <c r="G16" s="20" t="s">
        <v>1420</v>
      </c>
      <c r="H16" s="18" t="s">
        <v>338</v>
      </c>
      <c r="I16" s="20" t="s">
        <v>1000</v>
      </c>
      <c r="J16" s="18" t="s">
        <v>106</v>
      </c>
      <c r="K16" s="18" t="s">
        <v>107</v>
      </c>
      <c r="L16" s="18" t="s">
        <v>361</v>
      </c>
      <c r="M16" s="20" t="s">
        <v>752</v>
      </c>
      <c r="N16" s="20" t="s">
        <v>153</v>
      </c>
      <c r="O16" s="18" t="s">
        <v>34</v>
      </c>
      <c r="P16" s="156">
        <v>330</v>
      </c>
      <c r="Q16" s="177">
        <v>3.71</v>
      </c>
      <c r="R16" s="178">
        <v>57376</v>
      </c>
      <c r="S16" s="157">
        <v>0.433</v>
      </c>
      <c r="T16" s="155">
        <v>704.06200000000001</v>
      </c>
      <c r="U16" s="176">
        <v>0</v>
      </c>
      <c r="V16" s="176">
        <v>0.161590987805381</v>
      </c>
      <c r="W16" s="176">
        <v>6.9050759474340001E-2</v>
      </c>
    </row>
    <row r="17" spans="1:23">
      <c r="A17" s="20">
        <v>158</v>
      </c>
      <c r="B17" s="20">
        <v>1522</v>
      </c>
      <c r="C17" s="20" t="s">
        <v>1421</v>
      </c>
      <c r="D17" s="20" t="s">
        <v>1380</v>
      </c>
      <c r="E17" s="18" t="s">
        <v>331</v>
      </c>
      <c r="F17" s="20" t="s">
        <v>1422</v>
      </c>
      <c r="G17" s="20" t="s">
        <v>1423</v>
      </c>
      <c r="H17" s="18" t="s">
        <v>338</v>
      </c>
      <c r="I17" s="20" t="s">
        <v>1000</v>
      </c>
      <c r="J17" s="18" t="s">
        <v>106</v>
      </c>
      <c r="K17" s="18" t="s">
        <v>107</v>
      </c>
      <c r="L17" s="18" t="s">
        <v>397</v>
      </c>
      <c r="M17" s="20" t="s">
        <v>752</v>
      </c>
      <c r="N17" s="20" t="s">
        <v>153</v>
      </c>
      <c r="O17" s="18" t="s">
        <v>34</v>
      </c>
      <c r="P17" s="156">
        <v>9265</v>
      </c>
      <c r="Q17" s="177">
        <v>3.71</v>
      </c>
      <c r="R17" s="178">
        <v>1392.6</v>
      </c>
      <c r="S17" s="132"/>
      <c r="T17" s="155">
        <v>478.68</v>
      </c>
      <c r="U17" s="176">
        <v>0</v>
      </c>
      <c r="V17" s="176">
        <v>0.109863072412632</v>
      </c>
      <c r="W17" s="176">
        <v>4.6946483162868799E-2</v>
      </c>
    </row>
    <row r="18" spans="1:23">
      <c r="A18" s="20">
        <v>158</v>
      </c>
      <c r="B18" s="20">
        <v>1522</v>
      </c>
      <c r="C18" s="20" t="s">
        <v>1424</v>
      </c>
      <c r="D18" s="20" t="s">
        <v>1425</v>
      </c>
      <c r="E18" s="18" t="s">
        <v>331</v>
      </c>
      <c r="F18" s="20" t="s">
        <v>1426</v>
      </c>
      <c r="G18" s="20" t="s">
        <v>1427</v>
      </c>
      <c r="H18" s="18" t="s">
        <v>338</v>
      </c>
      <c r="I18" s="20" t="s">
        <v>1000</v>
      </c>
      <c r="J18" s="18" t="s">
        <v>106</v>
      </c>
      <c r="K18" s="18" t="s">
        <v>107</v>
      </c>
      <c r="L18" s="18" t="s">
        <v>363</v>
      </c>
      <c r="M18" s="20" t="s">
        <v>752</v>
      </c>
      <c r="N18" s="20" t="s">
        <v>153</v>
      </c>
      <c r="O18" s="18" t="s">
        <v>34</v>
      </c>
      <c r="P18" s="156">
        <v>32</v>
      </c>
      <c r="Q18" s="177">
        <v>3.71</v>
      </c>
      <c r="R18" s="178">
        <v>24545</v>
      </c>
      <c r="S18" s="132"/>
      <c r="T18" s="155">
        <v>29.14</v>
      </c>
      <c r="U18" s="176">
        <v>9.9999999999999995E-7</v>
      </c>
      <c r="V18" s="176">
        <v>6.6879488130715302E-3</v>
      </c>
      <c r="W18" s="176">
        <v>2.8578818109850101E-3</v>
      </c>
    </row>
    <row r="19" spans="1:23">
      <c r="A19" s="20">
        <v>158</v>
      </c>
      <c r="B19" s="20">
        <v>1522</v>
      </c>
      <c r="C19" s="20" t="s">
        <v>1383</v>
      </c>
      <c r="D19" s="20" t="s">
        <v>1384</v>
      </c>
      <c r="E19" s="18" t="s">
        <v>331</v>
      </c>
      <c r="F19" s="20" t="s">
        <v>1428</v>
      </c>
      <c r="G19" s="20" t="s">
        <v>1429</v>
      </c>
      <c r="H19" s="18" t="s">
        <v>338</v>
      </c>
      <c r="I19" s="20" t="s">
        <v>1000</v>
      </c>
      <c r="J19" s="18" t="s">
        <v>106</v>
      </c>
      <c r="K19" s="18" t="s">
        <v>315</v>
      </c>
      <c r="L19" s="18" t="s">
        <v>31</v>
      </c>
      <c r="M19" s="20" t="s">
        <v>752</v>
      </c>
      <c r="N19" s="20" t="s">
        <v>153</v>
      </c>
      <c r="O19" s="18" t="s">
        <v>34</v>
      </c>
      <c r="P19" s="156">
        <v>495</v>
      </c>
      <c r="Q19" s="177">
        <v>3.71</v>
      </c>
      <c r="R19" s="178">
        <v>6639</v>
      </c>
      <c r="S19" s="132"/>
      <c r="T19" s="155">
        <v>121.922</v>
      </c>
      <c r="U19" s="176">
        <v>0</v>
      </c>
      <c r="V19" s="176">
        <v>2.79825825322635E-2</v>
      </c>
      <c r="W19" s="176">
        <v>1.19574649684879E-2</v>
      </c>
    </row>
    <row r="20" spans="1:23">
      <c r="A20" s="2">
        <v>158</v>
      </c>
      <c r="B20" s="2">
        <v>1522</v>
      </c>
      <c r="C20" s="2" t="s">
        <v>1383</v>
      </c>
      <c r="D20" s="2" t="s">
        <v>1384</v>
      </c>
      <c r="E20" s="18" t="s">
        <v>331</v>
      </c>
      <c r="F20" s="2" t="s">
        <v>1430</v>
      </c>
      <c r="G20" s="2" t="s">
        <v>1431</v>
      </c>
      <c r="H20" s="18" t="s">
        <v>338</v>
      </c>
      <c r="I20" s="20" t="s">
        <v>1000</v>
      </c>
      <c r="J20" s="18" t="s">
        <v>106</v>
      </c>
      <c r="K20" s="18" t="s">
        <v>107</v>
      </c>
      <c r="L20" s="18" t="s">
        <v>361</v>
      </c>
      <c r="M20" s="20" t="s">
        <v>752</v>
      </c>
      <c r="N20" s="20" t="s">
        <v>153</v>
      </c>
      <c r="O20" s="2" t="s">
        <v>34</v>
      </c>
      <c r="P20" s="156">
        <v>404</v>
      </c>
      <c r="Q20" s="162">
        <v>3.71</v>
      </c>
      <c r="R20" s="179">
        <v>52767</v>
      </c>
      <c r="S20" s="158">
        <v>0.66200000000000003</v>
      </c>
      <c r="T20" s="153">
        <v>793.34900000000005</v>
      </c>
      <c r="U20" s="168">
        <v>9.9999999999999995E-7</v>
      </c>
      <c r="V20" s="168">
        <v>0.18208334883796601</v>
      </c>
      <c r="W20" s="168">
        <v>7.7807516963975407E-2</v>
      </c>
    </row>
    <row r="21" spans="1:23">
      <c r="A21" s="2">
        <v>158</v>
      </c>
      <c r="B21" s="2">
        <v>1522</v>
      </c>
      <c r="C21" s="2" t="s">
        <v>1432</v>
      </c>
      <c r="D21" s="2" t="s">
        <v>1433</v>
      </c>
      <c r="E21" s="4" t="s">
        <v>331</v>
      </c>
      <c r="F21" s="2" t="s">
        <v>1434</v>
      </c>
      <c r="G21" s="2" t="s">
        <v>1435</v>
      </c>
      <c r="H21" s="4" t="s">
        <v>338</v>
      </c>
      <c r="I21" s="2" t="s">
        <v>1000</v>
      </c>
      <c r="J21" s="2" t="s">
        <v>106</v>
      </c>
      <c r="K21" s="2" t="s">
        <v>270</v>
      </c>
      <c r="L21" s="4" t="s">
        <v>361</v>
      </c>
      <c r="M21" s="2" t="s">
        <v>752</v>
      </c>
      <c r="N21" s="2" t="s">
        <v>153</v>
      </c>
      <c r="O21" s="2" t="s">
        <v>34</v>
      </c>
      <c r="P21" s="154">
        <v>260</v>
      </c>
      <c r="Q21" s="162">
        <v>3.71</v>
      </c>
      <c r="R21" s="179">
        <v>10600</v>
      </c>
      <c r="T21" s="153">
        <v>102.248</v>
      </c>
      <c r="U21" s="168">
        <v>9.0000000000000002E-6</v>
      </c>
      <c r="V21" s="168">
        <v>2.3467084600765301E-2</v>
      </c>
      <c r="W21" s="168">
        <v>1.0027910815688899E-2</v>
      </c>
    </row>
    <row r="22" spans="1:23">
      <c r="A22" s="2">
        <v>158</v>
      </c>
      <c r="B22" s="2">
        <v>9935</v>
      </c>
      <c r="C22" s="2" t="s">
        <v>1387</v>
      </c>
      <c r="D22" s="2" t="s">
        <v>1388</v>
      </c>
      <c r="E22" s="4" t="s">
        <v>331</v>
      </c>
      <c r="F22" s="2" t="s">
        <v>1389</v>
      </c>
      <c r="G22" s="2" t="s">
        <v>1390</v>
      </c>
      <c r="H22" s="2" t="s">
        <v>338</v>
      </c>
      <c r="I22" s="2" t="s">
        <v>1000</v>
      </c>
      <c r="J22" s="2" t="s">
        <v>106</v>
      </c>
      <c r="K22" s="2" t="s">
        <v>107</v>
      </c>
      <c r="L22" s="4" t="s">
        <v>361</v>
      </c>
      <c r="M22" s="2" t="s">
        <v>1391</v>
      </c>
      <c r="N22" s="2" t="s">
        <v>153</v>
      </c>
      <c r="O22" s="2" t="s">
        <v>34</v>
      </c>
      <c r="P22" s="154">
        <v>5480</v>
      </c>
      <c r="Q22" s="162">
        <v>3.71</v>
      </c>
      <c r="R22" s="179">
        <v>12710</v>
      </c>
      <c r="T22" s="153">
        <v>2584.0450000000001</v>
      </c>
      <c r="U22" s="168">
        <v>1.4899999999999999E-4</v>
      </c>
      <c r="V22" s="168">
        <v>8.5488002635578601E-3</v>
      </c>
      <c r="W22" s="168">
        <v>2.3852843502769798E-3</v>
      </c>
    </row>
    <row r="23" spans="1:23">
      <c r="A23" s="2">
        <v>158</v>
      </c>
      <c r="B23" s="2">
        <v>9935</v>
      </c>
      <c r="C23" s="2" t="s">
        <v>1357</v>
      </c>
      <c r="D23" s="2" t="s">
        <v>1358</v>
      </c>
      <c r="E23" s="4" t="s">
        <v>1343</v>
      </c>
      <c r="F23" s="2" t="s">
        <v>1392</v>
      </c>
      <c r="G23" s="2" t="s">
        <v>1393</v>
      </c>
      <c r="H23" s="2" t="s">
        <v>338</v>
      </c>
      <c r="I23" s="2" t="s">
        <v>999</v>
      </c>
      <c r="J23" s="2" t="s">
        <v>30</v>
      </c>
      <c r="K23" s="2" t="s">
        <v>30</v>
      </c>
      <c r="L23" s="2" t="s">
        <v>56</v>
      </c>
      <c r="M23" s="2" t="s">
        <v>1370</v>
      </c>
      <c r="N23" s="2" t="s">
        <v>153</v>
      </c>
      <c r="O23" s="2" t="s">
        <v>44</v>
      </c>
      <c r="P23" s="154">
        <v>144297</v>
      </c>
      <c r="Q23" s="162">
        <v>1</v>
      </c>
      <c r="R23" s="179">
        <v>3034</v>
      </c>
      <c r="T23" s="153">
        <v>4377.9709999999995</v>
      </c>
      <c r="U23" s="168">
        <v>4.006E-3</v>
      </c>
      <c r="V23" s="168">
        <v>1.4483650285672601E-2</v>
      </c>
      <c r="W23" s="168">
        <v>4.04122488491986E-3</v>
      </c>
    </row>
    <row r="24" spans="1:23">
      <c r="A24" s="2">
        <v>158</v>
      </c>
      <c r="B24" s="2">
        <v>9935</v>
      </c>
      <c r="C24" s="2" t="s">
        <v>1394</v>
      </c>
      <c r="D24" s="2" t="s">
        <v>1395</v>
      </c>
      <c r="E24" s="4" t="s">
        <v>1343</v>
      </c>
      <c r="F24" s="2" t="s">
        <v>1436</v>
      </c>
      <c r="G24" s="2" t="s">
        <v>1437</v>
      </c>
      <c r="H24" s="2" t="s">
        <v>338</v>
      </c>
      <c r="I24" s="2" t="s">
        <v>999</v>
      </c>
      <c r="J24" s="2" t="s">
        <v>30</v>
      </c>
      <c r="K24" s="2" t="s">
        <v>30</v>
      </c>
      <c r="L24" s="2" t="s">
        <v>56</v>
      </c>
      <c r="M24" s="2" t="s">
        <v>1370</v>
      </c>
      <c r="N24" s="2" t="s">
        <v>153</v>
      </c>
      <c r="O24" s="2" t="s">
        <v>44</v>
      </c>
      <c r="P24" s="154">
        <v>155000</v>
      </c>
      <c r="Q24" s="162">
        <v>1</v>
      </c>
      <c r="R24" s="179">
        <v>2013</v>
      </c>
      <c r="T24" s="153">
        <v>3120.15</v>
      </c>
      <c r="U24" s="168">
        <v>3.1770000000000001E-3</v>
      </c>
      <c r="V24" s="168">
        <v>1.03223985826515E-2</v>
      </c>
      <c r="W24" s="168">
        <v>2.8801533592355401E-3</v>
      </c>
    </row>
    <row r="25" spans="1:23">
      <c r="A25" s="2">
        <v>158</v>
      </c>
      <c r="B25" s="2">
        <v>9935</v>
      </c>
      <c r="C25" s="2" t="s">
        <v>1394</v>
      </c>
      <c r="D25" s="2" t="s">
        <v>1395</v>
      </c>
      <c r="E25" s="4" t="s">
        <v>1343</v>
      </c>
      <c r="F25" s="2" t="s">
        <v>1438</v>
      </c>
      <c r="G25" s="2" t="s">
        <v>1439</v>
      </c>
      <c r="H25" s="2" t="s">
        <v>338</v>
      </c>
      <c r="I25" s="2" t="s">
        <v>1001</v>
      </c>
      <c r="J25" s="2" t="s">
        <v>30</v>
      </c>
      <c r="K25" s="2" t="s">
        <v>30</v>
      </c>
      <c r="L25" s="2" t="s">
        <v>56</v>
      </c>
      <c r="M25" s="2" t="s">
        <v>1378</v>
      </c>
      <c r="N25" s="2" t="s">
        <v>153</v>
      </c>
      <c r="O25" s="2" t="s">
        <v>44</v>
      </c>
      <c r="P25" s="154">
        <v>1753000</v>
      </c>
      <c r="Q25" s="162">
        <v>1</v>
      </c>
      <c r="R25" s="179">
        <v>389.18</v>
      </c>
      <c r="T25" s="153">
        <v>6822.3249999999998</v>
      </c>
      <c r="U25" s="168">
        <v>7.6909999999999999E-3</v>
      </c>
      <c r="V25" s="168">
        <v>2.2570312978333399E-2</v>
      </c>
      <c r="W25" s="168">
        <v>6.2975637128368598E-3</v>
      </c>
    </row>
    <row r="26" spans="1:23">
      <c r="A26" s="2">
        <v>158</v>
      </c>
      <c r="B26" s="2">
        <v>9935</v>
      </c>
      <c r="C26" s="2" t="s">
        <v>1362</v>
      </c>
      <c r="D26" s="2" t="s">
        <v>1363</v>
      </c>
      <c r="E26" s="4" t="s">
        <v>1343</v>
      </c>
      <c r="F26" s="2" t="s">
        <v>1402</v>
      </c>
      <c r="G26" s="11" t="s">
        <v>1403</v>
      </c>
      <c r="H26" s="2" t="s">
        <v>338</v>
      </c>
      <c r="I26" s="2" t="s">
        <v>999</v>
      </c>
      <c r="J26" s="2" t="s">
        <v>30</v>
      </c>
      <c r="K26" s="2" t="s">
        <v>30</v>
      </c>
      <c r="L26" s="2" t="s">
        <v>56</v>
      </c>
      <c r="M26" s="2" t="s">
        <v>1370</v>
      </c>
      <c r="N26" s="2" t="s">
        <v>153</v>
      </c>
      <c r="O26" s="2" t="s">
        <v>44</v>
      </c>
      <c r="P26" s="154">
        <v>29200</v>
      </c>
      <c r="Q26" s="162">
        <v>1</v>
      </c>
      <c r="R26" s="179">
        <v>20710</v>
      </c>
      <c r="T26" s="153">
        <v>6047.32</v>
      </c>
      <c r="U26" s="168">
        <v>1.1119999999999999E-3</v>
      </c>
      <c r="V26" s="168">
        <v>2.00063610393218E-2</v>
      </c>
      <c r="W26" s="168">
        <v>5.5821704124392199E-3</v>
      </c>
    </row>
    <row r="27" spans="1:23">
      <c r="A27" s="2">
        <v>158</v>
      </c>
      <c r="B27" s="2">
        <v>9935</v>
      </c>
      <c r="C27" s="2" t="s">
        <v>1362</v>
      </c>
      <c r="D27" s="2" t="s">
        <v>1363</v>
      </c>
      <c r="E27" s="4" t="s">
        <v>1343</v>
      </c>
      <c r="F27" s="2" t="s">
        <v>1440</v>
      </c>
      <c r="G27" s="2" t="s">
        <v>1441</v>
      </c>
      <c r="H27" s="2" t="s">
        <v>338</v>
      </c>
      <c r="I27" s="2" t="s">
        <v>1001</v>
      </c>
      <c r="J27" s="2" t="s">
        <v>30</v>
      </c>
      <c r="K27" s="2" t="s">
        <v>30</v>
      </c>
      <c r="L27" s="2" t="s">
        <v>56</v>
      </c>
      <c r="M27" s="2" t="s">
        <v>1378</v>
      </c>
      <c r="N27" s="2" t="s">
        <v>153</v>
      </c>
      <c r="O27" s="2" t="s">
        <v>44</v>
      </c>
      <c r="P27" s="154">
        <v>187912</v>
      </c>
      <c r="Q27" s="162">
        <v>1</v>
      </c>
      <c r="R27" s="179">
        <v>3902.52</v>
      </c>
      <c r="T27" s="153">
        <v>7333.3029999999999</v>
      </c>
      <c r="U27" s="168">
        <v>8.0649999999999993E-3</v>
      </c>
      <c r="V27" s="168">
        <v>2.4260782475406299E-2</v>
      </c>
      <c r="W27" s="168">
        <v>6.7692381363436598E-3</v>
      </c>
    </row>
    <row r="28" spans="1:23">
      <c r="A28" s="2">
        <v>158</v>
      </c>
      <c r="B28" s="2">
        <v>9935</v>
      </c>
      <c r="C28" s="2" t="s">
        <v>1442</v>
      </c>
      <c r="D28" s="2" t="s">
        <v>1443</v>
      </c>
      <c r="E28" s="4" t="s">
        <v>1343</v>
      </c>
      <c r="F28" s="2" t="s">
        <v>1444</v>
      </c>
      <c r="G28" s="2" t="s">
        <v>1445</v>
      </c>
      <c r="H28" s="2" t="s">
        <v>338</v>
      </c>
      <c r="I28" s="2" t="s">
        <v>1001</v>
      </c>
      <c r="J28" s="2" t="s">
        <v>30</v>
      </c>
      <c r="K28" s="2" t="s">
        <v>30</v>
      </c>
      <c r="L28" s="2" t="s">
        <v>56</v>
      </c>
      <c r="M28" s="2" t="s">
        <v>1378</v>
      </c>
      <c r="N28" s="2" t="s">
        <v>153</v>
      </c>
      <c r="O28" s="2" t="s">
        <v>44</v>
      </c>
      <c r="P28" s="154">
        <v>900000</v>
      </c>
      <c r="Q28" s="162">
        <v>1</v>
      </c>
      <c r="R28" s="179">
        <v>390.51</v>
      </c>
      <c r="T28" s="153">
        <v>3514.59</v>
      </c>
      <c r="U28" s="168">
        <v>3.0730000000000002E-3</v>
      </c>
      <c r="V28" s="168">
        <v>1.1627325235838299E-2</v>
      </c>
      <c r="W28" s="168">
        <v>3.2442537040961602E-3</v>
      </c>
    </row>
    <row r="29" spans="1:23">
      <c r="A29" s="2">
        <v>158</v>
      </c>
      <c r="B29" s="2">
        <v>9935</v>
      </c>
      <c r="C29" s="2" t="s">
        <v>1387</v>
      </c>
      <c r="D29" s="2" t="s">
        <v>1388</v>
      </c>
      <c r="E29" s="4" t="s">
        <v>331</v>
      </c>
      <c r="F29" s="2" t="s">
        <v>1389</v>
      </c>
      <c r="G29" s="2" t="s">
        <v>1390</v>
      </c>
      <c r="H29" s="2" t="s">
        <v>338</v>
      </c>
      <c r="I29" s="2" t="s">
        <v>1000</v>
      </c>
      <c r="J29" s="2" t="s">
        <v>106</v>
      </c>
      <c r="K29" s="2" t="s">
        <v>107</v>
      </c>
      <c r="L29" s="2" t="s">
        <v>361</v>
      </c>
      <c r="M29" s="2" t="s">
        <v>1391</v>
      </c>
      <c r="N29" s="2" t="s">
        <v>153</v>
      </c>
      <c r="O29" s="2" t="s">
        <v>34</v>
      </c>
      <c r="P29" s="154">
        <v>7000</v>
      </c>
      <c r="Q29" s="162">
        <v>3.71</v>
      </c>
      <c r="R29" s="179">
        <v>12710</v>
      </c>
      <c r="T29" s="153">
        <v>3300.7869999999998</v>
      </c>
      <c r="U29" s="168">
        <v>1.9000000000000001E-4</v>
      </c>
      <c r="V29" s="168">
        <v>1.09200003366615E-2</v>
      </c>
      <c r="W29" s="168">
        <v>3.0468960678720499E-3</v>
      </c>
    </row>
    <row r="30" spans="1:23">
      <c r="A30" s="2">
        <v>158</v>
      </c>
      <c r="B30" s="2">
        <v>9935</v>
      </c>
      <c r="C30" s="2" t="s">
        <v>1357</v>
      </c>
      <c r="D30" s="2" t="s">
        <v>1358</v>
      </c>
      <c r="E30" s="4" t="s">
        <v>1343</v>
      </c>
      <c r="F30" s="2" t="s">
        <v>1392</v>
      </c>
      <c r="G30" s="2" t="s">
        <v>1393</v>
      </c>
      <c r="H30" s="2" t="s">
        <v>338</v>
      </c>
      <c r="I30" s="2" t="s">
        <v>999</v>
      </c>
      <c r="J30" s="2" t="s">
        <v>30</v>
      </c>
      <c r="K30" s="2" t="s">
        <v>30</v>
      </c>
      <c r="L30" s="2" t="s">
        <v>56</v>
      </c>
      <c r="M30" s="2" t="s">
        <v>1370</v>
      </c>
      <c r="N30" s="2" t="s">
        <v>153</v>
      </c>
      <c r="O30" s="2" t="s">
        <v>44</v>
      </c>
      <c r="P30" s="154">
        <v>230000</v>
      </c>
      <c r="Q30" s="162">
        <v>1</v>
      </c>
      <c r="R30" s="179">
        <v>3034</v>
      </c>
      <c r="T30" s="153">
        <v>6978.2</v>
      </c>
      <c r="U30" s="168">
        <v>6.3850000000000001E-3</v>
      </c>
      <c r="V30" s="168">
        <v>2.30859932341261E-2</v>
      </c>
      <c r="W30" s="168">
        <v>6.4414487032410104E-3</v>
      </c>
    </row>
    <row r="31" spans="1:23">
      <c r="A31" s="2">
        <v>158</v>
      </c>
      <c r="B31" s="2">
        <v>9935</v>
      </c>
      <c r="C31" s="2" t="s">
        <v>1394</v>
      </c>
      <c r="D31" s="2" t="s">
        <v>1395</v>
      </c>
      <c r="E31" s="4" t="s">
        <v>1343</v>
      </c>
      <c r="F31" s="2" t="s">
        <v>1436</v>
      </c>
      <c r="G31" s="2" t="s">
        <v>1437</v>
      </c>
      <c r="H31" s="2" t="s">
        <v>338</v>
      </c>
      <c r="I31" s="2" t="s">
        <v>999</v>
      </c>
      <c r="J31" s="2" t="s">
        <v>30</v>
      </c>
      <c r="K31" s="2" t="s">
        <v>30</v>
      </c>
      <c r="L31" s="2" t="s">
        <v>56</v>
      </c>
      <c r="M31" s="2" t="s">
        <v>1370</v>
      </c>
      <c r="N31" s="2" t="s">
        <v>153</v>
      </c>
      <c r="O31" s="2" t="s">
        <v>44</v>
      </c>
      <c r="P31" s="154">
        <v>150000</v>
      </c>
      <c r="Q31" s="162">
        <v>1</v>
      </c>
      <c r="R31" s="179">
        <v>2013</v>
      </c>
      <c r="T31" s="153">
        <v>3019.5</v>
      </c>
      <c r="U31" s="168">
        <v>3.075E-3</v>
      </c>
      <c r="V31" s="168">
        <v>9.9894179832110998E-3</v>
      </c>
      <c r="W31" s="168">
        <v>2.78724518635697E-3</v>
      </c>
    </row>
    <row r="32" spans="1:23">
      <c r="A32" s="2">
        <v>158</v>
      </c>
      <c r="B32" s="2">
        <v>9935</v>
      </c>
      <c r="C32" s="2" t="s">
        <v>1394</v>
      </c>
      <c r="D32" s="2" t="s">
        <v>1395</v>
      </c>
      <c r="E32" s="4" t="s">
        <v>1343</v>
      </c>
      <c r="F32" s="2" t="s">
        <v>1396</v>
      </c>
      <c r="G32" s="2" t="s">
        <v>1397</v>
      </c>
      <c r="H32" s="2" t="s">
        <v>338</v>
      </c>
      <c r="I32" s="2" t="s">
        <v>999</v>
      </c>
      <c r="J32" s="2" t="s">
        <v>30</v>
      </c>
      <c r="K32" s="2" t="s">
        <v>30</v>
      </c>
      <c r="L32" s="2" t="s">
        <v>56</v>
      </c>
      <c r="M32" s="2" t="s">
        <v>1370</v>
      </c>
      <c r="N32" s="2" t="s">
        <v>153</v>
      </c>
      <c r="O32" s="2" t="s">
        <v>44</v>
      </c>
      <c r="P32" s="154">
        <v>500000</v>
      </c>
      <c r="Q32" s="162">
        <v>1</v>
      </c>
      <c r="R32" s="179">
        <v>2076</v>
      </c>
      <c r="T32" s="153">
        <v>10380</v>
      </c>
      <c r="U32" s="168">
        <v>6.9309999999999997E-3</v>
      </c>
      <c r="V32" s="168">
        <v>3.4340175083865297E-2</v>
      </c>
      <c r="W32" s="168">
        <v>9.5815880226479098E-3</v>
      </c>
    </row>
    <row r="33" spans="1:23">
      <c r="A33" s="2">
        <v>158</v>
      </c>
      <c r="B33" s="2">
        <v>9935</v>
      </c>
      <c r="C33" s="2" t="s">
        <v>1398</v>
      </c>
      <c r="D33" s="2" t="s">
        <v>1399</v>
      </c>
      <c r="E33" s="4" t="s">
        <v>1343</v>
      </c>
      <c r="F33" s="2" t="s">
        <v>1400</v>
      </c>
      <c r="G33" s="2" t="s">
        <v>1401</v>
      </c>
      <c r="H33" s="2" t="s">
        <v>338</v>
      </c>
      <c r="I33" s="2" t="s">
        <v>1000</v>
      </c>
      <c r="J33" s="2" t="s">
        <v>30</v>
      </c>
      <c r="K33" s="2" t="s">
        <v>107</v>
      </c>
      <c r="L33" s="2" t="s">
        <v>56</v>
      </c>
      <c r="M33" s="2" t="s">
        <v>1361</v>
      </c>
      <c r="N33" s="2" t="s">
        <v>357</v>
      </c>
      <c r="O33" s="2" t="s">
        <v>44</v>
      </c>
      <c r="P33" s="154">
        <v>61000</v>
      </c>
      <c r="Q33" s="162">
        <v>1</v>
      </c>
      <c r="R33" s="179">
        <v>9006</v>
      </c>
      <c r="T33" s="153">
        <v>5493.66</v>
      </c>
      <c r="U33" s="168">
        <v>4.5189999999999996E-3</v>
      </c>
      <c r="V33" s="168">
        <v>1.8174686536727099E-2</v>
      </c>
      <c r="W33" s="168">
        <v>5.0710969996628098E-3</v>
      </c>
    </row>
    <row r="34" spans="1:23">
      <c r="A34" s="2">
        <v>158</v>
      </c>
      <c r="B34" s="2">
        <v>9935</v>
      </c>
      <c r="C34" s="2" t="s">
        <v>1362</v>
      </c>
      <c r="D34" s="2" t="s">
        <v>1363</v>
      </c>
      <c r="E34" s="4" t="s">
        <v>1343</v>
      </c>
      <c r="F34" s="2" t="s">
        <v>1402</v>
      </c>
      <c r="G34" s="2" t="s">
        <v>1403</v>
      </c>
      <c r="H34" s="2" t="s">
        <v>338</v>
      </c>
      <c r="I34" s="2" t="s">
        <v>999</v>
      </c>
      <c r="J34" s="2" t="s">
        <v>30</v>
      </c>
      <c r="K34" s="2" t="s">
        <v>30</v>
      </c>
      <c r="L34" s="2" t="s">
        <v>56</v>
      </c>
      <c r="M34" s="2" t="s">
        <v>1370</v>
      </c>
      <c r="N34" s="2" t="s">
        <v>153</v>
      </c>
      <c r="O34" s="2" t="s">
        <v>44</v>
      </c>
      <c r="P34" s="154">
        <v>33000</v>
      </c>
      <c r="Q34" s="162">
        <v>1</v>
      </c>
      <c r="R34" s="179">
        <v>20710</v>
      </c>
      <c r="T34" s="153">
        <v>6834.3</v>
      </c>
      <c r="U34" s="168">
        <v>1.256E-3</v>
      </c>
      <c r="V34" s="168">
        <v>2.2609928571836298E-2</v>
      </c>
      <c r="W34" s="168">
        <v>6.3086172469347399E-3</v>
      </c>
    </row>
    <row r="35" spans="1:23">
      <c r="A35" s="2">
        <v>158</v>
      </c>
      <c r="B35" s="2">
        <v>9935</v>
      </c>
      <c r="C35" s="2" t="s">
        <v>1362</v>
      </c>
      <c r="D35" s="2" t="s">
        <v>1363</v>
      </c>
      <c r="E35" s="4" t="s">
        <v>1343</v>
      </c>
      <c r="F35" s="2" t="s">
        <v>1404</v>
      </c>
      <c r="G35" s="2" t="s">
        <v>1405</v>
      </c>
      <c r="H35" s="2" t="s">
        <v>338</v>
      </c>
      <c r="I35" s="2" t="s">
        <v>999</v>
      </c>
      <c r="J35" s="2" t="s">
        <v>30</v>
      </c>
      <c r="K35" s="2" t="s">
        <v>30</v>
      </c>
      <c r="L35" s="2" t="s">
        <v>56</v>
      </c>
      <c r="M35" s="2" t="s">
        <v>1370</v>
      </c>
      <c r="N35" s="2" t="s">
        <v>153</v>
      </c>
      <c r="O35" s="2" t="s">
        <v>44</v>
      </c>
      <c r="P35" s="154">
        <v>12000</v>
      </c>
      <c r="Q35" s="162">
        <v>1</v>
      </c>
      <c r="R35" s="179">
        <v>9066</v>
      </c>
      <c r="T35" s="153">
        <v>1087.92</v>
      </c>
      <c r="U35" s="168">
        <v>1.1346E-2</v>
      </c>
      <c r="V35" s="168">
        <v>3.5991679457840799E-3</v>
      </c>
      <c r="W35" s="168">
        <v>1.0042390406164901E-3</v>
      </c>
    </row>
    <row r="36" spans="1:23">
      <c r="A36" s="2">
        <v>158</v>
      </c>
      <c r="B36" s="2">
        <v>9935</v>
      </c>
      <c r="C36" s="2" t="s">
        <v>1446</v>
      </c>
      <c r="D36" s="2" t="s">
        <v>1447</v>
      </c>
      <c r="E36" s="4" t="s">
        <v>331</v>
      </c>
      <c r="F36" s="2" t="s">
        <v>1448</v>
      </c>
      <c r="G36" s="2" t="s">
        <v>1449</v>
      </c>
      <c r="H36" s="2" t="s">
        <v>338</v>
      </c>
      <c r="I36" s="2" t="s">
        <v>1000</v>
      </c>
      <c r="J36" s="2" t="s">
        <v>106</v>
      </c>
      <c r="K36" s="2" t="s">
        <v>107</v>
      </c>
      <c r="L36" s="2" t="s">
        <v>381</v>
      </c>
      <c r="M36" s="2" t="s">
        <v>752</v>
      </c>
      <c r="N36" s="2" t="s">
        <v>153</v>
      </c>
      <c r="O36" s="2" t="s">
        <v>34</v>
      </c>
      <c r="P36" s="154">
        <v>7250</v>
      </c>
      <c r="Q36" s="162">
        <v>3.71</v>
      </c>
      <c r="R36" s="179">
        <v>11230.77</v>
      </c>
      <c r="T36" s="153">
        <v>3020.7959999999998</v>
      </c>
      <c r="U36" s="168">
        <v>0</v>
      </c>
      <c r="V36" s="168">
        <v>9.9937067361134894E-3</v>
      </c>
      <c r="W36" s="168">
        <v>2.78844183323898E-3</v>
      </c>
    </row>
    <row r="37" spans="1:23">
      <c r="A37" s="2">
        <v>158</v>
      </c>
      <c r="B37" s="2">
        <v>9935</v>
      </c>
      <c r="C37" s="2" t="s">
        <v>1387</v>
      </c>
      <c r="D37" s="2" t="s">
        <v>1388</v>
      </c>
      <c r="E37" s="4" t="s">
        <v>331</v>
      </c>
      <c r="F37" s="2" t="s">
        <v>1406</v>
      </c>
      <c r="G37" s="2" t="s">
        <v>1407</v>
      </c>
      <c r="H37" s="2" t="s">
        <v>338</v>
      </c>
      <c r="I37" s="2" t="s">
        <v>1000</v>
      </c>
      <c r="J37" s="2" t="s">
        <v>106</v>
      </c>
      <c r="K37" s="2" t="s">
        <v>107</v>
      </c>
      <c r="L37" s="2" t="s">
        <v>31</v>
      </c>
      <c r="M37" s="2" t="s">
        <v>752</v>
      </c>
      <c r="N37" s="2" t="s">
        <v>153</v>
      </c>
      <c r="O37" s="2" t="s">
        <v>34</v>
      </c>
      <c r="P37" s="154">
        <v>600</v>
      </c>
      <c r="Q37" s="162">
        <v>3.71</v>
      </c>
      <c r="R37" s="179">
        <v>114221</v>
      </c>
      <c r="T37" s="153">
        <v>2542.5590000000002</v>
      </c>
      <c r="U37" s="168">
        <v>4.5000000000000003E-5</v>
      </c>
      <c r="V37" s="168">
        <v>8.4115546259670403E-3</v>
      </c>
      <c r="W37" s="168">
        <v>2.3469901029678402E-3</v>
      </c>
    </row>
    <row r="38" spans="1:23">
      <c r="A38" s="2">
        <v>158</v>
      </c>
      <c r="B38" s="2">
        <v>9935</v>
      </c>
      <c r="C38" s="2" t="s">
        <v>1408</v>
      </c>
      <c r="D38" s="2" t="s">
        <v>1409</v>
      </c>
      <c r="E38" s="4" t="s">
        <v>331</v>
      </c>
      <c r="F38" s="2" t="s">
        <v>1410</v>
      </c>
      <c r="G38" s="2" t="s">
        <v>1411</v>
      </c>
      <c r="H38" s="2" t="s">
        <v>338</v>
      </c>
      <c r="I38" s="2" t="s">
        <v>1000</v>
      </c>
      <c r="J38" s="2" t="s">
        <v>106</v>
      </c>
      <c r="K38" s="2" t="s">
        <v>312</v>
      </c>
      <c r="L38" s="2" t="s">
        <v>385</v>
      </c>
      <c r="M38" s="2" t="s">
        <v>752</v>
      </c>
      <c r="N38" s="2" t="s">
        <v>153</v>
      </c>
      <c r="O38" s="2" t="s">
        <v>1199</v>
      </c>
      <c r="P38" s="154">
        <v>44400</v>
      </c>
      <c r="Q38" s="162">
        <v>4.1524000000000001</v>
      </c>
      <c r="R38" s="179">
        <v>5022</v>
      </c>
      <c r="T38" s="153">
        <v>9258.8889999999992</v>
      </c>
      <c r="U38" s="168">
        <v>4.55E-4</v>
      </c>
      <c r="V38" s="168">
        <v>3.0631200104961401E-2</v>
      </c>
      <c r="W38" s="168">
        <v>8.54671064804584E-3</v>
      </c>
    </row>
    <row r="39" spans="1:23">
      <c r="A39" s="2">
        <v>158</v>
      </c>
      <c r="B39" s="2">
        <v>9935</v>
      </c>
      <c r="C39" s="2" t="s">
        <v>1408</v>
      </c>
      <c r="D39" s="2" t="s">
        <v>1409</v>
      </c>
      <c r="E39" s="4" t="s">
        <v>331</v>
      </c>
      <c r="F39" s="2" t="s">
        <v>1412</v>
      </c>
      <c r="G39" s="2" t="s">
        <v>1413</v>
      </c>
      <c r="H39" s="2" t="s">
        <v>338</v>
      </c>
      <c r="I39" s="2" t="s">
        <v>1000</v>
      </c>
      <c r="J39" s="2" t="s">
        <v>106</v>
      </c>
      <c r="K39" s="2" t="s">
        <v>107</v>
      </c>
      <c r="L39" s="2" t="s">
        <v>363</v>
      </c>
      <c r="M39" s="2" t="s">
        <v>752</v>
      </c>
      <c r="N39" s="2" t="s">
        <v>153</v>
      </c>
      <c r="O39" s="2" t="s">
        <v>34</v>
      </c>
      <c r="P39" s="154">
        <v>475</v>
      </c>
      <c r="Q39" s="162">
        <v>3.71</v>
      </c>
      <c r="R39" s="179">
        <v>23059</v>
      </c>
      <c r="T39" s="153">
        <v>406.35700000000003</v>
      </c>
      <c r="U39" s="168">
        <v>2.6999999999999999E-5</v>
      </c>
      <c r="V39" s="168">
        <v>1.3443524411314101E-3</v>
      </c>
      <c r="W39" s="168">
        <v>3.7510091945379702E-4</v>
      </c>
    </row>
    <row r="40" spans="1:23">
      <c r="A40" s="2">
        <v>158</v>
      </c>
      <c r="B40" s="2">
        <v>9935</v>
      </c>
      <c r="C40" s="2" t="s">
        <v>1387</v>
      </c>
      <c r="D40" s="2" t="s">
        <v>1388</v>
      </c>
      <c r="E40" s="4" t="s">
        <v>331</v>
      </c>
      <c r="F40" s="2" t="s">
        <v>1387</v>
      </c>
      <c r="G40" s="2" t="s">
        <v>1450</v>
      </c>
      <c r="H40" s="2" t="s">
        <v>338</v>
      </c>
      <c r="I40" s="2" t="s">
        <v>1000</v>
      </c>
      <c r="J40" s="2" t="s">
        <v>106</v>
      </c>
      <c r="K40" s="2" t="s">
        <v>107</v>
      </c>
      <c r="L40" s="2" t="s">
        <v>397</v>
      </c>
      <c r="M40" s="2" t="s">
        <v>752</v>
      </c>
      <c r="N40" s="2" t="s">
        <v>153</v>
      </c>
      <c r="O40" s="2" t="s">
        <v>34</v>
      </c>
      <c r="P40" s="154">
        <v>75000</v>
      </c>
      <c r="Q40" s="162">
        <v>3.71</v>
      </c>
      <c r="R40" s="179">
        <v>608.9</v>
      </c>
      <c r="T40" s="153">
        <v>1694.2639999999999</v>
      </c>
      <c r="U40" s="168">
        <v>0</v>
      </c>
      <c r="V40" s="168">
        <v>5.6051378596660602E-3</v>
      </c>
      <c r="W40" s="168">
        <v>1.56394432032761E-3</v>
      </c>
    </row>
    <row r="41" spans="1:23">
      <c r="A41" s="2">
        <v>158</v>
      </c>
      <c r="B41" s="2">
        <v>9935</v>
      </c>
      <c r="C41" s="2" t="s">
        <v>1408</v>
      </c>
      <c r="D41" s="2" t="s">
        <v>1409</v>
      </c>
      <c r="E41" s="4" t="s">
        <v>331</v>
      </c>
      <c r="F41" s="2" t="s">
        <v>1451</v>
      </c>
      <c r="G41" s="2" t="s">
        <v>1452</v>
      </c>
      <c r="H41" s="2" t="s">
        <v>338</v>
      </c>
      <c r="I41" s="2" t="s">
        <v>1002</v>
      </c>
      <c r="J41" s="2" t="s">
        <v>106</v>
      </c>
      <c r="K41" s="2" t="s">
        <v>107</v>
      </c>
      <c r="L41" s="2" t="s">
        <v>397</v>
      </c>
      <c r="M41" s="2" t="s">
        <v>749</v>
      </c>
      <c r="N41" s="2" t="s">
        <v>153</v>
      </c>
      <c r="O41" s="2" t="s">
        <v>34</v>
      </c>
      <c r="P41" s="154">
        <v>116200</v>
      </c>
      <c r="Q41" s="162">
        <v>3.71</v>
      </c>
      <c r="R41" s="179">
        <v>595.6</v>
      </c>
      <c r="T41" s="153">
        <v>2567.6439999999998</v>
      </c>
      <c r="U41" s="168">
        <v>0</v>
      </c>
      <c r="V41" s="168">
        <v>8.4945402461493891E-3</v>
      </c>
      <c r="W41" s="168">
        <v>2.3701447322744501E-3</v>
      </c>
    </row>
    <row r="42" spans="1:23">
      <c r="A42" s="2">
        <v>158</v>
      </c>
      <c r="B42" s="2">
        <v>9935</v>
      </c>
      <c r="C42" s="2" t="s">
        <v>1408</v>
      </c>
      <c r="D42" s="2" t="s">
        <v>1409</v>
      </c>
      <c r="E42" s="4" t="s">
        <v>331</v>
      </c>
      <c r="F42" s="2" t="s">
        <v>1453</v>
      </c>
      <c r="G42" s="2" t="s">
        <v>1454</v>
      </c>
      <c r="H42" s="2" t="s">
        <v>338</v>
      </c>
      <c r="I42" s="2" t="s">
        <v>1000</v>
      </c>
      <c r="J42" s="2" t="s">
        <v>106</v>
      </c>
      <c r="K42" s="2" t="s">
        <v>107</v>
      </c>
      <c r="L42" s="2" t="s">
        <v>361</v>
      </c>
      <c r="M42" s="2" t="s">
        <v>752</v>
      </c>
      <c r="N42" s="2" t="s">
        <v>153</v>
      </c>
      <c r="O42" s="2" t="s">
        <v>34</v>
      </c>
      <c r="P42" s="154">
        <v>9755</v>
      </c>
      <c r="Q42" s="162">
        <v>3.71</v>
      </c>
      <c r="R42" s="179">
        <v>57682</v>
      </c>
      <c r="T42" s="153">
        <v>20875.721000000001</v>
      </c>
      <c r="U42" s="168">
        <v>1.2999999999999999E-5</v>
      </c>
      <c r="V42" s="168">
        <v>6.9063191712210398E-2</v>
      </c>
      <c r="W42" s="168">
        <v>1.9269996407981799E-2</v>
      </c>
    </row>
    <row r="43" spans="1:23">
      <c r="A43" s="2">
        <v>158</v>
      </c>
      <c r="B43" s="2">
        <v>9935</v>
      </c>
      <c r="C43" s="2" t="s">
        <v>1455</v>
      </c>
      <c r="D43" s="2" t="s">
        <v>1456</v>
      </c>
      <c r="E43" s="4" t="s">
        <v>331</v>
      </c>
      <c r="F43" s="2" t="s">
        <v>1457</v>
      </c>
      <c r="G43" s="2" t="s">
        <v>1458</v>
      </c>
      <c r="H43" s="2" t="s">
        <v>338</v>
      </c>
      <c r="I43" s="2" t="s">
        <v>1000</v>
      </c>
      <c r="J43" s="2" t="s">
        <v>106</v>
      </c>
      <c r="K43" s="2" t="s">
        <v>287</v>
      </c>
      <c r="L43" s="2" t="s">
        <v>361</v>
      </c>
      <c r="M43" s="2" t="s">
        <v>752</v>
      </c>
      <c r="N43" s="2" t="s">
        <v>153</v>
      </c>
      <c r="O43" s="2" t="s">
        <v>34</v>
      </c>
      <c r="P43" s="154">
        <v>16652</v>
      </c>
      <c r="Q43" s="162">
        <v>3.71</v>
      </c>
      <c r="R43" s="179">
        <v>3402</v>
      </c>
      <c r="T43" s="153">
        <v>2101.7190000000001</v>
      </c>
      <c r="U43" s="168">
        <v>6.7000000000000002E-5</v>
      </c>
      <c r="V43" s="168">
        <v>6.95312076825794E-3</v>
      </c>
      <c r="W43" s="168">
        <v>1.9400582120056499E-3</v>
      </c>
    </row>
    <row r="44" spans="1:23">
      <c r="A44" s="2">
        <v>158</v>
      </c>
      <c r="B44" s="2">
        <v>9935</v>
      </c>
      <c r="C44" s="2" t="s">
        <v>1459</v>
      </c>
      <c r="D44" s="2" t="s">
        <v>1447</v>
      </c>
      <c r="E44" s="4" t="s">
        <v>331</v>
      </c>
      <c r="F44" s="2" t="s">
        <v>1460</v>
      </c>
      <c r="G44" s="2" t="s">
        <v>1461</v>
      </c>
      <c r="H44" s="2" t="s">
        <v>338</v>
      </c>
      <c r="I44" s="2" t="s">
        <v>1000</v>
      </c>
      <c r="J44" s="2" t="s">
        <v>106</v>
      </c>
      <c r="K44" s="2" t="s">
        <v>107</v>
      </c>
      <c r="L44" s="2" t="s">
        <v>397</v>
      </c>
      <c r="M44" s="2" t="s">
        <v>752</v>
      </c>
      <c r="N44" s="2" t="s">
        <v>153</v>
      </c>
      <c r="O44" s="2" t="s">
        <v>34</v>
      </c>
      <c r="P44" s="154">
        <v>9820</v>
      </c>
      <c r="Q44" s="162">
        <v>3.71</v>
      </c>
      <c r="R44" s="179">
        <v>40841</v>
      </c>
      <c r="T44" s="153">
        <v>14879.275</v>
      </c>
      <c r="U44" s="168">
        <v>1.1069999999999999E-3</v>
      </c>
      <c r="V44" s="168">
        <v>4.9225135050252902E-2</v>
      </c>
      <c r="W44" s="168">
        <v>1.3734786245523101E-2</v>
      </c>
    </row>
    <row r="45" spans="1:23">
      <c r="A45" s="2">
        <v>158</v>
      </c>
      <c r="B45" s="2">
        <v>9935</v>
      </c>
      <c r="C45" s="2" t="s">
        <v>1462</v>
      </c>
      <c r="D45" s="2" t="s">
        <v>1463</v>
      </c>
      <c r="E45" s="4" t="s">
        <v>331</v>
      </c>
      <c r="F45" s="2" t="s">
        <v>1462</v>
      </c>
      <c r="G45" s="2" t="s">
        <v>1464</v>
      </c>
      <c r="H45" s="2" t="s">
        <v>338</v>
      </c>
      <c r="I45" s="2" t="s">
        <v>1000</v>
      </c>
      <c r="J45" s="2" t="s">
        <v>106</v>
      </c>
      <c r="K45" s="2" t="s">
        <v>270</v>
      </c>
      <c r="L45" s="2" t="s">
        <v>365</v>
      </c>
      <c r="M45" s="2" t="s">
        <v>752</v>
      </c>
      <c r="N45" s="2" t="s">
        <v>153</v>
      </c>
      <c r="O45" s="2" t="s">
        <v>1200</v>
      </c>
      <c r="P45" s="154">
        <v>42730</v>
      </c>
      <c r="Q45" s="162">
        <v>2.6029</v>
      </c>
      <c r="R45" s="179">
        <v>2767</v>
      </c>
      <c r="T45" s="153">
        <v>3077.51</v>
      </c>
      <c r="U45" s="168">
        <v>0</v>
      </c>
      <c r="V45" s="168">
        <v>1.01813340509091E-2</v>
      </c>
      <c r="W45" s="168">
        <v>2.8407935649286602E-3</v>
      </c>
    </row>
    <row r="46" spans="1:23">
      <c r="A46" s="2">
        <v>158</v>
      </c>
      <c r="B46" s="2">
        <v>9935</v>
      </c>
      <c r="C46" s="2" t="s">
        <v>1371</v>
      </c>
      <c r="D46" s="2" t="s">
        <v>1372</v>
      </c>
      <c r="E46" s="4" t="s">
        <v>331</v>
      </c>
      <c r="F46" s="2" t="s">
        <v>1414</v>
      </c>
      <c r="G46" s="2" t="s">
        <v>1415</v>
      </c>
      <c r="H46" s="2" t="s">
        <v>338</v>
      </c>
      <c r="I46" s="2" t="s">
        <v>1000</v>
      </c>
      <c r="J46" s="2" t="s">
        <v>106</v>
      </c>
      <c r="K46" s="2" t="s">
        <v>107</v>
      </c>
      <c r="L46" s="2" t="s">
        <v>363</v>
      </c>
      <c r="M46" s="2" t="s">
        <v>752</v>
      </c>
      <c r="N46" s="2" t="s">
        <v>153</v>
      </c>
      <c r="O46" s="2" t="s">
        <v>34</v>
      </c>
      <c r="P46" s="154">
        <v>14600</v>
      </c>
      <c r="Q46" s="162">
        <v>3.71</v>
      </c>
      <c r="R46" s="179">
        <v>48807</v>
      </c>
      <c r="S46" s="158">
        <v>7.4359999999999999</v>
      </c>
      <c r="T46" s="153">
        <v>26464.385999999999</v>
      </c>
      <c r="U46" s="168">
        <v>2.5999999999999998E-5</v>
      </c>
      <c r="V46" s="168">
        <v>8.7552180866544801E-2</v>
      </c>
      <c r="W46" s="168">
        <v>2.44287900541818E-2</v>
      </c>
    </row>
    <row r="47" spans="1:23">
      <c r="A47" s="2">
        <v>158</v>
      </c>
      <c r="B47" s="2">
        <v>9935</v>
      </c>
      <c r="C47" s="2" t="s">
        <v>1371</v>
      </c>
      <c r="D47" s="2" t="s">
        <v>1372</v>
      </c>
      <c r="E47" s="4" t="s">
        <v>331</v>
      </c>
      <c r="F47" s="2" t="s">
        <v>1416</v>
      </c>
      <c r="G47" s="2" t="s">
        <v>1417</v>
      </c>
      <c r="H47" s="2" t="s">
        <v>338</v>
      </c>
      <c r="I47" s="2" t="s">
        <v>1000</v>
      </c>
      <c r="J47" s="2" t="s">
        <v>106</v>
      </c>
      <c r="K47" s="2" t="s">
        <v>107</v>
      </c>
      <c r="L47" s="2" t="s">
        <v>397</v>
      </c>
      <c r="M47" s="2" t="s">
        <v>752</v>
      </c>
      <c r="N47" s="2" t="s">
        <v>153</v>
      </c>
      <c r="O47" s="2" t="s">
        <v>34</v>
      </c>
      <c r="P47" s="154">
        <v>2015</v>
      </c>
      <c r="Q47" s="162">
        <v>3.71</v>
      </c>
      <c r="R47" s="179">
        <v>112716</v>
      </c>
      <c r="T47" s="153">
        <v>8426.2540000000008</v>
      </c>
      <c r="U47" s="168">
        <v>3.97E-4</v>
      </c>
      <c r="V47" s="168">
        <v>2.7876592078942102E-2</v>
      </c>
      <c r="W47" s="168">
        <v>7.7781205286088203E-3</v>
      </c>
    </row>
    <row r="48" spans="1:23">
      <c r="A48" s="2">
        <v>158</v>
      </c>
      <c r="B48" s="2">
        <v>9935</v>
      </c>
      <c r="C48" s="2" t="s">
        <v>1418</v>
      </c>
      <c r="D48" s="2" t="s">
        <v>1380</v>
      </c>
      <c r="E48" s="4" t="s">
        <v>331</v>
      </c>
      <c r="F48" s="2" t="s">
        <v>1465</v>
      </c>
      <c r="G48" s="2" t="s">
        <v>1466</v>
      </c>
      <c r="H48" s="2" t="s">
        <v>338</v>
      </c>
      <c r="I48" s="2" t="s">
        <v>1002</v>
      </c>
      <c r="J48" s="2" t="s">
        <v>106</v>
      </c>
      <c r="K48" s="2" t="s">
        <v>107</v>
      </c>
      <c r="L48" s="2" t="s">
        <v>1467</v>
      </c>
      <c r="M48" s="2" t="s">
        <v>749</v>
      </c>
      <c r="N48" s="2" t="s">
        <v>153</v>
      </c>
      <c r="O48" s="2" t="s">
        <v>34</v>
      </c>
      <c r="P48" s="154">
        <v>27000</v>
      </c>
      <c r="Q48" s="162">
        <v>3.71</v>
      </c>
      <c r="R48" s="179">
        <v>1075.2</v>
      </c>
      <c r="T48" s="153">
        <v>1077.028</v>
      </c>
      <c r="U48" s="168">
        <v>0</v>
      </c>
      <c r="V48" s="168">
        <v>3.5631333907319099E-3</v>
      </c>
      <c r="W48" s="168">
        <v>9.9418468707151791E-4</v>
      </c>
    </row>
    <row r="49" spans="1:23">
      <c r="A49" s="2">
        <v>158</v>
      </c>
      <c r="B49" s="2">
        <v>9935</v>
      </c>
      <c r="C49" s="2" t="s">
        <v>1379</v>
      </c>
      <c r="D49" s="2" t="s">
        <v>1380</v>
      </c>
      <c r="E49" s="4" t="s">
        <v>331</v>
      </c>
      <c r="F49" s="2" t="s">
        <v>1381</v>
      </c>
      <c r="G49" s="2" t="s">
        <v>1382</v>
      </c>
      <c r="H49" s="2" t="s">
        <v>338</v>
      </c>
      <c r="I49" s="2" t="s">
        <v>1002</v>
      </c>
      <c r="J49" s="2" t="s">
        <v>106</v>
      </c>
      <c r="K49" s="2" t="s">
        <v>107</v>
      </c>
      <c r="L49" s="2" t="s">
        <v>397</v>
      </c>
      <c r="M49" s="2" t="s">
        <v>749</v>
      </c>
      <c r="N49" s="2" t="s">
        <v>153</v>
      </c>
      <c r="O49" s="2" t="s">
        <v>34</v>
      </c>
      <c r="P49" s="154">
        <v>39750</v>
      </c>
      <c r="Q49" s="162">
        <v>3.71</v>
      </c>
      <c r="R49" s="179">
        <v>2915.25</v>
      </c>
      <c r="T49" s="153">
        <v>4299.192</v>
      </c>
      <c r="U49" s="168">
        <v>0</v>
      </c>
      <c r="V49" s="168">
        <v>1.42230258122146E-2</v>
      </c>
      <c r="W49" s="168">
        <v>3.9685055022377702E-3</v>
      </c>
    </row>
    <row r="50" spans="1:23">
      <c r="A50" s="2">
        <v>158</v>
      </c>
      <c r="B50" s="2">
        <v>9935</v>
      </c>
      <c r="C50" s="2" t="s">
        <v>1418</v>
      </c>
      <c r="D50" s="2" t="s">
        <v>1380</v>
      </c>
      <c r="E50" s="4" t="s">
        <v>331</v>
      </c>
      <c r="F50" s="2" t="s">
        <v>1468</v>
      </c>
      <c r="G50" s="2" t="s">
        <v>1469</v>
      </c>
      <c r="H50" s="2" t="s">
        <v>338</v>
      </c>
      <c r="I50" s="2" t="s">
        <v>1000</v>
      </c>
      <c r="J50" s="2" t="s">
        <v>106</v>
      </c>
      <c r="K50" s="2" t="s">
        <v>107</v>
      </c>
      <c r="L50" s="2" t="s">
        <v>361</v>
      </c>
      <c r="M50" s="2" t="s">
        <v>752</v>
      </c>
      <c r="N50" s="2" t="s">
        <v>153</v>
      </c>
      <c r="O50" s="2" t="s">
        <v>34</v>
      </c>
      <c r="P50" s="154">
        <v>84950</v>
      </c>
      <c r="Q50" s="162">
        <v>3.71</v>
      </c>
      <c r="R50" s="179">
        <v>6751</v>
      </c>
      <c r="T50" s="153">
        <v>21276.755000000001</v>
      </c>
      <c r="U50" s="168">
        <v>2.81E-4</v>
      </c>
      <c r="V50" s="168">
        <v>7.0389933090642995E-2</v>
      </c>
      <c r="W50" s="168">
        <v>1.9640183492634002E-2</v>
      </c>
    </row>
    <row r="51" spans="1:23">
      <c r="A51" s="2">
        <v>158</v>
      </c>
      <c r="B51" s="2">
        <v>9935</v>
      </c>
      <c r="C51" s="2" t="s">
        <v>1421</v>
      </c>
      <c r="D51" s="2" t="s">
        <v>1380</v>
      </c>
      <c r="E51" s="4" t="s">
        <v>331</v>
      </c>
      <c r="F51" s="2" t="s">
        <v>1422</v>
      </c>
      <c r="G51" s="2" t="s">
        <v>1423</v>
      </c>
      <c r="H51" s="2" t="s">
        <v>338</v>
      </c>
      <c r="I51" s="2" t="s">
        <v>1000</v>
      </c>
      <c r="J51" s="2" t="s">
        <v>106</v>
      </c>
      <c r="K51" s="2" t="s">
        <v>107</v>
      </c>
      <c r="L51" s="2" t="s">
        <v>397</v>
      </c>
      <c r="M51" s="2" t="s">
        <v>752</v>
      </c>
      <c r="N51" s="2" t="s">
        <v>153</v>
      </c>
      <c r="O51" s="2" t="s">
        <v>34</v>
      </c>
      <c r="P51" s="154">
        <v>318400</v>
      </c>
      <c r="Q51" s="162">
        <v>3.71</v>
      </c>
      <c r="R51" s="179">
        <v>1392.6</v>
      </c>
      <c r="T51" s="153">
        <v>16450.281999999999</v>
      </c>
      <c r="U51" s="168">
        <v>0</v>
      </c>
      <c r="V51" s="168">
        <v>5.4422502889479599E-2</v>
      </c>
      <c r="W51" s="168">
        <v>1.51849546653408E-2</v>
      </c>
    </row>
    <row r="52" spans="1:23">
      <c r="A52" s="2">
        <v>158</v>
      </c>
      <c r="B52" s="2">
        <v>9935</v>
      </c>
      <c r="C52" s="2" t="s">
        <v>1470</v>
      </c>
      <c r="D52" s="2" t="s">
        <v>1471</v>
      </c>
      <c r="E52" s="4" t="s">
        <v>331</v>
      </c>
      <c r="F52" s="2" t="s">
        <v>1472</v>
      </c>
      <c r="G52" s="2" t="s">
        <v>1473</v>
      </c>
      <c r="H52" s="2" t="s">
        <v>338</v>
      </c>
      <c r="I52" s="2" t="s">
        <v>1000</v>
      </c>
      <c r="J52" s="2" t="s">
        <v>106</v>
      </c>
      <c r="K52" s="2" t="s">
        <v>107</v>
      </c>
      <c r="L52" s="2" t="s">
        <v>397</v>
      </c>
      <c r="M52" s="2" t="s">
        <v>752</v>
      </c>
      <c r="N52" s="2" t="s">
        <v>153</v>
      </c>
      <c r="O52" s="2" t="s">
        <v>34</v>
      </c>
      <c r="P52" s="154">
        <v>32400</v>
      </c>
      <c r="Q52" s="162">
        <v>3.71</v>
      </c>
      <c r="R52" s="179">
        <v>3353.75</v>
      </c>
      <c r="T52" s="153">
        <v>4031.3420000000001</v>
      </c>
      <c r="U52" s="168">
        <v>0</v>
      </c>
      <c r="V52" s="168">
        <v>1.33368957691598E-2</v>
      </c>
      <c r="W52" s="168">
        <v>3.7212576944934202E-3</v>
      </c>
    </row>
    <row r="53" spans="1:23">
      <c r="A53" s="2">
        <v>158</v>
      </c>
      <c r="B53" s="2">
        <v>9935</v>
      </c>
      <c r="C53" s="2" t="s">
        <v>1418</v>
      </c>
      <c r="D53" s="2" t="s">
        <v>1380</v>
      </c>
      <c r="E53" s="4" t="s">
        <v>331</v>
      </c>
      <c r="F53" s="2" t="s">
        <v>1474</v>
      </c>
      <c r="G53" s="2" t="s">
        <v>1475</v>
      </c>
      <c r="H53" s="2" t="s">
        <v>338</v>
      </c>
      <c r="I53" s="2" t="s">
        <v>1000</v>
      </c>
      <c r="J53" s="2" t="s">
        <v>106</v>
      </c>
      <c r="K53" s="2" t="s">
        <v>107</v>
      </c>
      <c r="L53" s="2" t="s">
        <v>397</v>
      </c>
      <c r="M53" s="2" t="s">
        <v>752</v>
      </c>
      <c r="N53" s="2" t="s">
        <v>153</v>
      </c>
      <c r="O53" s="2" t="s">
        <v>34</v>
      </c>
      <c r="P53" s="154">
        <v>10800</v>
      </c>
      <c r="Q53" s="162">
        <v>3.71</v>
      </c>
      <c r="R53" s="179">
        <v>5244.625</v>
      </c>
      <c r="T53" s="153">
        <v>2101.4160000000002</v>
      </c>
      <c r="U53" s="168">
        <v>0</v>
      </c>
      <c r="V53" s="168">
        <v>6.9521199625622596E-3</v>
      </c>
      <c r="W53" s="168">
        <v>1.93977896742279E-3</v>
      </c>
    </row>
    <row r="54" spans="1:23">
      <c r="A54" s="2">
        <v>158</v>
      </c>
      <c r="B54" s="2">
        <v>9935</v>
      </c>
      <c r="C54" s="2" t="s">
        <v>1383</v>
      </c>
      <c r="D54" s="2" t="s">
        <v>1384</v>
      </c>
      <c r="E54" s="4" t="s">
        <v>331</v>
      </c>
      <c r="F54" s="2" t="s">
        <v>1428</v>
      </c>
      <c r="G54" s="2" t="s">
        <v>1429</v>
      </c>
      <c r="H54" s="2" t="s">
        <v>338</v>
      </c>
      <c r="I54" s="2" t="s">
        <v>1000</v>
      </c>
      <c r="J54" s="2" t="s">
        <v>106</v>
      </c>
      <c r="K54" s="2" t="s">
        <v>315</v>
      </c>
      <c r="L54" s="2" t="s">
        <v>31</v>
      </c>
      <c r="M54" s="2" t="s">
        <v>752</v>
      </c>
      <c r="N54" s="2" t="s">
        <v>153</v>
      </c>
      <c r="O54" s="2" t="s">
        <v>34</v>
      </c>
      <c r="P54" s="154">
        <v>20960</v>
      </c>
      <c r="Q54" s="162">
        <v>3.71</v>
      </c>
      <c r="R54" s="179">
        <v>6639</v>
      </c>
      <c r="T54" s="153">
        <v>5162.5929999999998</v>
      </c>
      <c r="U54" s="168">
        <v>0</v>
      </c>
      <c r="V54" s="168">
        <v>1.7079415664241902E-2</v>
      </c>
      <c r="W54" s="168">
        <v>4.765494764155E-3</v>
      </c>
    </row>
    <row r="55" spans="1:23">
      <c r="A55" s="2">
        <v>158</v>
      </c>
      <c r="B55" s="2">
        <v>9935</v>
      </c>
      <c r="C55" s="2" t="s">
        <v>1383</v>
      </c>
      <c r="D55" s="2" t="s">
        <v>1384</v>
      </c>
      <c r="E55" s="4" t="s">
        <v>331</v>
      </c>
      <c r="F55" s="2" t="s">
        <v>1428</v>
      </c>
      <c r="G55" s="2" t="s">
        <v>1429</v>
      </c>
      <c r="H55" s="2" t="s">
        <v>338</v>
      </c>
      <c r="I55" s="2" t="s">
        <v>1000</v>
      </c>
      <c r="J55" s="2" t="s">
        <v>106</v>
      </c>
      <c r="K55" s="2" t="s">
        <v>315</v>
      </c>
      <c r="L55" s="2" t="s">
        <v>31</v>
      </c>
      <c r="M55" s="2" t="s">
        <v>752</v>
      </c>
      <c r="N55" s="2" t="s">
        <v>153</v>
      </c>
      <c r="O55" s="2" t="s">
        <v>1199</v>
      </c>
      <c r="P55" s="154">
        <v>7960</v>
      </c>
      <c r="Q55" s="162">
        <v>4.1524000000000001</v>
      </c>
      <c r="R55" s="179">
        <v>5964</v>
      </c>
      <c r="T55" s="153">
        <v>1971.287</v>
      </c>
      <c r="U55" s="168">
        <v>0</v>
      </c>
      <c r="V55" s="168">
        <v>6.5216131916454104E-3</v>
      </c>
      <c r="W55" s="168">
        <v>1.81965906384595E-3</v>
      </c>
    </row>
    <row r="56" spans="1:23">
      <c r="A56" s="2">
        <v>158</v>
      </c>
      <c r="B56" s="2">
        <v>9935</v>
      </c>
      <c r="C56" s="2" t="s">
        <v>1383</v>
      </c>
      <c r="D56" s="2" t="s">
        <v>1384</v>
      </c>
      <c r="E56" s="4" t="s">
        <v>331</v>
      </c>
      <c r="F56" s="2" t="s">
        <v>1430</v>
      </c>
      <c r="G56" s="2" t="s">
        <v>1431</v>
      </c>
      <c r="H56" s="2" t="s">
        <v>338</v>
      </c>
      <c r="I56" s="2" t="s">
        <v>1000</v>
      </c>
      <c r="J56" s="2" t="s">
        <v>106</v>
      </c>
      <c r="K56" s="2" t="s">
        <v>107</v>
      </c>
      <c r="L56" s="2" t="s">
        <v>361</v>
      </c>
      <c r="M56" s="2" t="s">
        <v>752</v>
      </c>
      <c r="N56" s="2" t="s">
        <v>153</v>
      </c>
      <c r="O56" s="2" t="s">
        <v>34</v>
      </c>
      <c r="P56" s="154">
        <v>11464</v>
      </c>
      <c r="Q56" s="162">
        <v>3.71</v>
      </c>
      <c r="R56" s="179">
        <v>52767</v>
      </c>
      <c r="S56" s="158">
        <v>18.785</v>
      </c>
      <c r="T56" s="153">
        <v>22512.257000000001</v>
      </c>
      <c r="U56" s="168">
        <v>1.5999999999999999E-5</v>
      </c>
      <c r="V56" s="168">
        <v>7.4477345430661895E-2</v>
      </c>
      <c r="W56" s="168">
        <v>2.0780652375658099E-2</v>
      </c>
    </row>
    <row r="57" spans="1:23">
      <c r="A57" s="2">
        <v>158</v>
      </c>
      <c r="B57" s="2">
        <v>9935</v>
      </c>
      <c r="C57" s="2" t="s">
        <v>1383</v>
      </c>
      <c r="D57" s="2" t="s">
        <v>1384</v>
      </c>
      <c r="E57" s="4" t="s">
        <v>331</v>
      </c>
      <c r="F57" s="2" t="s">
        <v>1385</v>
      </c>
      <c r="G57" s="2" t="s">
        <v>1386</v>
      </c>
      <c r="H57" s="2" t="s">
        <v>338</v>
      </c>
      <c r="I57" s="2" t="s">
        <v>1002</v>
      </c>
      <c r="J57" s="2" t="s">
        <v>106</v>
      </c>
      <c r="K57" s="2" t="s">
        <v>107</v>
      </c>
      <c r="L57" s="2" t="s">
        <v>397</v>
      </c>
      <c r="M57" s="2" t="s">
        <v>749</v>
      </c>
      <c r="N57" s="2" t="s">
        <v>153</v>
      </c>
      <c r="O57" s="2" t="s">
        <v>34</v>
      </c>
      <c r="P57" s="154">
        <v>14100</v>
      </c>
      <c r="Q57" s="162">
        <v>3.71</v>
      </c>
      <c r="R57" s="179">
        <v>5844</v>
      </c>
      <c r="T57" s="153">
        <v>3057.0549999999998</v>
      </c>
      <c r="U57" s="168">
        <v>0</v>
      </c>
      <c r="V57" s="168">
        <v>1.01136607366645E-2</v>
      </c>
      <c r="W57" s="168">
        <v>2.82191137182291E-3</v>
      </c>
    </row>
    <row r="58" spans="1:23">
      <c r="A58" s="2">
        <v>158</v>
      </c>
      <c r="B58" s="2">
        <v>9935</v>
      </c>
      <c r="C58" s="2" t="s">
        <v>1432</v>
      </c>
      <c r="D58" s="2" t="s">
        <v>1433</v>
      </c>
      <c r="E58" s="4" t="s">
        <v>331</v>
      </c>
      <c r="F58" s="2" t="s">
        <v>1476</v>
      </c>
      <c r="G58" s="2" t="s">
        <v>1477</v>
      </c>
      <c r="H58" s="2" t="s">
        <v>338</v>
      </c>
      <c r="I58" s="2" t="s">
        <v>1000</v>
      </c>
      <c r="J58" s="2" t="s">
        <v>106</v>
      </c>
      <c r="K58" s="2" t="s">
        <v>107</v>
      </c>
      <c r="L58" s="2" t="s">
        <v>397</v>
      </c>
      <c r="M58" s="2" t="s">
        <v>752</v>
      </c>
      <c r="N58" s="2" t="s">
        <v>153</v>
      </c>
      <c r="O58" s="2" t="s">
        <v>34</v>
      </c>
      <c r="P58" s="154">
        <v>11500</v>
      </c>
      <c r="Q58" s="162">
        <v>3.71</v>
      </c>
      <c r="R58" s="179">
        <v>4011.5</v>
      </c>
      <c r="T58" s="153">
        <v>1711.5060000000001</v>
      </c>
      <c r="U58" s="168">
        <v>0</v>
      </c>
      <c r="V58" s="168">
        <v>5.6621803476559797E-3</v>
      </c>
      <c r="W58" s="168">
        <v>1.5798603026536001E-3</v>
      </c>
    </row>
    <row r="59" spans="1:23">
      <c r="A59" s="2">
        <v>158</v>
      </c>
      <c r="B59" s="2">
        <v>9935</v>
      </c>
      <c r="C59" s="2" t="s">
        <v>1432</v>
      </c>
      <c r="D59" s="2" t="s">
        <v>1433</v>
      </c>
      <c r="E59" s="4" t="s">
        <v>331</v>
      </c>
      <c r="F59" s="2" t="s">
        <v>1434</v>
      </c>
      <c r="G59" s="2" t="s">
        <v>1435</v>
      </c>
      <c r="H59" s="2" t="s">
        <v>338</v>
      </c>
      <c r="I59" s="2" t="s">
        <v>1000</v>
      </c>
      <c r="J59" s="2" t="s">
        <v>106</v>
      </c>
      <c r="K59" s="2" t="s">
        <v>270</v>
      </c>
      <c r="L59" s="2" t="s">
        <v>361</v>
      </c>
      <c r="M59" s="2" t="s">
        <v>752</v>
      </c>
      <c r="N59" s="2" t="s">
        <v>153</v>
      </c>
      <c r="O59" s="2" t="s">
        <v>34</v>
      </c>
      <c r="P59" s="154">
        <v>4200</v>
      </c>
      <c r="Q59" s="162">
        <v>3.71</v>
      </c>
      <c r="R59" s="179">
        <v>10600</v>
      </c>
      <c r="T59" s="153">
        <v>1651.692</v>
      </c>
      <c r="U59" s="168">
        <v>1.3999999999999999E-4</v>
      </c>
      <c r="V59" s="168">
        <v>5.4642959985182604E-3</v>
      </c>
      <c r="W59" s="168">
        <v>1.5246466555205601E-3</v>
      </c>
    </row>
    <row r="60" spans="1:23">
      <c r="A60" s="2">
        <v>158</v>
      </c>
      <c r="B60" s="2">
        <v>9935</v>
      </c>
      <c r="C60" s="2" t="s">
        <v>1387</v>
      </c>
      <c r="D60" s="2" t="s">
        <v>1388</v>
      </c>
      <c r="E60" s="4" t="s">
        <v>331</v>
      </c>
      <c r="F60" s="2" t="s">
        <v>1406</v>
      </c>
      <c r="G60" s="2" t="s">
        <v>1407</v>
      </c>
      <c r="H60" s="2" t="s">
        <v>338</v>
      </c>
      <c r="I60" s="2" t="s">
        <v>1000</v>
      </c>
      <c r="J60" s="2" t="s">
        <v>106</v>
      </c>
      <c r="K60" s="2" t="s">
        <v>107</v>
      </c>
      <c r="L60" s="2" t="s">
        <v>31</v>
      </c>
      <c r="M60" s="2" t="s">
        <v>752</v>
      </c>
      <c r="N60" s="2" t="s">
        <v>153</v>
      </c>
      <c r="O60" s="2" t="s">
        <v>34</v>
      </c>
      <c r="P60" s="154">
        <v>105</v>
      </c>
      <c r="Q60" s="162">
        <v>3.71</v>
      </c>
      <c r="R60" s="179">
        <v>114221</v>
      </c>
      <c r="T60" s="153">
        <v>444.94799999999998</v>
      </c>
      <c r="U60" s="168">
        <v>7.9999999999999996E-6</v>
      </c>
      <c r="V60" s="168">
        <v>1.4720220595442299E-3</v>
      </c>
      <c r="W60" s="168">
        <v>4.1072326801937101E-4</v>
      </c>
    </row>
    <row r="61" spans="1:23">
      <c r="A61" s="2">
        <v>158</v>
      </c>
      <c r="B61" s="2">
        <v>9935</v>
      </c>
      <c r="C61" s="2" t="s">
        <v>1408</v>
      </c>
      <c r="D61" s="2" t="s">
        <v>1409</v>
      </c>
      <c r="E61" s="4" t="s">
        <v>331</v>
      </c>
      <c r="F61" s="2" t="s">
        <v>1410</v>
      </c>
      <c r="G61" s="2" t="s">
        <v>1411</v>
      </c>
      <c r="H61" s="2" t="s">
        <v>338</v>
      </c>
      <c r="I61" s="2" t="s">
        <v>1000</v>
      </c>
      <c r="J61" s="2" t="s">
        <v>106</v>
      </c>
      <c r="K61" s="2" t="s">
        <v>312</v>
      </c>
      <c r="L61" s="2" t="s">
        <v>385</v>
      </c>
      <c r="M61" s="2" t="s">
        <v>752</v>
      </c>
      <c r="N61" s="2" t="s">
        <v>153</v>
      </c>
      <c r="O61" s="2" t="s">
        <v>1199</v>
      </c>
      <c r="P61" s="154">
        <v>59000</v>
      </c>
      <c r="Q61" s="162">
        <v>4.1524000000000001</v>
      </c>
      <c r="R61" s="179">
        <v>5022</v>
      </c>
      <c r="T61" s="153">
        <v>12303.477999999999</v>
      </c>
      <c r="U61" s="168">
        <v>6.0499999999999996E-4</v>
      </c>
      <c r="V61" s="168">
        <v>4.0703621761097403E-2</v>
      </c>
      <c r="W61" s="168">
        <v>1.1357115500781599E-2</v>
      </c>
    </row>
    <row r="62" spans="1:23">
      <c r="A62" s="2">
        <v>158</v>
      </c>
      <c r="B62" s="2">
        <v>9935</v>
      </c>
      <c r="C62" s="2" t="s">
        <v>1408</v>
      </c>
      <c r="D62" s="2" t="s">
        <v>1409</v>
      </c>
      <c r="E62" s="4" t="s">
        <v>331</v>
      </c>
      <c r="F62" s="2" t="s">
        <v>1412</v>
      </c>
      <c r="G62" s="2" t="s">
        <v>1413</v>
      </c>
      <c r="H62" s="2" t="s">
        <v>338</v>
      </c>
      <c r="I62" s="2" t="s">
        <v>1000</v>
      </c>
      <c r="J62" s="2" t="s">
        <v>106</v>
      </c>
      <c r="K62" s="2" t="s">
        <v>107</v>
      </c>
      <c r="L62" s="2" t="s">
        <v>363</v>
      </c>
      <c r="M62" s="2" t="s">
        <v>752</v>
      </c>
      <c r="N62" s="2" t="s">
        <v>153</v>
      </c>
      <c r="O62" s="2" t="s">
        <v>34</v>
      </c>
      <c r="P62" s="154">
        <v>2400</v>
      </c>
      <c r="Q62" s="162">
        <v>3.71</v>
      </c>
      <c r="R62" s="179">
        <v>23059</v>
      </c>
      <c r="T62" s="153">
        <v>2053.1729999999998</v>
      </c>
      <c r="U62" s="168">
        <v>1.3799999999999999E-4</v>
      </c>
      <c r="V62" s="168">
        <v>6.7925175972955599E-3</v>
      </c>
      <c r="W62" s="168">
        <v>1.89524675092445E-3</v>
      </c>
    </row>
    <row r="63" spans="1:23">
      <c r="A63" s="2">
        <v>158</v>
      </c>
      <c r="B63" s="2">
        <v>9935</v>
      </c>
      <c r="C63" s="2" t="s">
        <v>1387</v>
      </c>
      <c r="D63" s="2" t="s">
        <v>1388</v>
      </c>
      <c r="E63" s="4" t="s">
        <v>331</v>
      </c>
      <c r="F63" s="2" t="s">
        <v>1387</v>
      </c>
      <c r="G63" s="2" t="s">
        <v>1450</v>
      </c>
      <c r="H63" s="2" t="s">
        <v>338</v>
      </c>
      <c r="I63" s="2" t="s">
        <v>1000</v>
      </c>
      <c r="J63" s="2" t="s">
        <v>106</v>
      </c>
      <c r="K63" s="2" t="s">
        <v>107</v>
      </c>
      <c r="L63" s="2" t="s">
        <v>397</v>
      </c>
      <c r="M63" s="2" t="s">
        <v>752</v>
      </c>
      <c r="N63" s="2" t="s">
        <v>153</v>
      </c>
      <c r="O63" s="2" t="s">
        <v>34</v>
      </c>
      <c r="P63" s="154">
        <v>200000</v>
      </c>
      <c r="Q63" s="162">
        <v>3.71</v>
      </c>
      <c r="R63" s="179">
        <v>608.9</v>
      </c>
      <c r="T63" s="153">
        <v>4518.0379999999996</v>
      </c>
      <c r="U63" s="168">
        <v>0</v>
      </c>
      <c r="V63" s="168">
        <v>1.4947034292442801E-2</v>
      </c>
      <c r="W63" s="168">
        <v>4.17051818754028E-3</v>
      </c>
    </row>
    <row r="64" spans="1:23">
      <c r="A64" s="2">
        <v>158</v>
      </c>
      <c r="B64" s="2">
        <v>9935</v>
      </c>
      <c r="C64" s="2" t="s">
        <v>1408</v>
      </c>
      <c r="D64" s="2" t="s">
        <v>1409</v>
      </c>
      <c r="E64" s="4" t="s">
        <v>331</v>
      </c>
      <c r="F64" s="2" t="s">
        <v>1451</v>
      </c>
      <c r="G64" s="2" t="s">
        <v>1452</v>
      </c>
      <c r="H64" s="2" t="s">
        <v>338</v>
      </c>
      <c r="I64" s="2" t="s">
        <v>1002</v>
      </c>
      <c r="J64" s="2" t="s">
        <v>106</v>
      </c>
      <c r="K64" s="2" t="s">
        <v>107</v>
      </c>
      <c r="L64" s="2" t="s">
        <v>397</v>
      </c>
      <c r="M64" s="2" t="s">
        <v>749</v>
      </c>
      <c r="N64" s="2" t="s">
        <v>153</v>
      </c>
      <c r="O64" s="2" t="s">
        <v>34</v>
      </c>
      <c r="P64" s="154">
        <v>98700</v>
      </c>
      <c r="Q64" s="162">
        <v>3.71</v>
      </c>
      <c r="R64" s="179">
        <v>595.6</v>
      </c>
      <c r="T64" s="153">
        <v>2180.9499999999998</v>
      </c>
      <c r="U64" s="168">
        <v>0</v>
      </c>
      <c r="V64" s="168">
        <v>7.2152420163076204E-3</v>
      </c>
      <c r="W64" s="168">
        <v>2.0131952244017899E-3</v>
      </c>
    </row>
    <row r="65" spans="1:23">
      <c r="A65" s="2">
        <v>158</v>
      </c>
      <c r="B65" s="2">
        <v>9935</v>
      </c>
      <c r="C65" s="2" t="s">
        <v>1371</v>
      </c>
      <c r="D65" s="2" t="s">
        <v>1372</v>
      </c>
      <c r="E65" s="4" t="s">
        <v>331</v>
      </c>
      <c r="F65" s="2" t="s">
        <v>1414</v>
      </c>
      <c r="G65" s="2" t="s">
        <v>1415</v>
      </c>
      <c r="H65" s="2" t="s">
        <v>338</v>
      </c>
      <c r="I65" s="2" t="s">
        <v>1000</v>
      </c>
      <c r="J65" s="2" t="s">
        <v>106</v>
      </c>
      <c r="K65" s="2" t="s">
        <v>107</v>
      </c>
      <c r="L65" s="2" t="s">
        <v>363</v>
      </c>
      <c r="M65" s="2" t="s">
        <v>752</v>
      </c>
      <c r="N65" s="2" t="s">
        <v>153</v>
      </c>
      <c r="O65" s="2" t="s">
        <v>34</v>
      </c>
      <c r="P65" s="154">
        <v>3630</v>
      </c>
      <c r="Q65" s="162">
        <v>3.71</v>
      </c>
      <c r="R65" s="179">
        <v>48807</v>
      </c>
      <c r="S65" s="158">
        <v>1.849</v>
      </c>
      <c r="T65" s="153">
        <v>6579.8440000000001</v>
      </c>
      <c r="U65" s="168">
        <v>6.9999999999999999E-6</v>
      </c>
      <c r="V65" s="168">
        <v>2.1768110711081999E-2</v>
      </c>
      <c r="W65" s="168">
        <v>6.0737334144511899E-3</v>
      </c>
    </row>
    <row r="66" spans="1:23">
      <c r="A66" s="2">
        <v>158</v>
      </c>
      <c r="B66" s="2">
        <v>9935</v>
      </c>
      <c r="C66" s="2" t="s">
        <v>1371</v>
      </c>
      <c r="D66" s="2" t="s">
        <v>1372</v>
      </c>
      <c r="E66" s="4" t="s">
        <v>331</v>
      </c>
      <c r="F66" s="2" t="s">
        <v>1416</v>
      </c>
      <c r="G66" s="2" t="s">
        <v>1417</v>
      </c>
      <c r="H66" s="2" t="s">
        <v>338</v>
      </c>
      <c r="I66" s="2" t="s">
        <v>1000</v>
      </c>
      <c r="J66" s="2" t="s">
        <v>106</v>
      </c>
      <c r="K66" s="2" t="s">
        <v>107</v>
      </c>
      <c r="L66" s="2" t="s">
        <v>397</v>
      </c>
      <c r="M66" s="2" t="s">
        <v>752</v>
      </c>
      <c r="N66" s="2" t="s">
        <v>153</v>
      </c>
      <c r="O66" s="2" t="s">
        <v>34</v>
      </c>
      <c r="P66" s="154">
        <v>309</v>
      </c>
      <c r="Q66" s="162">
        <v>3.71</v>
      </c>
      <c r="R66" s="179">
        <v>112716</v>
      </c>
      <c r="T66" s="153">
        <v>1292.165</v>
      </c>
      <c r="U66" s="168">
        <v>6.0999999999999999E-5</v>
      </c>
      <c r="V66" s="168">
        <v>4.2748719366715298E-3</v>
      </c>
      <c r="W66" s="168">
        <v>1.1927738180347999E-3</v>
      </c>
    </row>
    <row r="67" spans="1:23">
      <c r="A67" s="2">
        <v>158</v>
      </c>
      <c r="B67" s="2">
        <v>9935</v>
      </c>
      <c r="C67" s="2" t="s">
        <v>1379</v>
      </c>
      <c r="D67" s="2" t="s">
        <v>1380</v>
      </c>
      <c r="E67" s="4" t="s">
        <v>331</v>
      </c>
      <c r="F67" s="2" t="s">
        <v>1381</v>
      </c>
      <c r="G67" s="2" t="s">
        <v>1382</v>
      </c>
      <c r="H67" s="2" t="s">
        <v>338</v>
      </c>
      <c r="I67" s="2" t="s">
        <v>1002</v>
      </c>
      <c r="J67" s="2" t="s">
        <v>106</v>
      </c>
      <c r="K67" s="2" t="s">
        <v>107</v>
      </c>
      <c r="L67" s="2" t="s">
        <v>397</v>
      </c>
      <c r="M67" s="2" t="s">
        <v>749</v>
      </c>
      <c r="N67" s="2" t="s">
        <v>153</v>
      </c>
      <c r="O67" s="2" t="s">
        <v>34</v>
      </c>
      <c r="P67" s="154">
        <v>13000</v>
      </c>
      <c r="Q67" s="162">
        <v>3.71</v>
      </c>
      <c r="R67" s="179">
        <v>2915.25</v>
      </c>
      <c r="T67" s="153">
        <v>1406.0250000000001</v>
      </c>
      <c r="U67" s="168">
        <v>0</v>
      </c>
      <c r="V67" s="168">
        <v>4.65155561154189E-3</v>
      </c>
      <c r="W67" s="168">
        <v>1.29787601331047E-3</v>
      </c>
    </row>
    <row r="68" spans="1:23">
      <c r="A68" s="2">
        <v>158</v>
      </c>
      <c r="B68" s="2">
        <v>9935</v>
      </c>
      <c r="C68" s="2" t="s">
        <v>1421</v>
      </c>
      <c r="D68" s="2" t="s">
        <v>1380</v>
      </c>
      <c r="E68" s="4" t="s">
        <v>331</v>
      </c>
      <c r="F68" s="2" t="s">
        <v>1422</v>
      </c>
      <c r="G68" s="2" t="s">
        <v>1423</v>
      </c>
      <c r="H68" s="2" t="s">
        <v>338</v>
      </c>
      <c r="I68" s="2" t="s">
        <v>1000</v>
      </c>
      <c r="J68" s="2" t="s">
        <v>106</v>
      </c>
      <c r="K68" s="2" t="s">
        <v>107</v>
      </c>
      <c r="L68" s="2" t="s">
        <v>397</v>
      </c>
      <c r="M68" s="2" t="s">
        <v>752</v>
      </c>
      <c r="N68" s="2" t="s">
        <v>153</v>
      </c>
      <c r="O68" s="2" t="s">
        <v>34</v>
      </c>
      <c r="P68" s="154">
        <v>288620</v>
      </c>
      <c r="Q68" s="162">
        <v>3.71</v>
      </c>
      <c r="R68" s="179">
        <v>1392.6</v>
      </c>
      <c r="T68" s="153">
        <v>14911.684999999999</v>
      </c>
      <c r="U68" s="168">
        <v>0</v>
      </c>
      <c r="V68" s="168">
        <v>4.9332357989829198E-2</v>
      </c>
      <c r="W68" s="168">
        <v>1.37647035663023E-2</v>
      </c>
    </row>
    <row r="69" spans="1:23">
      <c r="A69" s="2">
        <v>158</v>
      </c>
      <c r="B69" s="2">
        <v>9935</v>
      </c>
      <c r="C69" s="2" t="s">
        <v>1383</v>
      </c>
      <c r="D69" s="2" t="s">
        <v>1384</v>
      </c>
      <c r="E69" s="4" t="s">
        <v>331</v>
      </c>
      <c r="F69" s="2" t="s">
        <v>1428</v>
      </c>
      <c r="G69" s="2" t="s">
        <v>1429</v>
      </c>
      <c r="H69" s="2" t="s">
        <v>338</v>
      </c>
      <c r="I69" s="2" t="s">
        <v>1000</v>
      </c>
      <c r="J69" s="2" t="s">
        <v>106</v>
      </c>
      <c r="K69" s="2" t="s">
        <v>315</v>
      </c>
      <c r="L69" s="2" t="s">
        <v>31</v>
      </c>
      <c r="M69" s="2" t="s">
        <v>752</v>
      </c>
      <c r="N69" s="2" t="s">
        <v>153</v>
      </c>
      <c r="O69" s="2" t="s">
        <v>34</v>
      </c>
      <c r="P69" s="154">
        <v>10995</v>
      </c>
      <c r="Q69" s="162">
        <v>3.71</v>
      </c>
      <c r="R69" s="179">
        <v>6639</v>
      </c>
      <c r="T69" s="153">
        <v>2708.1439999999998</v>
      </c>
      <c r="U69" s="168">
        <v>0</v>
      </c>
      <c r="V69" s="168">
        <v>8.9593595051688998E-3</v>
      </c>
      <c r="W69" s="168">
        <v>2.4998384986586E-3</v>
      </c>
    </row>
    <row r="70" spans="1:23">
      <c r="A70" s="2">
        <v>158</v>
      </c>
      <c r="B70" s="2">
        <v>9935</v>
      </c>
      <c r="C70" s="2" t="s">
        <v>1432</v>
      </c>
      <c r="D70" s="2" t="s">
        <v>1433</v>
      </c>
      <c r="E70" s="4" t="s">
        <v>331</v>
      </c>
      <c r="F70" s="2" t="s">
        <v>1434</v>
      </c>
      <c r="G70" s="2" t="s">
        <v>1435</v>
      </c>
      <c r="H70" s="2" t="s">
        <v>338</v>
      </c>
      <c r="I70" s="2" t="s">
        <v>1000</v>
      </c>
      <c r="J70" s="2" t="s">
        <v>106</v>
      </c>
      <c r="K70" s="2" t="s">
        <v>270</v>
      </c>
      <c r="L70" s="2" t="s">
        <v>361</v>
      </c>
      <c r="M70" s="2" t="s">
        <v>752</v>
      </c>
      <c r="N70" s="2" t="s">
        <v>153</v>
      </c>
      <c r="O70" s="2" t="s">
        <v>34</v>
      </c>
      <c r="P70" s="154">
        <v>6000</v>
      </c>
      <c r="Q70" s="162">
        <v>3.71</v>
      </c>
      <c r="R70" s="179">
        <v>10600</v>
      </c>
      <c r="T70" s="153">
        <v>2359.56</v>
      </c>
      <c r="U70" s="168">
        <v>1.9900000000000001E-4</v>
      </c>
      <c r="V70" s="168">
        <v>7.8061371407403797E-3</v>
      </c>
      <c r="W70" s="168">
        <v>2.1780666507436501E-3</v>
      </c>
    </row>
    <row r="71" spans="1:23">
      <c r="A71" s="2">
        <v>158</v>
      </c>
      <c r="B71" s="2">
        <v>9936</v>
      </c>
      <c r="C71" s="2" t="s">
        <v>1387</v>
      </c>
      <c r="D71" s="2" t="s">
        <v>1388</v>
      </c>
      <c r="E71" s="4" t="s">
        <v>331</v>
      </c>
      <c r="F71" s="2" t="s">
        <v>1389</v>
      </c>
      <c r="G71" s="2" t="s">
        <v>1390</v>
      </c>
      <c r="H71" s="2" t="s">
        <v>338</v>
      </c>
      <c r="I71" s="2" t="s">
        <v>1000</v>
      </c>
      <c r="J71" s="2" t="s">
        <v>106</v>
      </c>
      <c r="K71" s="2" t="s">
        <v>107</v>
      </c>
      <c r="L71" s="2" t="s">
        <v>361</v>
      </c>
      <c r="M71" s="2" t="s">
        <v>1391</v>
      </c>
      <c r="N71" s="2" t="s">
        <v>153</v>
      </c>
      <c r="O71" s="2" t="s">
        <v>34</v>
      </c>
      <c r="P71" s="154">
        <v>170</v>
      </c>
      <c r="Q71" s="162">
        <v>3.71</v>
      </c>
      <c r="R71" s="179">
        <v>12710</v>
      </c>
      <c r="T71" s="153">
        <v>80.162000000000006</v>
      </c>
      <c r="U71" s="168">
        <v>5.0000000000000004E-6</v>
      </c>
      <c r="V71" s="168">
        <v>1.46640241925229E-2</v>
      </c>
      <c r="W71" s="168">
        <v>5.01424668145912E-3</v>
      </c>
    </row>
    <row r="72" spans="1:23">
      <c r="A72" s="2">
        <v>158</v>
      </c>
      <c r="B72" s="2">
        <v>9936</v>
      </c>
      <c r="C72" s="2" t="s">
        <v>1357</v>
      </c>
      <c r="D72" s="2" t="s">
        <v>1358</v>
      </c>
      <c r="E72" s="4" t="s">
        <v>1343</v>
      </c>
      <c r="F72" s="2" t="s">
        <v>1392</v>
      </c>
      <c r="G72" s="2" t="s">
        <v>1393</v>
      </c>
      <c r="H72" s="2" t="s">
        <v>338</v>
      </c>
      <c r="I72" s="2" t="s">
        <v>999</v>
      </c>
      <c r="J72" s="2" t="s">
        <v>30</v>
      </c>
      <c r="K72" s="2" t="s">
        <v>30</v>
      </c>
      <c r="L72" s="2" t="s">
        <v>56</v>
      </c>
      <c r="M72" s="2" t="s">
        <v>1370</v>
      </c>
      <c r="N72" s="2" t="s">
        <v>153</v>
      </c>
      <c r="O72" s="2" t="s">
        <v>44</v>
      </c>
      <c r="P72" s="154">
        <v>8400</v>
      </c>
      <c r="Q72" s="162">
        <v>1</v>
      </c>
      <c r="R72" s="179">
        <v>3034</v>
      </c>
      <c r="T72" s="153">
        <v>254.85599999999999</v>
      </c>
      <c r="U72" s="168">
        <v>2.33E-4</v>
      </c>
      <c r="V72" s="168">
        <v>4.66207922486137E-2</v>
      </c>
      <c r="W72" s="168">
        <v>1.5941609871238799E-2</v>
      </c>
    </row>
    <row r="73" spans="1:23">
      <c r="A73" s="2">
        <v>158</v>
      </c>
      <c r="B73" s="2">
        <v>9936</v>
      </c>
      <c r="C73" s="2" t="s">
        <v>1394</v>
      </c>
      <c r="D73" s="2" t="s">
        <v>1395</v>
      </c>
      <c r="E73" s="4" t="s">
        <v>1343</v>
      </c>
      <c r="F73" s="2" t="s">
        <v>1478</v>
      </c>
      <c r="G73" s="2" t="s">
        <v>1479</v>
      </c>
      <c r="H73" s="2" t="s">
        <v>338</v>
      </c>
      <c r="I73" s="2" t="s">
        <v>1000</v>
      </c>
      <c r="J73" s="2" t="s">
        <v>30</v>
      </c>
      <c r="K73" s="2" t="s">
        <v>107</v>
      </c>
      <c r="L73" s="2" t="s">
        <v>56</v>
      </c>
      <c r="M73" s="2" t="s">
        <v>1361</v>
      </c>
      <c r="N73" s="2" t="s">
        <v>153</v>
      </c>
      <c r="O73" s="2" t="s">
        <v>44</v>
      </c>
      <c r="P73" s="154">
        <v>7500</v>
      </c>
      <c r="Q73" s="162">
        <v>1</v>
      </c>
      <c r="R73" s="179">
        <v>5590</v>
      </c>
      <c r="T73" s="153">
        <v>419.25</v>
      </c>
      <c r="U73" s="168">
        <v>6.2000000000000003E-5</v>
      </c>
      <c r="V73" s="168">
        <v>7.6693376456631601E-2</v>
      </c>
      <c r="W73" s="168">
        <v>2.6224691349298699E-2</v>
      </c>
    </row>
    <row r="74" spans="1:23">
      <c r="A74" s="2">
        <v>158</v>
      </c>
      <c r="B74" s="2">
        <v>9936</v>
      </c>
      <c r="C74" s="2" t="s">
        <v>1394</v>
      </c>
      <c r="D74" s="2" t="s">
        <v>1395</v>
      </c>
      <c r="E74" s="4" t="s">
        <v>1343</v>
      </c>
      <c r="F74" s="2" t="s">
        <v>1436</v>
      </c>
      <c r="G74" s="2" t="s">
        <v>1437</v>
      </c>
      <c r="H74" s="2" t="s">
        <v>338</v>
      </c>
      <c r="I74" s="2" t="s">
        <v>999</v>
      </c>
      <c r="J74" s="2" t="s">
        <v>30</v>
      </c>
      <c r="K74" s="2" t="s">
        <v>30</v>
      </c>
      <c r="L74" s="2" t="s">
        <v>56</v>
      </c>
      <c r="M74" s="2" t="s">
        <v>1370</v>
      </c>
      <c r="N74" s="2" t="s">
        <v>153</v>
      </c>
      <c r="O74" s="2" t="s">
        <v>44</v>
      </c>
      <c r="P74" s="154">
        <v>3500</v>
      </c>
      <c r="Q74" s="162">
        <v>1</v>
      </c>
      <c r="R74" s="179">
        <v>2013</v>
      </c>
      <c r="T74" s="153">
        <v>70.454999999999998</v>
      </c>
      <c r="U74" s="168">
        <v>7.2000000000000002E-5</v>
      </c>
      <c r="V74" s="168">
        <v>1.2888328773409599E-2</v>
      </c>
      <c r="W74" s="168">
        <v>4.4070617269286504E-3</v>
      </c>
    </row>
    <row r="75" spans="1:23">
      <c r="A75" s="2">
        <v>158</v>
      </c>
      <c r="B75" s="2">
        <v>9936</v>
      </c>
      <c r="C75" s="2" t="s">
        <v>1394</v>
      </c>
      <c r="D75" s="2" t="s">
        <v>1395</v>
      </c>
      <c r="E75" s="4" t="s">
        <v>1343</v>
      </c>
      <c r="F75" s="2" t="s">
        <v>1480</v>
      </c>
      <c r="G75" s="2" t="s">
        <v>1481</v>
      </c>
      <c r="H75" s="2" t="s">
        <v>338</v>
      </c>
      <c r="I75" s="2" t="s">
        <v>1001</v>
      </c>
      <c r="J75" s="2" t="s">
        <v>30</v>
      </c>
      <c r="K75" s="2" t="s">
        <v>30</v>
      </c>
      <c r="L75" s="2" t="s">
        <v>56</v>
      </c>
      <c r="M75" s="2" t="s">
        <v>1378</v>
      </c>
      <c r="N75" s="2" t="s">
        <v>153</v>
      </c>
      <c r="O75" s="2" t="s">
        <v>44</v>
      </c>
      <c r="P75" s="154">
        <v>40000</v>
      </c>
      <c r="Q75" s="162">
        <v>1</v>
      </c>
      <c r="R75" s="179">
        <v>364.41</v>
      </c>
      <c r="T75" s="153">
        <v>145.76400000000001</v>
      </c>
      <c r="U75" s="168">
        <v>2.13E-4</v>
      </c>
      <c r="V75" s="168">
        <v>2.6664599465293901E-2</v>
      </c>
      <c r="W75" s="168">
        <v>9.1177481451142992E-3</v>
      </c>
    </row>
    <row r="76" spans="1:23">
      <c r="A76" s="2">
        <v>158</v>
      </c>
      <c r="B76" s="2">
        <v>9936</v>
      </c>
      <c r="C76" s="2" t="s">
        <v>1398</v>
      </c>
      <c r="D76" s="2" t="s">
        <v>1399</v>
      </c>
      <c r="E76" s="4" t="s">
        <v>1343</v>
      </c>
      <c r="F76" s="2" t="s">
        <v>1400</v>
      </c>
      <c r="G76" s="2" t="s">
        <v>1401</v>
      </c>
      <c r="H76" s="2" t="s">
        <v>338</v>
      </c>
      <c r="I76" s="2" t="s">
        <v>1000</v>
      </c>
      <c r="J76" s="2" t="s">
        <v>30</v>
      </c>
      <c r="K76" s="2" t="s">
        <v>107</v>
      </c>
      <c r="L76" s="2" t="s">
        <v>56</v>
      </c>
      <c r="M76" s="2" t="s">
        <v>1361</v>
      </c>
      <c r="N76" s="2" t="s">
        <v>357</v>
      </c>
      <c r="O76" s="2" t="s">
        <v>44</v>
      </c>
      <c r="P76" s="154">
        <v>8550</v>
      </c>
      <c r="Q76" s="162">
        <v>1</v>
      </c>
      <c r="R76" s="179">
        <v>9006</v>
      </c>
      <c r="T76" s="153">
        <v>770.01300000000003</v>
      </c>
      <c r="U76" s="168">
        <v>6.3299999999999999E-4</v>
      </c>
      <c r="V76" s="168">
        <v>0.140858430257604</v>
      </c>
      <c r="W76" s="168">
        <v>4.8165422206195602E-2</v>
      </c>
    </row>
    <row r="77" spans="1:23">
      <c r="A77" s="2">
        <v>158</v>
      </c>
      <c r="B77" s="2">
        <v>9936</v>
      </c>
      <c r="C77" s="2" t="s">
        <v>1362</v>
      </c>
      <c r="D77" s="2" t="s">
        <v>1363</v>
      </c>
      <c r="E77" s="4" t="s">
        <v>1343</v>
      </c>
      <c r="F77" s="2" t="s">
        <v>1402</v>
      </c>
      <c r="G77" s="2" t="s">
        <v>1403</v>
      </c>
      <c r="H77" s="2" t="s">
        <v>338</v>
      </c>
      <c r="I77" s="2" t="s">
        <v>999</v>
      </c>
      <c r="J77" s="2" t="s">
        <v>30</v>
      </c>
      <c r="K77" s="2" t="s">
        <v>30</v>
      </c>
      <c r="L77" s="2" t="s">
        <v>56</v>
      </c>
      <c r="M77" s="2" t="s">
        <v>1370</v>
      </c>
      <c r="N77" s="2" t="s">
        <v>153</v>
      </c>
      <c r="O77" s="2" t="s">
        <v>44</v>
      </c>
      <c r="P77" s="154">
        <v>790</v>
      </c>
      <c r="Q77" s="162">
        <v>1</v>
      </c>
      <c r="R77" s="179">
        <v>20710</v>
      </c>
      <c r="T77" s="153">
        <v>163.60900000000001</v>
      </c>
      <c r="U77" s="168">
        <v>3.0000000000000001E-5</v>
      </c>
      <c r="V77" s="168">
        <v>2.9928984206781299E-2</v>
      </c>
      <c r="W77" s="168">
        <v>1.02339785974178E-2</v>
      </c>
    </row>
    <row r="78" spans="1:23">
      <c r="A78" s="2">
        <v>158</v>
      </c>
      <c r="B78" s="2">
        <v>9936</v>
      </c>
      <c r="C78" s="2" t="s">
        <v>1387</v>
      </c>
      <c r="D78" s="2" t="s">
        <v>1388</v>
      </c>
      <c r="E78" s="4" t="s">
        <v>331</v>
      </c>
      <c r="F78" s="2" t="s">
        <v>1406</v>
      </c>
      <c r="G78" s="2" t="s">
        <v>1407</v>
      </c>
      <c r="H78" s="2" t="s">
        <v>338</v>
      </c>
      <c r="I78" s="2" t="s">
        <v>1000</v>
      </c>
      <c r="J78" s="2" t="s">
        <v>106</v>
      </c>
      <c r="K78" s="2" t="s">
        <v>107</v>
      </c>
      <c r="L78" s="2" t="s">
        <v>31</v>
      </c>
      <c r="M78" s="2" t="s">
        <v>752</v>
      </c>
      <c r="N78" s="2" t="s">
        <v>153</v>
      </c>
      <c r="O78" s="2" t="s">
        <v>34</v>
      </c>
      <c r="P78" s="154">
        <v>5</v>
      </c>
      <c r="Q78" s="162">
        <v>3.71</v>
      </c>
      <c r="R78" s="179">
        <v>114221</v>
      </c>
      <c r="T78" s="153">
        <v>21.187999999999999</v>
      </c>
      <c r="U78" s="168">
        <v>0</v>
      </c>
      <c r="V78" s="168">
        <v>3.8759187006390402E-3</v>
      </c>
      <c r="W78" s="168">
        <v>1.325339635773E-3</v>
      </c>
    </row>
    <row r="79" spans="1:23">
      <c r="A79" s="2">
        <v>158</v>
      </c>
      <c r="B79" s="2">
        <v>9936</v>
      </c>
      <c r="C79" s="2" t="s">
        <v>1408</v>
      </c>
      <c r="D79" s="2" t="s">
        <v>1409</v>
      </c>
      <c r="E79" s="4" t="s">
        <v>331</v>
      </c>
      <c r="F79" s="2" t="s">
        <v>1410</v>
      </c>
      <c r="G79" s="2" t="s">
        <v>1411</v>
      </c>
      <c r="H79" s="2" t="s">
        <v>338</v>
      </c>
      <c r="I79" s="2" t="s">
        <v>1000</v>
      </c>
      <c r="J79" s="2" t="s">
        <v>106</v>
      </c>
      <c r="K79" s="2" t="s">
        <v>312</v>
      </c>
      <c r="L79" s="2" t="s">
        <v>385</v>
      </c>
      <c r="M79" s="2" t="s">
        <v>752</v>
      </c>
      <c r="N79" s="2" t="s">
        <v>153</v>
      </c>
      <c r="O79" s="2" t="s">
        <v>1199</v>
      </c>
      <c r="P79" s="154">
        <v>810</v>
      </c>
      <c r="Q79" s="162">
        <v>4.1524000000000001</v>
      </c>
      <c r="R79" s="179">
        <v>5022</v>
      </c>
      <c r="T79" s="153">
        <v>168.91200000000001</v>
      </c>
      <c r="U79" s="168">
        <v>7.9999999999999996E-6</v>
      </c>
      <c r="V79" s="168">
        <v>3.0899090511757099E-2</v>
      </c>
      <c r="W79" s="168">
        <v>1.05656987484844E-2</v>
      </c>
    </row>
    <row r="80" spans="1:23">
      <c r="A80" s="2">
        <v>158</v>
      </c>
      <c r="B80" s="2">
        <v>9936</v>
      </c>
      <c r="C80" s="2" t="s">
        <v>1387</v>
      </c>
      <c r="D80" s="2" t="s">
        <v>1388</v>
      </c>
      <c r="E80" s="4" t="s">
        <v>331</v>
      </c>
      <c r="F80" s="2" t="s">
        <v>1387</v>
      </c>
      <c r="G80" s="2" t="s">
        <v>1450</v>
      </c>
      <c r="H80" s="2" t="s">
        <v>338</v>
      </c>
      <c r="I80" s="2" t="s">
        <v>1000</v>
      </c>
      <c r="J80" s="2" t="s">
        <v>106</v>
      </c>
      <c r="K80" s="2" t="s">
        <v>107</v>
      </c>
      <c r="L80" s="2" t="s">
        <v>397</v>
      </c>
      <c r="M80" s="2" t="s">
        <v>752</v>
      </c>
      <c r="N80" s="2" t="s">
        <v>153</v>
      </c>
      <c r="O80" s="2" t="s">
        <v>34</v>
      </c>
      <c r="P80" s="154">
        <v>5700</v>
      </c>
      <c r="Q80" s="162">
        <v>3.71</v>
      </c>
      <c r="R80" s="179">
        <v>608.9</v>
      </c>
      <c r="T80" s="153">
        <v>128.76400000000001</v>
      </c>
      <c r="U80" s="168">
        <v>0</v>
      </c>
      <c r="V80" s="168">
        <v>2.35548057045008E-2</v>
      </c>
      <c r="W80" s="168">
        <v>8.0543788516409601E-3</v>
      </c>
    </row>
    <row r="81" spans="1:23">
      <c r="A81" s="2">
        <v>158</v>
      </c>
      <c r="B81" s="2">
        <v>9936</v>
      </c>
      <c r="C81" s="2" t="s">
        <v>1408</v>
      </c>
      <c r="D81" s="2" t="s">
        <v>1409</v>
      </c>
      <c r="E81" s="4" t="s">
        <v>331</v>
      </c>
      <c r="F81" s="2" t="s">
        <v>1451</v>
      </c>
      <c r="G81" s="2" t="s">
        <v>1452</v>
      </c>
      <c r="H81" s="2" t="s">
        <v>338</v>
      </c>
      <c r="I81" s="2" t="s">
        <v>1002</v>
      </c>
      <c r="J81" s="2" t="s">
        <v>106</v>
      </c>
      <c r="K81" s="2" t="s">
        <v>107</v>
      </c>
      <c r="L81" s="2" t="s">
        <v>397</v>
      </c>
      <c r="M81" s="2" t="s">
        <v>749</v>
      </c>
      <c r="N81" s="2" t="s">
        <v>153</v>
      </c>
      <c r="O81" s="2" t="s">
        <v>34</v>
      </c>
      <c r="P81" s="154">
        <v>3510</v>
      </c>
      <c r="Q81" s="162">
        <v>3.71</v>
      </c>
      <c r="R81" s="179">
        <v>595.6</v>
      </c>
      <c r="T81" s="153">
        <v>77.56</v>
      </c>
      <c r="U81" s="168">
        <v>0</v>
      </c>
      <c r="V81" s="168">
        <v>1.41879778589456E-2</v>
      </c>
      <c r="W81" s="168">
        <v>4.8514664161635E-3</v>
      </c>
    </row>
    <row r="82" spans="1:23">
      <c r="A82" s="2">
        <v>158</v>
      </c>
      <c r="B82" s="2">
        <v>9936</v>
      </c>
      <c r="C82" s="2" t="s">
        <v>1459</v>
      </c>
      <c r="D82" s="2" t="s">
        <v>1447</v>
      </c>
      <c r="E82" s="4" t="s">
        <v>331</v>
      </c>
      <c r="F82" s="2" t="s">
        <v>1460</v>
      </c>
      <c r="G82" s="2" t="s">
        <v>1461</v>
      </c>
      <c r="H82" s="2" t="s">
        <v>338</v>
      </c>
      <c r="I82" s="2" t="s">
        <v>1000</v>
      </c>
      <c r="J82" s="2" t="s">
        <v>106</v>
      </c>
      <c r="K82" s="2" t="s">
        <v>107</v>
      </c>
      <c r="L82" s="2" t="s">
        <v>397</v>
      </c>
      <c r="M82" s="2" t="s">
        <v>752</v>
      </c>
      <c r="N82" s="2" t="s">
        <v>153</v>
      </c>
      <c r="O82" s="2" t="s">
        <v>34</v>
      </c>
      <c r="P82" s="154">
        <v>25</v>
      </c>
      <c r="Q82" s="162">
        <v>3.71</v>
      </c>
      <c r="R82" s="179">
        <v>40841</v>
      </c>
      <c r="T82" s="153">
        <v>37.880000000000003</v>
      </c>
      <c r="U82" s="168">
        <v>3.0000000000000001E-6</v>
      </c>
      <c r="V82" s="168">
        <v>6.9293910775075898E-3</v>
      </c>
      <c r="W82" s="168">
        <v>2.3694502790469799E-3</v>
      </c>
    </row>
    <row r="83" spans="1:23">
      <c r="A83" s="2">
        <v>158</v>
      </c>
      <c r="B83" s="2">
        <v>9936</v>
      </c>
      <c r="C83" s="2" t="s">
        <v>1371</v>
      </c>
      <c r="D83" s="2" t="s">
        <v>1372</v>
      </c>
      <c r="E83" s="4" t="s">
        <v>331</v>
      </c>
      <c r="F83" s="2" t="s">
        <v>1414</v>
      </c>
      <c r="G83" s="2" t="s">
        <v>1415</v>
      </c>
      <c r="H83" s="2" t="s">
        <v>338</v>
      </c>
      <c r="I83" s="2" t="s">
        <v>1000</v>
      </c>
      <c r="J83" s="2" t="s">
        <v>106</v>
      </c>
      <c r="K83" s="2" t="s">
        <v>107</v>
      </c>
      <c r="L83" s="2" t="s">
        <v>363</v>
      </c>
      <c r="M83" s="2" t="s">
        <v>752</v>
      </c>
      <c r="N83" s="2" t="s">
        <v>153</v>
      </c>
      <c r="O83" s="2" t="s">
        <v>34</v>
      </c>
      <c r="P83" s="154">
        <v>385</v>
      </c>
      <c r="Q83" s="162">
        <v>3.71</v>
      </c>
      <c r="R83" s="179">
        <v>48807</v>
      </c>
      <c r="S83" s="158">
        <v>0.19600000000000001</v>
      </c>
      <c r="T83" s="153">
        <v>697.86199999999997</v>
      </c>
      <c r="U83" s="168">
        <v>9.9999999999999995E-7</v>
      </c>
      <c r="V83" s="168">
        <v>0.12765989154801899</v>
      </c>
      <c r="W83" s="168">
        <v>4.36522866537878E-2</v>
      </c>
    </row>
    <row r="84" spans="1:23">
      <c r="A84" s="2">
        <v>158</v>
      </c>
      <c r="B84" s="2">
        <v>9936</v>
      </c>
      <c r="C84" s="2" t="s">
        <v>1371</v>
      </c>
      <c r="D84" s="2" t="s">
        <v>1372</v>
      </c>
      <c r="E84" s="4" t="s">
        <v>331</v>
      </c>
      <c r="F84" s="2" t="s">
        <v>1416</v>
      </c>
      <c r="G84" s="2" t="s">
        <v>1417</v>
      </c>
      <c r="H84" s="2" t="s">
        <v>338</v>
      </c>
      <c r="I84" s="2" t="s">
        <v>1000</v>
      </c>
      <c r="J84" s="2" t="s">
        <v>106</v>
      </c>
      <c r="K84" s="2" t="s">
        <v>107</v>
      </c>
      <c r="L84" s="2" t="s">
        <v>397</v>
      </c>
      <c r="M84" s="2" t="s">
        <v>752</v>
      </c>
      <c r="N84" s="2" t="s">
        <v>153</v>
      </c>
      <c r="O84" s="2" t="s">
        <v>34</v>
      </c>
      <c r="P84" s="154">
        <v>108</v>
      </c>
      <c r="Q84" s="162">
        <v>3.71</v>
      </c>
      <c r="R84" s="179">
        <v>112716</v>
      </c>
      <c r="T84" s="153">
        <v>451.63</v>
      </c>
      <c r="U84" s="168">
        <v>2.0999999999999999E-5</v>
      </c>
      <c r="V84" s="168">
        <v>8.2616733602774994E-2</v>
      </c>
      <c r="W84" s="168">
        <v>2.8250136310599999E-2</v>
      </c>
    </row>
    <row r="85" spans="1:23">
      <c r="A85" s="2">
        <v>158</v>
      </c>
      <c r="B85" s="2">
        <v>9936</v>
      </c>
      <c r="C85" s="2" t="s">
        <v>1418</v>
      </c>
      <c r="D85" s="2" t="s">
        <v>1380</v>
      </c>
      <c r="E85" s="4" t="s">
        <v>331</v>
      </c>
      <c r="F85" s="2" t="s">
        <v>1465</v>
      </c>
      <c r="G85" s="2" t="s">
        <v>1466</v>
      </c>
      <c r="H85" s="2" t="s">
        <v>338</v>
      </c>
      <c r="I85" s="2" t="s">
        <v>1002</v>
      </c>
      <c r="J85" s="2" t="s">
        <v>106</v>
      </c>
      <c r="K85" s="2" t="s">
        <v>107</v>
      </c>
      <c r="L85" s="2" t="s">
        <v>1467</v>
      </c>
      <c r="M85" s="2" t="s">
        <v>749</v>
      </c>
      <c r="N85" s="2" t="s">
        <v>153</v>
      </c>
      <c r="O85" s="2" t="s">
        <v>34</v>
      </c>
      <c r="P85" s="154">
        <v>800</v>
      </c>
      <c r="Q85" s="162">
        <v>3.71</v>
      </c>
      <c r="R85" s="179">
        <v>1075.2</v>
      </c>
      <c r="T85" s="153">
        <v>31.911999999999999</v>
      </c>
      <c r="U85" s="168">
        <v>0</v>
      </c>
      <c r="V85" s="168">
        <v>5.8376484701441501E-3</v>
      </c>
      <c r="W85" s="168">
        <v>1.99613755982963E-3</v>
      </c>
    </row>
    <row r="86" spans="1:23">
      <c r="A86" s="2">
        <v>158</v>
      </c>
      <c r="B86" s="2">
        <v>9936</v>
      </c>
      <c r="C86" s="2" t="s">
        <v>1418</v>
      </c>
      <c r="D86" s="2" t="s">
        <v>1380</v>
      </c>
      <c r="E86" s="4" t="s">
        <v>331</v>
      </c>
      <c r="F86" s="2" t="s">
        <v>1419</v>
      </c>
      <c r="G86" s="2" t="s">
        <v>1420</v>
      </c>
      <c r="H86" s="2" t="s">
        <v>338</v>
      </c>
      <c r="I86" s="2" t="s">
        <v>1000</v>
      </c>
      <c r="J86" s="2" t="s">
        <v>106</v>
      </c>
      <c r="K86" s="2" t="s">
        <v>107</v>
      </c>
      <c r="L86" s="2" t="s">
        <v>361</v>
      </c>
      <c r="M86" s="2" t="s">
        <v>752</v>
      </c>
      <c r="N86" s="2" t="s">
        <v>153</v>
      </c>
      <c r="O86" s="2" t="s">
        <v>34</v>
      </c>
      <c r="P86" s="154">
        <v>60</v>
      </c>
      <c r="Q86" s="162">
        <v>3.71</v>
      </c>
      <c r="R86" s="179">
        <v>57376</v>
      </c>
      <c r="S86" s="158">
        <v>7.9000000000000001E-2</v>
      </c>
      <c r="T86" s="153">
        <v>128.011</v>
      </c>
      <c r="U86" s="168">
        <v>0</v>
      </c>
      <c r="V86" s="168">
        <v>2.3417105742550601E-2</v>
      </c>
      <c r="W86" s="168">
        <v>8.0072934426031299E-3</v>
      </c>
    </row>
    <row r="87" spans="1:23">
      <c r="A87" s="2">
        <v>158</v>
      </c>
      <c r="B87" s="2">
        <v>9936</v>
      </c>
      <c r="C87" s="2" t="s">
        <v>1421</v>
      </c>
      <c r="D87" s="2" t="s">
        <v>1380</v>
      </c>
      <c r="E87" s="4" t="s">
        <v>331</v>
      </c>
      <c r="F87" s="2" t="s">
        <v>1422</v>
      </c>
      <c r="G87" s="2" t="s">
        <v>1423</v>
      </c>
      <c r="H87" s="2" t="s">
        <v>338</v>
      </c>
      <c r="I87" s="2" t="s">
        <v>1000</v>
      </c>
      <c r="J87" s="2" t="s">
        <v>106</v>
      </c>
      <c r="K87" s="2" t="s">
        <v>107</v>
      </c>
      <c r="L87" s="2" t="s">
        <v>397</v>
      </c>
      <c r="M87" s="2" t="s">
        <v>752</v>
      </c>
      <c r="N87" s="2" t="s">
        <v>153</v>
      </c>
      <c r="O87" s="2" t="s">
        <v>34</v>
      </c>
      <c r="P87" s="154">
        <v>12375</v>
      </c>
      <c r="Q87" s="162">
        <v>3.71</v>
      </c>
      <c r="R87" s="179">
        <v>1392.6</v>
      </c>
      <c r="T87" s="153">
        <v>639.36</v>
      </c>
      <c r="U87" s="168">
        <v>0</v>
      </c>
      <c r="V87" s="168">
        <v>0.116958097431401</v>
      </c>
      <c r="W87" s="168">
        <v>3.9992893097803801E-2</v>
      </c>
    </row>
    <row r="88" spans="1:23">
      <c r="A88" s="2">
        <v>158</v>
      </c>
      <c r="B88" s="2">
        <v>9936</v>
      </c>
      <c r="C88" s="2" t="s">
        <v>1383</v>
      </c>
      <c r="D88" s="2" t="s">
        <v>1384</v>
      </c>
      <c r="E88" s="4" t="s">
        <v>331</v>
      </c>
      <c r="F88" s="2" t="s">
        <v>1428</v>
      </c>
      <c r="G88" s="2" t="s">
        <v>1429</v>
      </c>
      <c r="H88" s="2" t="s">
        <v>338</v>
      </c>
      <c r="I88" s="2" t="s">
        <v>1000</v>
      </c>
      <c r="J88" s="2" t="s">
        <v>106</v>
      </c>
      <c r="K88" s="2" t="s">
        <v>315</v>
      </c>
      <c r="L88" s="2" t="s">
        <v>31</v>
      </c>
      <c r="M88" s="2" t="s">
        <v>752</v>
      </c>
      <c r="N88" s="2" t="s">
        <v>153</v>
      </c>
      <c r="O88" s="2" t="s">
        <v>34</v>
      </c>
      <c r="P88" s="154">
        <v>363</v>
      </c>
      <c r="Q88" s="162">
        <v>3.71</v>
      </c>
      <c r="R88" s="179">
        <v>6639</v>
      </c>
      <c r="T88" s="153">
        <v>89.409000000000006</v>
      </c>
      <c r="U88" s="168">
        <v>0</v>
      </c>
      <c r="V88" s="168">
        <v>1.6355656847752999E-2</v>
      </c>
      <c r="W88" s="168">
        <v>5.59268704110204E-3</v>
      </c>
    </row>
    <row r="89" spans="1:23">
      <c r="A89" s="2">
        <v>158</v>
      </c>
      <c r="B89" s="2">
        <v>9936</v>
      </c>
      <c r="C89" s="2" t="s">
        <v>1383</v>
      </c>
      <c r="D89" s="2" t="s">
        <v>1384</v>
      </c>
      <c r="E89" s="4" t="s">
        <v>331</v>
      </c>
      <c r="F89" s="2" t="s">
        <v>1430</v>
      </c>
      <c r="G89" s="2" t="s">
        <v>1431</v>
      </c>
      <c r="H89" s="2" t="s">
        <v>338</v>
      </c>
      <c r="I89" s="2" t="s">
        <v>1000</v>
      </c>
      <c r="J89" s="2" t="s">
        <v>106</v>
      </c>
      <c r="K89" s="2" t="s">
        <v>107</v>
      </c>
      <c r="L89" s="2" t="s">
        <v>361</v>
      </c>
      <c r="M89" s="2" t="s">
        <v>752</v>
      </c>
      <c r="N89" s="2" t="s">
        <v>153</v>
      </c>
      <c r="O89" s="2" t="s">
        <v>34</v>
      </c>
      <c r="P89" s="154">
        <v>515</v>
      </c>
      <c r="Q89" s="162">
        <v>3.71</v>
      </c>
      <c r="R89" s="179">
        <v>52767</v>
      </c>
      <c r="S89" s="158">
        <v>0.84399999999999997</v>
      </c>
      <c r="T89" s="153">
        <v>1011.323</v>
      </c>
      <c r="U89" s="168">
        <v>9.9999999999999995E-7</v>
      </c>
      <c r="V89" s="168">
        <v>0.18500134142892999</v>
      </c>
      <c r="W89" s="168">
        <v>6.3259740310473503E-2</v>
      </c>
    </row>
    <row r="90" spans="1:23">
      <c r="A90" s="2">
        <v>158</v>
      </c>
      <c r="B90" s="2">
        <v>9936</v>
      </c>
      <c r="C90" s="2" t="s">
        <v>1432</v>
      </c>
      <c r="D90" s="2" t="s">
        <v>1433</v>
      </c>
      <c r="E90" s="4" t="s">
        <v>331</v>
      </c>
      <c r="F90" s="2" t="s">
        <v>1434</v>
      </c>
      <c r="G90" s="2" t="s">
        <v>1435</v>
      </c>
      <c r="H90" s="2" t="s">
        <v>338</v>
      </c>
      <c r="I90" s="2" t="s">
        <v>1000</v>
      </c>
      <c r="J90" s="2" t="s">
        <v>106</v>
      </c>
      <c r="K90" s="2" t="s">
        <v>270</v>
      </c>
      <c r="L90" s="2" t="s">
        <v>361</v>
      </c>
      <c r="M90" s="2" t="s">
        <v>752</v>
      </c>
      <c r="N90" s="2" t="s">
        <v>153</v>
      </c>
      <c r="O90" s="2" t="s">
        <v>34</v>
      </c>
      <c r="P90" s="154">
        <v>200</v>
      </c>
      <c r="Q90" s="162">
        <v>3.71</v>
      </c>
      <c r="R90" s="179">
        <v>10600</v>
      </c>
      <c r="T90" s="153">
        <v>78.652000000000001</v>
      </c>
      <c r="U90" s="168">
        <v>6.9999999999999999E-6</v>
      </c>
      <c r="V90" s="168">
        <v>1.43878054742206E-2</v>
      </c>
      <c r="W90" s="168">
        <v>4.9197958831366396E-3</v>
      </c>
    </row>
    <row r="91" spans="1:23">
      <c r="A91" s="2">
        <v>158</v>
      </c>
      <c r="B91" s="2">
        <v>9937</v>
      </c>
      <c r="C91" s="2" t="s">
        <v>1387</v>
      </c>
      <c r="D91" s="2" t="s">
        <v>1388</v>
      </c>
      <c r="E91" s="4" t="s">
        <v>331</v>
      </c>
      <c r="F91" s="2" t="s">
        <v>1389</v>
      </c>
      <c r="G91" s="2" t="s">
        <v>1390</v>
      </c>
      <c r="H91" s="2" t="s">
        <v>338</v>
      </c>
      <c r="I91" s="2" t="s">
        <v>1000</v>
      </c>
      <c r="J91" s="2" t="s">
        <v>106</v>
      </c>
      <c r="K91" s="2" t="s">
        <v>107</v>
      </c>
      <c r="L91" s="2" t="s">
        <v>361</v>
      </c>
      <c r="M91" s="2" t="s">
        <v>1391</v>
      </c>
      <c r="N91" s="2" t="s">
        <v>153</v>
      </c>
      <c r="O91" s="2" t="s">
        <v>34</v>
      </c>
      <c r="P91" s="154">
        <v>265</v>
      </c>
      <c r="Q91" s="162">
        <v>3.71</v>
      </c>
      <c r="R91" s="179">
        <v>12710</v>
      </c>
      <c r="T91" s="153">
        <v>124.958</v>
      </c>
      <c r="U91" s="168">
        <v>6.9999999999999999E-6</v>
      </c>
      <c r="V91" s="168">
        <v>1.3532477475796299E-2</v>
      </c>
      <c r="W91" s="168">
        <v>3.9887392164837604E-3</v>
      </c>
    </row>
    <row r="92" spans="1:23">
      <c r="A92" s="2">
        <v>158</v>
      </c>
      <c r="B92" s="2">
        <v>9937</v>
      </c>
      <c r="C92" s="2" t="s">
        <v>1357</v>
      </c>
      <c r="D92" s="2" t="s">
        <v>1358</v>
      </c>
      <c r="E92" s="4" t="s">
        <v>1343</v>
      </c>
      <c r="F92" s="2" t="s">
        <v>1392</v>
      </c>
      <c r="G92" s="2" t="s">
        <v>1393</v>
      </c>
      <c r="H92" s="2" t="s">
        <v>338</v>
      </c>
      <c r="I92" s="2" t="s">
        <v>999</v>
      </c>
      <c r="J92" s="2" t="s">
        <v>30</v>
      </c>
      <c r="K92" s="2" t="s">
        <v>30</v>
      </c>
      <c r="L92" s="2" t="s">
        <v>56</v>
      </c>
      <c r="M92" s="2" t="s">
        <v>1370</v>
      </c>
      <c r="N92" s="2" t="s">
        <v>153</v>
      </c>
      <c r="O92" s="2" t="s">
        <v>44</v>
      </c>
      <c r="P92" s="154">
        <v>7559</v>
      </c>
      <c r="Q92" s="162">
        <v>1</v>
      </c>
      <c r="R92" s="179">
        <v>3034</v>
      </c>
      <c r="T92" s="153">
        <v>229.34</v>
      </c>
      <c r="U92" s="168">
        <v>2.1000000000000001E-4</v>
      </c>
      <c r="V92" s="168">
        <v>2.4836586140093601E-2</v>
      </c>
      <c r="W92" s="168">
        <v>7.3206598952598196E-3</v>
      </c>
    </row>
    <row r="93" spans="1:23">
      <c r="A93" s="2">
        <v>158</v>
      </c>
      <c r="B93" s="2">
        <v>9937</v>
      </c>
      <c r="C93" s="2" t="s">
        <v>1357</v>
      </c>
      <c r="D93" s="2" t="s">
        <v>1358</v>
      </c>
      <c r="E93" s="4" t="s">
        <v>1343</v>
      </c>
      <c r="F93" s="2" t="s">
        <v>1482</v>
      </c>
      <c r="G93" s="2" t="s">
        <v>1483</v>
      </c>
      <c r="H93" s="2" t="s">
        <v>338</v>
      </c>
      <c r="I93" s="2" t="s">
        <v>1001</v>
      </c>
      <c r="J93" s="2" t="s">
        <v>30</v>
      </c>
      <c r="K93" s="2" t="s">
        <v>30</v>
      </c>
      <c r="L93" s="2" t="s">
        <v>56</v>
      </c>
      <c r="M93" s="2" t="s">
        <v>1378</v>
      </c>
      <c r="N93" s="2" t="s">
        <v>153</v>
      </c>
      <c r="O93" s="2" t="s">
        <v>44</v>
      </c>
      <c r="P93" s="154">
        <v>54466</v>
      </c>
      <c r="Q93" s="162">
        <v>1</v>
      </c>
      <c r="R93" s="179">
        <v>465.93</v>
      </c>
      <c r="T93" s="153">
        <v>253.773</v>
      </c>
      <c r="U93" s="168">
        <v>3.7599999999999998E-4</v>
      </c>
      <c r="V93" s="168">
        <v>2.74826201259433E-2</v>
      </c>
      <c r="W93" s="168">
        <v>8.1005865233576401E-3</v>
      </c>
    </row>
    <row r="94" spans="1:23">
      <c r="A94" s="2">
        <v>158</v>
      </c>
      <c r="B94" s="2">
        <v>9937</v>
      </c>
      <c r="C94" s="2" t="s">
        <v>1357</v>
      </c>
      <c r="D94" s="2" t="s">
        <v>1358</v>
      </c>
      <c r="E94" s="4" t="s">
        <v>1343</v>
      </c>
      <c r="F94" s="2" t="s">
        <v>1484</v>
      </c>
      <c r="G94" s="2" t="s">
        <v>1485</v>
      </c>
      <c r="H94" s="2" t="s">
        <v>338</v>
      </c>
      <c r="I94" s="2" t="s">
        <v>1000</v>
      </c>
      <c r="J94" s="2" t="s">
        <v>30</v>
      </c>
      <c r="K94" s="2" t="s">
        <v>107</v>
      </c>
      <c r="L94" s="2" t="s">
        <v>56</v>
      </c>
      <c r="M94" s="2" t="s">
        <v>1361</v>
      </c>
      <c r="N94" s="2" t="s">
        <v>153</v>
      </c>
      <c r="O94" s="2" t="s">
        <v>44</v>
      </c>
      <c r="P94" s="154">
        <v>4900</v>
      </c>
      <c r="Q94" s="162">
        <v>1</v>
      </c>
      <c r="R94" s="179">
        <v>7341</v>
      </c>
      <c r="T94" s="153">
        <v>359.709</v>
      </c>
      <c r="U94" s="168">
        <v>2.0100000000000001E-4</v>
      </c>
      <c r="V94" s="168">
        <v>3.8955006656346602E-2</v>
      </c>
      <c r="W94" s="168">
        <v>1.1482107618983E-2</v>
      </c>
    </row>
    <row r="95" spans="1:23">
      <c r="A95" s="2">
        <v>158</v>
      </c>
      <c r="B95" s="2">
        <v>9937</v>
      </c>
      <c r="C95" s="2" t="s">
        <v>1394</v>
      </c>
      <c r="D95" s="2" t="s">
        <v>1395</v>
      </c>
      <c r="E95" s="4" t="s">
        <v>1343</v>
      </c>
      <c r="F95" s="2" t="s">
        <v>1396</v>
      </c>
      <c r="G95" s="2" t="s">
        <v>1397</v>
      </c>
      <c r="H95" s="2" t="s">
        <v>338</v>
      </c>
      <c r="I95" s="2" t="s">
        <v>999</v>
      </c>
      <c r="J95" s="2" t="s">
        <v>30</v>
      </c>
      <c r="K95" s="2" t="s">
        <v>30</v>
      </c>
      <c r="L95" s="2" t="s">
        <v>56</v>
      </c>
      <c r="M95" s="2" t="s">
        <v>1370</v>
      </c>
      <c r="N95" s="2" t="s">
        <v>153</v>
      </c>
      <c r="O95" s="2" t="s">
        <v>44</v>
      </c>
      <c r="P95" s="154">
        <v>18683</v>
      </c>
      <c r="Q95" s="162">
        <v>1</v>
      </c>
      <c r="R95" s="179">
        <v>2076</v>
      </c>
      <c r="T95" s="153">
        <v>387.85899999999998</v>
      </c>
      <c r="U95" s="168">
        <v>2.5900000000000001E-4</v>
      </c>
      <c r="V95" s="168">
        <v>4.2003544651716997E-2</v>
      </c>
      <c r="W95" s="168">
        <v>1.2380673537664399E-2</v>
      </c>
    </row>
    <row r="96" spans="1:23">
      <c r="A96" s="2">
        <v>158</v>
      </c>
      <c r="B96" s="2">
        <v>9937</v>
      </c>
      <c r="C96" s="2" t="s">
        <v>1362</v>
      </c>
      <c r="D96" s="2" t="s">
        <v>1363</v>
      </c>
      <c r="E96" s="4" t="s">
        <v>1343</v>
      </c>
      <c r="F96" s="2" t="s">
        <v>1486</v>
      </c>
      <c r="G96" s="2" t="s">
        <v>1487</v>
      </c>
      <c r="H96" s="2" t="s">
        <v>338</v>
      </c>
      <c r="I96" s="2" t="s">
        <v>1000</v>
      </c>
      <c r="J96" s="2" t="s">
        <v>30</v>
      </c>
      <c r="K96" s="2" t="s">
        <v>107</v>
      </c>
      <c r="L96" s="2" t="s">
        <v>56</v>
      </c>
      <c r="M96" s="2" t="s">
        <v>1391</v>
      </c>
      <c r="N96" s="2" t="s">
        <v>153</v>
      </c>
      <c r="O96" s="2" t="s">
        <v>44</v>
      </c>
      <c r="P96" s="154">
        <v>1959</v>
      </c>
      <c r="Q96" s="162">
        <v>1</v>
      </c>
      <c r="R96" s="179">
        <v>23280</v>
      </c>
      <c r="T96" s="153">
        <v>456.05500000000001</v>
      </c>
      <c r="U96" s="168">
        <v>9.7E-5</v>
      </c>
      <c r="V96" s="168">
        <v>4.9388904229978998E-2</v>
      </c>
      <c r="W96" s="168">
        <v>1.45575309113667E-2</v>
      </c>
    </row>
    <row r="97" spans="1:23">
      <c r="A97" s="2">
        <v>158</v>
      </c>
      <c r="B97" s="2">
        <v>9937</v>
      </c>
      <c r="C97" s="2" t="s">
        <v>1362</v>
      </c>
      <c r="D97" s="2" t="s">
        <v>1363</v>
      </c>
      <c r="E97" s="4" t="s">
        <v>1343</v>
      </c>
      <c r="F97" s="2" t="s">
        <v>1402</v>
      </c>
      <c r="G97" s="2" t="s">
        <v>1403</v>
      </c>
      <c r="H97" s="2" t="s">
        <v>338</v>
      </c>
      <c r="I97" s="2" t="s">
        <v>999</v>
      </c>
      <c r="J97" s="2" t="s">
        <v>30</v>
      </c>
      <c r="K97" s="2" t="s">
        <v>30</v>
      </c>
      <c r="L97" s="2" t="s">
        <v>56</v>
      </c>
      <c r="M97" s="2" t="s">
        <v>1370</v>
      </c>
      <c r="N97" s="2" t="s">
        <v>153</v>
      </c>
      <c r="O97" s="2" t="s">
        <v>44</v>
      </c>
      <c r="P97" s="154">
        <v>470</v>
      </c>
      <c r="Q97" s="162">
        <v>1</v>
      </c>
      <c r="R97" s="179">
        <v>20710</v>
      </c>
      <c r="T97" s="153">
        <v>97.337000000000003</v>
      </c>
      <c r="U97" s="168">
        <v>1.8E-5</v>
      </c>
      <c r="V97" s="168">
        <v>1.0541197142436801E-2</v>
      </c>
      <c r="W97" s="168">
        <v>3.10705016918939E-3</v>
      </c>
    </row>
    <row r="98" spans="1:23">
      <c r="A98" s="2">
        <v>158</v>
      </c>
      <c r="B98" s="2">
        <v>9937</v>
      </c>
      <c r="C98" s="2" t="s">
        <v>1362</v>
      </c>
      <c r="D98" s="2" t="s">
        <v>1363</v>
      </c>
      <c r="E98" s="4" t="s">
        <v>1343</v>
      </c>
      <c r="F98" s="2" t="s">
        <v>1488</v>
      </c>
      <c r="G98" s="2" t="s">
        <v>1489</v>
      </c>
      <c r="H98" s="2" t="s">
        <v>338</v>
      </c>
      <c r="I98" s="2" t="s">
        <v>1001</v>
      </c>
      <c r="J98" s="2" t="s">
        <v>30</v>
      </c>
      <c r="K98" s="2" t="s">
        <v>30</v>
      </c>
      <c r="L98" s="2" t="s">
        <v>56</v>
      </c>
      <c r="M98" s="2" t="s">
        <v>1378</v>
      </c>
      <c r="N98" s="2" t="s">
        <v>153</v>
      </c>
      <c r="O98" s="2" t="s">
        <v>44</v>
      </c>
      <c r="P98" s="154">
        <v>14695</v>
      </c>
      <c r="Q98" s="162">
        <v>1</v>
      </c>
      <c r="R98" s="179">
        <v>3637.39</v>
      </c>
      <c r="T98" s="153">
        <v>534.51400000000001</v>
      </c>
      <c r="U98" s="168">
        <v>6.5300000000000004E-4</v>
      </c>
      <c r="V98" s="168">
        <v>5.7885719753164498E-2</v>
      </c>
      <c r="W98" s="168">
        <v>1.7061993331731001E-2</v>
      </c>
    </row>
    <row r="99" spans="1:23">
      <c r="A99" s="2">
        <v>158</v>
      </c>
      <c r="B99" s="2">
        <v>9937</v>
      </c>
      <c r="C99" s="2" t="s">
        <v>1362</v>
      </c>
      <c r="D99" s="2" t="s">
        <v>1363</v>
      </c>
      <c r="E99" s="4" t="s">
        <v>1343</v>
      </c>
      <c r="F99" s="2" t="s">
        <v>1440</v>
      </c>
      <c r="G99" s="2" t="s">
        <v>1441</v>
      </c>
      <c r="H99" s="2" t="s">
        <v>338</v>
      </c>
      <c r="I99" s="2" t="s">
        <v>1001</v>
      </c>
      <c r="J99" s="2" t="s">
        <v>30</v>
      </c>
      <c r="K99" s="2" t="s">
        <v>30</v>
      </c>
      <c r="L99" s="2" t="s">
        <v>56</v>
      </c>
      <c r="M99" s="2" t="s">
        <v>1378</v>
      </c>
      <c r="N99" s="2" t="s">
        <v>153</v>
      </c>
      <c r="O99" s="2" t="s">
        <v>44</v>
      </c>
      <c r="P99" s="154">
        <v>18400</v>
      </c>
      <c r="Q99" s="162">
        <v>1</v>
      </c>
      <c r="R99" s="179">
        <v>3902.52</v>
      </c>
      <c r="T99" s="153">
        <v>718.06399999999996</v>
      </c>
      <c r="U99" s="168">
        <v>7.9000000000000001E-4</v>
      </c>
      <c r="V99" s="168">
        <v>7.7763346021591795E-2</v>
      </c>
      <c r="W99" s="168">
        <v>2.29209846043412E-2</v>
      </c>
    </row>
    <row r="100" spans="1:23">
      <c r="A100" s="2">
        <v>158</v>
      </c>
      <c r="B100" s="2">
        <v>9937</v>
      </c>
      <c r="C100" s="2" t="s">
        <v>1442</v>
      </c>
      <c r="D100" s="2" t="s">
        <v>1443</v>
      </c>
      <c r="E100" s="4" t="s">
        <v>1343</v>
      </c>
      <c r="F100" s="2" t="s">
        <v>1490</v>
      </c>
      <c r="G100" s="2" t="s">
        <v>1491</v>
      </c>
      <c r="H100" s="2" t="s">
        <v>338</v>
      </c>
      <c r="I100" s="2" t="s">
        <v>1001</v>
      </c>
      <c r="J100" s="2" t="s">
        <v>30</v>
      </c>
      <c r="K100" s="2" t="s">
        <v>30</v>
      </c>
      <c r="L100" s="2" t="s">
        <v>56</v>
      </c>
      <c r="M100" s="2" t="s">
        <v>1378</v>
      </c>
      <c r="N100" s="2" t="s">
        <v>153</v>
      </c>
      <c r="O100" s="2" t="s">
        <v>44</v>
      </c>
      <c r="P100" s="154">
        <v>240753</v>
      </c>
      <c r="Q100" s="162">
        <v>1</v>
      </c>
      <c r="R100" s="179">
        <v>365.33</v>
      </c>
      <c r="T100" s="153">
        <v>879.54300000000001</v>
      </c>
      <c r="U100" s="168">
        <v>6.0499999999999996E-4</v>
      </c>
      <c r="V100" s="168">
        <v>9.5250885809285202E-2</v>
      </c>
      <c r="W100" s="168">
        <v>2.80754905605307E-2</v>
      </c>
    </row>
    <row r="101" spans="1:23">
      <c r="A101" s="2">
        <v>158</v>
      </c>
      <c r="B101" s="2">
        <v>9937</v>
      </c>
      <c r="C101" s="2" t="s">
        <v>1446</v>
      </c>
      <c r="D101" s="2" t="s">
        <v>1447</v>
      </c>
      <c r="E101" s="4" t="s">
        <v>331</v>
      </c>
      <c r="F101" s="2" t="s">
        <v>1448</v>
      </c>
      <c r="G101" s="2" t="s">
        <v>1449</v>
      </c>
      <c r="H101" s="2" t="s">
        <v>338</v>
      </c>
      <c r="I101" s="2" t="s">
        <v>1000</v>
      </c>
      <c r="J101" s="2" t="s">
        <v>106</v>
      </c>
      <c r="K101" s="2" t="s">
        <v>107</v>
      </c>
      <c r="L101" s="2" t="s">
        <v>381</v>
      </c>
      <c r="M101" s="2" t="s">
        <v>752</v>
      </c>
      <c r="N101" s="2" t="s">
        <v>153</v>
      </c>
      <c r="O101" s="2" t="s">
        <v>34</v>
      </c>
      <c r="P101" s="154">
        <v>215</v>
      </c>
      <c r="Q101" s="162">
        <v>3.71</v>
      </c>
      <c r="R101" s="179">
        <v>11230.77</v>
      </c>
      <c r="T101" s="153">
        <v>89.581999999999994</v>
      </c>
      <c r="U101" s="168">
        <v>0</v>
      </c>
      <c r="V101" s="168">
        <v>9.7013881635563699E-3</v>
      </c>
      <c r="W101" s="168">
        <v>2.8595138984357899E-3</v>
      </c>
    </row>
    <row r="102" spans="1:23">
      <c r="A102" s="2">
        <v>158</v>
      </c>
      <c r="B102" s="2">
        <v>9937</v>
      </c>
      <c r="C102" s="2" t="s">
        <v>1408</v>
      </c>
      <c r="D102" s="2" t="s">
        <v>1409</v>
      </c>
      <c r="E102" s="4" t="s">
        <v>331</v>
      </c>
      <c r="F102" s="2" t="s">
        <v>1492</v>
      </c>
      <c r="G102" s="2" t="s">
        <v>1493</v>
      </c>
      <c r="H102" s="2" t="s">
        <v>338</v>
      </c>
      <c r="I102" s="2" t="s">
        <v>1000</v>
      </c>
      <c r="J102" s="2" t="s">
        <v>106</v>
      </c>
      <c r="K102" s="2" t="s">
        <v>107</v>
      </c>
      <c r="L102" s="2" t="s">
        <v>361</v>
      </c>
      <c r="M102" s="2" t="s">
        <v>752</v>
      </c>
      <c r="N102" s="2" t="s">
        <v>153</v>
      </c>
      <c r="O102" s="2" t="s">
        <v>34</v>
      </c>
      <c r="P102" s="154">
        <v>127</v>
      </c>
      <c r="Q102" s="162">
        <v>3.71</v>
      </c>
      <c r="R102" s="179">
        <v>22089</v>
      </c>
      <c r="T102" s="153">
        <v>104.077</v>
      </c>
      <c r="U102" s="168">
        <v>0</v>
      </c>
      <c r="V102" s="168">
        <v>1.12710834316416E-2</v>
      </c>
      <c r="W102" s="168">
        <v>3.3221863902200099E-3</v>
      </c>
    </row>
    <row r="103" spans="1:23">
      <c r="A103" s="2">
        <v>158</v>
      </c>
      <c r="B103" s="2">
        <v>9937</v>
      </c>
      <c r="C103" s="2" t="s">
        <v>1387</v>
      </c>
      <c r="D103" s="2" t="s">
        <v>1388</v>
      </c>
      <c r="E103" s="4" t="s">
        <v>331</v>
      </c>
      <c r="F103" s="2" t="s">
        <v>1406</v>
      </c>
      <c r="G103" s="2" t="s">
        <v>1407</v>
      </c>
      <c r="H103" s="2" t="s">
        <v>338</v>
      </c>
      <c r="I103" s="2" t="s">
        <v>1000</v>
      </c>
      <c r="J103" s="2" t="s">
        <v>106</v>
      </c>
      <c r="K103" s="2" t="s">
        <v>107</v>
      </c>
      <c r="L103" s="2" t="s">
        <v>31</v>
      </c>
      <c r="M103" s="2" t="s">
        <v>752</v>
      </c>
      <c r="N103" s="2" t="s">
        <v>153</v>
      </c>
      <c r="O103" s="2" t="s">
        <v>34</v>
      </c>
      <c r="P103" s="154">
        <v>15</v>
      </c>
      <c r="Q103" s="162">
        <v>3.71</v>
      </c>
      <c r="R103" s="179">
        <v>114221</v>
      </c>
      <c r="T103" s="153">
        <v>63.564</v>
      </c>
      <c r="U103" s="168">
        <v>9.9999999999999995E-7</v>
      </c>
      <c r="V103" s="168">
        <v>6.8837185536403797E-3</v>
      </c>
      <c r="W103" s="168">
        <v>2.0289971440374901E-3</v>
      </c>
    </row>
    <row r="104" spans="1:23">
      <c r="A104" s="2">
        <v>158</v>
      </c>
      <c r="B104" s="2">
        <v>9937</v>
      </c>
      <c r="C104" s="2" t="s">
        <v>1408</v>
      </c>
      <c r="D104" s="2" t="s">
        <v>1409</v>
      </c>
      <c r="E104" s="4" t="s">
        <v>331</v>
      </c>
      <c r="F104" s="2" t="s">
        <v>1410</v>
      </c>
      <c r="G104" s="2" t="s">
        <v>1411</v>
      </c>
      <c r="H104" s="2" t="s">
        <v>338</v>
      </c>
      <c r="I104" s="2" t="s">
        <v>1000</v>
      </c>
      <c r="J104" s="2" t="s">
        <v>106</v>
      </c>
      <c r="K104" s="2" t="s">
        <v>312</v>
      </c>
      <c r="L104" s="2" t="s">
        <v>385</v>
      </c>
      <c r="M104" s="2" t="s">
        <v>752</v>
      </c>
      <c r="N104" s="2" t="s">
        <v>153</v>
      </c>
      <c r="O104" s="2" t="s">
        <v>1199</v>
      </c>
      <c r="P104" s="154">
        <v>1813</v>
      </c>
      <c r="Q104" s="162">
        <v>4.1524000000000001</v>
      </c>
      <c r="R104" s="179">
        <v>5022</v>
      </c>
      <c r="T104" s="153">
        <v>378.07100000000003</v>
      </c>
      <c r="U104" s="168">
        <v>1.9000000000000001E-5</v>
      </c>
      <c r="V104" s="168">
        <v>4.0943566808135601E-2</v>
      </c>
      <c r="W104" s="168">
        <v>1.2068241819166501E-2</v>
      </c>
    </row>
    <row r="105" spans="1:23">
      <c r="A105" s="2">
        <v>158</v>
      </c>
      <c r="B105" s="2">
        <v>9937</v>
      </c>
      <c r="C105" s="2" t="s">
        <v>1387</v>
      </c>
      <c r="D105" s="2" t="s">
        <v>1388</v>
      </c>
      <c r="E105" s="4" t="s">
        <v>331</v>
      </c>
      <c r="F105" s="2" t="s">
        <v>1387</v>
      </c>
      <c r="G105" s="2" t="s">
        <v>1450</v>
      </c>
      <c r="H105" s="2" t="s">
        <v>338</v>
      </c>
      <c r="I105" s="2" t="s">
        <v>1000</v>
      </c>
      <c r="J105" s="2" t="s">
        <v>106</v>
      </c>
      <c r="K105" s="2" t="s">
        <v>107</v>
      </c>
      <c r="L105" s="2" t="s">
        <v>397</v>
      </c>
      <c r="M105" s="2" t="s">
        <v>752</v>
      </c>
      <c r="N105" s="2" t="s">
        <v>153</v>
      </c>
      <c r="O105" s="2" t="s">
        <v>34</v>
      </c>
      <c r="P105" s="154">
        <v>1800</v>
      </c>
      <c r="Q105" s="162">
        <v>3.71</v>
      </c>
      <c r="R105" s="179">
        <v>608.9</v>
      </c>
      <c r="T105" s="153">
        <v>40.661999999999999</v>
      </c>
      <c r="U105" s="168">
        <v>0</v>
      </c>
      <c r="V105" s="168">
        <v>4.4035645571076703E-3</v>
      </c>
      <c r="W105" s="168">
        <v>1.2979641512552999E-3</v>
      </c>
    </row>
    <row r="106" spans="1:23">
      <c r="A106" s="2">
        <v>158</v>
      </c>
      <c r="B106" s="2">
        <v>9937</v>
      </c>
      <c r="C106" s="2" t="s">
        <v>1408</v>
      </c>
      <c r="D106" s="2" t="s">
        <v>1409</v>
      </c>
      <c r="E106" s="4" t="s">
        <v>331</v>
      </c>
      <c r="F106" s="2" t="s">
        <v>1451</v>
      </c>
      <c r="G106" s="2" t="s">
        <v>1452</v>
      </c>
      <c r="H106" s="2" t="s">
        <v>338</v>
      </c>
      <c r="I106" s="2" t="s">
        <v>1002</v>
      </c>
      <c r="J106" s="2" t="s">
        <v>106</v>
      </c>
      <c r="K106" s="2" t="s">
        <v>107</v>
      </c>
      <c r="L106" s="2" t="s">
        <v>397</v>
      </c>
      <c r="M106" s="2" t="s">
        <v>749</v>
      </c>
      <c r="N106" s="2" t="s">
        <v>153</v>
      </c>
      <c r="O106" s="2" t="s">
        <v>34</v>
      </c>
      <c r="P106" s="154">
        <v>4260</v>
      </c>
      <c r="Q106" s="162">
        <v>3.71</v>
      </c>
      <c r="R106" s="179">
        <v>595.6</v>
      </c>
      <c r="T106" s="153">
        <v>94.132000000000005</v>
      </c>
      <c r="U106" s="168">
        <v>0</v>
      </c>
      <c r="V106" s="168">
        <v>1.0194130211044299E-2</v>
      </c>
      <c r="W106" s="168">
        <v>3.0047511273128299E-3</v>
      </c>
    </row>
    <row r="107" spans="1:23">
      <c r="A107" s="2">
        <v>158</v>
      </c>
      <c r="B107" s="2">
        <v>9937</v>
      </c>
      <c r="C107" s="2" t="s">
        <v>1408</v>
      </c>
      <c r="D107" s="2" t="s">
        <v>1409</v>
      </c>
      <c r="E107" s="4" t="s">
        <v>331</v>
      </c>
      <c r="F107" s="2" t="s">
        <v>1453</v>
      </c>
      <c r="G107" s="2" t="s">
        <v>1454</v>
      </c>
      <c r="H107" s="2" t="s">
        <v>338</v>
      </c>
      <c r="I107" s="2" t="s">
        <v>1000</v>
      </c>
      <c r="J107" s="2" t="s">
        <v>106</v>
      </c>
      <c r="K107" s="2" t="s">
        <v>107</v>
      </c>
      <c r="L107" s="2" t="s">
        <v>361</v>
      </c>
      <c r="M107" s="2" t="s">
        <v>752</v>
      </c>
      <c r="N107" s="2" t="s">
        <v>153</v>
      </c>
      <c r="O107" s="2" t="s">
        <v>34</v>
      </c>
      <c r="P107" s="154">
        <v>54</v>
      </c>
      <c r="Q107" s="162">
        <v>3.71</v>
      </c>
      <c r="R107" s="179">
        <v>57682</v>
      </c>
      <c r="T107" s="153">
        <v>115.56</v>
      </c>
      <c r="U107" s="168">
        <v>0</v>
      </c>
      <c r="V107" s="168">
        <v>1.25146860297135E-2</v>
      </c>
      <c r="W107" s="168">
        <v>3.6887420679606502E-3</v>
      </c>
    </row>
    <row r="108" spans="1:23">
      <c r="A108" s="2">
        <v>158</v>
      </c>
      <c r="B108" s="2">
        <v>9937</v>
      </c>
      <c r="C108" s="2" t="s">
        <v>1459</v>
      </c>
      <c r="D108" s="2" t="s">
        <v>1447</v>
      </c>
      <c r="E108" s="4" t="s">
        <v>331</v>
      </c>
      <c r="F108" s="2" t="s">
        <v>1460</v>
      </c>
      <c r="G108" s="2" t="s">
        <v>1461</v>
      </c>
      <c r="H108" s="2" t="s">
        <v>338</v>
      </c>
      <c r="I108" s="2" t="s">
        <v>1000</v>
      </c>
      <c r="J108" s="2" t="s">
        <v>106</v>
      </c>
      <c r="K108" s="2" t="s">
        <v>107</v>
      </c>
      <c r="L108" s="2" t="s">
        <v>397</v>
      </c>
      <c r="M108" s="2" t="s">
        <v>752</v>
      </c>
      <c r="N108" s="2" t="s">
        <v>153</v>
      </c>
      <c r="O108" s="2" t="s">
        <v>34</v>
      </c>
      <c r="P108" s="154">
        <v>332</v>
      </c>
      <c r="Q108" s="162">
        <v>3.71</v>
      </c>
      <c r="R108" s="179">
        <v>40841</v>
      </c>
      <c r="T108" s="153">
        <v>503.04700000000003</v>
      </c>
      <c r="U108" s="168">
        <v>3.6999999999999998E-5</v>
      </c>
      <c r="V108" s="168">
        <v>5.4477897652879602E-2</v>
      </c>
      <c r="W108" s="168">
        <v>1.6057527321828701E-2</v>
      </c>
    </row>
    <row r="109" spans="1:23">
      <c r="A109" s="2">
        <v>158</v>
      </c>
      <c r="B109" s="2">
        <v>9937</v>
      </c>
      <c r="C109" s="2" t="s">
        <v>1371</v>
      </c>
      <c r="D109" s="2" t="s">
        <v>1372</v>
      </c>
      <c r="E109" s="4" t="s">
        <v>331</v>
      </c>
      <c r="F109" s="2" t="s">
        <v>1414</v>
      </c>
      <c r="G109" s="2" t="s">
        <v>1415</v>
      </c>
      <c r="H109" s="2" t="s">
        <v>338</v>
      </c>
      <c r="I109" s="2" t="s">
        <v>1000</v>
      </c>
      <c r="J109" s="2" t="s">
        <v>106</v>
      </c>
      <c r="K109" s="2" t="s">
        <v>107</v>
      </c>
      <c r="L109" s="2" t="s">
        <v>363</v>
      </c>
      <c r="M109" s="2" t="s">
        <v>752</v>
      </c>
      <c r="N109" s="2" t="s">
        <v>153</v>
      </c>
      <c r="O109" s="2" t="s">
        <v>34</v>
      </c>
      <c r="P109" s="154">
        <v>71</v>
      </c>
      <c r="Q109" s="162">
        <v>3.71</v>
      </c>
      <c r="R109" s="179">
        <v>48807</v>
      </c>
      <c r="S109" s="158">
        <v>3.5999999999999997E-2</v>
      </c>
      <c r="T109" s="153">
        <v>128.697</v>
      </c>
      <c r="U109" s="168">
        <v>0</v>
      </c>
      <c r="V109" s="168">
        <v>1.3937319322864E-2</v>
      </c>
      <c r="W109" s="168">
        <v>4.1080675918504202E-3</v>
      </c>
    </row>
    <row r="110" spans="1:23">
      <c r="A110" s="2">
        <v>158</v>
      </c>
      <c r="B110" s="2">
        <v>9937</v>
      </c>
      <c r="C110" s="2" t="s">
        <v>1371</v>
      </c>
      <c r="D110" s="2" t="s">
        <v>1372</v>
      </c>
      <c r="E110" s="4" t="s">
        <v>331</v>
      </c>
      <c r="F110" s="2" t="s">
        <v>1416</v>
      </c>
      <c r="G110" s="2" t="s">
        <v>1417</v>
      </c>
      <c r="H110" s="2" t="s">
        <v>338</v>
      </c>
      <c r="I110" s="2" t="s">
        <v>1000</v>
      </c>
      <c r="J110" s="2" t="s">
        <v>106</v>
      </c>
      <c r="K110" s="2" t="s">
        <v>107</v>
      </c>
      <c r="L110" s="2" t="s">
        <v>397</v>
      </c>
      <c r="M110" s="2" t="s">
        <v>752</v>
      </c>
      <c r="N110" s="2" t="s">
        <v>153</v>
      </c>
      <c r="O110" s="2" t="s">
        <v>34</v>
      </c>
      <c r="P110" s="154">
        <v>58</v>
      </c>
      <c r="Q110" s="162">
        <v>3.71</v>
      </c>
      <c r="R110" s="179">
        <v>112716</v>
      </c>
      <c r="T110" s="153">
        <v>242.542</v>
      </c>
      <c r="U110" s="168">
        <v>1.1E-5</v>
      </c>
      <c r="V110" s="168">
        <v>2.6266333271198501E-2</v>
      </c>
      <c r="W110" s="168">
        <v>7.74208224469238E-3</v>
      </c>
    </row>
    <row r="111" spans="1:23">
      <c r="A111" s="2">
        <v>158</v>
      </c>
      <c r="B111" s="2">
        <v>9937</v>
      </c>
      <c r="C111" s="2" t="s">
        <v>1418</v>
      </c>
      <c r="D111" s="2" t="s">
        <v>1380</v>
      </c>
      <c r="E111" s="4" t="s">
        <v>331</v>
      </c>
      <c r="F111" s="2" t="s">
        <v>1465</v>
      </c>
      <c r="G111" s="2" t="s">
        <v>1466</v>
      </c>
      <c r="H111" s="2" t="s">
        <v>338</v>
      </c>
      <c r="I111" s="2" t="s">
        <v>1002</v>
      </c>
      <c r="J111" s="2" t="s">
        <v>106</v>
      </c>
      <c r="K111" s="2" t="s">
        <v>107</v>
      </c>
      <c r="L111" s="2" t="s">
        <v>1467</v>
      </c>
      <c r="M111" s="2" t="s">
        <v>749</v>
      </c>
      <c r="N111" s="2" t="s">
        <v>153</v>
      </c>
      <c r="O111" s="2" t="s">
        <v>34</v>
      </c>
      <c r="P111" s="154">
        <v>1700</v>
      </c>
      <c r="Q111" s="162">
        <v>3.71</v>
      </c>
      <c r="R111" s="179">
        <v>1075.2</v>
      </c>
      <c r="T111" s="153">
        <v>67.813000000000002</v>
      </c>
      <c r="U111" s="168">
        <v>0</v>
      </c>
      <c r="V111" s="168">
        <v>7.3438545282601504E-3</v>
      </c>
      <c r="W111" s="168">
        <v>2.1646236329907098E-3</v>
      </c>
    </row>
    <row r="112" spans="1:23">
      <c r="A112" s="2">
        <v>158</v>
      </c>
      <c r="B112" s="2">
        <v>9937</v>
      </c>
      <c r="C112" s="2" t="s">
        <v>1379</v>
      </c>
      <c r="D112" s="2" t="s">
        <v>1380</v>
      </c>
      <c r="E112" s="4" t="s">
        <v>331</v>
      </c>
      <c r="F112" s="2" t="s">
        <v>1381</v>
      </c>
      <c r="G112" s="2" t="s">
        <v>1382</v>
      </c>
      <c r="H112" s="2" t="s">
        <v>338</v>
      </c>
      <c r="I112" s="2" t="s">
        <v>1002</v>
      </c>
      <c r="J112" s="2" t="s">
        <v>106</v>
      </c>
      <c r="K112" s="2" t="s">
        <v>107</v>
      </c>
      <c r="L112" s="2" t="s">
        <v>397</v>
      </c>
      <c r="M112" s="2" t="s">
        <v>749</v>
      </c>
      <c r="N112" s="2" t="s">
        <v>153</v>
      </c>
      <c r="O112" s="2" t="s">
        <v>34</v>
      </c>
      <c r="P112" s="154">
        <v>2400</v>
      </c>
      <c r="Q112" s="162">
        <v>3.71</v>
      </c>
      <c r="R112" s="179">
        <v>2915.25</v>
      </c>
      <c r="T112" s="153">
        <v>259.57400000000001</v>
      </c>
      <c r="U112" s="168">
        <v>0</v>
      </c>
      <c r="V112" s="168">
        <v>2.8110782449462201E-2</v>
      </c>
      <c r="W112" s="168">
        <v>8.2857392936924595E-3</v>
      </c>
    </row>
    <row r="113" spans="1:23">
      <c r="A113" s="2">
        <v>158</v>
      </c>
      <c r="B113" s="2">
        <v>9937</v>
      </c>
      <c r="C113" s="2" t="s">
        <v>1418</v>
      </c>
      <c r="D113" s="2" t="s">
        <v>1380</v>
      </c>
      <c r="E113" s="4" t="s">
        <v>331</v>
      </c>
      <c r="F113" s="2" t="s">
        <v>1468</v>
      </c>
      <c r="G113" s="2" t="s">
        <v>1469</v>
      </c>
      <c r="H113" s="2" t="s">
        <v>338</v>
      </c>
      <c r="I113" s="2" t="s">
        <v>1000</v>
      </c>
      <c r="J113" s="2" t="s">
        <v>106</v>
      </c>
      <c r="K113" s="2" t="s">
        <v>107</v>
      </c>
      <c r="L113" s="2" t="s">
        <v>361</v>
      </c>
      <c r="M113" s="2" t="s">
        <v>752</v>
      </c>
      <c r="N113" s="2" t="s">
        <v>153</v>
      </c>
      <c r="O113" s="2" t="s">
        <v>34</v>
      </c>
      <c r="P113" s="154">
        <v>3230</v>
      </c>
      <c r="Q113" s="162">
        <v>3.71</v>
      </c>
      <c r="R113" s="179">
        <v>6751</v>
      </c>
      <c r="T113" s="153">
        <v>808.99300000000005</v>
      </c>
      <c r="U113" s="168">
        <v>1.1E-5</v>
      </c>
      <c r="V113" s="168">
        <v>8.7610572589787994E-2</v>
      </c>
      <c r="W113" s="168">
        <v>2.5823484819576401E-2</v>
      </c>
    </row>
    <row r="114" spans="1:23">
      <c r="A114" s="2">
        <v>158</v>
      </c>
      <c r="B114" s="2">
        <v>9937</v>
      </c>
      <c r="C114" s="2" t="s">
        <v>1421</v>
      </c>
      <c r="D114" s="2" t="s">
        <v>1380</v>
      </c>
      <c r="E114" s="4" t="s">
        <v>331</v>
      </c>
      <c r="F114" s="2" t="s">
        <v>1422</v>
      </c>
      <c r="G114" s="2" t="s">
        <v>1423</v>
      </c>
      <c r="H114" s="2" t="s">
        <v>338</v>
      </c>
      <c r="I114" s="2" t="s">
        <v>1000</v>
      </c>
      <c r="J114" s="2" t="s">
        <v>106</v>
      </c>
      <c r="K114" s="2" t="s">
        <v>107</v>
      </c>
      <c r="L114" s="2" t="s">
        <v>397</v>
      </c>
      <c r="M114" s="2" t="s">
        <v>752</v>
      </c>
      <c r="N114" s="2" t="s">
        <v>153</v>
      </c>
      <c r="O114" s="2" t="s">
        <v>34</v>
      </c>
      <c r="P114" s="154">
        <v>5295</v>
      </c>
      <c r="Q114" s="162">
        <v>3.71</v>
      </c>
      <c r="R114" s="179">
        <v>1392.6</v>
      </c>
      <c r="T114" s="153">
        <v>273.56900000000002</v>
      </c>
      <c r="U114" s="168">
        <v>0</v>
      </c>
      <c r="V114" s="168">
        <v>2.9626356445866E-2</v>
      </c>
      <c r="W114" s="168">
        <v>8.7324593747530894E-3</v>
      </c>
    </row>
    <row r="115" spans="1:23">
      <c r="A115" s="2">
        <v>158</v>
      </c>
      <c r="B115" s="2">
        <v>9937</v>
      </c>
      <c r="C115" s="2" t="s">
        <v>1470</v>
      </c>
      <c r="D115" s="2" t="s">
        <v>1471</v>
      </c>
      <c r="E115" s="4" t="s">
        <v>331</v>
      </c>
      <c r="F115" s="2" t="s">
        <v>1472</v>
      </c>
      <c r="G115" s="2" t="s">
        <v>1473</v>
      </c>
      <c r="H115" s="2" t="s">
        <v>338</v>
      </c>
      <c r="I115" s="2" t="s">
        <v>1000</v>
      </c>
      <c r="J115" s="2" t="s">
        <v>106</v>
      </c>
      <c r="K115" s="2" t="s">
        <v>107</v>
      </c>
      <c r="L115" s="2" t="s">
        <v>397</v>
      </c>
      <c r="M115" s="2" t="s">
        <v>752</v>
      </c>
      <c r="N115" s="2" t="s">
        <v>153</v>
      </c>
      <c r="O115" s="2" t="s">
        <v>34</v>
      </c>
      <c r="P115" s="154">
        <v>670</v>
      </c>
      <c r="Q115" s="162">
        <v>3.71</v>
      </c>
      <c r="R115" s="179">
        <v>3353.75</v>
      </c>
      <c r="T115" s="153">
        <v>83.364000000000004</v>
      </c>
      <c r="U115" s="168">
        <v>0</v>
      </c>
      <c r="V115" s="168">
        <v>9.0279963909216093E-3</v>
      </c>
      <c r="W115" s="168">
        <v>2.6610296093342702E-3</v>
      </c>
    </row>
    <row r="116" spans="1:23">
      <c r="A116" s="2">
        <v>158</v>
      </c>
      <c r="B116" s="2">
        <v>9937</v>
      </c>
      <c r="C116" s="2" t="s">
        <v>1418</v>
      </c>
      <c r="D116" s="2" t="s">
        <v>1380</v>
      </c>
      <c r="E116" s="4" t="s">
        <v>331</v>
      </c>
      <c r="F116" s="2" t="s">
        <v>1474</v>
      </c>
      <c r="G116" s="2" t="s">
        <v>1475</v>
      </c>
      <c r="H116" s="2" t="s">
        <v>338</v>
      </c>
      <c r="I116" s="2" t="s">
        <v>1000</v>
      </c>
      <c r="J116" s="2" t="s">
        <v>106</v>
      </c>
      <c r="K116" s="2" t="s">
        <v>107</v>
      </c>
      <c r="L116" s="2" t="s">
        <v>397</v>
      </c>
      <c r="M116" s="2" t="s">
        <v>752</v>
      </c>
      <c r="N116" s="2" t="s">
        <v>153</v>
      </c>
      <c r="O116" s="2" t="s">
        <v>34</v>
      </c>
      <c r="P116" s="154">
        <v>240</v>
      </c>
      <c r="Q116" s="162">
        <v>3.71</v>
      </c>
      <c r="R116" s="179">
        <v>5244.625</v>
      </c>
      <c r="T116" s="153">
        <v>46.698</v>
      </c>
      <c r="U116" s="168">
        <v>0</v>
      </c>
      <c r="V116" s="168">
        <v>5.0572167877201103E-3</v>
      </c>
      <c r="W116" s="168">
        <v>1.4906301498390101E-3</v>
      </c>
    </row>
    <row r="117" spans="1:23">
      <c r="A117" s="2">
        <v>158</v>
      </c>
      <c r="B117" s="2">
        <v>9937</v>
      </c>
      <c r="C117" s="2" t="s">
        <v>1379</v>
      </c>
      <c r="D117" s="2" t="s">
        <v>1380</v>
      </c>
      <c r="E117" s="4" t="s">
        <v>331</v>
      </c>
      <c r="F117" s="2" t="s">
        <v>1494</v>
      </c>
      <c r="G117" s="2" t="s">
        <v>1495</v>
      </c>
      <c r="H117" s="2" t="s">
        <v>338</v>
      </c>
      <c r="I117" s="2" t="s">
        <v>1000</v>
      </c>
      <c r="J117" s="2" t="s">
        <v>106</v>
      </c>
      <c r="K117" s="2" t="s">
        <v>107</v>
      </c>
      <c r="L117" s="2" t="s">
        <v>397</v>
      </c>
      <c r="M117" s="2" t="s">
        <v>752</v>
      </c>
      <c r="N117" s="2" t="s">
        <v>153</v>
      </c>
      <c r="O117" s="2" t="s">
        <v>34</v>
      </c>
      <c r="P117" s="154">
        <v>200</v>
      </c>
      <c r="Q117" s="162">
        <v>3.71</v>
      </c>
      <c r="R117" s="179">
        <v>11772.5</v>
      </c>
      <c r="T117" s="153">
        <v>87.352000000000004</v>
      </c>
      <c r="U117" s="168">
        <v>0</v>
      </c>
      <c r="V117" s="168">
        <v>9.4598572559898703E-3</v>
      </c>
      <c r="W117" s="168">
        <v>2.7883219230767698E-3</v>
      </c>
    </row>
    <row r="118" spans="1:23">
      <c r="A118" s="2">
        <v>158</v>
      </c>
      <c r="B118" s="2">
        <v>9937</v>
      </c>
      <c r="C118" s="2" t="s">
        <v>1383</v>
      </c>
      <c r="D118" s="2" t="s">
        <v>1384</v>
      </c>
      <c r="E118" s="4" t="s">
        <v>331</v>
      </c>
      <c r="F118" s="2" t="s">
        <v>1428</v>
      </c>
      <c r="G118" s="2" t="s">
        <v>1429</v>
      </c>
      <c r="H118" s="2" t="s">
        <v>338</v>
      </c>
      <c r="I118" s="2" t="s">
        <v>1000</v>
      </c>
      <c r="J118" s="2" t="s">
        <v>106</v>
      </c>
      <c r="K118" s="2" t="s">
        <v>315</v>
      </c>
      <c r="L118" s="2" t="s">
        <v>31</v>
      </c>
      <c r="M118" s="2" t="s">
        <v>752</v>
      </c>
      <c r="N118" s="2" t="s">
        <v>153</v>
      </c>
      <c r="O118" s="2" t="s">
        <v>34</v>
      </c>
      <c r="P118" s="154">
        <v>1015</v>
      </c>
      <c r="Q118" s="162">
        <v>3.71</v>
      </c>
      <c r="R118" s="179">
        <v>6639</v>
      </c>
      <c r="T118" s="153">
        <v>250.00200000000001</v>
      </c>
      <c r="U118" s="168">
        <v>0</v>
      </c>
      <c r="V118" s="168">
        <v>2.7074135573308299E-2</v>
      </c>
      <c r="W118" s="168">
        <v>7.9801844493592108E-3</v>
      </c>
    </row>
    <row r="119" spans="1:23">
      <c r="A119" s="2">
        <v>158</v>
      </c>
      <c r="B119" s="2">
        <v>9937</v>
      </c>
      <c r="C119" s="2" t="s">
        <v>1383</v>
      </c>
      <c r="D119" s="2" t="s">
        <v>1384</v>
      </c>
      <c r="E119" s="4" t="s">
        <v>331</v>
      </c>
      <c r="F119" s="2" t="s">
        <v>1430</v>
      </c>
      <c r="G119" s="2" t="s">
        <v>1431</v>
      </c>
      <c r="H119" s="2" t="s">
        <v>338</v>
      </c>
      <c r="I119" s="2" t="s">
        <v>1000</v>
      </c>
      <c r="J119" s="2" t="s">
        <v>106</v>
      </c>
      <c r="K119" s="2" t="s">
        <v>107</v>
      </c>
      <c r="L119" s="2" t="s">
        <v>361</v>
      </c>
      <c r="M119" s="2" t="s">
        <v>752</v>
      </c>
      <c r="N119" s="2" t="s">
        <v>153</v>
      </c>
      <c r="O119" s="2" t="s">
        <v>34</v>
      </c>
      <c r="P119" s="154">
        <v>408</v>
      </c>
      <c r="Q119" s="162">
        <v>3.71</v>
      </c>
      <c r="R119" s="179">
        <v>52767</v>
      </c>
      <c r="S119" s="158">
        <v>0.66900000000000004</v>
      </c>
      <c r="T119" s="153">
        <v>801.20399999999995</v>
      </c>
      <c r="U119" s="168">
        <v>9.9999999999999995E-7</v>
      </c>
      <c r="V119" s="168">
        <v>8.6767084387424406E-2</v>
      </c>
      <c r="W119" s="168">
        <v>2.5574864086423399E-2</v>
      </c>
    </row>
    <row r="120" spans="1:23">
      <c r="A120" s="2">
        <v>158</v>
      </c>
      <c r="B120" s="2">
        <v>9937</v>
      </c>
      <c r="C120" s="2" t="s">
        <v>1383</v>
      </c>
      <c r="D120" s="2" t="s">
        <v>1384</v>
      </c>
      <c r="E120" s="4" t="s">
        <v>331</v>
      </c>
      <c r="F120" s="2" t="s">
        <v>1385</v>
      </c>
      <c r="G120" s="2" t="s">
        <v>1386</v>
      </c>
      <c r="H120" s="2" t="s">
        <v>338</v>
      </c>
      <c r="I120" s="2" t="s">
        <v>1002</v>
      </c>
      <c r="J120" s="2" t="s">
        <v>106</v>
      </c>
      <c r="K120" s="2" t="s">
        <v>107</v>
      </c>
      <c r="L120" s="2" t="s">
        <v>397</v>
      </c>
      <c r="M120" s="2" t="s">
        <v>749</v>
      </c>
      <c r="N120" s="2" t="s">
        <v>153</v>
      </c>
      <c r="O120" s="2" t="s">
        <v>34</v>
      </c>
      <c r="P120" s="154">
        <v>1500</v>
      </c>
      <c r="Q120" s="162">
        <v>3.71</v>
      </c>
      <c r="R120" s="179">
        <v>5844</v>
      </c>
      <c r="T120" s="153">
        <v>325.21899999999999</v>
      </c>
      <c r="U120" s="168">
        <v>0</v>
      </c>
      <c r="V120" s="168">
        <v>3.5219838057340101E-2</v>
      </c>
      <c r="W120" s="168">
        <v>1.0381155225181999E-2</v>
      </c>
    </row>
    <row r="121" spans="1:23">
      <c r="A121" s="2">
        <v>158</v>
      </c>
      <c r="B121" s="2">
        <v>9937</v>
      </c>
      <c r="C121" s="2" t="s">
        <v>1432</v>
      </c>
      <c r="D121" s="2" t="s">
        <v>1433</v>
      </c>
      <c r="E121" s="4" t="s">
        <v>331</v>
      </c>
      <c r="F121" s="2" t="s">
        <v>1476</v>
      </c>
      <c r="G121" s="2" t="s">
        <v>1477</v>
      </c>
      <c r="H121" s="2" t="s">
        <v>338</v>
      </c>
      <c r="I121" s="2" t="s">
        <v>1000</v>
      </c>
      <c r="J121" s="2" t="s">
        <v>106</v>
      </c>
      <c r="K121" s="2" t="s">
        <v>107</v>
      </c>
      <c r="L121" s="2" t="s">
        <v>397</v>
      </c>
      <c r="M121" s="2" t="s">
        <v>752</v>
      </c>
      <c r="N121" s="2" t="s">
        <v>153</v>
      </c>
      <c r="O121" s="2" t="s">
        <v>34</v>
      </c>
      <c r="P121" s="154">
        <v>320</v>
      </c>
      <c r="Q121" s="162">
        <v>3.71</v>
      </c>
      <c r="R121" s="179">
        <v>4011.5</v>
      </c>
      <c r="T121" s="153">
        <v>47.625</v>
      </c>
      <c r="U121" s="168">
        <v>0</v>
      </c>
      <c r="V121" s="168">
        <v>5.15754069329755E-3</v>
      </c>
      <c r="W121" s="168">
        <v>1.5202009285263001E-3</v>
      </c>
    </row>
    <row r="122" spans="1:23">
      <c r="A122" s="2">
        <v>158</v>
      </c>
      <c r="B122" s="2">
        <v>9937</v>
      </c>
      <c r="C122" s="2" t="s">
        <v>1432</v>
      </c>
      <c r="D122" s="2" t="s">
        <v>1433</v>
      </c>
      <c r="E122" s="4" t="s">
        <v>331</v>
      </c>
      <c r="F122" s="2" t="s">
        <v>1434</v>
      </c>
      <c r="G122" s="2" t="s">
        <v>1435</v>
      </c>
      <c r="H122" s="2" t="s">
        <v>338</v>
      </c>
      <c r="I122" s="2" t="s">
        <v>1000</v>
      </c>
      <c r="J122" s="2" t="s">
        <v>106</v>
      </c>
      <c r="K122" s="2" t="s">
        <v>270</v>
      </c>
      <c r="L122" s="2" t="s">
        <v>361</v>
      </c>
      <c r="M122" s="2" t="s">
        <v>752</v>
      </c>
      <c r="N122" s="2" t="s">
        <v>153</v>
      </c>
      <c r="O122" s="2" t="s">
        <v>34</v>
      </c>
      <c r="P122" s="154">
        <v>970</v>
      </c>
      <c r="Q122" s="162">
        <v>3.71</v>
      </c>
      <c r="R122" s="179">
        <v>10600</v>
      </c>
      <c r="T122" s="153">
        <v>381.46199999999999</v>
      </c>
      <c r="U122" s="168">
        <v>3.1999999999999999E-5</v>
      </c>
      <c r="V122" s="168">
        <v>4.1310788832485797E-2</v>
      </c>
      <c r="W122" s="168">
        <v>1.2176481636472799E-2</v>
      </c>
    </row>
    <row r="123" spans="1:23">
      <c r="A123" s="2">
        <v>158</v>
      </c>
      <c r="B123" s="2">
        <v>15073</v>
      </c>
      <c r="C123" s="2" t="s">
        <v>1371</v>
      </c>
      <c r="D123" s="2" t="s">
        <v>1372</v>
      </c>
      <c r="E123" s="4" t="s">
        <v>331</v>
      </c>
      <c r="F123" s="2" t="s">
        <v>1496</v>
      </c>
      <c r="G123" s="2" t="s">
        <v>1417</v>
      </c>
      <c r="H123" s="2" t="s">
        <v>338</v>
      </c>
      <c r="I123" s="2" t="s">
        <v>1000</v>
      </c>
      <c r="J123" s="2" t="s">
        <v>30</v>
      </c>
      <c r="K123" s="2" t="s">
        <v>107</v>
      </c>
      <c r="L123" s="2" t="s">
        <v>397</v>
      </c>
      <c r="M123" s="2" t="s">
        <v>752</v>
      </c>
      <c r="N123" s="2" t="s">
        <v>153</v>
      </c>
      <c r="O123" s="2" t="s">
        <v>44</v>
      </c>
      <c r="P123" s="154">
        <v>60</v>
      </c>
      <c r="Q123" s="162">
        <v>1</v>
      </c>
      <c r="R123" s="179">
        <v>418000</v>
      </c>
      <c r="T123" s="153">
        <v>250.8</v>
      </c>
      <c r="U123" s="168">
        <v>3.0000000000000001E-6</v>
      </c>
      <c r="V123" s="168">
        <v>0.12541070254935599</v>
      </c>
      <c r="W123" s="168">
        <v>0.12253835167807101</v>
      </c>
    </row>
    <row r="124" spans="1:23">
      <c r="A124" s="2">
        <v>158</v>
      </c>
      <c r="B124" s="2">
        <v>15073</v>
      </c>
      <c r="C124" s="2" t="s">
        <v>1357</v>
      </c>
      <c r="D124" s="2" t="s">
        <v>1358</v>
      </c>
      <c r="E124" s="4" t="s">
        <v>1343</v>
      </c>
      <c r="F124" s="2" t="s">
        <v>1497</v>
      </c>
      <c r="G124" s="2" t="s">
        <v>1498</v>
      </c>
      <c r="H124" s="2" t="s">
        <v>338</v>
      </c>
      <c r="I124" s="2" t="s">
        <v>1000</v>
      </c>
      <c r="J124" s="2" t="s">
        <v>30</v>
      </c>
      <c r="K124" s="2" t="s">
        <v>107</v>
      </c>
      <c r="L124" s="2" t="s">
        <v>56</v>
      </c>
      <c r="M124" s="2" t="s">
        <v>1391</v>
      </c>
      <c r="N124" s="2" t="s">
        <v>153</v>
      </c>
      <c r="O124" s="2" t="s">
        <v>44</v>
      </c>
      <c r="P124" s="154">
        <v>2744</v>
      </c>
      <c r="Q124" s="162">
        <v>1</v>
      </c>
      <c r="R124" s="179">
        <v>9106</v>
      </c>
      <c r="T124" s="153">
        <v>249.869</v>
      </c>
      <c r="U124" s="168">
        <v>3.6999999999999998E-5</v>
      </c>
      <c r="V124" s="168">
        <v>0.124944982804833</v>
      </c>
      <c r="W124" s="168">
        <v>0.122083298571138</v>
      </c>
    </row>
    <row r="125" spans="1:23">
      <c r="A125" s="2">
        <v>158</v>
      </c>
      <c r="B125" s="2">
        <v>15073</v>
      </c>
      <c r="C125" s="2" t="s">
        <v>1408</v>
      </c>
      <c r="D125" s="2" t="s">
        <v>1409</v>
      </c>
      <c r="E125" s="4" t="s">
        <v>331</v>
      </c>
      <c r="F125" s="2" t="s">
        <v>1499</v>
      </c>
      <c r="G125" s="2" t="s">
        <v>1500</v>
      </c>
      <c r="H125" s="2" t="s">
        <v>338</v>
      </c>
      <c r="I125" s="2" t="s">
        <v>1000</v>
      </c>
      <c r="J125" s="2" t="s">
        <v>30</v>
      </c>
      <c r="K125" s="2" t="s">
        <v>107</v>
      </c>
      <c r="L125" s="2" t="s">
        <v>56</v>
      </c>
      <c r="M125" s="2" t="s">
        <v>1391</v>
      </c>
      <c r="N125" s="2" t="s">
        <v>153</v>
      </c>
      <c r="O125" s="2" t="s">
        <v>44</v>
      </c>
      <c r="P125" s="154">
        <v>111</v>
      </c>
      <c r="Q125" s="162">
        <v>1</v>
      </c>
      <c r="R125" s="179">
        <v>225000</v>
      </c>
      <c r="T125" s="153">
        <v>249.75</v>
      </c>
      <c r="U125" s="168">
        <v>1.8699999999999999E-4</v>
      </c>
      <c r="V125" s="168">
        <v>0.124885657742032</v>
      </c>
      <c r="W125" s="168">
        <v>0.122025332263151</v>
      </c>
    </row>
    <row r="126" spans="1:23">
      <c r="A126" s="2">
        <v>158</v>
      </c>
      <c r="B126" s="2">
        <v>15073</v>
      </c>
      <c r="C126" s="2" t="s">
        <v>1394</v>
      </c>
      <c r="D126" s="2" t="s">
        <v>1395</v>
      </c>
      <c r="E126" s="4" t="s">
        <v>1343</v>
      </c>
      <c r="F126" s="2" t="s">
        <v>1501</v>
      </c>
      <c r="G126" s="2" t="s">
        <v>1502</v>
      </c>
      <c r="H126" s="2" t="s">
        <v>338</v>
      </c>
      <c r="I126" s="2" t="s">
        <v>1000</v>
      </c>
      <c r="J126" s="2" t="s">
        <v>30</v>
      </c>
      <c r="K126" s="2" t="s">
        <v>107</v>
      </c>
      <c r="L126" s="2" t="s">
        <v>56</v>
      </c>
      <c r="M126" s="2" t="s">
        <v>1391</v>
      </c>
      <c r="N126" s="2" t="s">
        <v>153</v>
      </c>
      <c r="O126" s="2" t="s">
        <v>44</v>
      </c>
      <c r="P126" s="154">
        <v>10100</v>
      </c>
      <c r="Q126" s="162">
        <v>1</v>
      </c>
      <c r="R126" s="179">
        <v>2470</v>
      </c>
      <c r="T126" s="153">
        <v>249.47</v>
      </c>
      <c r="U126" s="168">
        <v>2.6999999999999999E-5</v>
      </c>
      <c r="V126" s="168">
        <v>0.124745645793412</v>
      </c>
      <c r="W126" s="168">
        <v>0.121888527085839</v>
      </c>
    </row>
    <row r="127" spans="1:23">
      <c r="A127" s="2">
        <v>158</v>
      </c>
      <c r="B127" s="2">
        <v>15073</v>
      </c>
      <c r="C127" s="2" t="s">
        <v>1503</v>
      </c>
      <c r="D127" s="2" t="s">
        <v>1504</v>
      </c>
      <c r="E127" s="4" t="s">
        <v>1343</v>
      </c>
      <c r="F127" s="2" t="s">
        <v>1505</v>
      </c>
      <c r="G127" s="2" t="s">
        <v>1506</v>
      </c>
      <c r="H127" s="2" t="s">
        <v>338</v>
      </c>
      <c r="I127" s="2" t="s">
        <v>1000</v>
      </c>
      <c r="J127" s="2" t="s">
        <v>30</v>
      </c>
      <c r="K127" s="2" t="s">
        <v>107</v>
      </c>
      <c r="L127" s="2" t="s">
        <v>41</v>
      </c>
      <c r="M127" s="2" t="s">
        <v>1391</v>
      </c>
      <c r="N127" s="2" t="s">
        <v>153</v>
      </c>
      <c r="O127" s="2" t="s">
        <v>44</v>
      </c>
      <c r="P127" s="154">
        <v>4209</v>
      </c>
      <c r="Q127" s="162">
        <v>1</v>
      </c>
      <c r="R127" s="179">
        <v>5932</v>
      </c>
      <c r="T127" s="153">
        <v>249.678</v>
      </c>
      <c r="U127" s="168">
        <v>7.0100000000000002E-4</v>
      </c>
      <c r="V127" s="168">
        <v>0.12484959466440899</v>
      </c>
      <c r="W127" s="168">
        <v>0.12199009515819501</v>
      </c>
    </row>
    <row r="128" spans="1:23">
      <c r="A128" s="2">
        <v>158</v>
      </c>
      <c r="B128" s="2">
        <v>15073</v>
      </c>
      <c r="C128" s="2" t="s">
        <v>1398</v>
      </c>
      <c r="D128" s="2" t="s">
        <v>1399</v>
      </c>
      <c r="E128" s="4" t="s">
        <v>1343</v>
      </c>
      <c r="F128" s="2" t="s">
        <v>1507</v>
      </c>
      <c r="G128" s="2" t="s">
        <v>1508</v>
      </c>
      <c r="H128" s="2" t="s">
        <v>338</v>
      </c>
      <c r="I128" s="2" t="s">
        <v>1000</v>
      </c>
      <c r="J128" s="2" t="s">
        <v>30</v>
      </c>
      <c r="K128" s="2" t="s">
        <v>107</v>
      </c>
      <c r="L128" s="2" t="s">
        <v>56</v>
      </c>
      <c r="M128" s="2" t="s">
        <v>1391</v>
      </c>
      <c r="N128" s="2" t="s">
        <v>357</v>
      </c>
      <c r="O128" s="2" t="s">
        <v>44</v>
      </c>
      <c r="P128" s="154">
        <v>2372</v>
      </c>
      <c r="Q128" s="162">
        <v>1</v>
      </c>
      <c r="R128" s="179">
        <v>10530</v>
      </c>
      <c r="T128" s="153">
        <v>249.77199999999999</v>
      </c>
      <c r="U128" s="168">
        <v>4.1E-5</v>
      </c>
      <c r="V128" s="168">
        <v>0.124896458663782</v>
      </c>
      <c r="W128" s="168">
        <v>0.12203588580540101</v>
      </c>
    </row>
    <row r="129" spans="1:23">
      <c r="A129" s="2">
        <v>158</v>
      </c>
      <c r="B129" s="2">
        <v>15073</v>
      </c>
      <c r="C129" s="2" t="s">
        <v>1362</v>
      </c>
      <c r="D129" s="2" t="s">
        <v>1363</v>
      </c>
      <c r="E129" s="4" t="s">
        <v>1343</v>
      </c>
      <c r="F129" s="2" t="s">
        <v>1486</v>
      </c>
      <c r="G129" s="2" t="s">
        <v>1487</v>
      </c>
      <c r="H129" s="2" t="s">
        <v>338</v>
      </c>
      <c r="I129" s="2" t="s">
        <v>1000</v>
      </c>
      <c r="J129" s="2" t="s">
        <v>30</v>
      </c>
      <c r="K129" s="2" t="s">
        <v>107</v>
      </c>
      <c r="L129" s="2" t="s">
        <v>56</v>
      </c>
      <c r="M129" s="2" t="s">
        <v>1391</v>
      </c>
      <c r="N129" s="2" t="s">
        <v>153</v>
      </c>
      <c r="O129" s="2" t="s">
        <v>44</v>
      </c>
      <c r="P129" s="154">
        <v>1070</v>
      </c>
      <c r="Q129" s="162">
        <v>1</v>
      </c>
      <c r="R129" s="179">
        <v>23280</v>
      </c>
      <c r="T129" s="153">
        <v>249.096</v>
      </c>
      <c r="U129" s="168">
        <v>5.3000000000000001E-5</v>
      </c>
      <c r="V129" s="168">
        <v>0.12455862983347001</v>
      </c>
      <c r="W129" s="168">
        <v>0.121705794456144</v>
      </c>
    </row>
    <row r="130" spans="1:23">
      <c r="A130" s="2">
        <v>158</v>
      </c>
      <c r="B130" s="2">
        <v>15073</v>
      </c>
      <c r="C130" s="2" t="s">
        <v>1442</v>
      </c>
      <c r="D130" s="2" t="s">
        <v>1443</v>
      </c>
      <c r="E130" s="4" t="s">
        <v>1343</v>
      </c>
      <c r="F130" s="2" t="s">
        <v>1509</v>
      </c>
      <c r="G130" s="2" t="s">
        <v>1510</v>
      </c>
      <c r="H130" s="2" t="s">
        <v>338</v>
      </c>
      <c r="I130" s="2" t="s">
        <v>1000</v>
      </c>
      <c r="J130" s="2" t="s">
        <v>30</v>
      </c>
      <c r="K130" s="2" t="s">
        <v>107</v>
      </c>
      <c r="L130" s="2" t="s">
        <v>56</v>
      </c>
      <c r="M130" s="2" t="s">
        <v>1391</v>
      </c>
      <c r="N130" s="2" t="s">
        <v>153</v>
      </c>
      <c r="O130" s="2" t="s">
        <v>44</v>
      </c>
      <c r="P130" s="154">
        <v>1008</v>
      </c>
      <c r="Q130" s="162">
        <v>1</v>
      </c>
      <c r="R130" s="179">
        <v>24940</v>
      </c>
      <c r="T130" s="153">
        <v>251.39500000000001</v>
      </c>
      <c r="U130" s="168">
        <v>3.4E-5</v>
      </c>
      <c r="V130" s="168">
        <v>0.12570832794870701</v>
      </c>
      <c r="W130" s="168">
        <v>0.122829160397843</v>
      </c>
    </row>
  </sheetData>
  <sheetProtection formatColumns="0"/>
  <autoFilter ref="A1:X1" xr:uid="{AC80779A-2E5D-47BE-9F03-139C8500BA53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G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1130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343</v>
      </c>
      <c r="M1" s="19" t="s">
        <v>8</v>
      </c>
      <c r="N1" s="19" t="s">
        <v>586</v>
      </c>
      <c r="O1" s="19" t="s">
        <v>139</v>
      </c>
      <c r="P1" s="19" t="s">
        <v>11</v>
      </c>
      <c r="Q1" s="19" t="s">
        <v>17</v>
      </c>
      <c r="R1" s="161" t="s">
        <v>18</v>
      </c>
      <c r="S1" s="172" t="s">
        <v>19</v>
      </c>
      <c r="T1" s="19" t="s">
        <v>20</v>
      </c>
      <c r="U1" s="167" t="s">
        <v>23</v>
      </c>
      <c r="V1" s="167" t="s">
        <v>24</v>
      </c>
      <c r="W1" s="167" t="s">
        <v>25</v>
      </c>
    </row>
    <row r="2" spans="1:23">
      <c r="A2" s="18">
        <v>158</v>
      </c>
      <c r="B2" s="18">
        <v>1522</v>
      </c>
      <c r="C2" s="18" t="s">
        <v>1357</v>
      </c>
      <c r="D2" s="18" t="s">
        <v>1358</v>
      </c>
      <c r="E2" s="18" t="s">
        <v>1343</v>
      </c>
      <c r="F2" s="18" t="s">
        <v>1359</v>
      </c>
      <c r="G2" s="18" t="s">
        <v>1360</v>
      </c>
      <c r="H2" s="18" t="s">
        <v>338</v>
      </c>
      <c r="I2" s="18" t="s">
        <v>949</v>
      </c>
      <c r="J2" s="18" t="s">
        <v>106</v>
      </c>
      <c r="K2" s="18" t="s">
        <v>107</v>
      </c>
      <c r="L2" s="4" t="s">
        <v>344</v>
      </c>
      <c r="M2" s="18" t="s">
        <v>56</v>
      </c>
      <c r="N2" s="20" t="s">
        <v>1361</v>
      </c>
      <c r="O2" s="20" t="s">
        <v>153</v>
      </c>
      <c r="P2" s="18" t="s">
        <v>44</v>
      </c>
      <c r="Q2" s="156">
        <v>275000</v>
      </c>
      <c r="R2" s="180">
        <v>1</v>
      </c>
      <c r="S2" s="181">
        <v>200.08</v>
      </c>
      <c r="T2" s="156">
        <v>550.22</v>
      </c>
      <c r="U2" s="182">
        <v>0</v>
      </c>
      <c r="V2" s="182">
        <v>0.443716502718491</v>
      </c>
      <c r="W2" s="182">
        <v>5.3962705129590803E-2</v>
      </c>
    </row>
    <row r="3" spans="1:23">
      <c r="A3" s="18">
        <v>158</v>
      </c>
      <c r="B3" s="18">
        <v>1522</v>
      </c>
      <c r="C3" s="18" t="s">
        <v>1362</v>
      </c>
      <c r="D3" s="18" t="s">
        <v>1363</v>
      </c>
      <c r="E3" s="18" t="s">
        <v>1343</v>
      </c>
      <c r="F3" s="18" t="s">
        <v>1364</v>
      </c>
      <c r="G3" s="18" t="s">
        <v>1365</v>
      </c>
      <c r="H3" s="18" t="s">
        <v>338</v>
      </c>
      <c r="I3" s="18" t="s">
        <v>949</v>
      </c>
      <c r="J3" s="18" t="s">
        <v>106</v>
      </c>
      <c r="K3" s="18" t="s">
        <v>107</v>
      </c>
      <c r="L3" s="4" t="s">
        <v>344</v>
      </c>
      <c r="M3" s="18" t="s">
        <v>56</v>
      </c>
      <c r="N3" s="20" t="s">
        <v>1361</v>
      </c>
      <c r="O3" s="20" t="s">
        <v>153</v>
      </c>
      <c r="P3" s="18" t="s">
        <v>44</v>
      </c>
      <c r="Q3" s="156">
        <v>260000</v>
      </c>
      <c r="R3" s="180">
        <v>1</v>
      </c>
      <c r="S3" s="181">
        <v>265.31</v>
      </c>
      <c r="T3" s="156">
        <v>689.80600000000004</v>
      </c>
      <c r="U3" s="182">
        <v>0</v>
      </c>
      <c r="V3" s="182">
        <v>0.55628349728150905</v>
      </c>
      <c r="W3" s="182">
        <v>6.7652571288979904E-2</v>
      </c>
    </row>
    <row r="4" spans="1:23">
      <c r="A4" s="18">
        <v>158</v>
      </c>
      <c r="B4" s="18">
        <v>9935</v>
      </c>
      <c r="C4" s="18" t="s">
        <v>1366</v>
      </c>
      <c r="D4" s="18" t="s">
        <v>1367</v>
      </c>
      <c r="E4" s="18" t="s">
        <v>1343</v>
      </c>
      <c r="F4" s="18" t="s">
        <v>1368</v>
      </c>
      <c r="G4" s="18" t="s">
        <v>1369</v>
      </c>
      <c r="H4" s="18" t="s">
        <v>338</v>
      </c>
      <c r="I4" s="18" t="s">
        <v>949</v>
      </c>
      <c r="J4" s="18" t="s">
        <v>30</v>
      </c>
      <c r="K4" s="18" t="s">
        <v>30</v>
      </c>
      <c r="L4" s="4" t="s">
        <v>344</v>
      </c>
      <c r="M4" s="18" t="s">
        <v>56</v>
      </c>
      <c r="N4" s="20" t="s">
        <v>1370</v>
      </c>
      <c r="O4" s="20" t="s">
        <v>153</v>
      </c>
      <c r="P4" s="18" t="s">
        <v>44</v>
      </c>
      <c r="Q4" s="156">
        <v>8209517.25</v>
      </c>
      <c r="R4" s="180">
        <v>1</v>
      </c>
      <c r="S4" s="181">
        <v>72.400000000000006</v>
      </c>
      <c r="T4" s="156">
        <v>5943.69</v>
      </c>
      <c r="U4" s="182">
        <v>2.2415999999999998E-2</v>
      </c>
      <c r="V4" s="182">
        <v>0.51465683810789398</v>
      </c>
      <c r="W4" s="182">
        <v>5.4865119074883097E-3</v>
      </c>
    </row>
    <row r="5" spans="1:23">
      <c r="A5" s="18">
        <v>158</v>
      </c>
      <c r="B5" s="18">
        <v>9935</v>
      </c>
      <c r="C5" s="18" t="s">
        <v>1371</v>
      </c>
      <c r="D5" s="18" t="s">
        <v>1372</v>
      </c>
      <c r="E5" s="18" t="s">
        <v>331</v>
      </c>
      <c r="F5" s="18" t="s">
        <v>1373</v>
      </c>
      <c r="G5" s="18" t="s">
        <v>1374</v>
      </c>
      <c r="H5" s="18" t="s">
        <v>338</v>
      </c>
      <c r="I5" s="18" t="s">
        <v>1005</v>
      </c>
      <c r="J5" s="18" t="s">
        <v>106</v>
      </c>
      <c r="K5" s="18" t="s">
        <v>315</v>
      </c>
      <c r="L5" s="4" t="s">
        <v>344</v>
      </c>
      <c r="M5" s="18" t="s">
        <v>1375</v>
      </c>
      <c r="N5" s="20" t="s">
        <v>749</v>
      </c>
      <c r="O5" s="20" t="s">
        <v>153</v>
      </c>
      <c r="P5" s="18" t="s">
        <v>34</v>
      </c>
      <c r="Q5" s="156">
        <v>8250</v>
      </c>
      <c r="R5" s="180">
        <v>3.71</v>
      </c>
      <c r="S5" s="181">
        <v>18313</v>
      </c>
      <c r="T5" s="156">
        <v>5605.1509999999998</v>
      </c>
      <c r="U5" s="182">
        <v>9.0499999999999999E-4</v>
      </c>
      <c r="V5" s="182">
        <v>0.48534316189210602</v>
      </c>
      <c r="W5" s="182">
        <v>5.1740127396904898E-3</v>
      </c>
    </row>
    <row r="6" spans="1:23">
      <c r="A6" s="18">
        <v>158</v>
      </c>
      <c r="B6" s="18">
        <v>9936</v>
      </c>
      <c r="C6" s="18" t="s">
        <v>1371</v>
      </c>
      <c r="D6" s="18" t="s">
        <v>1372</v>
      </c>
      <c r="E6" s="18" t="s">
        <v>331</v>
      </c>
      <c r="F6" s="18" t="s">
        <v>1373</v>
      </c>
      <c r="G6" s="18" t="s">
        <v>1374</v>
      </c>
      <c r="H6" s="18" t="s">
        <v>338</v>
      </c>
      <c r="I6" s="18" t="s">
        <v>1005</v>
      </c>
      <c r="J6" s="18" t="s">
        <v>106</v>
      </c>
      <c r="K6" s="18" t="s">
        <v>315</v>
      </c>
      <c r="L6" s="4" t="s">
        <v>344</v>
      </c>
      <c r="M6" s="18" t="s">
        <v>1375</v>
      </c>
      <c r="N6" s="20" t="s">
        <v>749</v>
      </c>
      <c r="O6" s="20" t="s">
        <v>153</v>
      </c>
      <c r="P6" s="18" t="s">
        <v>34</v>
      </c>
      <c r="Q6" s="156">
        <v>110</v>
      </c>
      <c r="R6" s="180">
        <v>3.71</v>
      </c>
      <c r="S6" s="181">
        <v>18313</v>
      </c>
      <c r="T6" s="156">
        <v>74.734999999999999</v>
      </c>
      <c r="U6" s="182">
        <v>1.2E-5</v>
      </c>
      <c r="V6" s="182">
        <v>1</v>
      </c>
      <c r="W6" s="182">
        <v>4.6748039721070502E-3</v>
      </c>
    </row>
    <row r="7" spans="1:23">
      <c r="A7" s="18">
        <v>158</v>
      </c>
      <c r="B7" s="18">
        <v>9937</v>
      </c>
      <c r="C7" s="18" t="s">
        <v>1371</v>
      </c>
      <c r="D7" s="18" t="s">
        <v>1372</v>
      </c>
      <c r="E7" s="18" t="s">
        <v>331</v>
      </c>
      <c r="F7" s="18" t="s">
        <v>1373</v>
      </c>
      <c r="G7" s="18" t="s">
        <v>1374</v>
      </c>
      <c r="H7" s="18" t="s">
        <v>338</v>
      </c>
      <c r="I7" s="18" t="s">
        <v>1005</v>
      </c>
      <c r="J7" s="18" t="s">
        <v>106</v>
      </c>
      <c r="K7" s="18" t="s">
        <v>315</v>
      </c>
      <c r="L7" s="4" t="s">
        <v>344</v>
      </c>
      <c r="M7" s="18" t="s">
        <v>1375</v>
      </c>
      <c r="N7" s="20" t="s">
        <v>749</v>
      </c>
      <c r="O7" s="20" t="s">
        <v>153</v>
      </c>
      <c r="P7" s="18" t="s">
        <v>34</v>
      </c>
      <c r="Q7" s="156">
        <v>230</v>
      </c>
      <c r="R7" s="180">
        <v>3.71</v>
      </c>
      <c r="S7" s="181">
        <v>18313</v>
      </c>
      <c r="T7" s="156">
        <v>156.26499999999999</v>
      </c>
      <c r="U7" s="182">
        <v>2.5000000000000001E-5</v>
      </c>
      <c r="V7" s="182">
        <v>1</v>
      </c>
      <c r="W7" s="182">
        <v>4.9880586352856696E-3</v>
      </c>
    </row>
    <row r="8" spans="1:2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>
      <c r="E20" s="18"/>
      <c r="H20" s="18"/>
      <c r="I20" s="18"/>
      <c r="J20" s="18"/>
      <c r="K20" s="18"/>
      <c r="M20" s="18"/>
      <c r="N20" s="20"/>
      <c r="O20" s="20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topLeftCell="J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6</v>
      </c>
      <c r="J1" s="19" t="s">
        <v>7</v>
      </c>
      <c r="K1" s="19" t="s">
        <v>343</v>
      </c>
      <c r="L1" s="19" t="s">
        <v>8</v>
      </c>
      <c r="M1" s="19" t="s">
        <v>1136</v>
      </c>
      <c r="N1" s="19" t="s">
        <v>168</v>
      </c>
      <c r="O1" s="19" t="s">
        <v>1137</v>
      </c>
      <c r="P1" s="19" t="s">
        <v>139</v>
      </c>
      <c r="Q1" s="19" t="s">
        <v>11</v>
      </c>
      <c r="R1" s="172" t="s">
        <v>1138</v>
      </c>
      <c r="S1" s="19" t="s">
        <v>1139</v>
      </c>
      <c r="T1" s="19" t="s">
        <v>17</v>
      </c>
      <c r="U1" s="161" t="s">
        <v>18</v>
      </c>
      <c r="V1" s="172" t="s">
        <v>19</v>
      </c>
      <c r="W1" s="19" t="s">
        <v>20</v>
      </c>
      <c r="X1" s="167" t="s">
        <v>24</v>
      </c>
      <c r="Y1" s="167" t="s">
        <v>25</v>
      </c>
    </row>
    <row r="2" spans="1:25">
      <c r="A2" s="27">
        <v>158</v>
      </c>
      <c r="B2" s="20">
        <v>1522</v>
      </c>
      <c r="C2" s="20" t="s">
        <v>2299</v>
      </c>
      <c r="D2" s="20" t="s">
        <v>2300</v>
      </c>
      <c r="E2" s="18" t="s">
        <v>1343</v>
      </c>
      <c r="F2" s="20" t="s">
        <v>2301</v>
      </c>
      <c r="G2" s="20" t="s">
        <v>2302</v>
      </c>
      <c r="H2" s="18" t="s">
        <v>338</v>
      </c>
      <c r="I2" s="18" t="s">
        <v>30</v>
      </c>
      <c r="J2" s="18" t="s">
        <v>30</v>
      </c>
      <c r="K2" s="20" t="s">
        <v>344</v>
      </c>
      <c r="L2" s="18" t="s">
        <v>56</v>
      </c>
      <c r="M2" s="20" t="s">
        <v>2303</v>
      </c>
      <c r="N2" s="20" t="s">
        <v>456</v>
      </c>
      <c r="O2" s="20" t="s">
        <v>2304</v>
      </c>
      <c r="P2" s="20" t="s">
        <v>153</v>
      </c>
      <c r="Q2" s="18" t="s">
        <v>44</v>
      </c>
      <c r="R2" s="181">
        <v>8000</v>
      </c>
      <c r="S2" s="156">
        <v>0</v>
      </c>
      <c r="T2" s="155">
        <v>108</v>
      </c>
      <c r="U2" s="177">
        <v>1</v>
      </c>
      <c r="V2" s="178">
        <v>322.60000000000002</v>
      </c>
      <c r="W2" s="155">
        <v>0.34799999999999998</v>
      </c>
      <c r="X2" s="176">
        <v>9.8308755768170497E-2</v>
      </c>
      <c r="Y2" s="176">
        <v>3.4170037746338702E-5</v>
      </c>
    </row>
    <row r="3" spans="1:25">
      <c r="A3" s="20">
        <v>158</v>
      </c>
      <c r="B3" s="20">
        <v>1522</v>
      </c>
      <c r="C3" s="20" t="s">
        <v>2305</v>
      </c>
      <c r="D3" s="20" t="s">
        <v>2306</v>
      </c>
      <c r="E3" s="18" t="s">
        <v>1343</v>
      </c>
      <c r="F3" s="20" t="s">
        <v>2307</v>
      </c>
      <c r="G3" s="20" t="s">
        <v>2308</v>
      </c>
      <c r="H3" s="18" t="s">
        <v>338</v>
      </c>
      <c r="I3" s="18" t="s">
        <v>30</v>
      </c>
      <c r="J3" s="18" t="s">
        <v>30</v>
      </c>
      <c r="K3" s="20" t="s">
        <v>344</v>
      </c>
      <c r="L3" s="18" t="s">
        <v>56</v>
      </c>
      <c r="M3" s="20" t="s">
        <v>2309</v>
      </c>
      <c r="N3" s="20" t="s">
        <v>479</v>
      </c>
      <c r="O3" s="20" t="s">
        <v>2310</v>
      </c>
      <c r="P3" s="20" t="s">
        <v>153</v>
      </c>
      <c r="Q3" s="18" t="s">
        <v>44</v>
      </c>
      <c r="R3" s="181">
        <v>20</v>
      </c>
      <c r="S3" s="156">
        <v>0</v>
      </c>
      <c r="T3" s="155">
        <v>975</v>
      </c>
      <c r="U3" s="177">
        <v>1</v>
      </c>
      <c r="V3" s="178">
        <v>22</v>
      </c>
      <c r="W3" s="155">
        <v>0.214</v>
      </c>
      <c r="X3" s="176">
        <v>6.0524523295310599E-2</v>
      </c>
      <c r="Y3" s="176">
        <v>2.10370401844666E-5</v>
      </c>
    </row>
    <row r="4" spans="1:25">
      <c r="A4" s="20">
        <v>158</v>
      </c>
      <c r="B4" s="20">
        <v>1522</v>
      </c>
      <c r="C4" s="20" t="s">
        <v>2311</v>
      </c>
      <c r="D4" s="20" t="s">
        <v>2312</v>
      </c>
      <c r="E4" s="18" t="s">
        <v>1343</v>
      </c>
      <c r="F4" s="20" t="s">
        <v>2313</v>
      </c>
      <c r="G4" s="20" t="s">
        <v>2314</v>
      </c>
      <c r="H4" s="18" t="s">
        <v>338</v>
      </c>
      <c r="I4" s="18" t="s">
        <v>30</v>
      </c>
      <c r="J4" s="18" t="s">
        <v>30</v>
      </c>
      <c r="K4" s="20" t="s">
        <v>344</v>
      </c>
      <c r="L4" s="18" t="s">
        <v>56</v>
      </c>
      <c r="M4" s="20" t="s">
        <v>2315</v>
      </c>
      <c r="N4" s="20" t="s">
        <v>486</v>
      </c>
      <c r="O4" s="20" t="s">
        <v>2316</v>
      </c>
      <c r="P4" s="20" t="s">
        <v>153</v>
      </c>
      <c r="Q4" s="18" t="s">
        <v>44</v>
      </c>
      <c r="R4" s="181">
        <v>4117.3940000000002</v>
      </c>
      <c r="S4" s="156">
        <v>1</v>
      </c>
      <c r="T4" s="155">
        <v>1057.08</v>
      </c>
      <c r="U4" s="177">
        <v>1</v>
      </c>
      <c r="V4" s="178">
        <v>100</v>
      </c>
      <c r="W4" s="155">
        <v>1.0569999999999999</v>
      </c>
      <c r="X4" s="176">
        <v>0.29827162277392499</v>
      </c>
      <c r="Y4" s="176">
        <v>1.03672887823758E-4</v>
      </c>
    </row>
    <row r="5" spans="1:25">
      <c r="A5" s="20">
        <v>158</v>
      </c>
      <c r="B5" s="20">
        <v>1522</v>
      </c>
      <c r="C5" s="20" t="s">
        <v>2317</v>
      </c>
      <c r="D5" s="20" t="s">
        <v>2318</v>
      </c>
      <c r="E5" s="18" t="s">
        <v>1343</v>
      </c>
      <c r="F5" s="20" t="s">
        <v>2319</v>
      </c>
      <c r="G5" s="20" t="s">
        <v>2320</v>
      </c>
      <c r="H5" s="18" t="s">
        <v>338</v>
      </c>
      <c r="I5" s="18" t="s">
        <v>30</v>
      </c>
      <c r="J5" s="18" t="s">
        <v>30</v>
      </c>
      <c r="K5" s="20" t="s">
        <v>344</v>
      </c>
      <c r="L5" s="18" t="s">
        <v>56</v>
      </c>
      <c r="M5" s="20" t="s">
        <v>2321</v>
      </c>
      <c r="N5" s="20" t="s">
        <v>496</v>
      </c>
      <c r="O5" s="20" t="s">
        <v>2256</v>
      </c>
      <c r="P5" s="20" t="s">
        <v>153</v>
      </c>
      <c r="Q5" s="18" t="s">
        <v>44</v>
      </c>
      <c r="R5" s="181">
        <v>0</v>
      </c>
      <c r="S5" s="156">
        <v>0</v>
      </c>
      <c r="T5" s="155">
        <v>4450</v>
      </c>
      <c r="U5" s="177">
        <v>1</v>
      </c>
      <c r="V5" s="178">
        <v>38.6</v>
      </c>
      <c r="W5" s="155">
        <v>1.718</v>
      </c>
      <c r="X5" s="176">
        <v>0.48467586789909101</v>
      </c>
      <c r="Y5" s="176">
        <v>1.6846304860073801E-4</v>
      </c>
    </row>
    <row r="6" spans="1:25">
      <c r="A6" s="20">
        <v>158</v>
      </c>
      <c r="B6" s="20">
        <v>1522</v>
      </c>
      <c r="C6" s="20" t="s">
        <v>2322</v>
      </c>
      <c r="D6" s="20" t="s">
        <v>2323</v>
      </c>
      <c r="E6" s="18" t="s">
        <v>1343</v>
      </c>
      <c r="F6" s="20" t="s">
        <v>2324</v>
      </c>
      <c r="G6" s="20" t="s">
        <v>2325</v>
      </c>
      <c r="H6" s="18" t="s">
        <v>338</v>
      </c>
      <c r="I6" s="18" t="s">
        <v>30</v>
      </c>
      <c r="J6" s="18" t="s">
        <v>30</v>
      </c>
      <c r="K6" s="20" t="s">
        <v>344</v>
      </c>
      <c r="L6" s="18" t="s">
        <v>56</v>
      </c>
      <c r="M6" s="20" t="s">
        <v>2326</v>
      </c>
      <c r="N6" s="20" t="s">
        <v>496</v>
      </c>
      <c r="O6" s="20" t="s">
        <v>2327</v>
      </c>
      <c r="P6" s="20" t="s">
        <v>153</v>
      </c>
      <c r="Q6" s="18" t="s">
        <v>44</v>
      </c>
      <c r="R6" s="181">
        <v>376.12200000000001</v>
      </c>
      <c r="S6" s="156">
        <v>0</v>
      </c>
      <c r="T6" s="155">
        <v>3900</v>
      </c>
      <c r="U6" s="177">
        <v>1</v>
      </c>
      <c r="V6" s="178">
        <v>2.8</v>
      </c>
      <c r="W6" s="155">
        <v>0.109</v>
      </c>
      <c r="X6" s="176">
        <v>3.08124845867036E-2</v>
      </c>
      <c r="Y6" s="176">
        <v>1.0709765912092101E-5</v>
      </c>
    </row>
    <row r="7" spans="1:25">
      <c r="A7" s="20">
        <v>158</v>
      </c>
      <c r="B7" s="20">
        <v>1522</v>
      </c>
      <c r="C7" s="20" t="s">
        <v>2328</v>
      </c>
      <c r="D7" s="20" t="s">
        <v>2329</v>
      </c>
      <c r="E7" s="18" t="s">
        <v>1343</v>
      </c>
      <c r="F7" s="20" t="s">
        <v>2330</v>
      </c>
      <c r="G7" s="20" t="s">
        <v>2331</v>
      </c>
      <c r="H7" s="18" t="s">
        <v>338</v>
      </c>
      <c r="I7" s="18" t="s">
        <v>30</v>
      </c>
      <c r="J7" s="18" t="s">
        <v>30</v>
      </c>
      <c r="K7" s="20" t="s">
        <v>344</v>
      </c>
      <c r="L7" s="18" t="s">
        <v>56</v>
      </c>
      <c r="M7" s="20" t="s">
        <v>2332</v>
      </c>
      <c r="N7" s="20" t="s">
        <v>496</v>
      </c>
      <c r="O7" s="20" t="s">
        <v>2333</v>
      </c>
      <c r="P7" s="20" t="s">
        <v>153</v>
      </c>
      <c r="Q7" s="18" t="s">
        <v>44</v>
      </c>
      <c r="R7" s="181">
        <v>1656</v>
      </c>
      <c r="S7" s="156">
        <v>1</v>
      </c>
      <c r="T7" s="155">
        <v>3727</v>
      </c>
      <c r="U7" s="177">
        <v>1</v>
      </c>
      <c r="V7" s="178">
        <v>1</v>
      </c>
      <c r="W7" s="155">
        <v>3.6999999999999998E-2</v>
      </c>
      <c r="X7" s="176">
        <v>1.05163122760663E-2</v>
      </c>
      <c r="Y7" s="176">
        <v>3.65524702878821E-6</v>
      </c>
    </row>
    <row r="8" spans="1:25">
      <c r="A8" s="20">
        <v>158</v>
      </c>
      <c r="B8" s="20">
        <v>1522</v>
      </c>
      <c r="C8" s="20" t="s">
        <v>2334</v>
      </c>
      <c r="D8" s="20" t="s">
        <v>2335</v>
      </c>
      <c r="E8" s="18" t="s">
        <v>1343</v>
      </c>
      <c r="F8" s="20" t="s">
        <v>2336</v>
      </c>
      <c r="G8" s="20" t="s">
        <v>2337</v>
      </c>
      <c r="H8" s="18" t="s">
        <v>338</v>
      </c>
      <c r="I8" s="18" t="s">
        <v>106</v>
      </c>
      <c r="J8" s="18" t="s">
        <v>30</v>
      </c>
      <c r="K8" s="20" t="s">
        <v>344</v>
      </c>
      <c r="L8" s="18" t="s">
        <v>56</v>
      </c>
      <c r="M8" s="20" t="s">
        <v>2338</v>
      </c>
      <c r="N8" s="20" t="s">
        <v>496</v>
      </c>
      <c r="O8" s="20" t="s">
        <v>2339</v>
      </c>
      <c r="P8" s="20" t="s">
        <v>153</v>
      </c>
      <c r="Q8" s="18" t="s">
        <v>44</v>
      </c>
      <c r="R8" s="181">
        <v>1415</v>
      </c>
      <c r="S8" s="156">
        <v>0</v>
      </c>
      <c r="T8" s="155">
        <v>146</v>
      </c>
      <c r="U8" s="177">
        <v>1</v>
      </c>
      <c r="V8" s="178">
        <v>41</v>
      </c>
      <c r="W8" s="155">
        <v>0.06</v>
      </c>
      <c r="X8" s="176">
        <v>1.6890433400733301E-2</v>
      </c>
      <c r="Y8" s="176">
        <v>5.8707562957677102E-6</v>
      </c>
    </row>
    <row r="9" spans="1:25">
      <c r="A9" s="20">
        <v>158</v>
      </c>
      <c r="B9" s="20">
        <v>9935</v>
      </c>
      <c r="C9" s="20" t="s">
        <v>2299</v>
      </c>
      <c r="D9" s="20" t="s">
        <v>2300</v>
      </c>
      <c r="E9" s="18" t="s">
        <v>1343</v>
      </c>
      <c r="F9" s="20" t="s">
        <v>2301</v>
      </c>
      <c r="G9" s="20" t="s">
        <v>2302</v>
      </c>
      <c r="H9" s="18" t="s">
        <v>338</v>
      </c>
      <c r="I9" s="18" t="s">
        <v>30</v>
      </c>
      <c r="J9" s="18" t="s">
        <v>30</v>
      </c>
      <c r="K9" s="20" t="s">
        <v>344</v>
      </c>
      <c r="L9" s="18" t="s">
        <v>56</v>
      </c>
      <c r="M9" s="20" t="s">
        <v>2303</v>
      </c>
      <c r="N9" s="20" t="s">
        <v>456</v>
      </c>
      <c r="O9" s="20" t="s">
        <v>2304</v>
      </c>
      <c r="P9" s="20" t="s">
        <v>153</v>
      </c>
      <c r="Q9" s="18" t="s">
        <v>44</v>
      </c>
      <c r="R9" s="181">
        <v>8000</v>
      </c>
      <c r="S9" s="156">
        <v>0</v>
      </c>
      <c r="T9" s="155">
        <v>2508</v>
      </c>
      <c r="U9" s="177">
        <v>1</v>
      </c>
      <c r="V9" s="178">
        <v>322.60000000000002</v>
      </c>
      <c r="W9" s="155">
        <v>8.0909999999999993</v>
      </c>
      <c r="X9" s="176">
        <v>8.9493239886797193E-2</v>
      </c>
      <c r="Y9" s="176">
        <v>7.4684767848115501E-6</v>
      </c>
    </row>
    <row r="10" spans="1:25">
      <c r="A10" s="20">
        <v>158</v>
      </c>
      <c r="B10" s="20">
        <v>9935</v>
      </c>
      <c r="C10" s="20" t="s">
        <v>2305</v>
      </c>
      <c r="D10" s="20" t="s">
        <v>2306</v>
      </c>
      <c r="E10" s="18" t="s">
        <v>1343</v>
      </c>
      <c r="F10" s="20" t="s">
        <v>2307</v>
      </c>
      <c r="G10" s="20" t="s">
        <v>2308</v>
      </c>
      <c r="H10" s="18" t="s">
        <v>338</v>
      </c>
      <c r="I10" s="18" t="s">
        <v>30</v>
      </c>
      <c r="J10" s="18" t="s">
        <v>30</v>
      </c>
      <c r="K10" s="20" t="s">
        <v>344</v>
      </c>
      <c r="L10" s="18" t="s">
        <v>56</v>
      </c>
      <c r="M10" s="20" t="s">
        <v>2309</v>
      </c>
      <c r="N10" s="20" t="s">
        <v>479</v>
      </c>
      <c r="O10" s="20" t="s">
        <v>2310</v>
      </c>
      <c r="P10" s="20" t="s">
        <v>153</v>
      </c>
      <c r="Q10" s="18" t="s">
        <v>44</v>
      </c>
      <c r="R10" s="181">
        <v>20</v>
      </c>
      <c r="S10" s="156">
        <v>0</v>
      </c>
      <c r="T10" s="155">
        <v>44550</v>
      </c>
      <c r="U10" s="177">
        <v>1</v>
      </c>
      <c r="V10" s="178">
        <v>22</v>
      </c>
      <c r="W10" s="155">
        <v>9.8010000000000002</v>
      </c>
      <c r="X10" s="176">
        <v>0.10840984536161299</v>
      </c>
      <c r="Y10" s="176">
        <v>9.0471237196504996E-6</v>
      </c>
    </row>
    <row r="11" spans="1:25">
      <c r="A11" s="27">
        <v>158</v>
      </c>
      <c r="B11" s="20">
        <v>9935</v>
      </c>
      <c r="C11" s="20" t="s">
        <v>2311</v>
      </c>
      <c r="D11" s="20" t="s">
        <v>2312</v>
      </c>
      <c r="E11" s="18" t="s">
        <v>1343</v>
      </c>
      <c r="F11" s="20" t="s">
        <v>2313</v>
      </c>
      <c r="G11" s="20" t="s">
        <v>2314</v>
      </c>
      <c r="H11" s="18" t="s">
        <v>338</v>
      </c>
      <c r="I11" s="18" t="s">
        <v>30</v>
      </c>
      <c r="J11" s="18" t="s">
        <v>30</v>
      </c>
      <c r="K11" s="20" t="s">
        <v>344</v>
      </c>
      <c r="L11" s="18" t="s">
        <v>56</v>
      </c>
      <c r="M11" s="20" t="s">
        <v>2315</v>
      </c>
      <c r="N11" s="20" t="s">
        <v>486</v>
      </c>
      <c r="O11" s="20" t="s">
        <v>2316</v>
      </c>
      <c r="P11" s="20" t="s">
        <v>153</v>
      </c>
      <c r="Q11" s="18" t="s">
        <v>44</v>
      </c>
      <c r="R11" s="181">
        <v>4117.3940000000002</v>
      </c>
      <c r="S11" s="156">
        <v>1</v>
      </c>
      <c r="T11" s="155">
        <v>26068.86</v>
      </c>
      <c r="U11" s="177">
        <v>1</v>
      </c>
      <c r="V11" s="178">
        <v>100</v>
      </c>
      <c r="W11" s="155">
        <v>26.068999999999999</v>
      </c>
      <c r="X11" s="176">
        <v>0.28835027868110702</v>
      </c>
      <c r="Y11" s="176">
        <v>2.40636875472144E-5</v>
      </c>
    </row>
    <row r="12" spans="1:25">
      <c r="A12" s="20">
        <v>158</v>
      </c>
      <c r="B12" s="20">
        <v>9935</v>
      </c>
      <c r="C12" s="20" t="s">
        <v>2317</v>
      </c>
      <c r="D12" s="20" t="s">
        <v>2318</v>
      </c>
      <c r="E12" s="18" t="s">
        <v>1343</v>
      </c>
      <c r="F12" s="20" t="s">
        <v>2319</v>
      </c>
      <c r="G12" s="20" t="s">
        <v>2320</v>
      </c>
      <c r="H12" s="18" t="s">
        <v>338</v>
      </c>
      <c r="I12" s="18" t="s">
        <v>30</v>
      </c>
      <c r="J12" s="18" t="s">
        <v>30</v>
      </c>
      <c r="K12" s="20" t="s">
        <v>344</v>
      </c>
      <c r="L12" s="18" t="s">
        <v>56</v>
      </c>
      <c r="M12" s="20" t="s">
        <v>2321</v>
      </c>
      <c r="N12" s="20" t="s">
        <v>496</v>
      </c>
      <c r="O12" s="20" t="s">
        <v>2256</v>
      </c>
      <c r="P12" s="20" t="s">
        <v>153</v>
      </c>
      <c r="Q12" s="18" t="s">
        <v>44</v>
      </c>
      <c r="R12" s="181">
        <v>0</v>
      </c>
      <c r="S12" s="156">
        <v>0</v>
      </c>
      <c r="T12" s="155">
        <v>95200</v>
      </c>
      <c r="U12" s="177">
        <v>1</v>
      </c>
      <c r="V12" s="178">
        <v>38.6</v>
      </c>
      <c r="W12" s="155">
        <v>36.747</v>
      </c>
      <c r="X12" s="176">
        <v>0.40646446989820001</v>
      </c>
      <c r="Y12" s="176">
        <v>3.3920667763569097E-5</v>
      </c>
    </row>
    <row r="13" spans="1:25">
      <c r="A13" s="20">
        <v>158</v>
      </c>
      <c r="B13" s="20">
        <v>9935</v>
      </c>
      <c r="C13" s="20" t="s">
        <v>2322</v>
      </c>
      <c r="D13" s="20" t="s">
        <v>2323</v>
      </c>
      <c r="E13" s="18" t="s">
        <v>1343</v>
      </c>
      <c r="F13" s="20" t="s">
        <v>2324</v>
      </c>
      <c r="G13" s="20" t="s">
        <v>2325</v>
      </c>
      <c r="H13" s="18" t="s">
        <v>338</v>
      </c>
      <c r="I13" s="18" t="s">
        <v>30</v>
      </c>
      <c r="J13" s="18" t="s">
        <v>30</v>
      </c>
      <c r="K13" s="20" t="s">
        <v>344</v>
      </c>
      <c r="L13" s="18" t="s">
        <v>56</v>
      </c>
      <c r="M13" s="20" t="s">
        <v>2326</v>
      </c>
      <c r="N13" s="20" t="s">
        <v>496</v>
      </c>
      <c r="O13" s="20" t="s">
        <v>2327</v>
      </c>
      <c r="P13" s="20" t="s">
        <v>153</v>
      </c>
      <c r="Q13" s="18" t="s">
        <v>44</v>
      </c>
      <c r="R13" s="181">
        <v>376.12200000000001</v>
      </c>
      <c r="S13" s="156">
        <v>0</v>
      </c>
      <c r="T13" s="155">
        <v>203775</v>
      </c>
      <c r="U13" s="177">
        <v>1</v>
      </c>
      <c r="V13" s="178">
        <v>2.8</v>
      </c>
      <c r="W13" s="155">
        <v>5.7060000000000004</v>
      </c>
      <c r="X13" s="176">
        <v>6.3111320750918604E-2</v>
      </c>
      <c r="Y13" s="176">
        <v>5.26682724285378E-6</v>
      </c>
    </row>
    <row r="14" spans="1:25">
      <c r="A14" s="20">
        <v>158</v>
      </c>
      <c r="B14" s="20">
        <v>9935</v>
      </c>
      <c r="C14" s="20" t="s">
        <v>2328</v>
      </c>
      <c r="D14" s="20" t="s">
        <v>2329</v>
      </c>
      <c r="E14" s="18" t="s">
        <v>1343</v>
      </c>
      <c r="F14" s="20" t="s">
        <v>2330</v>
      </c>
      <c r="G14" s="20" t="s">
        <v>2331</v>
      </c>
      <c r="H14" s="18" t="s">
        <v>338</v>
      </c>
      <c r="I14" s="18" t="s">
        <v>30</v>
      </c>
      <c r="J14" s="18" t="s">
        <v>30</v>
      </c>
      <c r="K14" s="20" t="s">
        <v>344</v>
      </c>
      <c r="L14" s="18" t="s">
        <v>56</v>
      </c>
      <c r="M14" s="20" t="s">
        <v>2332</v>
      </c>
      <c r="N14" s="20" t="s">
        <v>496</v>
      </c>
      <c r="O14" s="20" t="s">
        <v>2333</v>
      </c>
      <c r="P14" s="20" t="s">
        <v>153</v>
      </c>
      <c r="Q14" s="18" t="s">
        <v>44</v>
      </c>
      <c r="R14" s="181">
        <v>1656</v>
      </c>
      <c r="S14" s="156">
        <v>1</v>
      </c>
      <c r="T14" s="155">
        <v>28203</v>
      </c>
      <c r="U14" s="177">
        <v>1</v>
      </c>
      <c r="V14" s="178">
        <v>1</v>
      </c>
      <c r="W14" s="155">
        <v>0.28199999999999997</v>
      </c>
      <c r="X14" s="176">
        <v>3.1195621556306102E-3</v>
      </c>
      <c r="Y14" s="176">
        <v>2.6033673121651201E-7</v>
      </c>
    </row>
    <row r="15" spans="1:25">
      <c r="A15" s="20">
        <v>158</v>
      </c>
      <c r="B15" s="20">
        <v>9935</v>
      </c>
      <c r="C15" s="20" t="s">
        <v>2334</v>
      </c>
      <c r="D15" s="20" t="s">
        <v>2335</v>
      </c>
      <c r="E15" s="18" t="s">
        <v>1343</v>
      </c>
      <c r="F15" s="20" t="s">
        <v>2336</v>
      </c>
      <c r="G15" s="20" t="s">
        <v>2337</v>
      </c>
      <c r="H15" s="18" t="s">
        <v>338</v>
      </c>
      <c r="I15" s="18" t="s">
        <v>106</v>
      </c>
      <c r="J15" s="18" t="s">
        <v>30</v>
      </c>
      <c r="K15" s="20" t="s">
        <v>344</v>
      </c>
      <c r="L15" s="18" t="s">
        <v>56</v>
      </c>
      <c r="M15" s="20" t="s">
        <v>2338</v>
      </c>
      <c r="N15" s="20" t="s">
        <v>496</v>
      </c>
      <c r="O15" s="20" t="s">
        <v>2339</v>
      </c>
      <c r="P15" s="20" t="s">
        <v>153</v>
      </c>
      <c r="Q15" s="18" t="s">
        <v>44</v>
      </c>
      <c r="R15" s="181">
        <v>1415</v>
      </c>
      <c r="S15" s="156">
        <v>0</v>
      </c>
      <c r="T15" s="155">
        <v>9052</v>
      </c>
      <c r="U15" s="177">
        <v>1</v>
      </c>
      <c r="V15" s="178">
        <v>41</v>
      </c>
      <c r="W15" s="155">
        <v>3.7109999999999999</v>
      </c>
      <c r="X15" s="176">
        <v>4.1051283265734199E-2</v>
      </c>
      <c r="Y15" s="176">
        <v>3.4258515664945702E-6</v>
      </c>
    </row>
    <row r="16" spans="1:25">
      <c r="A16" s="20">
        <v>158</v>
      </c>
      <c r="B16" s="20">
        <v>9936</v>
      </c>
      <c r="C16" s="20" t="s">
        <v>2299</v>
      </c>
      <c r="D16" s="20" t="s">
        <v>2300</v>
      </c>
      <c r="E16" s="18" t="s">
        <v>1343</v>
      </c>
      <c r="F16" s="20" t="s">
        <v>2301</v>
      </c>
      <c r="G16" s="20" t="s">
        <v>2302</v>
      </c>
      <c r="H16" s="18" t="s">
        <v>338</v>
      </c>
      <c r="I16" s="18" t="s">
        <v>30</v>
      </c>
      <c r="J16" s="18" t="s">
        <v>30</v>
      </c>
      <c r="K16" s="20" t="s">
        <v>344</v>
      </c>
      <c r="L16" s="18" t="s">
        <v>56</v>
      </c>
      <c r="M16" s="20" t="s">
        <v>2303</v>
      </c>
      <c r="N16" s="20" t="s">
        <v>456</v>
      </c>
      <c r="O16" s="20" t="s">
        <v>2304</v>
      </c>
      <c r="P16" s="20" t="s">
        <v>153</v>
      </c>
      <c r="Q16" s="18" t="s">
        <v>44</v>
      </c>
      <c r="R16" s="181">
        <v>8000</v>
      </c>
      <c r="S16" s="156">
        <v>0</v>
      </c>
      <c r="T16" s="155">
        <v>84</v>
      </c>
      <c r="U16" s="177">
        <v>1</v>
      </c>
      <c r="V16" s="178">
        <v>322.60000000000002</v>
      </c>
      <c r="W16" s="155">
        <v>0.27100000000000002</v>
      </c>
      <c r="X16" s="176">
        <v>0.21609672773553901</v>
      </c>
      <c r="Y16" s="176">
        <v>1.69504395005327E-5</v>
      </c>
    </row>
    <row r="17" spans="1:25">
      <c r="A17" s="20">
        <v>158</v>
      </c>
      <c r="B17" s="20">
        <v>9936</v>
      </c>
      <c r="C17" s="20" t="s">
        <v>2305</v>
      </c>
      <c r="D17" s="20" t="s">
        <v>2306</v>
      </c>
      <c r="E17" s="18" t="s">
        <v>1343</v>
      </c>
      <c r="F17" s="20" t="s">
        <v>2307</v>
      </c>
      <c r="G17" s="20" t="s">
        <v>2308</v>
      </c>
      <c r="H17" s="18" t="s">
        <v>338</v>
      </c>
      <c r="I17" s="18" t="s">
        <v>30</v>
      </c>
      <c r="J17" s="18" t="s">
        <v>30</v>
      </c>
      <c r="K17" s="20" t="s">
        <v>344</v>
      </c>
      <c r="L17" s="18" t="s">
        <v>56</v>
      </c>
      <c r="M17" s="20" t="s">
        <v>2309</v>
      </c>
      <c r="N17" s="20" t="s">
        <v>479</v>
      </c>
      <c r="O17" s="20" t="s">
        <v>2310</v>
      </c>
      <c r="P17" s="20" t="s">
        <v>153</v>
      </c>
      <c r="Q17" s="18" t="s">
        <v>44</v>
      </c>
      <c r="R17" s="181">
        <v>20</v>
      </c>
      <c r="S17" s="156">
        <v>0</v>
      </c>
      <c r="T17" s="155">
        <v>975</v>
      </c>
      <c r="U17" s="177">
        <v>1</v>
      </c>
      <c r="V17" s="178">
        <v>22</v>
      </c>
      <c r="W17" s="155">
        <v>0.214</v>
      </c>
      <c r="X17" s="176">
        <v>0.17105345001650701</v>
      </c>
      <c r="Y17" s="176">
        <v>1.34172839461528E-5</v>
      </c>
    </row>
    <row r="18" spans="1:25">
      <c r="A18" s="20">
        <v>158</v>
      </c>
      <c r="B18" s="20">
        <v>9936</v>
      </c>
      <c r="C18" s="20" t="s">
        <v>2311</v>
      </c>
      <c r="D18" s="20" t="s">
        <v>2312</v>
      </c>
      <c r="E18" s="18" t="s">
        <v>1343</v>
      </c>
      <c r="F18" s="20" t="s">
        <v>2313</v>
      </c>
      <c r="G18" s="20" t="s">
        <v>2314</v>
      </c>
      <c r="H18" s="18" t="s">
        <v>338</v>
      </c>
      <c r="I18" s="18" t="s">
        <v>30</v>
      </c>
      <c r="J18" s="18" t="s">
        <v>30</v>
      </c>
      <c r="K18" s="20" t="s">
        <v>344</v>
      </c>
      <c r="L18" s="18" t="s">
        <v>56</v>
      </c>
      <c r="M18" s="20" t="s">
        <v>2315</v>
      </c>
      <c r="N18" s="20" t="s">
        <v>486</v>
      </c>
      <c r="O18" s="20" t="s">
        <v>2316</v>
      </c>
      <c r="P18" s="20" t="s">
        <v>153</v>
      </c>
      <c r="Q18" s="18" t="s">
        <v>44</v>
      </c>
      <c r="R18" s="181">
        <v>4117.3940000000002</v>
      </c>
      <c r="S18" s="156">
        <v>1</v>
      </c>
      <c r="T18" s="155">
        <v>591.04999999999995</v>
      </c>
      <c r="U18" s="177">
        <v>1</v>
      </c>
      <c r="V18" s="178">
        <v>100</v>
      </c>
      <c r="W18" s="155">
        <v>0.59099999999999997</v>
      </c>
      <c r="X18" s="176">
        <v>0.47133399362357398</v>
      </c>
      <c r="Y18" s="176">
        <v>3.69710287942826E-5</v>
      </c>
    </row>
    <row r="19" spans="1:25">
      <c r="A19" s="20">
        <v>158</v>
      </c>
      <c r="B19" s="20">
        <v>9936</v>
      </c>
      <c r="C19" s="20" t="s">
        <v>2322</v>
      </c>
      <c r="D19" s="20" t="s">
        <v>2323</v>
      </c>
      <c r="E19" s="18" t="s">
        <v>1343</v>
      </c>
      <c r="F19" s="20" t="s">
        <v>2324</v>
      </c>
      <c r="G19" s="20" t="s">
        <v>2325</v>
      </c>
      <c r="H19" s="18" t="s">
        <v>338</v>
      </c>
      <c r="I19" s="18" t="s">
        <v>30</v>
      </c>
      <c r="J19" s="18" t="s">
        <v>30</v>
      </c>
      <c r="K19" s="20" t="s">
        <v>344</v>
      </c>
      <c r="L19" s="18" t="s">
        <v>56</v>
      </c>
      <c r="M19" s="20" t="s">
        <v>2326</v>
      </c>
      <c r="N19" s="20" t="s">
        <v>496</v>
      </c>
      <c r="O19" s="20" t="s">
        <v>2327</v>
      </c>
      <c r="P19" s="20" t="s">
        <v>153</v>
      </c>
      <c r="Q19" s="18" t="s">
        <v>44</v>
      </c>
      <c r="R19" s="181">
        <v>376.12200000000001</v>
      </c>
      <c r="S19" s="156">
        <v>0</v>
      </c>
      <c r="T19" s="155">
        <v>4200</v>
      </c>
      <c r="U19" s="177">
        <v>1</v>
      </c>
      <c r="V19" s="178">
        <v>2.8</v>
      </c>
      <c r="W19" s="155">
        <v>0.11799999999999999</v>
      </c>
      <c r="X19" s="176">
        <v>9.3780353016043205E-2</v>
      </c>
      <c r="Y19" s="176">
        <v>7.3560493802683904E-6</v>
      </c>
    </row>
    <row r="20" spans="1:25">
      <c r="A20" s="2">
        <v>158</v>
      </c>
      <c r="B20" s="2">
        <v>9936</v>
      </c>
      <c r="C20" s="2" t="s">
        <v>2334</v>
      </c>
      <c r="D20" s="2" t="s">
        <v>2335</v>
      </c>
      <c r="E20" s="18" t="s">
        <v>1343</v>
      </c>
      <c r="F20" s="2" t="s">
        <v>2336</v>
      </c>
      <c r="G20" s="2" t="s">
        <v>2337</v>
      </c>
      <c r="H20" s="18" t="s">
        <v>338</v>
      </c>
      <c r="I20" s="18" t="s">
        <v>106</v>
      </c>
      <c r="J20" s="18" t="s">
        <v>30</v>
      </c>
      <c r="K20" s="20" t="s">
        <v>344</v>
      </c>
      <c r="L20" s="18" t="s">
        <v>56</v>
      </c>
      <c r="M20" s="2" t="s">
        <v>2338</v>
      </c>
      <c r="N20" s="20" t="s">
        <v>496</v>
      </c>
      <c r="O20" s="2" t="s">
        <v>2339</v>
      </c>
      <c r="P20" s="20" t="s">
        <v>153</v>
      </c>
      <c r="Q20" s="2" t="s">
        <v>44</v>
      </c>
      <c r="R20" s="179">
        <v>1415</v>
      </c>
      <c r="S20" s="153">
        <v>0</v>
      </c>
      <c r="T20" s="153">
        <v>146</v>
      </c>
      <c r="U20" s="162">
        <v>1</v>
      </c>
      <c r="V20" s="179">
        <v>41</v>
      </c>
      <c r="W20" s="153">
        <v>0.06</v>
      </c>
      <c r="X20" s="168">
        <v>4.77354756083362E-2</v>
      </c>
      <c r="Y20" s="168">
        <v>3.7443292168611E-6</v>
      </c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168</v>
      </c>
      <c r="N1" s="19" t="s">
        <v>191</v>
      </c>
      <c r="O1" s="19" t="s">
        <v>1137</v>
      </c>
      <c r="P1" s="19" t="s">
        <v>139</v>
      </c>
      <c r="Q1" s="19" t="s">
        <v>11</v>
      </c>
      <c r="R1" s="19" t="s">
        <v>1138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I23" sqref="I23"/>
    </sheetView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6</v>
      </c>
      <c r="J1" s="19" t="s">
        <v>7</v>
      </c>
      <c r="K1" s="19" t="s">
        <v>8</v>
      </c>
      <c r="L1" s="19" t="s">
        <v>191</v>
      </c>
      <c r="M1" s="19" t="s">
        <v>139</v>
      </c>
      <c r="N1" s="19" t="s">
        <v>11</v>
      </c>
      <c r="O1" s="19" t="s">
        <v>17</v>
      </c>
      <c r="P1" s="161" t="s">
        <v>18</v>
      </c>
      <c r="Q1" s="172" t="s">
        <v>19</v>
      </c>
      <c r="R1" s="19" t="s">
        <v>20</v>
      </c>
      <c r="S1" s="167" t="s">
        <v>24</v>
      </c>
      <c r="T1" s="167" t="s">
        <v>25</v>
      </c>
    </row>
    <row r="2" spans="1:20">
      <c r="A2" s="20">
        <v>158</v>
      </c>
      <c r="B2" s="20">
        <v>1522</v>
      </c>
      <c r="C2" s="2" t="s">
        <v>2288</v>
      </c>
      <c r="D2" s="2" t="s">
        <v>2289</v>
      </c>
      <c r="E2" s="18" t="s">
        <v>43</v>
      </c>
      <c r="F2" s="20" t="s">
        <v>2290</v>
      </c>
      <c r="G2" s="20" t="s">
        <v>2291</v>
      </c>
      <c r="H2" s="18" t="s">
        <v>31</v>
      </c>
      <c r="I2" s="18" t="s">
        <v>106</v>
      </c>
      <c r="J2" s="18" t="s">
        <v>107</v>
      </c>
      <c r="K2" s="18" t="s">
        <v>2292</v>
      </c>
      <c r="L2" s="20" t="s">
        <v>31</v>
      </c>
      <c r="M2" s="20" t="s">
        <v>153</v>
      </c>
      <c r="N2" s="18" t="s">
        <v>34</v>
      </c>
      <c r="O2" s="155">
        <v>13</v>
      </c>
      <c r="P2" s="177">
        <v>3.71</v>
      </c>
      <c r="Q2" s="178">
        <v>5814.25</v>
      </c>
      <c r="R2" s="155">
        <v>27.684000000000001</v>
      </c>
      <c r="S2" s="176">
        <v>0.89142922779615896</v>
      </c>
      <c r="T2" s="176">
        <v>2.7151041548138899E-3</v>
      </c>
    </row>
    <row r="3" spans="1:20">
      <c r="A3" s="20">
        <v>158</v>
      </c>
      <c r="B3" s="20">
        <v>1522</v>
      </c>
      <c r="C3" s="2" t="s">
        <v>2288</v>
      </c>
      <c r="D3" s="2" t="s">
        <v>2289</v>
      </c>
      <c r="E3" s="18" t="s">
        <v>43</v>
      </c>
      <c r="F3" s="20" t="s">
        <v>2293</v>
      </c>
      <c r="G3" s="20" t="s">
        <v>2294</v>
      </c>
      <c r="H3" s="18" t="s">
        <v>31</v>
      </c>
      <c r="I3" s="18" t="s">
        <v>106</v>
      </c>
      <c r="J3" s="18" t="s">
        <v>107</v>
      </c>
      <c r="K3" s="18" t="s">
        <v>31</v>
      </c>
      <c r="L3" s="20" t="s">
        <v>31</v>
      </c>
      <c r="M3" s="20" t="s">
        <v>153</v>
      </c>
      <c r="N3" s="18" t="s">
        <v>1199</v>
      </c>
      <c r="O3" s="155">
        <v>4</v>
      </c>
      <c r="P3" s="177">
        <v>4.1524000000000001</v>
      </c>
      <c r="Q3" s="178">
        <v>525.9</v>
      </c>
      <c r="R3" s="155">
        <v>3.3719999999999999</v>
      </c>
      <c r="S3" s="176">
        <v>0.108570772203841</v>
      </c>
      <c r="T3" s="176">
        <v>3.3068351980198598E-4</v>
      </c>
    </row>
    <row r="4" spans="1:20">
      <c r="A4" s="20">
        <v>158</v>
      </c>
      <c r="B4" s="20">
        <v>9935</v>
      </c>
      <c r="C4" s="2" t="s">
        <v>2288</v>
      </c>
      <c r="D4" s="2" t="s">
        <v>2289</v>
      </c>
      <c r="E4" s="18" t="s">
        <v>43</v>
      </c>
      <c r="F4" s="20" t="s">
        <v>2295</v>
      </c>
      <c r="G4" s="20" t="s">
        <v>2296</v>
      </c>
      <c r="H4" s="18" t="s">
        <v>31</v>
      </c>
      <c r="I4" s="18" t="s">
        <v>106</v>
      </c>
      <c r="J4" s="18" t="s">
        <v>107</v>
      </c>
      <c r="K4" s="18" t="s">
        <v>2292</v>
      </c>
      <c r="L4" s="20" t="s">
        <v>31</v>
      </c>
      <c r="M4" s="20" t="s">
        <v>153</v>
      </c>
      <c r="N4" s="18" t="s">
        <v>34</v>
      </c>
      <c r="O4" s="155">
        <v>27</v>
      </c>
      <c r="P4" s="177">
        <v>3.71</v>
      </c>
      <c r="Q4" s="178">
        <v>5814.25</v>
      </c>
      <c r="R4" s="155">
        <v>575.47699999999998</v>
      </c>
      <c r="S4" s="176">
        <v>0.19804400977995101</v>
      </c>
      <c r="T4" s="176">
        <v>5.3121196309764197E-4</v>
      </c>
    </row>
    <row r="5" spans="1:20">
      <c r="A5" s="20">
        <v>158</v>
      </c>
      <c r="B5" s="20">
        <v>9935</v>
      </c>
      <c r="C5" s="2" t="s">
        <v>2288</v>
      </c>
      <c r="D5" s="2" t="s">
        <v>2289</v>
      </c>
      <c r="E5" s="18" t="s">
        <v>43</v>
      </c>
      <c r="F5" s="20" t="s">
        <v>2295</v>
      </c>
      <c r="G5" s="20" t="s">
        <v>2296</v>
      </c>
      <c r="H5" s="18" t="s">
        <v>31</v>
      </c>
      <c r="I5" s="18" t="s">
        <v>106</v>
      </c>
      <c r="J5" s="18" t="s">
        <v>107</v>
      </c>
      <c r="K5" s="18" t="s">
        <v>2292</v>
      </c>
      <c r="L5" s="20" t="s">
        <v>31</v>
      </c>
      <c r="M5" s="20" t="s">
        <v>153</v>
      </c>
      <c r="N5" s="18" t="s">
        <v>34</v>
      </c>
      <c r="O5" s="155">
        <v>99</v>
      </c>
      <c r="P5" s="177">
        <v>3.71</v>
      </c>
      <c r="Q5" s="178">
        <v>5814.25</v>
      </c>
      <c r="R5" s="155">
        <v>2110.0810000000001</v>
      </c>
      <c r="S5" s="176">
        <v>0.72616136919315399</v>
      </c>
      <c r="T5" s="176">
        <v>1.9477771980246901E-3</v>
      </c>
    </row>
    <row r="6" spans="1:20">
      <c r="A6" s="20">
        <v>158</v>
      </c>
      <c r="B6" s="20">
        <v>9935</v>
      </c>
      <c r="C6" s="2" t="s">
        <v>2288</v>
      </c>
      <c r="D6" s="2" t="s">
        <v>2289</v>
      </c>
      <c r="E6" s="18" t="s">
        <v>43</v>
      </c>
      <c r="F6" s="20" t="s">
        <v>2297</v>
      </c>
      <c r="G6" s="20" t="s">
        <v>2298</v>
      </c>
      <c r="H6" s="18" t="s">
        <v>31</v>
      </c>
      <c r="I6" s="18" t="s">
        <v>106</v>
      </c>
      <c r="J6" s="18" t="s">
        <v>107</v>
      </c>
      <c r="K6" s="18" t="s">
        <v>2292</v>
      </c>
      <c r="L6" s="20" t="s">
        <v>31</v>
      </c>
      <c r="M6" s="20" t="s">
        <v>153</v>
      </c>
      <c r="N6" s="18" t="s">
        <v>34</v>
      </c>
      <c r="O6" s="155">
        <v>5</v>
      </c>
      <c r="P6" s="177">
        <v>3.71</v>
      </c>
      <c r="Q6" s="178">
        <v>20261.25</v>
      </c>
      <c r="R6" s="155">
        <v>220.244</v>
      </c>
      <c r="S6" s="176">
        <v>7.5794621026895104E-2</v>
      </c>
      <c r="T6" s="176">
        <v>2.03303343901568E-4</v>
      </c>
    </row>
    <row r="7" spans="1:20">
      <c r="A7" s="20"/>
      <c r="B7" s="20"/>
      <c r="E7" s="18"/>
      <c r="F7" s="20"/>
      <c r="G7" s="20"/>
      <c r="H7" s="18"/>
      <c r="I7" s="18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</row>
    <row r="8" spans="1:20">
      <c r="A8" s="20"/>
      <c r="B8" s="20"/>
      <c r="E8" s="18"/>
      <c r="F8" s="20"/>
      <c r="G8" s="20"/>
      <c r="H8" s="18"/>
      <c r="I8" s="18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</row>
    <row r="9" spans="1:20">
      <c r="A9" s="20"/>
      <c r="B9" s="20"/>
      <c r="E9" s="18"/>
      <c r="F9" s="20"/>
      <c r="G9" s="20"/>
      <c r="H9" s="18"/>
      <c r="I9" s="18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</row>
    <row r="10" spans="1:20">
      <c r="A10" s="20"/>
      <c r="B10" s="20"/>
      <c r="E10" s="18"/>
      <c r="F10" s="20"/>
      <c r="G10" s="20"/>
      <c r="H10" s="18"/>
      <c r="I10" s="18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0"/>
      <c r="M20" s="20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topLeftCell="K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5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343</v>
      </c>
      <c r="M1" s="19" t="s">
        <v>8</v>
      </c>
      <c r="N1" s="19" t="s">
        <v>191</v>
      </c>
      <c r="O1" s="19" t="s">
        <v>139</v>
      </c>
      <c r="P1" s="19" t="s">
        <v>12</v>
      </c>
      <c r="Q1" s="163" t="s">
        <v>14</v>
      </c>
      <c r="R1" s="167" t="s">
        <v>15</v>
      </c>
      <c r="S1" s="19" t="s">
        <v>9</v>
      </c>
      <c r="T1" s="19" t="s">
        <v>10</v>
      </c>
      <c r="U1" s="19" t="s">
        <v>192</v>
      </c>
      <c r="V1" s="19" t="s">
        <v>11</v>
      </c>
      <c r="W1" s="19" t="s">
        <v>17</v>
      </c>
      <c r="X1" s="161" t="s">
        <v>18</v>
      </c>
      <c r="Y1" s="172" t="s">
        <v>19</v>
      </c>
      <c r="Z1" s="19" t="s">
        <v>20</v>
      </c>
      <c r="AA1" s="167" t="s">
        <v>24</v>
      </c>
      <c r="AB1" s="167" t="s">
        <v>25</v>
      </c>
    </row>
    <row r="2" spans="1:28">
      <c r="A2" s="20">
        <v>158</v>
      </c>
      <c r="B2" s="20">
        <v>9935</v>
      </c>
      <c r="C2" s="20" t="s">
        <v>2722</v>
      </c>
      <c r="D2" s="20" t="s">
        <v>2723</v>
      </c>
      <c r="E2" s="18" t="s">
        <v>1343</v>
      </c>
      <c r="F2" s="20" t="s">
        <v>2724</v>
      </c>
      <c r="G2" s="20" t="s">
        <v>2725</v>
      </c>
      <c r="H2" s="18" t="s">
        <v>338</v>
      </c>
      <c r="I2" s="20" t="s">
        <v>1013</v>
      </c>
      <c r="J2" s="18" t="s">
        <v>30</v>
      </c>
      <c r="K2" s="18" t="s">
        <v>30</v>
      </c>
      <c r="L2" s="20" t="s">
        <v>344</v>
      </c>
      <c r="M2" s="18" t="s">
        <v>56</v>
      </c>
      <c r="N2" s="20" t="s">
        <v>761</v>
      </c>
      <c r="O2" s="20" t="s">
        <v>153</v>
      </c>
      <c r="P2" s="155">
        <v>3.2690000000000001</v>
      </c>
      <c r="Q2" s="175">
        <v>5.0000000000000001E-4</v>
      </c>
      <c r="R2" s="176">
        <v>2.3390000000000001E-2</v>
      </c>
      <c r="S2" s="20" t="s">
        <v>109</v>
      </c>
      <c r="T2" s="20" t="s">
        <v>430</v>
      </c>
      <c r="U2" s="20" t="s">
        <v>423</v>
      </c>
      <c r="V2" s="18" t="s">
        <v>44</v>
      </c>
      <c r="W2" s="155">
        <v>859090.99</v>
      </c>
      <c r="X2" s="177">
        <v>1</v>
      </c>
      <c r="Y2" s="178">
        <v>106.4</v>
      </c>
      <c r="Z2" s="155">
        <v>914.07299999999998</v>
      </c>
      <c r="AA2" s="176">
        <v>1</v>
      </c>
      <c r="AB2" s="176">
        <v>8.4376388442372401E-4</v>
      </c>
    </row>
    <row r="3" spans="1:28">
      <c r="A3" s="20">
        <v>158</v>
      </c>
      <c r="B3" s="20">
        <v>9937</v>
      </c>
      <c r="C3" s="20" t="s">
        <v>2722</v>
      </c>
      <c r="D3" s="20" t="s">
        <v>2723</v>
      </c>
      <c r="E3" s="18" t="s">
        <v>1343</v>
      </c>
      <c r="F3" s="20" t="s">
        <v>2726</v>
      </c>
      <c r="G3" s="20" t="s">
        <v>2727</v>
      </c>
      <c r="H3" s="18" t="s">
        <v>338</v>
      </c>
      <c r="I3" s="20" t="s">
        <v>1013</v>
      </c>
      <c r="J3" s="18" t="s">
        <v>30</v>
      </c>
      <c r="K3" s="18" t="s">
        <v>30</v>
      </c>
      <c r="L3" s="20" t="s">
        <v>344</v>
      </c>
      <c r="M3" s="18" t="s">
        <v>56</v>
      </c>
      <c r="N3" s="20" t="s">
        <v>763</v>
      </c>
      <c r="O3" s="20" t="s">
        <v>153</v>
      </c>
      <c r="P3" s="155">
        <v>1.464</v>
      </c>
      <c r="Q3" s="175">
        <v>0.10807700000000001</v>
      </c>
      <c r="R3" s="176">
        <v>6.336E-2</v>
      </c>
      <c r="S3" s="20" t="s">
        <v>109</v>
      </c>
      <c r="T3" s="20" t="s">
        <v>430</v>
      </c>
      <c r="U3" s="20" t="s">
        <v>423</v>
      </c>
      <c r="V3" s="18" t="s">
        <v>44</v>
      </c>
      <c r="W3" s="155">
        <v>32000</v>
      </c>
      <c r="X3" s="177">
        <v>1</v>
      </c>
      <c r="Y3" s="178">
        <v>108</v>
      </c>
      <c r="Z3" s="155">
        <v>34.56</v>
      </c>
      <c r="AA3" s="176">
        <v>0.52061667459671102</v>
      </c>
      <c r="AB3" s="176">
        <v>1.1031740637905999E-3</v>
      </c>
    </row>
    <row r="4" spans="1:28">
      <c r="A4" s="20">
        <v>158</v>
      </c>
      <c r="B4" s="20">
        <v>9937</v>
      </c>
      <c r="C4" s="20" t="s">
        <v>2722</v>
      </c>
      <c r="D4" s="20" t="s">
        <v>2723</v>
      </c>
      <c r="E4" s="18" t="s">
        <v>1343</v>
      </c>
      <c r="F4" s="20" t="s">
        <v>2724</v>
      </c>
      <c r="G4" s="20" t="s">
        <v>2725</v>
      </c>
      <c r="H4" s="18" t="s">
        <v>338</v>
      </c>
      <c r="I4" s="20" t="s">
        <v>1013</v>
      </c>
      <c r="J4" s="18" t="s">
        <v>30</v>
      </c>
      <c r="K4" s="18" t="s">
        <v>30</v>
      </c>
      <c r="L4" s="20" t="s">
        <v>344</v>
      </c>
      <c r="M4" s="18" t="s">
        <v>56</v>
      </c>
      <c r="N4" s="20" t="s">
        <v>761</v>
      </c>
      <c r="O4" s="20" t="s">
        <v>153</v>
      </c>
      <c r="P4" s="155">
        <v>3.2690000000000001</v>
      </c>
      <c r="Q4" s="175">
        <v>5.0000000000000001E-4</v>
      </c>
      <c r="R4" s="176">
        <v>2.3390000000000001E-2</v>
      </c>
      <c r="S4" s="20" t="s">
        <v>109</v>
      </c>
      <c r="T4" s="20" t="s">
        <v>430</v>
      </c>
      <c r="U4" s="20" t="s">
        <v>423</v>
      </c>
      <c r="V4" s="18" t="s">
        <v>44</v>
      </c>
      <c r="W4" s="155">
        <v>29908.66</v>
      </c>
      <c r="X4" s="177">
        <v>1</v>
      </c>
      <c r="Y4" s="178">
        <v>106.4</v>
      </c>
      <c r="Z4" s="155">
        <v>31.823</v>
      </c>
      <c r="AA4" s="176">
        <v>0.47938332540328898</v>
      </c>
      <c r="AB4" s="176">
        <v>1.0158016003007501E-3</v>
      </c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0"/>
      <c r="O5" s="20"/>
      <c r="P5" s="20"/>
      <c r="Q5" s="148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0"/>
      <c r="O6" s="20"/>
      <c r="P6" s="20"/>
      <c r="Q6" s="148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0"/>
      <c r="O7" s="20"/>
      <c r="P7" s="20"/>
      <c r="Q7" s="148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0"/>
      <c r="O8" s="20"/>
      <c r="P8" s="20"/>
      <c r="Q8" s="148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8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8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8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8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8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8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8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8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8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8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8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4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167</v>
      </c>
      <c r="G1" s="19" t="s">
        <v>5</v>
      </c>
      <c r="H1" s="19" t="s">
        <v>6</v>
      </c>
      <c r="I1" s="19" t="s">
        <v>7</v>
      </c>
      <c r="J1" s="19" t="s">
        <v>176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3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8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8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8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7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8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8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8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8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8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8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8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8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8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8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8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8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8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8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5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176</v>
      </c>
      <c r="G1" s="19" t="s">
        <v>12</v>
      </c>
      <c r="H1" s="19" t="s">
        <v>770</v>
      </c>
      <c r="I1" s="19" t="s">
        <v>13</v>
      </c>
      <c r="J1" s="143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8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8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8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8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8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8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8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8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8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8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8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8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8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8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8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8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8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8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19" t="s">
        <v>1141</v>
      </c>
      <c r="B1" s="19" t="s">
        <v>1</v>
      </c>
      <c r="C1" s="19" t="s">
        <v>5</v>
      </c>
      <c r="D1" s="19" t="s">
        <v>1142</v>
      </c>
      <c r="E1" s="19" t="s">
        <v>1143</v>
      </c>
      <c r="F1" s="19" t="s">
        <v>1144</v>
      </c>
      <c r="G1" s="19" t="s">
        <v>25</v>
      </c>
      <c r="H1" s="11"/>
    </row>
    <row r="2" spans="1:8">
      <c r="A2" s="20"/>
      <c r="B2" s="20"/>
      <c r="C2" s="20"/>
      <c r="D2" s="125"/>
      <c r="G2" s="27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168</v>
      </c>
      <c r="M1" s="19" t="s">
        <v>139</v>
      </c>
      <c r="N1" s="19" t="s">
        <v>176</v>
      </c>
      <c r="O1" s="19" t="s">
        <v>9</v>
      </c>
      <c r="P1" s="19" t="s">
        <v>10</v>
      </c>
      <c r="Q1" s="19" t="s">
        <v>192</v>
      </c>
      <c r="R1" s="19" t="s">
        <v>11</v>
      </c>
      <c r="S1" s="19" t="s">
        <v>12</v>
      </c>
      <c r="T1" s="19" t="s">
        <v>770</v>
      </c>
      <c r="U1" s="19" t="s">
        <v>927</v>
      </c>
      <c r="V1" s="19" t="s">
        <v>13</v>
      </c>
      <c r="W1" s="19" t="s">
        <v>14</v>
      </c>
      <c r="X1" s="19" t="s">
        <v>15</v>
      </c>
      <c r="Y1" s="19" t="s">
        <v>427</v>
      </c>
      <c r="Z1" s="19" t="s">
        <v>848</v>
      </c>
      <c r="AA1" s="19" t="s">
        <v>169</v>
      </c>
      <c r="AB1" s="19" t="s">
        <v>170</v>
      </c>
      <c r="AC1" s="19" t="s">
        <v>182</v>
      </c>
      <c r="AD1" s="19" t="s">
        <v>148</v>
      </c>
      <c r="AE1" s="19" t="s">
        <v>171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184</v>
      </c>
      <c r="AL1" s="19" t="s">
        <v>22</v>
      </c>
      <c r="AM1" s="19" t="s">
        <v>24</v>
      </c>
      <c r="AN1" s="19" t="s">
        <v>25</v>
      </c>
    </row>
    <row r="2" spans="1:40">
      <c r="A2" s="27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0"/>
      <c r="AA2" s="20"/>
      <c r="AB2" s="20"/>
      <c r="AC2" s="20"/>
      <c r="AD2" s="20"/>
      <c r="AE2" s="20"/>
      <c r="AF2" s="20"/>
      <c r="AG2" s="20"/>
      <c r="AH2" s="20"/>
      <c r="AI2" s="20"/>
      <c r="AK2" s="27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F3" s="20"/>
      <c r="AG3" s="20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0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0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5"/>
  <sheetViews>
    <sheetView rightToLeft="1" topLeftCell="U1" zoomScale="70" zoomScaleNormal="70" workbookViewId="0">
      <selection activeCell="I14" sqref="I1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343</v>
      </c>
      <c r="M1" s="19" t="s">
        <v>168</v>
      </c>
      <c r="N1" s="19" t="s">
        <v>139</v>
      </c>
      <c r="O1" s="19" t="s">
        <v>176</v>
      </c>
      <c r="P1" s="19" t="s">
        <v>9</v>
      </c>
      <c r="Q1" s="19" t="s">
        <v>10</v>
      </c>
      <c r="R1" s="19" t="s">
        <v>192</v>
      </c>
      <c r="S1" s="19" t="s">
        <v>11</v>
      </c>
      <c r="T1" s="19" t="s">
        <v>12</v>
      </c>
      <c r="U1" s="19" t="s">
        <v>13</v>
      </c>
      <c r="V1" s="167" t="s">
        <v>15</v>
      </c>
      <c r="W1" s="167" t="s">
        <v>14</v>
      </c>
      <c r="X1" s="19" t="s">
        <v>427</v>
      </c>
      <c r="Y1" s="19" t="s">
        <v>848</v>
      </c>
      <c r="Z1" s="19" t="s">
        <v>169</v>
      </c>
      <c r="AA1" s="19" t="s">
        <v>170</v>
      </c>
      <c r="AB1" s="19" t="s">
        <v>148</v>
      </c>
      <c r="AC1" s="19" t="s">
        <v>171</v>
      </c>
      <c r="AD1" s="19" t="s">
        <v>17</v>
      </c>
      <c r="AE1" s="161" t="s">
        <v>18</v>
      </c>
      <c r="AF1" s="172" t="s">
        <v>19</v>
      </c>
      <c r="AG1" s="19" t="s">
        <v>20</v>
      </c>
      <c r="AH1" s="19" t="s">
        <v>21</v>
      </c>
      <c r="AI1" s="19" t="s">
        <v>184</v>
      </c>
      <c r="AJ1" s="19" t="s">
        <v>22</v>
      </c>
      <c r="AK1" s="167" t="s">
        <v>24</v>
      </c>
      <c r="AL1" s="167" t="s">
        <v>25</v>
      </c>
    </row>
    <row r="2" spans="1:38">
      <c r="A2" s="2">
        <v>158</v>
      </c>
      <c r="B2" s="20">
        <v>1522</v>
      </c>
      <c r="C2" s="20" t="s">
        <v>2617</v>
      </c>
      <c r="D2" s="20" t="s">
        <v>2618</v>
      </c>
      <c r="E2" s="18" t="s">
        <v>1343</v>
      </c>
      <c r="F2" s="20" t="s">
        <v>2619</v>
      </c>
      <c r="G2" s="20" t="s">
        <v>2620</v>
      </c>
      <c r="H2" s="20" t="s">
        <v>338</v>
      </c>
      <c r="I2" s="20" t="s">
        <v>985</v>
      </c>
      <c r="J2" s="18" t="s">
        <v>30</v>
      </c>
      <c r="K2" s="18" t="s">
        <v>30</v>
      </c>
      <c r="L2" s="20" t="s">
        <v>31</v>
      </c>
      <c r="M2" s="20" t="s">
        <v>466</v>
      </c>
      <c r="N2" s="20" t="s">
        <v>153</v>
      </c>
      <c r="O2" s="20" t="s">
        <v>2621</v>
      </c>
      <c r="P2" s="20" t="s">
        <v>32</v>
      </c>
      <c r="Q2" s="20" t="s">
        <v>430</v>
      </c>
      <c r="R2" s="20" t="s">
        <v>423</v>
      </c>
      <c r="S2" s="18" t="s">
        <v>44</v>
      </c>
      <c r="T2" s="155">
        <v>2.14</v>
      </c>
      <c r="U2" s="20" t="s">
        <v>2167</v>
      </c>
      <c r="V2" s="176">
        <v>2.8670000000000001E-2</v>
      </c>
      <c r="W2" s="168">
        <v>2.86E-2</v>
      </c>
      <c r="X2" s="18" t="s">
        <v>429</v>
      </c>
      <c r="Y2" s="18" t="s">
        <v>153</v>
      </c>
      <c r="Z2" s="20" t="s">
        <v>911</v>
      </c>
      <c r="AA2" s="20"/>
      <c r="AB2" s="2" t="s">
        <v>155</v>
      </c>
      <c r="AC2" s="20"/>
      <c r="AD2" s="155">
        <v>8571.43</v>
      </c>
      <c r="AE2" s="177">
        <v>1</v>
      </c>
      <c r="AF2" s="178">
        <v>95.51</v>
      </c>
      <c r="AG2" s="155">
        <v>8.1869999999999994</v>
      </c>
      <c r="AH2" s="20"/>
      <c r="AI2" s="27"/>
      <c r="AJ2" s="20" t="s">
        <v>36</v>
      </c>
      <c r="AK2" s="168">
        <v>0.29513662681712999</v>
      </c>
      <c r="AL2" s="168">
        <v>8.0289632083637395E-4</v>
      </c>
    </row>
    <row r="3" spans="1:38">
      <c r="A3" s="20">
        <v>158</v>
      </c>
      <c r="B3" s="20">
        <v>1522</v>
      </c>
      <c r="C3" s="20" t="s">
        <v>2622</v>
      </c>
      <c r="D3" s="20" t="s">
        <v>2623</v>
      </c>
      <c r="E3" s="18" t="s">
        <v>1343</v>
      </c>
      <c r="F3" s="20" t="s">
        <v>2624</v>
      </c>
      <c r="G3" s="20" t="s">
        <v>2625</v>
      </c>
      <c r="H3" s="20" t="s">
        <v>338</v>
      </c>
      <c r="I3" s="20" t="s">
        <v>985</v>
      </c>
      <c r="J3" s="18" t="s">
        <v>30</v>
      </c>
      <c r="K3" s="18" t="s">
        <v>30</v>
      </c>
      <c r="L3" s="20" t="s">
        <v>31</v>
      </c>
      <c r="M3" s="20" t="s">
        <v>461</v>
      </c>
      <c r="N3" s="20" t="s">
        <v>153</v>
      </c>
      <c r="O3" s="20" t="s">
        <v>2626</v>
      </c>
      <c r="P3" s="20" t="s">
        <v>109</v>
      </c>
      <c r="Q3" s="20" t="s">
        <v>430</v>
      </c>
      <c r="R3" s="20" t="s">
        <v>423</v>
      </c>
      <c r="S3" s="18" t="s">
        <v>44</v>
      </c>
      <c r="T3" s="155">
        <v>0.94</v>
      </c>
      <c r="U3" s="20" t="s">
        <v>2627</v>
      </c>
      <c r="V3" s="176">
        <v>5.1029999999999999E-2</v>
      </c>
      <c r="W3" s="168">
        <v>2.5000000000000001E-2</v>
      </c>
      <c r="X3" s="18" t="s">
        <v>429</v>
      </c>
      <c r="Y3" s="18" t="s">
        <v>357</v>
      </c>
      <c r="Z3" s="20" t="s">
        <v>911</v>
      </c>
      <c r="AA3" s="20" t="s">
        <v>2628</v>
      </c>
      <c r="AB3" s="2" t="s">
        <v>155</v>
      </c>
      <c r="AC3" s="20"/>
      <c r="AD3" s="155">
        <v>19987.400000000001</v>
      </c>
      <c r="AE3" s="177">
        <v>1</v>
      </c>
      <c r="AF3" s="178">
        <v>97.82</v>
      </c>
      <c r="AG3" s="155">
        <v>19.552</v>
      </c>
      <c r="AH3" s="20"/>
      <c r="AI3" s="20"/>
      <c r="AJ3" s="20" t="s">
        <v>36</v>
      </c>
      <c r="AK3" s="168">
        <v>0.70486337318286996</v>
      </c>
      <c r="AL3" s="168">
        <v>1.9175261814302E-3</v>
      </c>
    </row>
    <row r="4" spans="1:38">
      <c r="A4" s="20">
        <v>158</v>
      </c>
      <c r="B4" s="20">
        <v>9935</v>
      </c>
      <c r="C4" s="20" t="s">
        <v>2629</v>
      </c>
      <c r="D4" s="20" t="s">
        <v>2630</v>
      </c>
      <c r="E4" s="18" t="s">
        <v>1343</v>
      </c>
      <c r="F4" s="20" t="s">
        <v>2631</v>
      </c>
      <c r="G4" s="20" t="s">
        <v>2632</v>
      </c>
      <c r="H4" s="20" t="s">
        <v>338</v>
      </c>
      <c r="I4" s="20" t="s">
        <v>772</v>
      </c>
      <c r="J4" s="18" t="s">
        <v>30</v>
      </c>
      <c r="K4" s="18" t="s">
        <v>30</v>
      </c>
      <c r="L4" s="20" t="s">
        <v>31</v>
      </c>
      <c r="M4" s="20" t="s">
        <v>31</v>
      </c>
      <c r="N4" s="20" t="s">
        <v>153</v>
      </c>
      <c r="O4" s="2" t="s">
        <v>164</v>
      </c>
      <c r="P4" s="20" t="s">
        <v>2633</v>
      </c>
      <c r="Q4" s="20" t="s">
        <v>110</v>
      </c>
      <c r="R4" s="20" t="s">
        <v>423</v>
      </c>
      <c r="S4" s="20" t="s">
        <v>44</v>
      </c>
      <c r="T4" s="155">
        <v>0.01</v>
      </c>
      <c r="U4" s="20" t="s">
        <v>2634</v>
      </c>
      <c r="V4" s="176">
        <v>1E-4</v>
      </c>
      <c r="W4" s="168">
        <v>9.9000000000000005E-2</v>
      </c>
      <c r="X4" s="18" t="s">
        <v>429</v>
      </c>
      <c r="Y4" s="18" t="s">
        <v>153</v>
      </c>
      <c r="Z4" s="20" t="s">
        <v>31</v>
      </c>
      <c r="AA4" s="20"/>
      <c r="AB4" s="2" t="s">
        <v>155</v>
      </c>
      <c r="AD4" s="153">
        <v>875000.04</v>
      </c>
      <c r="AE4" s="177">
        <v>1</v>
      </c>
      <c r="AF4" s="178">
        <v>0</v>
      </c>
      <c r="AG4" s="155">
        <v>1E-3</v>
      </c>
      <c r="AH4" s="20"/>
      <c r="AI4" s="20"/>
      <c r="AJ4" s="20" t="s">
        <v>36</v>
      </c>
      <c r="AK4" s="168">
        <v>8.4105264161413393E-8</v>
      </c>
      <c r="AL4" s="168">
        <v>8.0769652245476302E-10</v>
      </c>
    </row>
    <row r="5" spans="1:38">
      <c r="A5" s="20">
        <v>158</v>
      </c>
      <c r="B5" s="20">
        <v>9935</v>
      </c>
      <c r="C5" s="20" t="s">
        <v>1649</v>
      </c>
      <c r="D5" s="20" t="s">
        <v>1650</v>
      </c>
      <c r="E5" s="18" t="s">
        <v>330</v>
      </c>
      <c r="F5" s="20" t="s">
        <v>2635</v>
      </c>
      <c r="G5" s="20" t="s">
        <v>2636</v>
      </c>
      <c r="H5" s="20" t="s">
        <v>338</v>
      </c>
      <c r="I5" s="20" t="s">
        <v>985</v>
      </c>
      <c r="J5" s="18" t="s">
        <v>30</v>
      </c>
      <c r="K5" s="18" t="s">
        <v>107</v>
      </c>
      <c r="L5" s="20" t="s">
        <v>31</v>
      </c>
      <c r="M5" s="20" t="s">
        <v>456</v>
      </c>
      <c r="N5" s="20" t="s">
        <v>153</v>
      </c>
      <c r="O5" s="20" t="s">
        <v>2637</v>
      </c>
      <c r="P5" s="20" t="s">
        <v>1724</v>
      </c>
      <c r="Q5" s="20" t="s">
        <v>430</v>
      </c>
      <c r="R5" s="20" t="s">
        <v>423</v>
      </c>
      <c r="S5" s="18" t="s">
        <v>44</v>
      </c>
      <c r="T5" s="155">
        <v>3.33</v>
      </c>
      <c r="U5" s="20" t="s">
        <v>2638</v>
      </c>
      <c r="V5" s="176">
        <v>5.9950000000000003E-2</v>
      </c>
      <c r="W5" s="168">
        <v>3.3500000000000002E-2</v>
      </c>
      <c r="X5" s="18" t="s">
        <v>429</v>
      </c>
      <c r="Y5" s="18" t="s">
        <v>153</v>
      </c>
      <c r="Z5" s="20" t="s">
        <v>911</v>
      </c>
      <c r="AA5" s="20" t="s">
        <v>2628</v>
      </c>
      <c r="AB5" s="2" t="s">
        <v>155</v>
      </c>
      <c r="AC5" s="20"/>
      <c r="AD5" s="155">
        <v>946829.1</v>
      </c>
      <c r="AE5" s="177">
        <v>1</v>
      </c>
      <c r="AF5" s="178">
        <v>91.84</v>
      </c>
      <c r="AG5" s="153">
        <v>869.56799999999998</v>
      </c>
      <c r="AJ5" s="20" t="s">
        <v>36</v>
      </c>
      <c r="AK5" s="168">
        <v>8.3583120004202899E-2</v>
      </c>
      <c r="AL5" s="168">
        <v>8.0268216307780905E-4</v>
      </c>
    </row>
    <row r="6" spans="1:38">
      <c r="A6" s="20">
        <v>158</v>
      </c>
      <c r="B6" s="20">
        <v>9935</v>
      </c>
      <c r="C6" s="20" t="s">
        <v>2639</v>
      </c>
      <c r="D6" s="20" t="s">
        <v>2640</v>
      </c>
      <c r="E6" s="18" t="s">
        <v>1343</v>
      </c>
      <c r="F6" s="20" t="s">
        <v>2641</v>
      </c>
      <c r="G6" s="20" t="s">
        <v>2642</v>
      </c>
      <c r="H6" s="20" t="s">
        <v>43</v>
      </c>
      <c r="I6" s="20" t="s">
        <v>772</v>
      </c>
      <c r="J6" s="18" t="s">
        <v>30</v>
      </c>
      <c r="K6" s="18" t="s">
        <v>30</v>
      </c>
      <c r="L6" s="20" t="s">
        <v>31</v>
      </c>
      <c r="M6" s="20" t="s">
        <v>466</v>
      </c>
      <c r="N6" s="20" t="s">
        <v>153</v>
      </c>
      <c r="O6" s="20" t="s">
        <v>2643</v>
      </c>
      <c r="P6" s="20" t="s">
        <v>1900</v>
      </c>
      <c r="Q6" s="20" t="s">
        <v>426</v>
      </c>
      <c r="R6" s="20" t="s">
        <v>426</v>
      </c>
      <c r="S6" s="18" t="s">
        <v>44</v>
      </c>
      <c r="T6" s="155">
        <v>0.01</v>
      </c>
      <c r="U6" s="20"/>
      <c r="V6" s="176">
        <v>1E-4</v>
      </c>
      <c r="W6" s="168">
        <v>0</v>
      </c>
      <c r="X6" s="18" t="s">
        <v>429</v>
      </c>
      <c r="Y6" s="18" t="s">
        <v>153</v>
      </c>
      <c r="Z6" s="20" t="s">
        <v>31</v>
      </c>
      <c r="AA6" s="20"/>
      <c r="AB6" s="2" t="s">
        <v>155</v>
      </c>
      <c r="AC6" s="20"/>
      <c r="AD6" s="155">
        <v>75000.160000000003</v>
      </c>
      <c r="AE6" s="177">
        <v>1</v>
      </c>
      <c r="AF6" s="178">
        <v>0</v>
      </c>
      <c r="AG6" s="153">
        <v>0</v>
      </c>
      <c r="AJ6" s="20" t="s">
        <v>36</v>
      </c>
      <c r="AK6" s="168">
        <v>7.2090376920991602E-9</v>
      </c>
      <c r="AL6" s="168">
        <v>6.9231275024342693E-11</v>
      </c>
    </row>
    <row r="7" spans="1:38">
      <c r="A7" s="20">
        <v>158</v>
      </c>
      <c r="B7" s="20">
        <v>9935</v>
      </c>
      <c r="C7" s="20" t="s">
        <v>2644</v>
      </c>
      <c r="D7" s="20" t="s">
        <v>2645</v>
      </c>
      <c r="E7" s="18" t="s">
        <v>1343</v>
      </c>
      <c r="F7" s="20" t="s">
        <v>2646</v>
      </c>
      <c r="G7" s="20" t="s">
        <v>2647</v>
      </c>
      <c r="H7" s="20" t="s">
        <v>338</v>
      </c>
      <c r="I7" s="20" t="s">
        <v>772</v>
      </c>
      <c r="J7" s="18" t="s">
        <v>30</v>
      </c>
      <c r="K7" s="18" t="s">
        <v>30</v>
      </c>
      <c r="L7" s="20" t="s">
        <v>31</v>
      </c>
      <c r="M7" s="20" t="s">
        <v>469</v>
      </c>
      <c r="N7" s="20" t="s">
        <v>153</v>
      </c>
      <c r="O7" s="20" t="s">
        <v>2648</v>
      </c>
      <c r="P7" s="20" t="s">
        <v>2649</v>
      </c>
      <c r="Q7" s="20" t="s">
        <v>430</v>
      </c>
      <c r="R7" s="20" t="s">
        <v>423</v>
      </c>
      <c r="S7" s="18" t="s">
        <v>44</v>
      </c>
      <c r="T7" s="155">
        <v>0.25</v>
      </c>
      <c r="U7" s="20" t="s">
        <v>2650</v>
      </c>
      <c r="V7" s="176">
        <v>6.2E-4</v>
      </c>
      <c r="W7" s="168">
        <v>5.3499999999999999E-2</v>
      </c>
      <c r="X7" s="18" t="s">
        <v>429</v>
      </c>
      <c r="Y7" s="18" t="s">
        <v>153</v>
      </c>
      <c r="Z7" s="20" t="s">
        <v>31</v>
      </c>
      <c r="AA7" s="20"/>
      <c r="AB7" s="2" t="s">
        <v>155</v>
      </c>
      <c r="AC7" s="20"/>
      <c r="AD7" s="155">
        <v>1184072.32</v>
      </c>
      <c r="AE7" s="177">
        <v>1</v>
      </c>
      <c r="AF7" s="178">
        <v>83.11</v>
      </c>
      <c r="AG7" s="155">
        <v>984.08299999999997</v>
      </c>
      <c r="AH7" s="20"/>
      <c r="AI7" s="20"/>
      <c r="AJ7" s="20" t="s">
        <v>36</v>
      </c>
      <c r="AK7" s="168">
        <v>9.4590303164368297E-2</v>
      </c>
      <c r="AL7" s="168">
        <v>9.0838854958205705E-4</v>
      </c>
    </row>
    <row r="8" spans="1:38">
      <c r="A8" s="20">
        <v>158</v>
      </c>
      <c r="B8" s="20">
        <v>9935</v>
      </c>
      <c r="C8" s="20" t="s">
        <v>2644</v>
      </c>
      <c r="D8" s="20" t="s">
        <v>2645</v>
      </c>
      <c r="E8" s="18" t="s">
        <v>1343</v>
      </c>
      <c r="F8" s="20" t="s">
        <v>2651</v>
      </c>
      <c r="G8" s="20" t="s">
        <v>2647</v>
      </c>
      <c r="H8" s="20" t="s">
        <v>338</v>
      </c>
      <c r="I8" s="20" t="s">
        <v>772</v>
      </c>
      <c r="J8" s="18" t="s">
        <v>30</v>
      </c>
      <c r="K8" s="18" t="s">
        <v>30</v>
      </c>
      <c r="L8" s="20" t="s">
        <v>31</v>
      </c>
      <c r="M8" s="20" t="s">
        <v>469</v>
      </c>
      <c r="N8" s="20" t="s">
        <v>153</v>
      </c>
      <c r="O8" s="20" t="s">
        <v>2652</v>
      </c>
      <c r="P8" s="20" t="s">
        <v>2649</v>
      </c>
      <c r="Q8" s="20" t="s">
        <v>430</v>
      </c>
      <c r="R8" s="20" t="s">
        <v>423</v>
      </c>
      <c r="S8" s="18" t="s">
        <v>44</v>
      </c>
      <c r="T8" s="155">
        <v>0</v>
      </c>
      <c r="U8" s="20" t="s">
        <v>2650</v>
      </c>
      <c r="V8" s="176">
        <v>0</v>
      </c>
      <c r="W8" s="168">
        <v>5.3499999999999999E-2</v>
      </c>
      <c r="X8" s="18" t="s">
        <v>429</v>
      </c>
      <c r="Y8" s="18" t="s">
        <v>153</v>
      </c>
      <c r="Z8" s="20" t="s">
        <v>31</v>
      </c>
      <c r="AA8" s="20"/>
      <c r="AB8" s="2" t="s">
        <v>155</v>
      </c>
      <c r="AC8" s="20"/>
      <c r="AD8" s="155">
        <v>-1184072.32</v>
      </c>
      <c r="AE8" s="177">
        <v>1</v>
      </c>
      <c r="AF8" s="178">
        <v>83.11</v>
      </c>
      <c r="AG8" s="155">
        <v>-984.08299999999997</v>
      </c>
      <c r="AH8" s="20"/>
      <c r="AI8" s="20"/>
      <c r="AJ8" s="20" t="s">
        <v>36</v>
      </c>
      <c r="AK8" s="168">
        <v>-9.4590303164368297E-2</v>
      </c>
      <c r="AL8" s="168">
        <v>-9.0838854958205705E-4</v>
      </c>
    </row>
    <row r="9" spans="1:38">
      <c r="A9" s="20">
        <v>158</v>
      </c>
      <c r="B9" s="20">
        <v>9935</v>
      </c>
      <c r="C9" s="20" t="s">
        <v>2644</v>
      </c>
      <c r="D9" s="20" t="s">
        <v>2645</v>
      </c>
      <c r="E9" s="18" t="s">
        <v>1343</v>
      </c>
      <c r="F9" s="20" t="s">
        <v>2653</v>
      </c>
      <c r="G9" s="20" t="s">
        <v>2647</v>
      </c>
      <c r="H9" s="20" t="s">
        <v>338</v>
      </c>
      <c r="I9" s="20" t="s">
        <v>772</v>
      </c>
      <c r="J9" s="18" t="s">
        <v>30</v>
      </c>
      <c r="K9" s="18" t="s">
        <v>30</v>
      </c>
      <c r="L9" s="20" t="s">
        <v>31</v>
      </c>
      <c r="M9" s="20" t="s">
        <v>469</v>
      </c>
      <c r="N9" s="20" t="s">
        <v>153</v>
      </c>
      <c r="O9" s="20" t="s">
        <v>2652</v>
      </c>
      <c r="P9" s="20" t="s">
        <v>2649</v>
      </c>
      <c r="Q9" s="20" t="s">
        <v>430</v>
      </c>
      <c r="R9" s="20" t="s">
        <v>423</v>
      </c>
      <c r="S9" s="18" t="s">
        <v>44</v>
      </c>
      <c r="T9" s="155">
        <v>0</v>
      </c>
      <c r="U9" s="20" t="s">
        <v>2650</v>
      </c>
      <c r="V9" s="176">
        <v>0</v>
      </c>
      <c r="W9" s="168">
        <v>5.3499999999999999E-2</v>
      </c>
      <c r="X9" s="18" t="s">
        <v>429</v>
      </c>
      <c r="Y9" s="18" t="s">
        <v>153</v>
      </c>
      <c r="Z9" s="20" t="s">
        <v>31</v>
      </c>
      <c r="AA9" s="20"/>
      <c r="AB9" s="2" t="s">
        <v>155</v>
      </c>
      <c r="AC9" s="20"/>
      <c r="AD9" s="155">
        <v>1184072.32</v>
      </c>
      <c r="AE9" s="177">
        <v>1</v>
      </c>
      <c r="AF9" s="178">
        <v>15.31</v>
      </c>
      <c r="AG9" s="155">
        <v>181.28100000000001</v>
      </c>
      <c r="AH9" s="20"/>
      <c r="AI9" s="20"/>
      <c r="AJ9" s="20" t="s">
        <v>36</v>
      </c>
      <c r="AK9" s="168">
        <v>1.7424829039182799E-2</v>
      </c>
      <c r="AL9" s="168">
        <v>1.6733760912166201E-4</v>
      </c>
    </row>
    <row r="10" spans="1:38">
      <c r="A10" s="20">
        <v>158</v>
      </c>
      <c r="B10" s="20">
        <v>9935</v>
      </c>
      <c r="C10" s="20" t="s">
        <v>2654</v>
      </c>
      <c r="D10" s="20" t="s">
        <v>2655</v>
      </c>
      <c r="E10" s="18" t="s">
        <v>1343</v>
      </c>
      <c r="F10" s="20" t="s">
        <v>2656</v>
      </c>
      <c r="G10" s="20" t="s">
        <v>2657</v>
      </c>
      <c r="H10" s="20" t="s">
        <v>338</v>
      </c>
      <c r="I10" s="20" t="s">
        <v>985</v>
      </c>
      <c r="J10" s="18" t="s">
        <v>30</v>
      </c>
      <c r="K10" s="18" t="s">
        <v>30</v>
      </c>
      <c r="L10" s="20" t="s">
        <v>31</v>
      </c>
      <c r="M10" s="20" t="s">
        <v>460</v>
      </c>
      <c r="N10" s="20" t="s">
        <v>153</v>
      </c>
      <c r="O10" s="20" t="s">
        <v>2658</v>
      </c>
      <c r="P10" s="20" t="s">
        <v>1746</v>
      </c>
      <c r="Q10" s="20" t="s">
        <v>110</v>
      </c>
      <c r="R10" s="20" t="s">
        <v>423</v>
      </c>
      <c r="S10" s="18" t="s">
        <v>44</v>
      </c>
      <c r="T10" s="155">
        <v>0.96</v>
      </c>
      <c r="U10" s="20" t="s">
        <v>2659</v>
      </c>
      <c r="V10" s="176">
        <v>7.5609999999999997E-2</v>
      </c>
      <c r="W10" s="168">
        <v>3.8399999999999997E-2</v>
      </c>
      <c r="X10" s="18" t="s">
        <v>429</v>
      </c>
      <c r="Y10" s="18" t="s">
        <v>153</v>
      </c>
      <c r="Z10" s="20" t="s">
        <v>911</v>
      </c>
      <c r="AA10" s="20" t="s">
        <v>2628</v>
      </c>
      <c r="AB10" s="2" t="s">
        <v>155</v>
      </c>
      <c r="AC10" s="20"/>
      <c r="AD10" s="155">
        <v>580337.07999999996</v>
      </c>
      <c r="AE10" s="177">
        <v>1</v>
      </c>
      <c r="AF10" s="178">
        <v>98.47</v>
      </c>
      <c r="AG10" s="155">
        <v>571.45799999999997</v>
      </c>
      <c r="AH10" s="20"/>
      <c r="AI10" s="20"/>
      <c r="AJ10" s="20" t="s">
        <v>36</v>
      </c>
      <c r="AK10" s="168">
        <v>5.4928705539027803E-2</v>
      </c>
      <c r="AL10" s="168">
        <v>5.2750234945661003E-4</v>
      </c>
    </row>
    <row r="11" spans="1:38">
      <c r="A11" s="20">
        <v>158</v>
      </c>
      <c r="B11" s="20">
        <v>9935</v>
      </c>
      <c r="C11" s="20" t="s">
        <v>2660</v>
      </c>
      <c r="D11" s="20" t="s">
        <v>2661</v>
      </c>
      <c r="E11" s="18" t="s">
        <v>1343</v>
      </c>
      <c r="F11" s="20" t="s">
        <v>2662</v>
      </c>
      <c r="G11" s="20" t="s">
        <v>2663</v>
      </c>
      <c r="H11" s="20" t="s">
        <v>338</v>
      </c>
      <c r="I11" s="20" t="s">
        <v>985</v>
      </c>
      <c r="J11" s="18" t="s">
        <v>30</v>
      </c>
      <c r="K11" s="18" t="s">
        <v>30</v>
      </c>
      <c r="L11" s="20" t="s">
        <v>31</v>
      </c>
      <c r="M11" s="20" t="s">
        <v>466</v>
      </c>
      <c r="N11" s="20" t="s">
        <v>153</v>
      </c>
      <c r="O11" s="20" t="s">
        <v>2664</v>
      </c>
      <c r="P11" s="20" t="s">
        <v>98</v>
      </c>
      <c r="Q11" s="20" t="s">
        <v>448</v>
      </c>
      <c r="R11" s="20" t="s">
        <v>423</v>
      </c>
      <c r="S11" s="18" t="s">
        <v>44</v>
      </c>
      <c r="T11" s="155">
        <v>2.52</v>
      </c>
      <c r="U11" s="20" t="s">
        <v>1796</v>
      </c>
      <c r="V11" s="176">
        <v>4.8349999999999997E-2</v>
      </c>
      <c r="W11" s="168">
        <v>4.5999999999999999E-2</v>
      </c>
      <c r="X11" s="18" t="s">
        <v>429</v>
      </c>
      <c r="Y11" s="18" t="s">
        <v>153</v>
      </c>
      <c r="Z11" s="20" t="s">
        <v>911</v>
      </c>
      <c r="AA11" s="20" t="s">
        <v>2628</v>
      </c>
      <c r="AB11" s="2" t="s">
        <v>155</v>
      </c>
      <c r="AC11" s="20"/>
      <c r="AD11" s="155">
        <v>460000.03</v>
      </c>
      <c r="AE11" s="177">
        <v>1</v>
      </c>
      <c r="AF11" s="178">
        <v>97.11</v>
      </c>
      <c r="AG11" s="155">
        <v>446.70600000000002</v>
      </c>
      <c r="AH11" s="20"/>
      <c r="AI11" s="20"/>
      <c r="AJ11" s="20" t="s">
        <v>36</v>
      </c>
      <c r="AK11" s="168">
        <v>4.2937516417401497E-2</v>
      </c>
      <c r="AL11" s="168">
        <v>4.1234615976737599E-4</v>
      </c>
    </row>
    <row r="12" spans="1:38">
      <c r="A12" s="20">
        <v>158</v>
      </c>
      <c r="B12" s="20">
        <v>9935</v>
      </c>
      <c r="C12" s="20" t="s">
        <v>2665</v>
      </c>
      <c r="D12" s="20" t="s">
        <v>2666</v>
      </c>
      <c r="E12" s="18" t="s">
        <v>1343</v>
      </c>
      <c r="F12" s="20" t="s">
        <v>2667</v>
      </c>
      <c r="G12" s="20" t="s">
        <v>2668</v>
      </c>
      <c r="H12" s="20" t="s">
        <v>338</v>
      </c>
      <c r="I12" s="20" t="s">
        <v>772</v>
      </c>
      <c r="J12" s="18" t="s">
        <v>30</v>
      </c>
      <c r="K12" s="18" t="s">
        <v>30</v>
      </c>
      <c r="L12" s="20" t="s">
        <v>31</v>
      </c>
      <c r="M12" s="20" t="s">
        <v>494</v>
      </c>
      <c r="N12" s="20" t="s">
        <v>153</v>
      </c>
      <c r="O12" s="20" t="s">
        <v>164</v>
      </c>
      <c r="P12" s="20" t="s">
        <v>1718</v>
      </c>
      <c r="Q12" s="20" t="s">
        <v>430</v>
      </c>
      <c r="R12" s="20" t="s">
        <v>423</v>
      </c>
      <c r="S12" s="18" t="s">
        <v>44</v>
      </c>
      <c r="T12" s="155">
        <v>0.55000000000000004</v>
      </c>
      <c r="U12" s="20" t="s">
        <v>2669</v>
      </c>
      <c r="V12" s="176">
        <v>2.3E-2</v>
      </c>
      <c r="W12" s="168">
        <v>7.7499999999999999E-2</v>
      </c>
      <c r="X12" s="18" t="s">
        <v>429</v>
      </c>
      <c r="Y12" s="18" t="s">
        <v>153</v>
      </c>
      <c r="Z12" s="20" t="s">
        <v>911</v>
      </c>
      <c r="AA12" s="20" t="s">
        <v>2628</v>
      </c>
      <c r="AB12" s="2" t="s">
        <v>155</v>
      </c>
      <c r="AC12" s="20" t="s">
        <v>2670</v>
      </c>
      <c r="AD12" s="155">
        <v>62319.03</v>
      </c>
      <c r="AE12" s="177">
        <v>1</v>
      </c>
      <c r="AF12" s="178">
        <v>148.88999999999999</v>
      </c>
      <c r="AG12" s="155">
        <v>92.787000000000006</v>
      </c>
      <c r="AH12" s="20"/>
      <c r="AI12" s="20"/>
      <c r="AJ12" s="20" t="s">
        <v>36</v>
      </c>
      <c r="AK12" s="168">
        <v>8.9186951825930907E-3</v>
      </c>
      <c r="AL12" s="168">
        <v>8.5649800350064495E-5</v>
      </c>
    </row>
    <row r="13" spans="1:38">
      <c r="A13" s="20">
        <v>158</v>
      </c>
      <c r="B13" s="20">
        <v>9935</v>
      </c>
      <c r="C13" s="20" t="s">
        <v>2671</v>
      </c>
      <c r="D13" s="20" t="s">
        <v>2672</v>
      </c>
      <c r="E13" s="18" t="s">
        <v>1343</v>
      </c>
      <c r="F13" s="20" t="s">
        <v>2673</v>
      </c>
      <c r="G13" s="20" t="s">
        <v>2674</v>
      </c>
      <c r="H13" s="20" t="s">
        <v>338</v>
      </c>
      <c r="I13" s="20" t="s">
        <v>985</v>
      </c>
      <c r="J13" s="18" t="s">
        <v>30</v>
      </c>
      <c r="K13" s="18" t="s">
        <v>30</v>
      </c>
      <c r="L13" s="20" t="s">
        <v>31</v>
      </c>
      <c r="M13" s="20" t="s">
        <v>479</v>
      </c>
      <c r="N13" s="20" t="s">
        <v>153</v>
      </c>
      <c r="O13" s="20" t="s">
        <v>2675</v>
      </c>
      <c r="P13" s="20" t="s">
        <v>1718</v>
      </c>
      <c r="Q13" s="20" t="s">
        <v>110</v>
      </c>
      <c r="R13" s="20" t="s">
        <v>423</v>
      </c>
      <c r="S13" s="18" t="s">
        <v>44</v>
      </c>
      <c r="T13" s="155">
        <v>1.71</v>
      </c>
      <c r="U13" s="20" t="s">
        <v>2676</v>
      </c>
      <c r="V13" s="176">
        <v>1.9859999999999999E-2</v>
      </c>
      <c r="W13" s="168">
        <v>3.1E-2</v>
      </c>
      <c r="X13" s="18" t="s">
        <v>429</v>
      </c>
      <c r="Y13" s="18" t="s">
        <v>153</v>
      </c>
      <c r="Z13" s="20" t="s">
        <v>911</v>
      </c>
      <c r="AA13" s="20" t="s">
        <v>2628</v>
      </c>
      <c r="AB13" s="2" t="s">
        <v>155</v>
      </c>
      <c r="AC13" s="20"/>
      <c r="AD13" s="155">
        <v>960000.19</v>
      </c>
      <c r="AE13" s="177">
        <v>1</v>
      </c>
      <c r="AF13" s="178">
        <v>96.56</v>
      </c>
      <c r="AG13" s="155">
        <v>926.976</v>
      </c>
      <c r="AH13" s="20"/>
      <c r="AI13" s="20"/>
      <c r="AJ13" s="20" t="s">
        <v>36</v>
      </c>
      <c r="AK13" s="168">
        <v>8.91012265343194E-2</v>
      </c>
      <c r="AL13" s="168">
        <v>8.55674749206024E-4</v>
      </c>
    </row>
    <row r="14" spans="1:38">
      <c r="A14" s="20">
        <v>158</v>
      </c>
      <c r="B14" s="20">
        <v>9935</v>
      </c>
      <c r="C14" s="20" t="s">
        <v>2677</v>
      </c>
      <c r="D14" s="20" t="s">
        <v>2678</v>
      </c>
      <c r="E14" s="18" t="s">
        <v>1343</v>
      </c>
      <c r="F14" s="20" t="s">
        <v>2679</v>
      </c>
      <c r="G14" s="20" t="s">
        <v>2680</v>
      </c>
      <c r="H14" s="20" t="s">
        <v>338</v>
      </c>
      <c r="I14" s="20" t="s">
        <v>772</v>
      </c>
      <c r="J14" s="18" t="s">
        <v>30</v>
      </c>
      <c r="K14" s="18" t="s">
        <v>30</v>
      </c>
      <c r="L14" s="20" t="s">
        <v>31</v>
      </c>
      <c r="M14" s="20" t="s">
        <v>493</v>
      </c>
      <c r="N14" s="20" t="s">
        <v>153</v>
      </c>
      <c r="O14" s="20" t="s">
        <v>164</v>
      </c>
      <c r="P14" s="20" t="s">
        <v>1773</v>
      </c>
      <c r="Q14" s="20" t="s">
        <v>430</v>
      </c>
      <c r="R14" s="20" t="s">
        <v>423</v>
      </c>
      <c r="S14" s="18" t="s">
        <v>44</v>
      </c>
      <c r="T14" s="155">
        <v>1.1299999999999999</v>
      </c>
      <c r="U14" s="20" t="s">
        <v>2681</v>
      </c>
      <c r="V14" s="176">
        <v>2.24E-2</v>
      </c>
      <c r="W14" s="168">
        <v>5.6000000000000001E-2</v>
      </c>
      <c r="X14" s="18" t="s">
        <v>429</v>
      </c>
      <c r="Y14" s="18" t="s">
        <v>153</v>
      </c>
      <c r="Z14" s="20" t="s">
        <v>911</v>
      </c>
      <c r="AA14" s="20" t="s">
        <v>2628</v>
      </c>
      <c r="AB14" s="2" t="s">
        <v>155</v>
      </c>
      <c r="AC14" s="20" t="s">
        <v>2670</v>
      </c>
      <c r="AD14" s="155">
        <v>563827.97</v>
      </c>
      <c r="AE14" s="177">
        <v>1</v>
      </c>
      <c r="AF14" s="178">
        <v>146.25</v>
      </c>
      <c r="AG14" s="155">
        <v>824.59799999999996</v>
      </c>
      <c r="AH14" s="20"/>
      <c r="AI14" s="20"/>
      <c r="AJ14" s="20" t="s">
        <v>36</v>
      </c>
      <c r="AK14" s="168">
        <v>7.92606441186261E-2</v>
      </c>
      <c r="AL14" s="168">
        <v>7.6117169668803999E-4</v>
      </c>
    </row>
    <row r="15" spans="1:38">
      <c r="A15" s="20">
        <v>158</v>
      </c>
      <c r="B15" s="20">
        <v>9935</v>
      </c>
      <c r="C15" s="20" t="s">
        <v>2682</v>
      </c>
      <c r="D15" s="20" t="s">
        <v>2683</v>
      </c>
      <c r="E15" s="18" t="s">
        <v>43</v>
      </c>
      <c r="F15" s="20" t="s">
        <v>2682</v>
      </c>
      <c r="G15" s="20" t="s">
        <v>2683</v>
      </c>
      <c r="H15" s="20" t="s">
        <v>43</v>
      </c>
      <c r="I15" s="20" t="s">
        <v>772</v>
      </c>
      <c r="J15" s="18" t="s">
        <v>30</v>
      </c>
      <c r="K15" s="18" t="s">
        <v>30</v>
      </c>
      <c r="L15" s="20" t="s">
        <v>31</v>
      </c>
      <c r="M15" s="20" t="s">
        <v>494</v>
      </c>
      <c r="N15" s="20" t="s">
        <v>153</v>
      </c>
      <c r="O15" s="20" t="s">
        <v>164</v>
      </c>
      <c r="P15" s="20" t="s">
        <v>2684</v>
      </c>
      <c r="Q15" s="20" t="s">
        <v>430</v>
      </c>
      <c r="R15" s="20" t="s">
        <v>423</v>
      </c>
      <c r="S15" s="18" t="s">
        <v>44</v>
      </c>
      <c r="T15" s="155">
        <v>0.01</v>
      </c>
      <c r="U15" s="20" t="s">
        <v>2685</v>
      </c>
      <c r="V15" s="176">
        <v>4.9500000000000002E-2</v>
      </c>
      <c r="W15" s="168">
        <v>4.9500000000000002E-2</v>
      </c>
      <c r="X15" s="18" t="s">
        <v>428</v>
      </c>
      <c r="Y15" s="18" t="s">
        <v>357</v>
      </c>
      <c r="Z15" s="20" t="s">
        <v>31</v>
      </c>
      <c r="AA15" s="20" t="s">
        <v>914</v>
      </c>
      <c r="AB15" s="2" t="s">
        <v>155</v>
      </c>
      <c r="AC15" s="20" t="s">
        <v>2670</v>
      </c>
      <c r="AD15" s="155">
        <v>118452</v>
      </c>
      <c r="AE15" s="177">
        <v>1</v>
      </c>
      <c r="AF15" s="178">
        <v>0</v>
      </c>
      <c r="AG15" s="155">
        <v>0</v>
      </c>
      <c r="AH15" s="20"/>
      <c r="AI15" s="20"/>
      <c r="AJ15" s="20" t="s">
        <v>36</v>
      </c>
      <c r="AK15" s="168">
        <v>1.13856414800252E-8</v>
      </c>
      <c r="AL15" s="168">
        <v>1.09340873261916E-10</v>
      </c>
    </row>
    <row r="16" spans="1:38">
      <c r="A16" s="20">
        <v>158</v>
      </c>
      <c r="B16" s="20">
        <v>9935</v>
      </c>
      <c r="C16" s="20" t="s">
        <v>2686</v>
      </c>
      <c r="D16" s="20" t="s">
        <v>2687</v>
      </c>
      <c r="E16" s="18" t="s">
        <v>330</v>
      </c>
      <c r="F16" s="20" t="s">
        <v>2688</v>
      </c>
      <c r="G16" s="20" t="s">
        <v>2689</v>
      </c>
      <c r="H16" s="20" t="s">
        <v>338</v>
      </c>
      <c r="I16" s="20" t="s">
        <v>772</v>
      </c>
      <c r="J16" s="18" t="s">
        <v>30</v>
      </c>
      <c r="K16" s="18" t="s">
        <v>30</v>
      </c>
      <c r="L16" s="20" t="s">
        <v>31</v>
      </c>
      <c r="M16" s="20" t="s">
        <v>466</v>
      </c>
      <c r="N16" s="20" t="s">
        <v>153</v>
      </c>
      <c r="O16" s="20" t="s">
        <v>2690</v>
      </c>
      <c r="P16" s="20" t="s">
        <v>2649</v>
      </c>
      <c r="Q16" s="20" t="s">
        <v>110</v>
      </c>
      <c r="R16" s="20" t="s">
        <v>423</v>
      </c>
      <c r="S16" s="18" t="s">
        <v>44</v>
      </c>
      <c r="T16" s="155">
        <v>8.67</v>
      </c>
      <c r="U16" s="20" t="s">
        <v>2691</v>
      </c>
      <c r="V16" s="176">
        <v>0.20849999999999999</v>
      </c>
      <c r="W16" s="168">
        <v>5.7500000000000002E-2</v>
      </c>
      <c r="X16" s="18" t="s">
        <v>429</v>
      </c>
      <c r="Y16" s="18" t="s">
        <v>153</v>
      </c>
      <c r="Z16" s="20" t="s">
        <v>31</v>
      </c>
      <c r="AA16" s="20"/>
      <c r="AB16" s="2" t="s">
        <v>2692</v>
      </c>
      <c r="AC16" s="20"/>
      <c r="AD16" s="155">
        <v>94999.08</v>
      </c>
      <c r="AE16" s="177">
        <v>1</v>
      </c>
      <c r="AF16" s="178">
        <v>0</v>
      </c>
      <c r="AG16" s="155">
        <v>0</v>
      </c>
      <c r="AH16" s="20"/>
      <c r="AI16" s="20"/>
      <c r="AJ16" s="20" t="s">
        <v>36</v>
      </c>
      <c r="AK16" s="168">
        <v>9.1313398322716001E-11</v>
      </c>
      <c r="AL16" s="168">
        <v>8.7691912051114695E-13</v>
      </c>
    </row>
    <row r="17" spans="1:38">
      <c r="A17" s="20">
        <v>158</v>
      </c>
      <c r="B17" s="20">
        <v>9935</v>
      </c>
      <c r="C17" s="20" t="s">
        <v>2660</v>
      </c>
      <c r="D17" s="20" t="s">
        <v>2661</v>
      </c>
      <c r="E17" s="18" t="s">
        <v>1343</v>
      </c>
      <c r="F17" s="20" t="s">
        <v>2662</v>
      </c>
      <c r="G17" s="20" t="s">
        <v>2663</v>
      </c>
      <c r="H17" s="20" t="s">
        <v>338</v>
      </c>
      <c r="I17" s="20" t="s">
        <v>985</v>
      </c>
      <c r="J17" s="18" t="s">
        <v>30</v>
      </c>
      <c r="K17" s="18" t="s">
        <v>30</v>
      </c>
      <c r="L17" s="20" t="s">
        <v>31</v>
      </c>
      <c r="M17" s="20" t="s">
        <v>466</v>
      </c>
      <c r="N17" s="20" t="s">
        <v>153</v>
      </c>
      <c r="O17" s="20" t="s">
        <v>2664</v>
      </c>
      <c r="P17" s="20" t="s">
        <v>98</v>
      </c>
      <c r="Q17" s="20" t="s">
        <v>448</v>
      </c>
      <c r="R17" s="20" t="s">
        <v>423</v>
      </c>
      <c r="S17" s="18" t="s">
        <v>44</v>
      </c>
      <c r="T17" s="155">
        <v>2.52</v>
      </c>
      <c r="U17" s="20" t="s">
        <v>1796</v>
      </c>
      <c r="V17" s="176">
        <v>4.8349999999999997E-2</v>
      </c>
      <c r="W17" s="168">
        <v>4.5999999999999999E-2</v>
      </c>
      <c r="X17" s="18" t="s">
        <v>429</v>
      </c>
      <c r="Y17" s="18" t="s">
        <v>153</v>
      </c>
      <c r="Z17" s="20" t="s">
        <v>911</v>
      </c>
      <c r="AA17" s="20" t="s">
        <v>2628</v>
      </c>
      <c r="AB17" s="2" t="s">
        <v>155</v>
      </c>
      <c r="AC17" s="20"/>
      <c r="AD17" s="155">
        <v>460000.03</v>
      </c>
      <c r="AE17" s="177">
        <v>1</v>
      </c>
      <c r="AF17" s="178">
        <v>97.11</v>
      </c>
      <c r="AG17" s="155">
        <v>446.70600000000002</v>
      </c>
      <c r="AH17" s="20"/>
      <c r="AI17" s="20"/>
      <c r="AJ17" s="20" t="s">
        <v>36</v>
      </c>
      <c r="AK17" s="168">
        <v>4.2937516417401497E-2</v>
      </c>
      <c r="AL17" s="168">
        <v>4.1234615976737599E-4</v>
      </c>
    </row>
    <row r="18" spans="1:38">
      <c r="A18" s="20">
        <v>158</v>
      </c>
      <c r="B18" s="20">
        <v>9935</v>
      </c>
      <c r="C18" s="20" t="s">
        <v>2617</v>
      </c>
      <c r="D18" s="20" t="s">
        <v>2618</v>
      </c>
      <c r="E18" s="18" t="s">
        <v>1343</v>
      </c>
      <c r="F18" s="20" t="s">
        <v>2619</v>
      </c>
      <c r="G18" s="20" t="s">
        <v>2620</v>
      </c>
      <c r="H18" s="20" t="s">
        <v>338</v>
      </c>
      <c r="I18" s="20" t="s">
        <v>985</v>
      </c>
      <c r="J18" s="18" t="s">
        <v>30</v>
      </c>
      <c r="K18" s="18" t="s">
        <v>30</v>
      </c>
      <c r="L18" s="20" t="s">
        <v>31</v>
      </c>
      <c r="M18" s="20" t="s">
        <v>466</v>
      </c>
      <c r="N18" s="20" t="s">
        <v>153</v>
      </c>
      <c r="O18" s="20" t="s">
        <v>2621</v>
      </c>
      <c r="P18" s="20" t="s">
        <v>32</v>
      </c>
      <c r="Q18" s="20" t="s">
        <v>430</v>
      </c>
      <c r="R18" s="20" t="s">
        <v>423</v>
      </c>
      <c r="S18" s="18" t="s">
        <v>44</v>
      </c>
      <c r="T18" s="155">
        <v>2.14</v>
      </c>
      <c r="U18" s="20" t="s">
        <v>2167</v>
      </c>
      <c r="V18" s="176">
        <v>2.8670000000000001E-2</v>
      </c>
      <c r="W18" s="168">
        <v>2.86E-2</v>
      </c>
      <c r="X18" s="18" t="s">
        <v>429</v>
      </c>
      <c r="Y18" s="18" t="s">
        <v>153</v>
      </c>
      <c r="Z18" s="20" t="s">
        <v>911</v>
      </c>
      <c r="AA18" s="20"/>
      <c r="AB18" s="2" t="s">
        <v>155</v>
      </c>
      <c r="AC18" s="20"/>
      <c r="AD18" s="155">
        <v>402142.9</v>
      </c>
      <c r="AE18" s="177">
        <v>1</v>
      </c>
      <c r="AF18" s="178">
        <v>95.51</v>
      </c>
      <c r="AG18" s="155">
        <v>384.08699999999999</v>
      </c>
      <c r="AH18" s="20"/>
      <c r="AI18" s="20"/>
      <c r="AJ18" s="20" t="s">
        <v>36</v>
      </c>
      <c r="AK18" s="168">
        <v>3.69185263134836E-2</v>
      </c>
      <c r="AL18" s="168">
        <v>3.5454338815614798E-4</v>
      </c>
    </row>
    <row r="19" spans="1:38">
      <c r="A19" s="20">
        <v>158</v>
      </c>
      <c r="B19" s="20">
        <v>9935</v>
      </c>
      <c r="C19" s="20" t="s">
        <v>2693</v>
      </c>
      <c r="D19" s="20" t="s">
        <v>2694</v>
      </c>
      <c r="E19" s="18" t="s">
        <v>1343</v>
      </c>
      <c r="F19" s="20" t="s">
        <v>2695</v>
      </c>
      <c r="G19" s="20" t="s">
        <v>2696</v>
      </c>
      <c r="H19" s="20" t="s">
        <v>338</v>
      </c>
      <c r="I19" s="20" t="s">
        <v>985</v>
      </c>
      <c r="J19" s="18" t="s">
        <v>30</v>
      </c>
      <c r="K19" s="18" t="s">
        <v>30</v>
      </c>
      <c r="L19" s="20" t="s">
        <v>31</v>
      </c>
      <c r="M19" s="20" t="s">
        <v>466</v>
      </c>
      <c r="N19" s="20" t="s">
        <v>153</v>
      </c>
      <c r="O19" s="20" t="s">
        <v>2697</v>
      </c>
      <c r="P19" s="20" t="s">
        <v>98</v>
      </c>
      <c r="Q19" s="20" t="s">
        <v>448</v>
      </c>
      <c r="R19" s="20" t="s">
        <v>423</v>
      </c>
      <c r="S19" s="18" t="s">
        <v>44</v>
      </c>
      <c r="T19" s="155">
        <v>2.12</v>
      </c>
      <c r="U19" s="20" t="s">
        <v>1887</v>
      </c>
      <c r="V19" s="176">
        <v>6.2080000000000003E-2</v>
      </c>
      <c r="W19" s="168">
        <v>4.4699999999999997E-2</v>
      </c>
      <c r="X19" s="18" t="s">
        <v>429</v>
      </c>
      <c r="Y19" s="18" t="s">
        <v>153</v>
      </c>
      <c r="Z19" s="20" t="s">
        <v>911</v>
      </c>
      <c r="AA19" s="20" t="s">
        <v>913</v>
      </c>
      <c r="AB19" s="2" t="s">
        <v>155</v>
      </c>
      <c r="AC19" s="20"/>
      <c r="AD19" s="155">
        <v>621187.93999999994</v>
      </c>
      <c r="AE19" s="177">
        <v>1</v>
      </c>
      <c r="AF19" s="178">
        <v>97.54</v>
      </c>
      <c r="AG19" s="155">
        <v>605.90700000000004</v>
      </c>
      <c r="AH19" s="20"/>
      <c r="AI19" s="20"/>
      <c r="AJ19" s="20" t="s">
        <v>36</v>
      </c>
      <c r="AK19" s="168">
        <v>5.8239933866985498E-2</v>
      </c>
      <c r="AL19" s="168">
        <v>5.5930140070757997E-4</v>
      </c>
    </row>
    <row r="20" spans="1:38">
      <c r="A20" s="2">
        <v>158</v>
      </c>
      <c r="B20" s="2">
        <v>9935</v>
      </c>
      <c r="C20" s="2" t="s">
        <v>2698</v>
      </c>
      <c r="D20" s="2" t="s">
        <v>2699</v>
      </c>
      <c r="E20" s="18" t="s">
        <v>1343</v>
      </c>
      <c r="F20" s="2" t="s">
        <v>2700</v>
      </c>
      <c r="G20" s="2" t="s">
        <v>2701</v>
      </c>
      <c r="H20" s="20" t="s">
        <v>338</v>
      </c>
      <c r="I20" s="20" t="s">
        <v>985</v>
      </c>
      <c r="J20" s="18" t="s">
        <v>30</v>
      </c>
      <c r="K20" s="18" t="s">
        <v>30</v>
      </c>
      <c r="L20" s="20" t="s">
        <v>31</v>
      </c>
      <c r="M20" s="20" t="s">
        <v>466</v>
      </c>
      <c r="N20" s="20" t="s">
        <v>153</v>
      </c>
      <c r="O20" s="2" t="s">
        <v>2702</v>
      </c>
      <c r="P20" s="2" t="s">
        <v>32</v>
      </c>
      <c r="Q20" s="20" t="s">
        <v>110</v>
      </c>
      <c r="R20" s="20" t="s">
        <v>423</v>
      </c>
      <c r="S20" s="2" t="s">
        <v>44</v>
      </c>
      <c r="T20" s="153">
        <v>1.79</v>
      </c>
      <c r="U20" s="2" t="s">
        <v>2703</v>
      </c>
      <c r="V20" s="168">
        <v>5.0819999999999997E-2</v>
      </c>
      <c r="W20" s="168">
        <v>2.1000000000000001E-2</v>
      </c>
      <c r="X20" s="18" t="s">
        <v>429</v>
      </c>
      <c r="Y20" s="18" t="s">
        <v>153</v>
      </c>
      <c r="Z20" s="2" t="s">
        <v>31</v>
      </c>
      <c r="AA20" s="20" t="s">
        <v>2628</v>
      </c>
      <c r="AB20" s="2" t="s">
        <v>155</v>
      </c>
      <c r="AD20" s="153">
        <v>151428.69</v>
      </c>
      <c r="AE20" s="162">
        <v>1</v>
      </c>
      <c r="AF20" s="179">
        <v>95.42</v>
      </c>
      <c r="AG20" s="153">
        <v>144.49299999999999</v>
      </c>
      <c r="AJ20" s="20" t="s">
        <v>36</v>
      </c>
      <c r="AK20" s="168">
        <v>1.38887347539487E-2</v>
      </c>
      <c r="AL20" s="168">
        <v>1.333790800601E-4</v>
      </c>
    </row>
    <row r="21" spans="1:38">
      <c r="A21" s="2">
        <v>158</v>
      </c>
      <c r="B21" s="2">
        <v>9935</v>
      </c>
      <c r="C21" s="2" t="s">
        <v>2704</v>
      </c>
      <c r="D21" s="2" t="s">
        <v>2705</v>
      </c>
      <c r="E21" s="4" t="s">
        <v>1343</v>
      </c>
      <c r="F21" s="2" t="s">
        <v>2706</v>
      </c>
      <c r="G21" s="2" t="s">
        <v>2707</v>
      </c>
      <c r="H21" s="2" t="s">
        <v>43</v>
      </c>
      <c r="I21" s="2" t="s">
        <v>985</v>
      </c>
      <c r="J21" s="2" t="s">
        <v>30</v>
      </c>
      <c r="K21" s="2" t="s">
        <v>30</v>
      </c>
      <c r="L21" s="2" t="s">
        <v>31</v>
      </c>
      <c r="M21" s="2" t="s">
        <v>478</v>
      </c>
      <c r="N21" s="2" t="s">
        <v>153</v>
      </c>
      <c r="O21" s="2" t="s">
        <v>164</v>
      </c>
      <c r="P21" s="2" t="s">
        <v>1900</v>
      </c>
      <c r="Q21" s="2" t="s">
        <v>426</v>
      </c>
      <c r="R21" s="2" t="s">
        <v>426</v>
      </c>
      <c r="S21" s="2" t="s">
        <v>44</v>
      </c>
      <c r="T21" s="153">
        <v>0</v>
      </c>
      <c r="U21" s="2" t="s">
        <v>2708</v>
      </c>
      <c r="V21" s="168">
        <v>0</v>
      </c>
      <c r="W21" s="168">
        <v>0</v>
      </c>
      <c r="X21" s="4" t="s">
        <v>428</v>
      </c>
      <c r="Y21" s="4" t="s">
        <v>357</v>
      </c>
      <c r="Z21" s="2" t="s">
        <v>31</v>
      </c>
      <c r="AA21" s="2" t="s">
        <v>914</v>
      </c>
      <c r="AB21" s="2" t="s">
        <v>2709</v>
      </c>
      <c r="AC21" s="2" t="s">
        <v>2670</v>
      </c>
      <c r="AD21" s="153">
        <v>1071.4100000000001</v>
      </c>
      <c r="AE21" s="162">
        <v>1</v>
      </c>
      <c r="AF21" s="179">
        <v>0</v>
      </c>
      <c r="AG21" s="153">
        <v>0</v>
      </c>
      <c r="AJ21" s="2" t="s">
        <v>36</v>
      </c>
      <c r="AK21" s="168">
        <v>1.0298424794949699E-12</v>
      </c>
      <c r="AL21" s="168">
        <v>9.8899896178662997E-15</v>
      </c>
    </row>
    <row r="22" spans="1:38">
      <c r="A22" s="2">
        <v>158</v>
      </c>
      <c r="B22" s="2">
        <v>9935</v>
      </c>
      <c r="C22" s="2" t="s">
        <v>2704</v>
      </c>
      <c r="D22" s="2" t="s">
        <v>2705</v>
      </c>
      <c r="E22" s="4" t="s">
        <v>1343</v>
      </c>
      <c r="F22" s="2" t="s">
        <v>2710</v>
      </c>
      <c r="G22" s="2" t="s">
        <v>2711</v>
      </c>
      <c r="H22" s="2" t="s">
        <v>338</v>
      </c>
      <c r="I22" s="2" t="s">
        <v>772</v>
      </c>
      <c r="J22" s="2" t="s">
        <v>30</v>
      </c>
      <c r="K22" s="2" t="s">
        <v>30</v>
      </c>
      <c r="L22" s="2" t="s">
        <v>31</v>
      </c>
      <c r="M22" s="2" t="s">
        <v>478</v>
      </c>
      <c r="N22" s="2" t="s">
        <v>153</v>
      </c>
      <c r="O22" s="2" t="s">
        <v>164</v>
      </c>
      <c r="P22" s="2" t="s">
        <v>1900</v>
      </c>
      <c r="Q22" s="2" t="s">
        <v>426</v>
      </c>
      <c r="R22" s="2" t="s">
        <v>426</v>
      </c>
      <c r="S22" s="2" t="s">
        <v>44</v>
      </c>
      <c r="T22" s="153">
        <v>0</v>
      </c>
      <c r="U22" s="2" t="s">
        <v>2708</v>
      </c>
      <c r="V22" s="168">
        <v>0</v>
      </c>
      <c r="W22" s="168">
        <v>0</v>
      </c>
      <c r="X22" s="4" t="s">
        <v>428</v>
      </c>
      <c r="Y22" s="4" t="s">
        <v>357</v>
      </c>
      <c r="Z22" s="2" t="s">
        <v>31</v>
      </c>
      <c r="AA22" s="2" t="s">
        <v>914</v>
      </c>
      <c r="AB22" s="2" t="s">
        <v>2709</v>
      </c>
      <c r="AC22" s="2" t="s">
        <v>2670</v>
      </c>
      <c r="AD22" s="153">
        <v>676.32</v>
      </c>
      <c r="AE22" s="162">
        <v>1</v>
      </c>
      <c r="AF22" s="179">
        <v>0</v>
      </c>
      <c r="AG22" s="153">
        <v>0</v>
      </c>
      <c r="AJ22" s="2" t="s">
        <v>36</v>
      </c>
      <c r="AK22" s="168">
        <v>6.5008079608370203E-13</v>
      </c>
      <c r="AL22" s="168">
        <v>6.2429861382247001E-15</v>
      </c>
    </row>
    <row r="23" spans="1:38">
      <c r="A23" s="2">
        <v>158</v>
      </c>
      <c r="B23" s="2">
        <v>9935</v>
      </c>
      <c r="C23" s="2" t="s">
        <v>2671</v>
      </c>
      <c r="D23" s="2" t="s">
        <v>2672</v>
      </c>
      <c r="E23" s="4" t="s">
        <v>1343</v>
      </c>
      <c r="F23" s="2" t="s">
        <v>2673</v>
      </c>
      <c r="G23" s="2" t="s">
        <v>2674</v>
      </c>
      <c r="H23" s="2" t="s">
        <v>338</v>
      </c>
      <c r="I23" s="2" t="s">
        <v>985</v>
      </c>
      <c r="J23" s="2" t="s">
        <v>30</v>
      </c>
      <c r="K23" s="2" t="s">
        <v>30</v>
      </c>
      <c r="L23" s="2" t="s">
        <v>31</v>
      </c>
      <c r="M23" s="2" t="s">
        <v>479</v>
      </c>
      <c r="N23" s="2" t="s">
        <v>153</v>
      </c>
      <c r="O23" s="2" t="s">
        <v>2675</v>
      </c>
      <c r="P23" s="2" t="s">
        <v>1718</v>
      </c>
      <c r="Q23" s="2" t="s">
        <v>110</v>
      </c>
      <c r="R23" s="2" t="s">
        <v>423</v>
      </c>
      <c r="S23" s="2" t="s">
        <v>44</v>
      </c>
      <c r="T23" s="153">
        <v>1.71</v>
      </c>
      <c r="U23" s="2" t="s">
        <v>2676</v>
      </c>
      <c r="V23" s="168">
        <v>1.9859999999999999E-2</v>
      </c>
      <c r="W23" s="168">
        <v>3.1E-2</v>
      </c>
      <c r="X23" s="4" t="s">
        <v>429</v>
      </c>
      <c r="Y23" s="4" t="s">
        <v>153</v>
      </c>
      <c r="Z23" s="2" t="s">
        <v>911</v>
      </c>
      <c r="AA23" s="2" t="s">
        <v>2628</v>
      </c>
      <c r="AB23" s="2" t="s">
        <v>155</v>
      </c>
      <c r="AD23" s="153">
        <v>553804.05000000005</v>
      </c>
      <c r="AE23" s="162">
        <v>1</v>
      </c>
      <c r="AF23" s="179">
        <v>96.56</v>
      </c>
      <c r="AG23" s="153">
        <v>534.75300000000004</v>
      </c>
      <c r="AJ23" s="2" t="s">
        <v>36</v>
      </c>
      <c r="AK23" s="168">
        <v>5.1400635779742403E-2</v>
      </c>
      <c r="AL23" s="168">
        <v>4.9362088313027405E-4</v>
      </c>
    </row>
    <row r="24" spans="1:38">
      <c r="A24" s="2">
        <v>158</v>
      </c>
      <c r="B24" s="2">
        <v>9935</v>
      </c>
      <c r="C24" s="2" t="s">
        <v>2712</v>
      </c>
      <c r="D24" s="2" t="s">
        <v>2713</v>
      </c>
      <c r="E24" s="4" t="s">
        <v>1343</v>
      </c>
      <c r="F24" s="2" t="s">
        <v>2714</v>
      </c>
      <c r="G24" s="2" t="s">
        <v>2715</v>
      </c>
      <c r="H24" s="2" t="s">
        <v>338</v>
      </c>
      <c r="I24" s="2" t="s">
        <v>985</v>
      </c>
      <c r="J24" s="2" t="s">
        <v>30</v>
      </c>
      <c r="K24" s="2" t="s">
        <v>30</v>
      </c>
      <c r="L24" s="2" t="s">
        <v>31</v>
      </c>
      <c r="M24" s="2" t="s">
        <v>494</v>
      </c>
      <c r="N24" s="2" t="s">
        <v>153</v>
      </c>
      <c r="O24" s="2" t="s">
        <v>2716</v>
      </c>
      <c r="P24" s="2" t="s">
        <v>1724</v>
      </c>
      <c r="Q24" s="2" t="s">
        <v>110</v>
      </c>
      <c r="R24" s="2" t="s">
        <v>423</v>
      </c>
      <c r="S24" s="2" t="s">
        <v>44</v>
      </c>
      <c r="T24" s="153">
        <v>0.82</v>
      </c>
      <c r="U24" s="2" t="s">
        <v>2627</v>
      </c>
      <c r="V24" s="168">
        <v>7.8320000000000001E-2</v>
      </c>
      <c r="W24" s="168">
        <v>6.5000000000000002E-2</v>
      </c>
      <c r="X24" s="4" t="s">
        <v>429</v>
      </c>
      <c r="Y24" s="4" t="s">
        <v>153</v>
      </c>
      <c r="Z24" s="2" t="s">
        <v>31</v>
      </c>
      <c r="AB24" s="2" t="s">
        <v>155</v>
      </c>
      <c r="AD24" s="153">
        <v>281504.55</v>
      </c>
      <c r="AE24" s="162">
        <v>1</v>
      </c>
      <c r="AF24" s="179">
        <v>100.03</v>
      </c>
      <c r="AG24" s="153">
        <v>281.589</v>
      </c>
      <c r="AJ24" s="2" t="s">
        <v>36</v>
      </c>
      <c r="AK24" s="168">
        <v>2.7066418585251599E-2</v>
      </c>
      <c r="AL24" s="168">
        <v>2.5992965344781002E-4</v>
      </c>
    </row>
    <row r="25" spans="1:38">
      <c r="A25" s="2">
        <v>158</v>
      </c>
      <c r="B25" s="2">
        <v>9935</v>
      </c>
      <c r="C25" s="2" t="s">
        <v>2622</v>
      </c>
      <c r="D25" s="2" t="s">
        <v>2623</v>
      </c>
      <c r="E25" s="4" t="s">
        <v>1343</v>
      </c>
      <c r="F25" s="2" t="s">
        <v>2717</v>
      </c>
      <c r="G25" s="2" t="s">
        <v>2718</v>
      </c>
      <c r="H25" s="2" t="s">
        <v>338</v>
      </c>
      <c r="I25" s="2" t="s">
        <v>772</v>
      </c>
      <c r="J25" s="2" t="s">
        <v>30</v>
      </c>
      <c r="K25" s="2" t="s">
        <v>30</v>
      </c>
      <c r="L25" s="2" t="s">
        <v>31</v>
      </c>
      <c r="M25" s="2" t="s">
        <v>461</v>
      </c>
      <c r="N25" s="2" t="s">
        <v>153</v>
      </c>
      <c r="O25" s="2" t="s">
        <v>2626</v>
      </c>
      <c r="P25" s="2" t="s">
        <v>109</v>
      </c>
      <c r="Q25" s="2" t="s">
        <v>430</v>
      </c>
      <c r="R25" s="2" t="s">
        <v>423</v>
      </c>
      <c r="S25" s="2" t="s">
        <v>44</v>
      </c>
      <c r="T25" s="153">
        <v>5.29</v>
      </c>
      <c r="U25" s="2" t="s">
        <v>2719</v>
      </c>
      <c r="V25" s="168">
        <v>-1.1199999999999999E-3</v>
      </c>
      <c r="W25" s="168">
        <v>2.1399999999999999E-2</v>
      </c>
      <c r="X25" s="4" t="s">
        <v>429</v>
      </c>
      <c r="Y25" s="4" t="s">
        <v>153</v>
      </c>
      <c r="Z25" s="2" t="s">
        <v>911</v>
      </c>
      <c r="AA25" s="2" t="s">
        <v>2628</v>
      </c>
      <c r="AB25" s="2" t="s">
        <v>155</v>
      </c>
      <c r="AD25" s="153">
        <v>962555.17</v>
      </c>
      <c r="AE25" s="162">
        <v>1</v>
      </c>
      <c r="AF25" s="179">
        <v>114.42</v>
      </c>
      <c r="AG25" s="153">
        <v>1101.356</v>
      </c>
      <c r="AJ25" s="2" t="s">
        <v>36</v>
      </c>
      <c r="AK25" s="168">
        <v>0.105862630382867</v>
      </c>
      <c r="AL25" s="168">
        <v>1.01664122062628E-3</v>
      </c>
    </row>
    <row r="26" spans="1:38">
      <c r="A26" s="2">
        <v>158</v>
      </c>
      <c r="B26" s="2">
        <v>9935</v>
      </c>
      <c r="C26" s="2" t="s">
        <v>2622</v>
      </c>
      <c r="D26" s="2" t="s">
        <v>2623</v>
      </c>
      <c r="E26" s="4" t="s">
        <v>1343</v>
      </c>
      <c r="F26" s="2" t="s">
        <v>2624</v>
      </c>
      <c r="G26" s="2" t="s">
        <v>2625</v>
      </c>
      <c r="H26" s="2" t="s">
        <v>338</v>
      </c>
      <c r="I26" s="2" t="s">
        <v>985</v>
      </c>
      <c r="J26" s="2" t="s">
        <v>30</v>
      </c>
      <c r="K26" s="2" t="s">
        <v>30</v>
      </c>
      <c r="L26" s="4" t="s">
        <v>31</v>
      </c>
      <c r="M26" s="2" t="s">
        <v>461</v>
      </c>
      <c r="N26" s="2" t="s">
        <v>153</v>
      </c>
      <c r="O26" s="2" t="s">
        <v>2626</v>
      </c>
      <c r="P26" s="2" t="s">
        <v>109</v>
      </c>
      <c r="Q26" s="2" t="s">
        <v>430</v>
      </c>
      <c r="R26" s="2" t="s">
        <v>423</v>
      </c>
      <c r="S26" s="2" t="s">
        <v>44</v>
      </c>
      <c r="T26" s="153">
        <v>0.94</v>
      </c>
      <c r="U26" s="2" t="s">
        <v>2627</v>
      </c>
      <c r="V26" s="168">
        <v>5.1029999999999999E-2</v>
      </c>
      <c r="W26" s="168">
        <v>2.5000000000000001E-2</v>
      </c>
      <c r="X26" s="4" t="s">
        <v>429</v>
      </c>
      <c r="Y26" s="4" t="s">
        <v>357</v>
      </c>
      <c r="Z26" s="2" t="s">
        <v>911</v>
      </c>
      <c r="AA26" s="2" t="s">
        <v>2628</v>
      </c>
      <c r="AB26" s="2" t="s">
        <v>155</v>
      </c>
      <c r="AD26" s="153">
        <v>1139281.71</v>
      </c>
      <c r="AE26" s="162">
        <v>1</v>
      </c>
      <c r="AF26" s="179">
        <v>97.82</v>
      </c>
      <c r="AG26" s="153">
        <v>1114.4449999999999</v>
      </c>
      <c r="AJ26" s="2" t="s">
        <v>36</v>
      </c>
      <c r="AK26" s="168">
        <v>0.10712082039428</v>
      </c>
      <c r="AL26" s="168">
        <v>1.0287241230098399E-3</v>
      </c>
    </row>
    <row r="27" spans="1:38">
      <c r="A27" s="2">
        <v>158</v>
      </c>
      <c r="B27" s="2">
        <v>9935</v>
      </c>
      <c r="C27" s="2" t="s">
        <v>2622</v>
      </c>
      <c r="D27" s="2" t="s">
        <v>2623</v>
      </c>
      <c r="E27" s="4" t="s">
        <v>1343</v>
      </c>
      <c r="F27" s="2" t="s">
        <v>2720</v>
      </c>
      <c r="G27" s="2" t="s">
        <v>2721</v>
      </c>
      <c r="H27" s="2" t="s">
        <v>338</v>
      </c>
      <c r="I27" s="2" t="s">
        <v>985</v>
      </c>
      <c r="J27" s="2" t="s">
        <v>30</v>
      </c>
      <c r="K27" s="2" t="s">
        <v>30</v>
      </c>
      <c r="L27" s="4" t="s">
        <v>31</v>
      </c>
      <c r="M27" s="2" t="s">
        <v>461</v>
      </c>
      <c r="N27" s="2" t="s">
        <v>153</v>
      </c>
      <c r="O27" s="2" t="s">
        <v>2626</v>
      </c>
      <c r="P27" s="2" t="s">
        <v>109</v>
      </c>
      <c r="Q27" s="2" t="s">
        <v>430</v>
      </c>
      <c r="R27" s="2" t="s">
        <v>423</v>
      </c>
      <c r="S27" s="2" t="s">
        <v>44</v>
      </c>
      <c r="T27" s="153">
        <v>4.72</v>
      </c>
      <c r="U27" s="2" t="s">
        <v>2719</v>
      </c>
      <c r="V27" s="168">
        <v>5.6090000000000001E-2</v>
      </c>
      <c r="W27" s="168">
        <v>3.7400000000000003E-2</v>
      </c>
      <c r="X27" s="4" t="s">
        <v>429</v>
      </c>
      <c r="Y27" s="4" t="s">
        <v>153</v>
      </c>
      <c r="Z27" s="2" t="s">
        <v>911</v>
      </c>
      <c r="AA27" s="2" t="s">
        <v>2628</v>
      </c>
      <c r="AB27" s="2" t="s">
        <v>155</v>
      </c>
      <c r="AD27" s="153">
        <v>2036586.68</v>
      </c>
      <c r="AE27" s="162">
        <v>1</v>
      </c>
      <c r="AF27" s="179">
        <v>92.16</v>
      </c>
      <c r="AG27" s="153">
        <v>1876.9179999999999</v>
      </c>
      <c r="AJ27" s="2" t="s">
        <v>36</v>
      </c>
      <c r="AK27" s="168">
        <v>0.18040994387775</v>
      </c>
      <c r="AL27" s="168">
        <v>1.73254891639911E-3</v>
      </c>
    </row>
    <row r="28" spans="1:38">
      <c r="A28" s="2">
        <v>158</v>
      </c>
      <c r="B28" s="2">
        <v>9936</v>
      </c>
      <c r="C28" s="2" t="s">
        <v>1649</v>
      </c>
      <c r="D28" s="2" t="s">
        <v>1650</v>
      </c>
      <c r="E28" s="4" t="s">
        <v>330</v>
      </c>
      <c r="F28" s="2" t="s">
        <v>2635</v>
      </c>
      <c r="G28" s="2" t="s">
        <v>2636</v>
      </c>
      <c r="H28" s="2" t="s">
        <v>338</v>
      </c>
      <c r="I28" s="2" t="s">
        <v>985</v>
      </c>
      <c r="J28" s="2" t="s">
        <v>30</v>
      </c>
      <c r="K28" s="2" t="s">
        <v>107</v>
      </c>
      <c r="L28" s="4" t="s">
        <v>31</v>
      </c>
      <c r="M28" s="2" t="s">
        <v>456</v>
      </c>
      <c r="N28" s="2" t="s">
        <v>153</v>
      </c>
      <c r="O28" s="2" t="s">
        <v>2637</v>
      </c>
      <c r="P28" s="2" t="s">
        <v>1724</v>
      </c>
      <c r="Q28" s="2" t="s">
        <v>430</v>
      </c>
      <c r="R28" s="2" t="s">
        <v>423</v>
      </c>
      <c r="S28" s="2" t="s">
        <v>44</v>
      </c>
      <c r="T28" s="153">
        <v>3.33</v>
      </c>
      <c r="U28" s="2" t="s">
        <v>2638</v>
      </c>
      <c r="V28" s="168">
        <v>5.9950000000000003E-2</v>
      </c>
      <c r="W28" s="168">
        <v>3.3500000000000002E-2</v>
      </c>
      <c r="X28" s="4" t="s">
        <v>429</v>
      </c>
      <c r="Y28" s="4" t="s">
        <v>153</v>
      </c>
      <c r="Z28" s="2" t="s">
        <v>911</v>
      </c>
      <c r="AA28" s="2" t="s">
        <v>2628</v>
      </c>
      <c r="AB28" s="2" t="s">
        <v>155</v>
      </c>
      <c r="AD28" s="153">
        <v>15341.2</v>
      </c>
      <c r="AE28" s="162">
        <v>1</v>
      </c>
      <c r="AF28" s="179">
        <v>91.84</v>
      </c>
      <c r="AG28" s="153">
        <v>14.089</v>
      </c>
      <c r="AJ28" s="2" t="s">
        <v>36</v>
      </c>
      <c r="AK28" s="168">
        <v>0.11752812728835001</v>
      </c>
      <c r="AL28" s="168">
        <v>8.8130964092485902E-4</v>
      </c>
    </row>
    <row r="29" spans="1:38">
      <c r="A29" s="2">
        <v>158</v>
      </c>
      <c r="B29" s="2">
        <v>9936</v>
      </c>
      <c r="C29" s="2" t="s">
        <v>2617</v>
      </c>
      <c r="D29" s="2" t="s">
        <v>2618</v>
      </c>
      <c r="E29" s="4" t="s">
        <v>1343</v>
      </c>
      <c r="F29" s="2" t="s">
        <v>2619</v>
      </c>
      <c r="G29" s="2" t="s">
        <v>2620</v>
      </c>
      <c r="H29" s="2" t="s">
        <v>338</v>
      </c>
      <c r="I29" s="2" t="s">
        <v>985</v>
      </c>
      <c r="J29" s="2" t="s">
        <v>30</v>
      </c>
      <c r="K29" s="2" t="s">
        <v>30</v>
      </c>
      <c r="L29" s="4" t="s">
        <v>31</v>
      </c>
      <c r="M29" s="2" t="s">
        <v>466</v>
      </c>
      <c r="N29" s="2" t="s">
        <v>153</v>
      </c>
      <c r="O29" s="2" t="s">
        <v>2621</v>
      </c>
      <c r="P29" s="2" t="s">
        <v>32</v>
      </c>
      <c r="Q29" s="2" t="s">
        <v>430</v>
      </c>
      <c r="R29" s="2" t="s">
        <v>423</v>
      </c>
      <c r="S29" s="2" t="s">
        <v>44</v>
      </c>
      <c r="T29" s="153">
        <v>2.14</v>
      </c>
      <c r="U29" s="2" t="s">
        <v>2167</v>
      </c>
      <c r="V29" s="168">
        <v>2.8670000000000001E-2</v>
      </c>
      <c r="W29" s="168">
        <v>2.86E-2</v>
      </c>
      <c r="X29" s="4" t="s">
        <v>429</v>
      </c>
      <c r="Y29" s="4" t="s">
        <v>153</v>
      </c>
      <c r="Z29" s="2" t="s">
        <v>911</v>
      </c>
      <c r="AB29" s="2" t="s">
        <v>155</v>
      </c>
      <c r="AD29" s="153">
        <v>8571.43</v>
      </c>
      <c r="AE29" s="162">
        <v>1</v>
      </c>
      <c r="AF29" s="179">
        <v>95.51</v>
      </c>
      <c r="AG29" s="153">
        <v>8.1869999999999994</v>
      </c>
      <c r="AJ29" s="2" t="s">
        <v>36</v>
      </c>
      <c r="AK29" s="168">
        <v>6.82893119621137E-2</v>
      </c>
      <c r="AL29" s="168">
        <v>5.1208191939174899E-4</v>
      </c>
    </row>
    <row r="30" spans="1:38">
      <c r="A30" s="2">
        <v>158</v>
      </c>
      <c r="B30" s="2">
        <v>9936</v>
      </c>
      <c r="C30" s="2" t="s">
        <v>2693</v>
      </c>
      <c r="D30" s="2" t="s">
        <v>2694</v>
      </c>
      <c r="E30" s="4" t="s">
        <v>1343</v>
      </c>
      <c r="F30" s="2" t="s">
        <v>2695</v>
      </c>
      <c r="G30" s="2" t="s">
        <v>2696</v>
      </c>
      <c r="H30" s="2" t="s">
        <v>338</v>
      </c>
      <c r="I30" s="2" t="s">
        <v>985</v>
      </c>
      <c r="J30" s="2" t="s">
        <v>30</v>
      </c>
      <c r="K30" s="2" t="s">
        <v>30</v>
      </c>
      <c r="L30" s="4" t="s">
        <v>31</v>
      </c>
      <c r="M30" s="2" t="s">
        <v>466</v>
      </c>
      <c r="N30" s="2" t="s">
        <v>153</v>
      </c>
      <c r="O30" s="2" t="s">
        <v>2697</v>
      </c>
      <c r="P30" s="2" t="s">
        <v>98</v>
      </c>
      <c r="Q30" s="2" t="s">
        <v>448</v>
      </c>
      <c r="R30" s="2" t="s">
        <v>423</v>
      </c>
      <c r="S30" s="2" t="s">
        <v>44</v>
      </c>
      <c r="T30" s="153">
        <v>2.12</v>
      </c>
      <c r="U30" s="2" t="s">
        <v>1887</v>
      </c>
      <c r="V30" s="168">
        <v>6.2080000000000003E-2</v>
      </c>
      <c r="W30" s="168">
        <v>4.4699999999999997E-2</v>
      </c>
      <c r="X30" s="4" t="s">
        <v>429</v>
      </c>
      <c r="Y30" s="4" t="s">
        <v>153</v>
      </c>
      <c r="Z30" s="2" t="s">
        <v>911</v>
      </c>
      <c r="AA30" s="2" t="s">
        <v>913</v>
      </c>
      <c r="AB30" s="2" t="s">
        <v>155</v>
      </c>
      <c r="AD30" s="153">
        <v>12941.99</v>
      </c>
      <c r="AE30" s="162">
        <v>1</v>
      </c>
      <c r="AF30" s="179">
        <v>97.54</v>
      </c>
      <c r="AG30" s="153">
        <v>12.624000000000001</v>
      </c>
      <c r="AJ30" s="2" t="s">
        <v>36</v>
      </c>
      <c r="AK30" s="168">
        <v>0.10530146672386</v>
      </c>
      <c r="AL30" s="168">
        <v>7.8962542812902904E-4</v>
      </c>
    </row>
    <row r="31" spans="1:38">
      <c r="A31" s="2">
        <v>158</v>
      </c>
      <c r="B31" s="2">
        <v>9936</v>
      </c>
      <c r="C31" s="2" t="s">
        <v>2698</v>
      </c>
      <c r="D31" s="2" t="s">
        <v>2699</v>
      </c>
      <c r="E31" s="4" t="s">
        <v>1343</v>
      </c>
      <c r="F31" s="2" t="s">
        <v>2700</v>
      </c>
      <c r="G31" s="2" t="s">
        <v>2701</v>
      </c>
      <c r="H31" s="2" t="s">
        <v>338</v>
      </c>
      <c r="I31" s="2" t="s">
        <v>985</v>
      </c>
      <c r="J31" s="2" t="s">
        <v>30</v>
      </c>
      <c r="K31" s="2" t="s">
        <v>30</v>
      </c>
      <c r="L31" s="4" t="s">
        <v>31</v>
      </c>
      <c r="M31" s="2" t="s">
        <v>466</v>
      </c>
      <c r="N31" s="2" t="s">
        <v>153</v>
      </c>
      <c r="O31" s="2" t="s">
        <v>2702</v>
      </c>
      <c r="P31" s="2" t="s">
        <v>32</v>
      </c>
      <c r="Q31" s="2" t="s">
        <v>110</v>
      </c>
      <c r="R31" s="2" t="s">
        <v>423</v>
      </c>
      <c r="S31" s="2" t="s">
        <v>44</v>
      </c>
      <c r="T31" s="153">
        <v>1.79</v>
      </c>
      <c r="U31" s="2" t="s">
        <v>2703</v>
      </c>
      <c r="V31" s="168">
        <v>5.0819999999999997E-2</v>
      </c>
      <c r="W31" s="168">
        <v>2.1000000000000001E-2</v>
      </c>
      <c r="X31" s="4" t="s">
        <v>429</v>
      </c>
      <c r="Y31" s="4" t="s">
        <v>153</v>
      </c>
      <c r="Z31" s="2" t="s">
        <v>31</v>
      </c>
      <c r="AA31" s="2" t="s">
        <v>2628</v>
      </c>
      <c r="AB31" s="2" t="s">
        <v>155</v>
      </c>
      <c r="AD31" s="153">
        <v>4571.43</v>
      </c>
      <c r="AE31" s="162">
        <v>1</v>
      </c>
      <c r="AF31" s="179">
        <v>95.42</v>
      </c>
      <c r="AG31" s="153">
        <v>4.3620000000000001</v>
      </c>
      <c r="AJ31" s="2" t="s">
        <v>36</v>
      </c>
      <c r="AK31" s="168">
        <v>3.63866518560651E-2</v>
      </c>
      <c r="AL31" s="168">
        <v>2.72853042259828E-4</v>
      </c>
    </row>
    <row r="32" spans="1:38">
      <c r="A32" s="2">
        <v>158</v>
      </c>
      <c r="B32" s="2">
        <v>9936</v>
      </c>
      <c r="C32" s="2" t="s">
        <v>2712</v>
      </c>
      <c r="D32" s="2" t="s">
        <v>2713</v>
      </c>
      <c r="E32" s="4" t="s">
        <v>1343</v>
      </c>
      <c r="F32" s="2" t="s">
        <v>2714</v>
      </c>
      <c r="G32" s="2" t="s">
        <v>2715</v>
      </c>
      <c r="H32" s="2" t="s">
        <v>338</v>
      </c>
      <c r="I32" s="2" t="s">
        <v>985</v>
      </c>
      <c r="J32" s="2" t="s">
        <v>30</v>
      </c>
      <c r="K32" s="2" t="s">
        <v>30</v>
      </c>
      <c r="L32" s="4" t="s">
        <v>31</v>
      </c>
      <c r="M32" s="2" t="s">
        <v>494</v>
      </c>
      <c r="N32" s="2" t="s">
        <v>153</v>
      </c>
      <c r="O32" s="2" t="s">
        <v>2716</v>
      </c>
      <c r="P32" s="2" t="s">
        <v>1724</v>
      </c>
      <c r="Q32" s="2" t="s">
        <v>110</v>
      </c>
      <c r="R32" s="2" t="s">
        <v>423</v>
      </c>
      <c r="S32" s="2" t="s">
        <v>44</v>
      </c>
      <c r="T32" s="153">
        <v>0.82</v>
      </c>
      <c r="U32" s="2" t="s">
        <v>2627</v>
      </c>
      <c r="V32" s="168">
        <v>7.8320000000000001E-2</v>
      </c>
      <c r="W32" s="168">
        <v>6.5000000000000002E-2</v>
      </c>
      <c r="X32" s="4" t="s">
        <v>429</v>
      </c>
      <c r="Y32" s="4" t="s">
        <v>153</v>
      </c>
      <c r="Z32" s="2" t="s">
        <v>31</v>
      </c>
      <c r="AB32" s="2" t="s">
        <v>155</v>
      </c>
      <c r="AD32" s="153">
        <v>8513.24</v>
      </c>
      <c r="AE32" s="162">
        <v>1</v>
      </c>
      <c r="AF32" s="179">
        <v>100.03</v>
      </c>
      <c r="AG32" s="153">
        <v>8.516</v>
      </c>
      <c r="AJ32" s="2" t="s">
        <v>36</v>
      </c>
      <c r="AK32" s="168">
        <v>7.1035551245112502E-2</v>
      </c>
      <c r="AL32" s="168">
        <v>5.3267517831823001E-4</v>
      </c>
    </row>
    <row r="33" spans="1:38">
      <c r="A33" s="2">
        <v>158</v>
      </c>
      <c r="B33" s="2">
        <v>9936</v>
      </c>
      <c r="C33" s="2" t="s">
        <v>2622</v>
      </c>
      <c r="D33" s="2" t="s">
        <v>2623</v>
      </c>
      <c r="E33" s="4" t="s">
        <v>1343</v>
      </c>
      <c r="F33" s="2" t="s">
        <v>2717</v>
      </c>
      <c r="G33" s="2" t="s">
        <v>2718</v>
      </c>
      <c r="H33" s="2" t="s">
        <v>338</v>
      </c>
      <c r="I33" s="2" t="s">
        <v>772</v>
      </c>
      <c r="J33" s="2" t="s">
        <v>30</v>
      </c>
      <c r="K33" s="2" t="s">
        <v>30</v>
      </c>
      <c r="L33" s="4" t="s">
        <v>31</v>
      </c>
      <c r="M33" s="2" t="s">
        <v>461</v>
      </c>
      <c r="N33" s="2" t="s">
        <v>153</v>
      </c>
      <c r="O33" s="2" t="s">
        <v>2626</v>
      </c>
      <c r="P33" s="2" t="s">
        <v>109</v>
      </c>
      <c r="Q33" s="2" t="s">
        <v>430</v>
      </c>
      <c r="R33" s="2" t="s">
        <v>423</v>
      </c>
      <c r="S33" s="2" t="s">
        <v>44</v>
      </c>
      <c r="T33" s="153">
        <v>5.29</v>
      </c>
      <c r="U33" s="2" t="s">
        <v>2719</v>
      </c>
      <c r="V33" s="168">
        <v>-1.1199999999999999E-3</v>
      </c>
      <c r="W33" s="168">
        <v>2.1399999999999999E-2</v>
      </c>
      <c r="X33" s="4" t="s">
        <v>429</v>
      </c>
      <c r="Y33" s="4" t="s">
        <v>153</v>
      </c>
      <c r="Z33" s="2" t="s">
        <v>911</v>
      </c>
      <c r="AA33" s="2" t="s">
        <v>2628</v>
      </c>
      <c r="AB33" s="2" t="s">
        <v>155</v>
      </c>
      <c r="AD33" s="153">
        <v>17150.2</v>
      </c>
      <c r="AE33" s="162">
        <v>1</v>
      </c>
      <c r="AF33" s="179">
        <v>114.42</v>
      </c>
      <c r="AG33" s="153">
        <v>19.623000000000001</v>
      </c>
      <c r="AJ33" s="2" t="s">
        <v>36</v>
      </c>
      <c r="AK33" s="168">
        <v>0.16368984659659999</v>
      </c>
      <c r="AL33" s="168">
        <v>1.2274631039866301E-3</v>
      </c>
    </row>
    <row r="34" spans="1:38">
      <c r="A34" s="2">
        <v>158</v>
      </c>
      <c r="B34" s="2">
        <v>9936</v>
      </c>
      <c r="C34" s="2" t="s">
        <v>2622</v>
      </c>
      <c r="D34" s="2" t="s">
        <v>2623</v>
      </c>
      <c r="E34" s="4" t="s">
        <v>1343</v>
      </c>
      <c r="F34" s="2" t="s">
        <v>2624</v>
      </c>
      <c r="G34" s="2" t="s">
        <v>2625</v>
      </c>
      <c r="H34" s="2" t="s">
        <v>338</v>
      </c>
      <c r="I34" s="2" t="s">
        <v>985</v>
      </c>
      <c r="J34" s="2" t="s">
        <v>30</v>
      </c>
      <c r="K34" s="2" t="s">
        <v>30</v>
      </c>
      <c r="L34" s="4" t="s">
        <v>31</v>
      </c>
      <c r="M34" s="2" t="s">
        <v>461</v>
      </c>
      <c r="N34" s="2" t="s">
        <v>153</v>
      </c>
      <c r="O34" s="2" t="s">
        <v>2626</v>
      </c>
      <c r="P34" s="2" t="s">
        <v>109</v>
      </c>
      <c r="Q34" s="2" t="s">
        <v>430</v>
      </c>
      <c r="R34" s="2" t="s">
        <v>423</v>
      </c>
      <c r="S34" s="2" t="s">
        <v>44</v>
      </c>
      <c r="T34" s="153">
        <v>0.94</v>
      </c>
      <c r="U34" s="2" t="s">
        <v>2627</v>
      </c>
      <c r="V34" s="168">
        <v>5.1029999999999999E-2</v>
      </c>
      <c r="W34" s="168">
        <v>2.5000000000000001E-2</v>
      </c>
      <c r="X34" s="4" t="s">
        <v>429</v>
      </c>
      <c r="Y34" s="4" t="s">
        <v>357</v>
      </c>
      <c r="Z34" s="2" t="s">
        <v>911</v>
      </c>
      <c r="AA34" s="2" t="s">
        <v>2628</v>
      </c>
      <c r="AB34" s="2" t="s">
        <v>155</v>
      </c>
      <c r="AD34" s="153">
        <v>19987.400000000001</v>
      </c>
      <c r="AE34" s="162">
        <v>1</v>
      </c>
      <c r="AF34" s="179">
        <v>97.82</v>
      </c>
      <c r="AG34" s="153">
        <v>19.552</v>
      </c>
      <c r="AJ34" s="2" t="s">
        <v>36</v>
      </c>
      <c r="AK34" s="168">
        <v>0.16309271845062301</v>
      </c>
      <c r="AL34" s="168">
        <v>1.22298541167537E-3</v>
      </c>
    </row>
    <row r="35" spans="1:38">
      <c r="A35" s="2">
        <v>158</v>
      </c>
      <c r="B35" s="2">
        <v>9936</v>
      </c>
      <c r="C35" s="2" t="s">
        <v>2622</v>
      </c>
      <c r="D35" s="2" t="s">
        <v>2623</v>
      </c>
      <c r="E35" s="4" t="s">
        <v>1343</v>
      </c>
      <c r="F35" s="2" t="s">
        <v>2720</v>
      </c>
      <c r="G35" s="2" t="s">
        <v>2721</v>
      </c>
      <c r="H35" s="2" t="s">
        <v>338</v>
      </c>
      <c r="I35" s="2" t="s">
        <v>985</v>
      </c>
      <c r="J35" s="2" t="s">
        <v>30</v>
      </c>
      <c r="K35" s="2" t="s">
        <v>30</v>
      </c>
      <c r="L35" s="4" t="s">
        <v>31</v>
      </c>
      <c r="M35" s="2" t="s">
        <v>461</v>
      </c>
      <c r="N35" s="2" t="s">
        <v>153</v>
      </c>
      <c r="O35" s="2" t="s">
        <v>2626</v>
      </c>
      <c r="P35" s="2" t="s">
        <v>109</v>
      </c>
      <c r="Q35" s="2" t="s">
        <v>430</v>
      </c>
      <c r="R35" s="2" t="s">
        <v>423</v>
      </c>
      <c r="S35" s="2" t="s">
        <v>44</v>
      </c>
      <c r="T35" s="153">
        <v>4.72</v>
      </c>
      <c r="U35" s="2" t="s">
        <v>2719</v>
      </c>
      <c r="V35" s="168">
        <v>5.6090000000000001E-2</v>
      </c>
      <c r="W35" s="168">
        <v>3.7400000000000003E-2</v>
      </c>
      <c r="X35" s="4" t="s">
        <v>429</v>
      </c>
      <c r="Y35" s="4" t="s">
        <v>153</v>
      </c>
      <c r="Z35" s="2" t="s">
        <v>911</v>
      </c>
      <c r="AA35" s="2" t="s">
        <v>2628</v>
      </c>
      <c r="AB35" s="2" t="s">
        <v>155</v>
      </c>
      <c r="AD35" s="153">
        <v>35729.599999999999</v>
      </c>
      <c r="AE35" s="162">
        <v>1</v>
      </c>
      <c r="AF35" s="179">
        <v>92.16</v>
      </c>
      <c r="AG35" s="153">
        <v>32.927999999999997</v>
      </c>
      <c r="AJ35" s="2" t="s">
        <v>36</v>
      </c>
      <c r="AK35" s="168">
        <v>0.27467632587727497</v>
      </c>
      <c r="AL35" s="168">
        <v>2.05971880701835E-3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H1" zoomScale="70" zoomScaleNormal="70" workbookViewId="0">
      <selection activeCell="I27" sqref="I27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343</v>
      </c>
      <c r="M1" s="19" t="s">
        <v>168</v>
      </c>
      <c r="N1" s="19" t="s">
        <v>139</v>
      </c>
      <c r="O1" s="19" t="s">
        <v>176</v>
      </c>
      <c r="P1" s="19" t="s">
        <v>11</v>
      </c>
      <c r="Q1" s="19" t="s">
        <v>169</v>
      </c>
      <c r="R1" s="19" t="s">
        <v>170</v>
      </c>
      <c r="S1" s="19" t="s">
        <v>148</v>
      </c>
      <c r="T1" s="19" t="s">
        <v>171</v>
      </c>
      <c r="U1" s="19" t="s">
        <v>17</v>
      </c>
      <c r="V1" s="161" t="s">
        <v>18</v>
      </c>
      <c r="W1" s="172" t="s">
        <v>19</v>
      </c>
      <c r="X1" s="19" t="s">
        <v>20</v>
      </c>
      <c r="Y1" s="167" t="s">
        <v>24</v>
      </c>
      <c r="Z1" s="167" t="s">
        <v>25</v>
      </c>
    </row>
    <row r="2" spans="1:26">
      <c r="A2" s="20">
        <v>158</v>
      </c>
      <c r="B2" s="20">
        <v>1522</v>
      </c>
      <c r="C2" s="20" t="s">
        <v>2583</v>
      </c>
      <c r="D2" s="20" t="s">
        <v>2584</v>
      </c>
      <c r="E2" s="18" t="s">
        <v>43</v>
      </c>
      <c r="F2" s="20" t="s">
        <v>2585</v>
      </c>
      <c r="G2" s="20" t="s">
        <v>2586</v>
      </c>
      <c r="H2" s="18" t="s">
        <v>338</v>
      </c>
      <c r="I2" s="20" t="s">
        <v>784</v>
      </c>
      <c r="J2" s="18" t="s">
        <v>30</v>
      </c>
      <c r="K2" s="18" t="s">
        <v>30</v>
      </c>
      <c r="L2" s="20" t="s">
        <v>31</v>
      </c>
      <c r="M2" s="20" t="s">
        <v>464</v>
      </c>
      <c r="N2" s="20" t="s">
        <v>153</v>
      </c>
      <c r="O2" s="20" t="s">
        <v>2587</v>
      </c>
      <c r="P2" s="18" t="s">
        <v>44</v>
      </c>
      <c r="Q2" s="20" t="s">
        <v>31</v>
      </c>
      <c r="R2" s="20" t="s">
        <v>914</v>
      </c>
      <c r="S2" s="20" t="s">
        <v>2588</v>
      </c>
      <c r="T2" s="20"/>
      <c r="U2" s="155">
        <v>25848</v>
      </c>
      <c r="V2" s="177">
        <v>1</v>
      </c>
      <c r="W2" s="178">
        <v>0</v>
      </c>
      <c r="X2" s="155">
        <v>0</v>
      </c>
      <c r="Y2" s="176">
        <v>9.2894877843253605E-9</v>
      </c>
      <c r="Z2" s="176">
        <v>2.5350368983127898E-11</v>
      </c>
    </row>
    <row r="3" spans="1:26">
      <c r="A3" s="20">
        <v>158</v>
      </c>
      <c r="B3" s="20">
        <v>1522</v>
      </c>
      <c r="C3" s="20" t="s">
        <v>2589</v>
      </c>
      <c r="D3" s="20" t="s">
        <v>2590</v>
      </c>
      <c r="E3" s="18" t="s">
        <v>331</v>
      </c>
      <c r="F3" s="20" t="s">
        <v>2591</v>
      </c>
      <c r="G3" s="20" t="s">
        <v>2592</v>
      </c>
      <c r="H3" s="18" t="s">
        <v>338</v>
      </c>
      <c r="I3" s="20" t="s">
        <v>784</v>
      </c>
      <c r="J3" s="18" t="s">
        <v>106</v>
      </c>
      <c r="K3" s="18" t="s">
        <v>107</v>
      </c>
      <c r="L3" s="20" t="s">
        <v>31</v>
      </c>
      <c r="M3" s="20" t="s">
        <v>494</v>
      </c>
      <c r="N3" s="20" t="s">
        <v>153</v>
      </c>
      <c r="O3" s="20" t="s">
        <v>2593</v>
      </c>
      <c r="P3" s="18" t="s">
        <v>34</v>
      </c>
      <c r="Q3" s="20" t="s">
        <v>31</v>
      </c>
      <c r="R3" s="20"/>
      <c r="S3" s="20" t="s">
        <v>2593</v>
      </c>
      <c r="T3" s="20"/>
      <c r="U3" s="155">
        <v>300</v>
      </c>
      <c r="V3" s="177">
        <v>3.71</v>
      </c>
      <c r="W3" s="178">
        <v>2500</v>
      </c>
      <c r="X3" s="155">
        <v>27.824999999999999</v>
      </c>
      <c r="Y3" s="176">
        <v>0.99999999071051204</v>
      </c>
      <c r="Z3" s="176">
        <v>2.7289307372157798E-3</v>
      </c>
    </row>
    <row r="4" spans="1:26">
      <c r="A4" s="20">
        <v>158</v>
      </c>
      <c r="B4" s="20">
        <v>9935</v>
      </c>
      <c r="C4" s="20" t="s">
        <v>2366</v>
      </c>
      <c r="D4" s="20" t="s">
        <v>2367</v>
      </c>
      <c r="E4" s="18" t="s">
        <v>1343</v>
      </c>
      <c r="F4" s="20" t="s">
        <v>2594</v>
      </c>
      <c r="G4" s="20" t="s">
        <v>2595</v>
      </c>
      <c r="H4" s="18" t="s">
        <v>43</v>
      </c>
      <c r="I4" s="20" t="s">
        <v>784</v>
      </c>
      <c r="J4" s="18" t="s">
        <v>30</v>
      </c>
      <c r="K4" s="18" t="s">
        <v>30</v>
      </c>
      <c r="L4" s="20" t="s">
        <v>31</v>
      </c>
      <c r="M4" s="20" t="s">
        <v>479</v>
      </c>
      <c r="N4" s="20" t="s">
        <v>153</v>
      </c>
      <c r="O4" s="2" t="s">
        <v>2596</v>
      </c>
      <c r="P4" s="18" t="s">
        <v>44</v>
      </c>
      <c r="Q4" s="20" t="s">
        <v>31</v>
      </c>
      <c r="R4" s="20"/>
      <c r="S4" s="20" t="s">
        <v>2370</v>
      </c>
      <c r="T4" s="20"/>
      <c r="U4" s="155">
        <v>329</v>
      </c>
      <c r="V4" s="177">
        <v>1</v>
      </c>
      <c r="W4" s="178">
        <v>135234.27499999999</v>
      </c>
      <c r="X4" s="155">
        <v>444.92099999999999</v>
      </c>
      <c r="Y4" s="176">
        <v>3.7306580246879099E-2</v>
      </c>
      <c r="Z4" s="176">
        <v>4.1069821488978297E-4</v>
      </c>
    </row>
    <row r="5" spans="1:26">
      <c r="A5" s="20">
        <v>158</v>
      </c>
      <c r="B5" s="20">
        <v>9935</v>
      </c>
      <c r="C5" s="20" t="s">
        <v>2597</v>
      </c>
      <c r="D5" s="20" t="s">
        <v>2598</v>
      </c>
      <c r="E5" s="18" t="s">
        <v>1343</v>
      </c>
      <c r="F5" s="20" t="s">
        <v>2599</v>
      </c>
      <c r="G5" s="20" t="s">
        <v>2600</v>
      </c>
      <c r="H5" s="18" t="s">
        <v>43</v>
      </c>
      <c r="I5" s="20" t="s">
        <v>784</v>
      </c>
      <c r="J5" s="18" t="s">
        <v>30</v>
      </c>
      <c r="K5" s="18" t="s">
        <v>30</v>
      </c>
      <c r="L5" s="20" t="s">
        <v>31</v>
      </c>
      <c r="M5" s="20" t="s">
        <v>2601</v>
      </c>
      <c r="N5" s="20" t="s">
        <v>153</v>
      </c>
      <c r="O5" s="20" t="s">
        <v>2602</v>
      </c>
      <c r="P5" s="18" t="s">
        <v>34</v>
      </c>
      <c r="Q5" s="20" t="s">
        <v>31</v>
      </c>
      <c r="R5" s="20"/>
      <c r="S5" s="20" t="s">
        <v>2602</v>
      </c>
      <c r="T5" s="20"/>
      <c r="U5" s="155">
        <v>127813</v>
      </c>
      <c r="V5" s="177">
        <v>3.71</v>
      </c>
      <c r="W5" s="178">
        <v>24</v>
      </c>
      <c r="X5" s="155">
        <v>113.80500000000001</v>
      </c>
      <c r="Y5" s="176">
        <v>9.5425170734300194E-3</v>
      </c>
      <c r="Z5" s="176">
        <v>1.0505103125716899E-4</v>
      </c>
    </row>
    <row r="6" spans="1:26">
      <c r="A6" s="20">
        <v>158</v>
      </c>
      <c r="B6" s="20">
        <v>9935</v>
      </c>
      <c r="C6" s="20" t="s">
        <v>2603</v>
      </c>
      <c r="D6" s="20" t="s">
        <v>2604</v>
      </c>
      <c r="E6" s="18" t="s">
        <v>1343</v>
      </c>
      <c r="F6" s="20" t="s">
        <v>2603</v>
      </c>
      <c r="G6" s="20" t="s">
        <v>2605</v>
      </c>
      <c r="H6" s="18" t="s">
        <v>43</v>
      </c>
      <c r="I6" s="20" t="s">
        <v>784</v>
      </c>
      <c r="J6" s="18" t="s">
        <v>30</v>
      </c>
      <c r="K6" s="18" t="s">
        <v>30</v>
      </c>
      <c r="L6" s="20" t="s">
        <v>31</v>
      </c>
      <c r="M6" s="20" t="s">
        <v>464</v>
      </c>
      <c r="N6" s="20" t="s">
        <v>153</v>
      </c>
      <c r="O6" s="20" t="s">
        <v>2606</v>
      </c>
      <c r="P6" s="18" t="s">
        <v>34</v>
      </c>
      <c r="Q6" s="20" t="s">
        <v>31</v>
      </c>
      <c r="R6" s="20"/>
      <c r="S6" s="20" t="s">
        <v>2607</v>
      </c>
      <c r="T6" s="20"/>
      <c r="U6" s="155">
        <v>139876</v>
      </c>
      <c r="V6" s="177">
        <v>3.71</v>
      </c>
      <c r="W6" s="178">
        <v>830.053</v>
      </c>
      <c r="X6" s="155">
        <v>4307.4759999999997</v>
      </c>
      <c r="Y6" s="176">
        <v>0.36118158425616897</v>
      </c>
      <c r="Z6" s="176">
        <v>3.9761519529113503E-3</v>
      </c>
    </row>
    <row r="7" spans="1:26">
      <c r="A7" s="20">
        <v>158</v>
      </c>
      <c r="B7" s="20">
        <v>9935</v>
      </c>
      <c r="C7" s="20" t="s">
        <v>2583</v>
      </c>
      <c r="D7" s="20" t="s">
        <v>2584</v>
      </c>
      <c r="E7" s="18" t="s">
        <v>43</v>
      </c>
      <c r="F7" s="20" t="s">
        <v>2585</v>
      </c>
      <c r="G7" s="20" t="s">
        <v>2586</v>
      </c>
      <c r="H7" s="18" t="s">
        <v>338</v>
      </c>
      <c r="I7" s="20" t="s">
        <v>784</v>
      </c>
      <c r="J7" s="18" t="s">
        <v>30</v>
      </c>
      <c r="K7" s="18" t="s">
        <v>30</v>
      </c>
      <c r="L7" s="20" t="s">
        <v>31</v>
      </c>
      <c r="M7" s="20" t="s">
        <v>464</v>
      </c>
      <c r="N7" s="20" t="s">
        <v>153</v>
      </c>
      <c r="O7" s="20" t="s">
        <v>2587</v>
      </c>
      <c r="P7" s="18" t="s">
        <v>44</v>
      </c>
      <c r="Q7" s="20" t="s">
        <v>31</v>
      </c>
      <c r="R7" s="20" t="s">
        <v>914</v>
      </c>
      <c r="S7" s="20" t="s">
        <v>2588</v>
      </c>
      <c r="T7" s="20"/>
      <c r="U7" s="155">
        <v>840064</v>
      </c>
      <c r="V7" s="177">
        <v>1</v>
      </c>
      <c r="W7" s="178">
        <v>0</v>
      </c>
      <c r="X7" s="155">
        <v>0</v>
      </c>
      <c r="Y7" s="176">
        <v>7.0439317540335701E-10</v>
      </c>
      <c r="Z7" s="176">
        <v>7.7544770333889194E-12</v>
      </c>
    </row>
    <row r="8" spans="1:26">
      <c r="A8" s="20">
        <v>158</v>
      </c>
      <c r="B8" s="20">
        <v>9935</v>
      </c>
      <c r="C8" s="20" t="s">
        <v>2608</v>
      </c>
      <c r="D8" s="20" t="s">
        <v>2609</v>
      </c>
      <c r="E8" s="18" t="s">
        <v>43</v>
      </c>
      <c r="F8" s="20" t="s">
        <v>2610</v>
      </c>
      <c r="G8" s="20" t="s">
        <v>2611</v>
      </c>
      <c r="H8" s="18" t="s">
        <v>43</v>
      </c>
      <c r="I8" s="20" t="s">
        <v>784</v>
      </c>
      <c r="J8" s="18" t="s">
        <v>106</v>
      </c>
      <c r="K8" s="18" t="s">
        <v>257</v>
      </c>
      <c r="L8" s="20" t="s">
        <v>31</v>
      </c>
      <c r="M8" s="20" t="s">
        <v>562</v>
      </c>
      <c r="N8" s="20" t="s">
        <v>153</v>
      </c>
      <c r="O8" s="20" t="s">
        <v>2612</v>
      </c>
      <c r="P8" s="18" t="s">
        <v>1199</v>
      </c>
      <c r="Q8" s="20" t="s">
        <v>31</v>
      </c>
      <c r="R8" s="20"/>
      <c r="S8" s="20" t="s">
        <v>155</v>
      </c>
      <c r="T8" s="20"/>
      <c r="U8" s="155">
        <v>361800</v>
      </c>
      <c r="V8" s="177">
        <v>4.1524000000000001</v>
      </c>
      <c r="W8" s="178">
        <v>142.56700000000001</v>
      </c>
      <c r="X8" s="155">
        <v>2141.8420000000001</v>
      </c>
      <c r="Y8" s="176">
        <v>0.17959330007244101</v>
      </c>
      <c r="Z8" s="176">
        <v>1.9770948518415101E-3</v>
      </c>
    </row>
    <row r="9" spans="1:26">
      <c r="A9" s="20">
        <v>158</v>
      </c>
      <c r="B9" s="20">
        <v>9935</v>
      </c>
      <c r="C9" s="20" t="s">
        <v>2613</v>
      </c>
      <c r="D9" s="20" t="s">
        <v>2614</v>
      </c>
      <c r="E9" s="18" t="s">
        <v>43</v>
      </c>
      <c r="F9" s="20" t="s">
        <v>2613</v>
      </c>
      <c r="G9" s="20" t="s">
        <v>2615</v>
      </c>
      <c r="H9" s="18" t="s">
        <v>340</v>
      </c>
      <c r="I9" s="20" t="s">
        <v>784</v>
      </c>
      <c r="J9" s="18" t="s">
        <v>106</v>
      </c>
      <c r="K9" s="18" t="s">
        <v>107</v>
      </c>
      <c r="L9" s="20" t="s">
        <v>31</v>
      </c>
      <c r="M9" s="20" t="s">
        <v>562</v>
      </c>
      <c r="N9" s="20" t="s">
        <v>153</v>
      </c>
      <c r="O9" s="20" t="s">
        <v>2606</v>
      </c>
      <c r="P9" s="18" t="s">
        <v>34</v>
      </c>
      <c r="Q9" s="20" t="s">
        <v>31</v>
      </c>
      <c r="R9" s="20"/>
      <c r="S9" s="20" t="s">
        <v>2616</v>
      </c>
      <c r="T9" s="20"/>
      <c r="U9" s="155">
        <v>4300</v>
      </c>
      <c r="V9" s="177">
        <v>3.71</v>
      </c>
      <c r="W9" s="178">
        <v>20229.37</v>
      </c>
      <c r="X9" s="155">
        <v>3227.1909999999998</v>
      </c>
      <c r="Y9" s="176">
        <v>0.27059981086360901</v>
      </c>
      <c r="Z9" s="176">
        <v>2.9789613128770901E-3</v>
      </c>
    </row>
    <row r="10" spans="1:26">
      <c r="A10" s="20">
        <v>158</v>
      </c>
      <c r="B10" s="20">
        <v>9935</v>
      </c>
      <c r="C10" s="20" t="s">
        <v>2589</v>
      </c>
      <c r="D10" s="20" t="s">
        <v>2590</v>
      </c>
      <c r="E10" s="18" t="s">
        <v>331</v>
      </c>
      <c r="F10" s="20" t="s">
        <v>2591</v>
      </c>
      <c r="G10" s="20" t="s">
        <v>2592</v>
      </c>
      <c r="H10" s="18" t="s">
        <v>338</v>
      </c>
      <c r="I10" s="20" t="s">
        <v>784</v>
      </c>
      <c r="J10" s="18" t="s">
        <v>106</v>
      </c>
      <c r="K10" s="18" t="s">
        <v>107</v>
      </c>
      <c r="L10" s="20" t="s">
        <v>31</v>
      </c>
      <c r="M10" s="20" t="s">
        <v>494</v>
      </c>
      <c r="N10" s="20" t="s">
        <v>153</v>
      </c>
      <c r="O10" s="20" t="s">
        <v>2593</v>
      </c>
      <c r="P10" s="18" t="s">
        <v>34</v>
      </c>
      <c r="Q10" s="20" t="s">
        <v>31</v>
      </c>
      <c r="R10" s="20"/>
      <c r="S10" s="20" t="s">
        <v>2593</v>
      </c>
      <c r="T10" s="20"/>
      <c r="U10" s="155">
        <v>18230</v>
      </c>
      <c r="V10" s="177">
        <v>3.71</v>
      </c>
      <c r="W10" s="178">
        <v>2500</v>
      </c>
      <c r="X10" s="155">
        <v>1690.8320000000001</v>
      </c>
      <c r="Y10" s="176">
        <v>0.14177620678307801</v>
      </c>
      <c r="Z10" s="176">
        <v>1.5607765347113499E-3</v>
      </c>
    </row>
    <row r="11" spans="1:26">
      <c r="A11" s="20">
        <v>158</v>
      </c>
      <c r="B11" s="20">
        <v>9936</v>
      </c>
      <c r="C11" s="20" t="s">
        <v>2583</v>
      </c>
      <c r="D11" s="20" t="s">
        <v>2584</v>
      </c>
      <c r="E11" s="18" t="s">
        <v>43</v>
      </c>
      <c r="F11" s="20" t="s">
        <v>2585</v>
      </c>
      <c r="G11" s="20" t="s">
        <v>2586</v>
      </c>
      <c r="H11" s="18" t="s">
        <v>338</v>
      </c>
      <c r="I11" s="20" t="s">
        <v>784</v>
      </c>
      <c r="J11" s="18" t="s">
        <v>30</v>
      </c>
      <c r="K11" s="18" t="s">
        <v>30</v>
      </c>
      <c r="L11" s="20" t="s">
        <v>31</v>
      </c>
      <c r="M11" s="20" t="s">
        <v>464</v>
      </c>
      <c r="N11" s="20" t="s">
        <v>153</v>
      </c>
      <c r="O11" s="20" t="s">
        <v>2587</v>
      </c>
      <c r="P11" s="18" t="s">
        <v>44</v>
      </c>
      <c r="Q11" s="20" t="s">
        <v>31</v>
      </c>
      <c r="R11" s="20" t="s">
        <v>914</v>
      </c>
      <c r="S11" s="20" t="s">
        <v>2588</v>
      </c>
      <c r="T11" s="20"/>
      <c r="U11" s="155">
        <v>16963</v>
      </c>
      <c r="V11" s="177">
        <v>1</v>
      </c>
      <c r="W11" s="178">
        <v>0</v>
      </c>
      <c r="X11" s="155">
        <v>0</v>
      </c>
      <c r="Y11" s="176">
        <v>5.08026352615259E-9</v>
      </c>
      <c r="Z11" s="176">
        <v>1.0610600819514698E-11</v>
      </c>
    </row>
    <row r="12" spans="1:26">
      <c r="A12" s="20">
        <v>158</v>
      </c>
      <c r="B12" s="20">
        <v>9936</v>
      </c>
      <c r="C12" s="20" t="s">
        <v>2589</v>
      </c>
      <c r="D12" s="20" t="s">
        <v>2590</v>
      </c>
      <c r="E12" s="18" t="s">
        <v>331</v>
      </c>
      <c r="F12" s="20" t="s">
        <v>2591</v>
      </c>
      <c r="G12" s="20" t="s">
        <v>2592</v>
      </c>
      <c r="H12" s="18" t="s">
        <v>338</v>
      </c>
      <c r="I12" s="20" t="s">
        <v>784</v>
      </c>
      <c r="J12" s="18" t="s">
        <v>106</v>
      </c>
      <c r="K12" s="18" t="s">
        <v>107</v>
      </c>
      <c r="L12" s="20" t="s">
        <v>31</v>
      </c>
      <c r="M12" s="20" t="s">
        <v>494</v>
      </c>
      <c r="N12" s="20" t="s">
        <v>153</v>
      </c>
      <c r="O12" s="20" t="s">
        <v>2593</v>
      </c>
      <c r="P12" s="18" t="s">
        <v>34</v>
      </c>
      <c r="Q12" s="20" t="s">
        <v>31</v>
      </c>
      <c r="R12" s="20"/>
      <c r="S12" s="20" t="s">
        <v>2593</v>
      </c>
      <c r="T12" s="20"/>
      <c r="U12" s="155">
        <v>360</v>
      </c>
      <c r="V12" s="177">
        <v>3.71</v>
      </c>
      <c r="W12" s="178">
        <v>2500</v>
      </c>
      <c r="X12" s="155">
        <v>33.39</v>
      </c>
      <c r="Y12" s="176">
        <v>0.99999999491973601</v>
      </c>
      <c r="Z12" s="176">
        <v>2.0885925918976301E-3</v>
      </c>
    </row>
    <row r="13" spans="1:26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18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18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18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4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E20" s="18"/>
      <c r="H20" s="4"/>
      <c r="I20" s="20"/>
      <c r="J20" s="18"/>
      <c r="K20" s="18"/>
      <c r="L20" s="20"/>
      <c r="M20" s="20"/>
      <c r="N20" s="20"/>
      <c r="R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A49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208</v>
      </c>
      <c r="D1" s="19" t="s">
        <v>209</v>
      </c>
      <c r="E1" s="19" t="s">
        <v>210</v>
      </c>
      <c r="F1" s="19" t="s">
        <v>211</v>
      </c>
      <c r="G1" s="19" t="s">
        <v>212</v>
      </c>
      <c r="H1" s="19" t="s">
        <v>213</v>
      </c>
      <c r="I1" s="19" t="s">
        <v>5</v>
      </c>
      <c r="J1" s="19" t="s">
        <v>849</v>
      </c>
      <c r="K1" s="19" t="s">
        <v>6</v>
      </c>
      <c r="L1" s="19" t="s">
        <v>1147</v>
      </c>
      <c r="M1" s="19" t="s">
        <v>1148</v>
      </c>
      <c r="N1" s="19" t="s">
        <v>7</v>
      </c>
      <c r="O1" s="19" t="s">
        <v>139</v>
      </c>
      <c r="P1" s="29" t="s">
        <v>176</v>
      </c>
      <c r="Q1" s="19" t="s">
        <v>11</v>
      </c>
      <c r="R1" s="19" t="s">
        <v>169</v>
      </c>
      <c r="S1" s="19" t="s">
        <v>170</v>
      </c>
      <c r="T1" s="19" t="s">
        <v>148</v>
      </c>
      <c r="U1" s="161" t="s">
        <v>18</v>
      </c>
      <c r="V1" s="106" t="s">
        <v>2340</v>
      </c>
      <c r="W1" s="19" t="s">
        <v>20</v>
      </c>
      <c r="X1" s="167" t="s">
        <v>1150</v>
      </c>
      <c r="Y1" s="167" t="s">
        <v>24</v>
      </c>
      <c r="Z1" s="167" t="s">
        <v>25</v>
      </c>
      <c r="AA1" s="11"/>
    </row>
    <row r="2" spans="1:27">
      <c r="A2" s="20">
        <v>158</v>
      </c>
      <c r="B2" s="20">
        <v>9935</v>
      </c>
      <c r="C2" s="20" t="s">
        <v>2341</v>
      </c>
      <c r="D2" s="20"/>
      <c r="E2" s="20" t="s">
        <v>31</v>
      </c>
      <c r="F2" s="20" t="s">
        <v>2342</v>
      </c>
      <c r="G2" s="20">
        <v>50007954</v>
      </c>
      <c r="H2" s="20" t="s">
        <v>43</v>
      </c>
      <c r="I2" s="2" t="s">
        <v>1044</v>
      </c>
      <c r="J2" s="20" t="s">
        <v>585</v>
      </c>
      <c r="K2" s="18" t="s">
        <v>30</v>
      </c>
      <c r="L2" s="20"/>
      <c r="M2" s="20"/>
      <c r="N2" s="18" t="s">
        <v>30</v>
      </c>
      <c r="O2" s="20" t="s">
        <v>153</v>
      </c>
      <c r="P2" t="s">
        <v>2343</v>
      </c>
      <c r="Q2" s="18" t="s">
        <v>44</v>
      </c>
      <c r="R2" s="20" t="s">
        <v>31</v>
      </c>
      <c r="S2" s="20"/>
      <c r="T2" s="20" t="s">
        <v>155</v>
      </c>
      <c r="U2" s="177">
        <v>1</v>
      </c>
      <c r="V2" s="155">
        <v>2805.9609999999998</v>
      </c>
      <c r="W2" s="155">
        <v>2805.9609999999998</v>
      </c>
      <c r="X2" s="176">
        <v>0</v>
      </c>
      <c r="Y2" s="176">
        <v>1.2769690731252999E-2</v>
      </c>
      <c r="Z2" s="176">
        <v>2.5901316375338801E-3</v>
      </c>
    </row>
    <row r="3" spans="1:27">
      <c r="A3" s="20">
        <v>158</v>
      </c>
      <c r="B3" s="20">
        <v>9935</v>
      </c>
      <c r="C3" s="20" t="s">
        <v>2344</v>
      </c>
      <c r="D3" s="2" t="s">
        <v>2345</v>
      </c>
      <c r="E3" s="20" t="s">
        <v>330</v>
      </c>
      <c r="F3" s="20" t="s">
        <v>2346</v>
      </c>
      <c r="G3" s="20">
        <v>50007921</v>
      </c>
      <c r="H3" s="20" t="s">
        <v>43</v>
      </c>
      <c r="I3" s="2" t="s">
        <v>1044</v>
      </c>
      <c r="J3" s="20" t="s">
        <v>863</v>
      </c>
      <c r="K3" s="18" t="s">
        <v>30</v>
      </c>
      <c r="L3" s="20" t="s">
        <v>237</v>
      </c>
      <c r="M3" s="20" t="s">
        <v>2347</v>
      </c>
      <c r="N3" s="18" t="s">
        <v>30</v>
      </c>
      <c r="O3" s="20" t="s">
        <v>153</v>
      </c>
      <c r="P3" t="s">
        <v>2348</v>
      </c>
      <c r="Q3" s="18" t="s">
        <v>44</v>
      </c>
      <c r="R3" s="20" t="s">
        <v>910</v>
      </c>
      <c r="S3" s="20" t="s">
        <v>913</v>
      </c>
      <c r="T3" s="27" t="s">
        <v>2349</v>
      </c>
      <c r="U3" s="177">
        <v>1</v>
      </c>
      <c r="V3" s="155">
        <v>975.45600000000002</v>
      </c>
      <c r="W3" s="155">
        <v>975.45600000000002</v>
      </c>
      <c r="X3" s="183">
        <v>0</v>
      </c>
      <c r="Y3" s="176">
        <v>4.4392169199619202E-3</v>
      </c>
      <c r="Z3" s="176">
        <v>9.0042558056069799E-4</v>
      </c>
    </row>
    <row r="4" spans="1:27">
      <c r="A4" s="20">
        <v>158</v>
      </c>
      <c r="B4" s="20">
        <v>9935</v>
      </c>
      <c r="C4" s="20" t="s">
        <v>2350</v>
      </c>
      <c r="D4" s="2" t="s">
        <v>2351</v>
      </c>
      <c r="E4" s="20" t="s">
        <v>1343</v>
      </c>
      <c r="F4" s="20" t="s">
        <v>2352</v>
      </c>
      <c r="G4" s="20">
        <v>50007145</v>
      </c>
      <c r="H4" s="20" t="s">
        <v>43</v>
      </c>
      <c r="I4" s="2" t="s">
        <v>1044</v>
      </c>
      <c r="J4" s="20" t="s">
        <v>585</v>
      </c>
      <c r="K4" s="18" t="s">
        <v>30</v>
      </c>
      <c r="L4" s="20"/>
      <c r="M4" s="20"/>
      <c r="N4" s="18"/>
      <c r="O4" s="20" t="s">
        <v>153</v>
      </c>
      <c r="P4" t="s">
        <v>2353</v>
      </c>
      <c r="Q4" s="18" t="s">
        <v>44</v>
      </c>
      <c r="R4" s="20" t="s">
        <v>31</v>
      </c>
      <c r="S4" s="20"/>
      <c r="T4" s="20" t="s">
        <v>155</v>
      </c>
      <c r="U4" s="177">
        <v>1</v>
      </c>
      <c r="V4" s="155">
        <v>4035.277</v>
      </c>
      <c r="W4" s="155">
        <v>4035.277</v>
      </c>
      <c r="X4" s="183">
        <v>0</v>
      </c>
      <c r="Y4" s="176">
        <v>1.8364199425732902E-2</v>
      </c>
      <c r="Z4" s="176">
        <v>3.7248900487588201E-3</v>
      </c>
    </row>
    <row r="5" spans="1:27">
      <c r="A5" s="20">
        <v>158</v>
      </c>
      <c r="B5" s="20">
        <v>9935</v>
      </c>
      <c r="C5" s="20" t="s">
        <v>2354</v>
      </c>
      <c r="D5" s="2" t="s">
        <v>2355</v>
      </c>
      <c r="E5" s="20" t="s">
        <v>329</v>
      </c>
      <c r="F5" s="20" t="s">
        <v>2356</v>
      </c>
      <c r="G5" s="20">
        <v>62014386</v>
      </c>
      <c r="H5" s="20" t="s">
        <v>43</v>
      </c>
      <c r="I5" s="2" t="s">
        <v>1044</v>
      </c>
      <c r="J5" s="20" t="s">
        <v>585</v>
      </c>
      <c r="K5" s="18" t="s">
        <v>30</v>
      </c>
      <c r="L5" s="20"/>
      <c r="M5" s="20"/>
      <c r="N5" s="18" t="s">
        <v>30</v>
      </c>
      <c r="O5" s="20" t="s">
        <v>153</v>
      </c>
      <c r="P5" t="s">
        <v>2357</v>
      </c>
      <c r="Q5" s="18" t="s">
        <v>34</v>
      </c>
      <c r="R5" s="20" t="s">
        <v>31</v>
      </c>
      <c r="S5" s="20"/>
      <c r="T5" s="20" t="s">
        <v>2358</v>
      </c>
      <c r="U5" s="177">
        <v>3.71</v>
      </c>
      <c r="V5" s="155">
        <v>503.70600000000002</v>
      </c>
      <c r="W5" s="155">
        <v>1868.7470000000001</v>
      </c>
      <c r="X5" s="183">
        <v>0</v>
      </c>
      <c r="Y5" s="176">
        <v>8.5045099986874005E-3</v>
      </c>
      <c r="Z5" s="176">
        <v>1.7250065700817399E-3</v>
      </c>
    </row>
    <row r="6" spans="1:27">
      <c r="A6" s="20">
        <v>158</v>
      </c>
      <c r="B6" s="20">
        <v>9935</v>
      </c>
      <c r="C6" s="20" t="s">
        <v>2359</v>
      </c>
      <c r="D6" s="2" t="s">
        <v>2360</v>
      </c>
      <c r="E6" s="20" t="s">
        <v>1343</v>
      </c>
      <c r="F6" s="20" t="s">
        <v>2361</v>
      </c>
      <c r="G6" s="20">
        <v>62012059</v>
      </c>
      <c r="H6" s="20" t="s">
        <v>43</v>
      </c>
      <c r="I6" s="2" t="s">
        <v>1044</v>
      </c>
      <c r="J6" s="20" t="s">
        <v>585</v>
      </c>
      <c r="K6" s="18" t="s">
        <v>30</v>
      </c>
      <c r="L6" s="20"/>
      <c r="M6" s="20"/>
      <c r="N6" s="18" t="s">
        <v>30</v>
      </c>
      <c r="O6" s="20" t="s">
        <v>153</v>
      </c>
      <c r="P6" t="s">
        <v>2362</v>
      </c>
      <c r="Q6" s="18" t="s">
        <v>34</v>
      </c>
      <c r="R6" s="20" t="s">
        <v>31</v>
      </c>
      <c r="S6" s="20"/>
      <c r="T6" s="20" t="s">
        <v>1338</v>
      </c>
      <c r="U6" s="177">
        <v>3.71</v>
      </c>
      <c r="V6" s="155">
        <v>924.029</v>
      </c>
      <c r="W6" s="155">
        <v>3428.1480000000001</v>
      </c>
      <c r="X6" s="176">
        <v>0</v>
      </c>
      <c r="Y6" s="176">
        <v>1.56012096203712E-2</v>
      </c>
      <c r="Z6" s="176">
        <v>3.1644608684705598E-3</v>
      </c>
    </row>
    <row r="7" spans="1:27">
      <c r="A7" s="20">
        <v>158</v>
      </c>
      <c r="B7" s="20">
        <v>9935</v>
      </c>
      <c r="C7" s="20" t="s">
        <v>2363</v>
      </c>
      <c r="D7" s="2" t="s">
        <v>2364</v>
      </c>
      <c r="E7" s="20" t="s">
        <v>1343</v>
      </c>
      <c r="F7" s="20" t="s">
        <v>2365</v>
      </c>
      <c r="G7" s="20">
        <v>9840796</v>
      </c>
      <c r="H7" s="20" t="s">
        <v>43</v>
      </c>
      <c r="I7" s="2" t="s">
        <v>1044</v>
      </c>
      <c r="J7" s="20" t="s">
        <v>585</v>
      </c>
      <c r="K7" s="18" t="s">
        <v>30</v>
      </c>
      <c r="L7" s="20"/>
      <c r="M7" s="20"/>
      <c r="N7" s="18" t="s">
        <v>30</v>
      </c>
      <c r="O7" s="20" t="s">
        <v>153</v>
      </c>
      <c r="P7" t="s">
        <v>164</v>
      </c>
      <c r="Q7" s="18" t="s">
        <v>34</v>
      </c>
      <c r="R7" s="20" t="s">
        <v>31</v>
      </c>
      <c r="S7" s="20"/>
      <c r="T7" s="20" t="s">
        <v>155</v>
      </c>
      <c r="U7" s="177">
        <v>3.71</v>
      </c>
      <c r="V7" s="155">
        <v>0</v>
      </c>
      <c r="W7" s="155">
        <v>2E-3</v>
      </c>
      <c r="X7" s="176">
        <v>0</v>
      </c>
      <c r="Y7" s="176">
        <v>8.1962521103892102E-9</v>
      </c>
      <c r="Z7" s="176">
        <v>1.6624812884751602E-9</v>
      </c>
    </row>
    <row r="8" spans="1:27">
      <c r="A8" s="20">
        <v>158</v>
      </c>
      <c r="B8" s="20">
        <v>9935</v>
      </c>
      <c r="C8" s="20" t="s">
        <v>2366</v>
      </c>
      <c r="D8" s="2" t="s">
        <v>2367</v>
      </c>
      <c r="E8" s="20" t="s">
        <v>1343</v>
      </c>
      <c r="F8" s="20" t="s">
        <v>2368</v>
      </c>
      <c r="G8" s="20">
        <v>56184</v>
      </c>
      <c r="H8" s="20" t="s">
        <v>43</v>
      </c>
      <c r="I8" s="2" t="s">
        <v>1044</v>
      </c>
      <c r="J8" s="20" t="s">
        <v>585</v>
      </c>
      <c r="K8" s="18" t="s">
        <v>30</v>
      </c>
      <c r="L8" s="20"/>
      <c r="M8" s="20"/>
      <c r="N8" s="18" t="s">
        <v>30</v>
      </c>
      <c r="O8" s="20" t="s">
        <v>153</v>
      </c>
      <c r="P8" t="s">
        <v>2369</v>
      </c>
      <c r="Q8" s="18" t="s">
        <v>44</v>
      </c>
      <c r="R8" s="20" t="s">
        <v>912</v>
      </c>
      <c r="S8" s="20" t="s">
        <v>914</v>
      </c>
      <c r="T8" s="20" t="s">
        <v>2370</v>
      </c>
      <c r="U8" s="177">
        <v>1</v>
      </c>
      <c r="V8" s="155">
        <v>171.53200000000001</v>
      </c>
      <c r="W8" s="155">
        <v>171.53200000000001</v>
      </c>
      <c r="X8" s="176">
        <v>0</v>
      </c>
      <c r="Y8" s="176">
        <v>7.8062747793282102E-4</v>
      </c>
      <c r="Z8" s="176">
        <v>1.58338049861578E-4</v>
      </c>
    </row>
    <row r="9" spans="1:27">
      <c r="A9" s="20">
        <v>158</v>
      </c>
      <c r="B9" s="20">
        <v>9935</v>
      </c>
      <c r="C9" s="20" t="s">
        <v>2371</v>
      </c>
      <c r="D9" s="2" t="s">
        <v>2372</v>
      </c>
      <c r="E9" s="20" t="s">
        <v>329</v>
      </c>
      <c r="F9" s="20" t="s">
        <v>2373</v>
      </c>
      <c r="G9" s="20">
        <v>50006782</v>
      </c>
      <c r="H9" s="20" t="s">
        <v>43</v>
      </c>
      <c r="I9" s="2" t="s">
        <v>1044</v>
      </c>
      <c r="J9" s="20" t="s">
        <v>585</v>
      </c>
      <c r="K9" s="18" t="s">
        <v>30</v>
      </c>
      <c r="L9" s="20"/>
      <c r="M9" s="20"/>
      <c r="N9" s="18" t="s">
        <v>30</v>
      </c>
      <c r="O9" s="20" t="s">
        <v>153</v>
      </c>
      <c r="P9" t="s">
        <v>2374</v>
      </c>
      <c r="Q9" s="18" t="s">
        <v>44</v>
      </c>
      <c r="R9" s="20" t="s">
        <v>31</v>
      </c>
      <c r="S9" s="20"/>
      <c r="T9" s="20" t="s">
        <v>2375</v>
      </c>
      <c r="U9" s="177">
        <v>1</v>
      </c>
      <c r="V9" s="155">
        <v>5135.2380000000003</v>
      </c>
      <c r="W9" s="155">
        <v>5135.2380000000003</v>
      </c>
      <c r="X9" s="176">
        <v>0</v>
      </c>
      <c r="Y9" s="176">
        <v>2.33700309348902E-2</v>
      </c>
      <c r="Z9" s="176">
        <v>4.7402445187225703E-3</v>
      </c>
    </row>
    <row r="10" spans="1:27">
      <c r="A10" s="20">
        <v>158</v>
      </c>
      <c r="B10" s="20">
        <v>9935</v>
      </c>
      <c r="C10" s="20" t="s">
        <v>2376</v>
      </c>
      <c r="D10" s="2" t="s">
        <v>2377</v>
      </c>
      <c r="E10" s="20" t="s">
        <v>43</v>
      </c>
      <c r="F10" s="20" t="s">
        <v>2378</v>
      </c>
      <c r="G10" s="20">
        <v>500051</v>
      </c>
      <c r="H10" s="20" t="s">
        <v>43</v>
      </c>
      <c r="I10" s="2" t="s">
        <v>1046</v>
      </c>
      <c r="J10" s="20" t="s">
        <v>585</v>
      </c>
      <c r="K10" s="18" t="s">
        <v>30</v>
      </c>
      <c r="L10" s="20"/>
      <c r="M10" s="20"/>
      <c r="N10" s="18" t="s">
        <v>30</v>
      </c>
      <c r="O10" s="20" t="s">
        <v>153</v>
      </c>
      <c r="P10" t="s">
        <v>2379</v>
      </c>
      <c r="Q10" s="18" t="s">
        <v>44</v>
      </c>
      <c r="R10" s="20" t="s">
        <v>31</v>
      </c>
      <c r="S10" s="20"/>
      <c r="T10" s="20" t="s">
        <v>2380</v>
      </c>
      <c r="U10" s="177">
        <v>1</v>
      </c>
      <c r="V10" s="155">
        <v>3686.2979999999998</v>
      </c>
      <c r="W10" s="155">
        <v>3686.2979999999998</v>
      </c>
      <c r="X10" s="176">
        <v>0</v>
      </c>
      <c r="Y10" s="176">
        <v>1.6776027543095599E-2</v>
      </c>
      <c r="Z10" s="176">
        <v>3.4027542722836002E-3</v>
      </c>
    </row>
    <row r="11" spans="1:27">
      <c r="A11" s="20">
        <v>158</v>
      </c>
      <c r="B11" s="20">
        <v>9935</v>
      </c>
      <c r="C11" s="20" t="s">
        <v>2381</v>
      </c>
      <c r="D11" s="2" t="s">
        <v>2382</v>
      </c>
      <c r="E11" s="20" t="s">
        <v>1343</v>
      </c>
      <c r="F11" s="20" t="s">
        <v>2383</v>
      </c>
      <c r="G11" s="20">
        <v>50006121</v>
      </c>
      <c r="H11" s="20" t="s">
        <v>43</v>
      </c>
      <c r="I11" s="2" t="s">
        <v>1046</v>
      </c>
      <c r="J11" s="20" t="s">
        <v>585</v>
      </c>
      <c r="K11" s="18" t="s">
        <v>30</v>
      </c>
      <c r="L11" s="20"/>
      <c r="M11" s="20"/>
      <c r="N11" s="18" t="s">
        <v>30</v>
      </c>
      <c r="O11" s="20" t="s">
        <v>153</v>
      </c>
      <c r="P11" t="s">
        <v>2384</v>
      </c>
      <c r="Q11" s="18" t="s">
        <v>44</v>
      </c>
      <c r="R11" s="20" t="s">
        <v>31</v>
      </c>
      <c r="S11" s="20"/>
      <c r="T11" s="20" t="s">
        <v>2380</v>
      </c>
      <c r="U11" s="177">
        <v>1</v>
      </c>
      <c r="V11" s="155">
        <v>2579.165</v>
      </c>
      <c r="W11" s="155">
        <v>2579.165</v>
      </c>
      <c r="X11" s="176">
        <v>0</v>
      </c>
      <c r="Y11" s="176">
        <v>1.1737558666675699E-2</v>
      </c>
      <c r="Z11" s="176">
        <v>2.3807798238652798E-3</v>
      </c>
    </row>
    <row r="12" spans="1:27">
      <c r="A12" s="20">
        <v>158</v>
      </c>
      <c r="B12" s="20">
        <v>9935</v>
      </c>
      <c r="C12" s="20" t="s">
        <v>2381</v>
      </c>
      <c r="D12" s="2" t="s">
        <v>2382</v>
      </c>
      <c r="E12" s="20" t="s">
        <v>1343</v>
      </c>
      <c r="F12" s="20" t="s">
        <v>2385</v>
      </c>
      <c r="G12" s="20">
        <v>99630</v>
      </c>
      <c r="H12" s="20" t="s">
        <v>43</v>
      </c>
      <c r="I12" s="2" t="s">
        <v>1046</v>
      </c>
      <c r="J12" s="20" t="s">
        <v>585</v>
      </c>
      <c r="K12" s="18" t="s">
        <v>30</v>
      </c>
      <c r="L12" s="20"/>
      <c r="M12" s="20"/>
      <c r="N12" s="18" t="s">
        <v>30</v>
      </c>
      <c r="O12" s="20" t="s">
        <v>153</v>
      </c>
      <c r="P12" t="s">
        <v>2386</v>
      </c>
      <c r="Q12" s="18" t="s">
        <v>44</v>
      </c>
      <c r="R12" s="20" t="s">
        <v>31</v>
      </c>
      <c r="S12" s="20"/>
      <c r="T12" s="20" t="s">
        <v>2380</v>
      </c>
      <c r="U12" s="177">
        <v>1</v>
      </c>
      <c r="V12" s="155">
        <v>2911.7179999999998</v>
      </c>
      <c r="W12" s="155">
        <v>2911.7179999999998</v>
      </c>
      <c r="X12" s="176">
        <v>8.7999999999999998E-5</v>
      </c>
      <c r="Y12" s="176">
        <v>1.32509816787194E-2</v>
      </c>
      <c r="Z12" s="176">
        <v>2.6877539634090298E-3</v>
      </c>
    </row>
    <row r="13" spans="1:27">
      <c r="A13" s="20">
        <v>158</v>
      </c>
      <c r="B13" s="20">
        <v>9935</v>
      </c>
      <c r="C13" s="20" t="s">
        <v>2387</v>
      </c>
      <c r="D13" s="2" t="s">
        <v>2388</v>
      </c>
      <c r="E13" s="20" t="s">
        <v>1343</v>
      </c>
      <c r="F13" s="20" t="s">
        <v>2389</v>
      </c>
      <c r="G13" s="20">
        <v>62017521</v>
      </c>
      <c r="H13" s="20" t="s">
        <v>43</v>
      </c>
      <c r="I13" s="2" t="s">
        <v>1044</v>
      </c>
      <c r="J13" s="20" t="s">
        <v>585</v>
      </c>
      <c r="K13" s="18" t="s">
        <v>30</v>
      </c>
      <c r="L13" s="20"/>
      <c r="M13" s="20"/>
      <c r="N13" s="18" t="s">
        <v>30</v>
      </c>
      <c r="O13" s="20" t="s">
        <v>153</v>
      </c>
      <c r="P13" t="s">
        <v>2390</v>
      </c>
      <c r="Q13" s="18" t="s">
        <v>34</v>
      </c>
      <c r="R13" s="20" t="s">
        <v>31</v>
      </c>
      <c r="S13" s="20"/>
      <c r="T13" s="20" t="s">
        <v>2391</v>
      </c>
      <c r="U13" s="177">
        <v>3.71</v>
      </c>
      <c r="V13" s="155">
        <v>1336.6489999999999</v>
      </c>
      <c r="W13" s="155">
        <v>4958.9660000000003</v>
      </c>
      <c r="X13" s="176">
        <v>0</v>
      </c>
      <c r="Y13" s="176">
        <v>2.2567831999717299E-2</v>
      </c>
      <c r="Z13" s="176">
        <v>4.5775310368289203E-3</v>
      </c>
    </row>
    <row r="14" spans="1:27">
      <c r="A14" s="20">
        <v>158</v>
      </c>
      <c r="B14" s="20">
        <v>9935</v>
      </c>
      <c r="C14" s="20" t="s">
        <v>2392</v>
      </c>
      <c r="D14" s="2" t="s">
        <v>2393</v>
      </c>
      <c r="E14" s="20" t="s">
        <v>329</v>
      </c>
      <c r="F14" s="20" t="s">
        <v>2394</v>
      </c>
      <c r="G14" s="20">
        <v>620182540</v>
      </c>
      <c r="H14" s="20" t="s">
        <v>43</v>
      </c>
      <c r="I14" s="2" t="s">
        <v>1044</v>
      </c>
      <c r="J14" s="20" t="s">
        <v>585</v>
      </c>
      <c r="K14" s="18" t="s">
        <v>30</v>
      </c>
      <c r="L14" s="20"/>
      <c r="M14" s="20"/>
      <c r="N14" s="18" t="s">
        <v>30</v>
      </c>
      <c r="O14" s="20" t="s">
        <v>153</v>
      </c>
      <c r="P14" t="s">
        <v>2395</v>
      </c>
      <c r="Q14" s="18" t="s">
        <v>34</v>
      </c>
      <c r="R14" s="20" t="s">
        <v>31</v>
      </c>
      <c r="S14" s="20"/>
      <c r="T14" s="20" t="s">
        <v>2349</v>
      </c>
      <c r="U14" s="177">
        <v>3.71</v>
      </c>
      <c r="V14" s="155">
        <v>225.79599999999999</v>
      </c>
      <c r="W14" s="155">
        <v>837.70299999999997</v>
      </c>
      <c r="X14" s="176">
        <v>0</v>
      </c>
      <c r="Y14" s="176">
        <v>3.8123138928932401E-3</v>
      </c>
      <c r="Z14" s="176">
        <v>7.7326812637879699E-4</v>
      </c>
    </row>
    <row r="15" spans="1:27">
      <c r="A15" s="20">
        <v>158</v>
      </c>
      <c r="B15" s="20">
        <v>9935</v>
      </c>
      <c r="C15" s="20" t="s">
        <v>2396</v>
      </c>
      <c r="E15" s="20" t="s">
        <v>31</v>
      </c>
      <c r="F15" s="20" t="s">
        <v>2396</v>
      </c>
      <c r="G15" s="20">
        <v>50007822</v>
      </c>
      <c r="H15" s="20" t="s">
        <v>43</v>
      </c>
      <c r="I15" s="2" t="s">
        <v>1044</v>
      </c>
      <c r="J15" s="20" t="s">
        <v>585</v>
      </c>
      <c r="K15" s="18" t="s">
        <v>30</v>
      </c>
      <c r="L15" s="20"/>
      <c r="M15" s="20"/>
      <c r="N15" s="18"/>
      <c r="O15" s="20" t="s">
        <v>153</v>
      </c>
      <c r="P15" t="s">
        <v>2397</v>
      </c>
      <c r="Q15" s="18" t="s">
        <v>44</v>
      </c>
      <c r="R15" s="20" t="s">
        <v>31</v>
      </c>
      <c r="S15" s="20"/>
      <c r="T15" s="20" t="s">
        <v>2398</v>
      </c>
      <c r="U15" s="177">
        <v>1</v>
      </c>
      <c r="V15" s="155">
        <v>3461.15</v>
      </c>
      <c r="W15" s="155">
        <v>3461.15</v>
      </c>
      <c r="X15" s="176">
        <v>0</v>
      </c>
      <c r="Y15" s="176">
        <v>1.5751397953906902E-2</v>
      </c>
      <c r="Z15" s="176">
        <v>3.1949242181683801E-3</v>
      </c>
    </row>
    <row r="16" spans="1:27">
      <c r="A16" s="20">
        <v>158</v>
      </c>
      <c r="B16" s="20">
        <v>9935</v>
      </c>
      <c r="C16" s="20" t="s">
        <v>2399</v>
      </c>
      <c r="D16" s="2" t="s">
        <v>2400</v>
      </c>
      <c r="E16" s="20" t="s">
        <v>43</v>
      </c>
      <c r="F16" s="20" t="s">
        <v>2401</v>
      </c>
      <c r="G16" s="20">
        <v>620201580</v>
      </c>
      <c r="H16" s="20" t="s">
        <v>43</v>
      </c>
      <c r="I16" s="2" t="s">
        <v>1044</v>
      </c>
      <c r="J16" s="20" t="s">
        <v>585</v>
      </c>
      <c r="K16" s="18" t="s">
        <v>30</v>
      </c>
      <c r="L16" s="20"/>
      <c r="M16" s="20"/>
      <c r="N16" s="18" t="s">
        <v>30</v>
      </c>
      <c r="O16" s="20" t="s">
        <v>153</v>
      </c>
      <c r="P16" t="s">
        <v>2395</v>
      </c>
      <c r="Q16" s="18" t="s">
        <v>44</v>
      </c>
      <c r="R16" s="20" t="s">
        <v>31</v>
      </c>
      <c r="S16" s="20"/>
      <c r="T16" s="20" t="s">
        <v>155</v>
      </c>
      <c r="U16" s="177">
        <v>1</v>
      </c>
      <c r="V16" s="155">
        <v>2330.34</v>
      </c>
      <c r="W16" s="155">
        <v>2330.34</v>
      </c>
      <c r="X16" s="176">
        <v>0</v>
      </c>
      <c r="Y16" s="176">
        <v>1.06051783287436E-2</v>
      </c>
      <c r="Z16" s="176">
        <v>2.15109421904316E-3</v>
      </c>
    </row>
    <row r="17" spans="1:26">
      <c r="A17" s="20">
        <v>158</v>
      </c>
      <c r="B17" s="20">
        <v>9935</v>
      </c>
      <c r="C17" s="20" t="s">
        <v>2402</v>
      </c>
      <c r="D17" s="2" t="s">
        <v>2403</v>
      </c>
      <c r="E17" s="20" t="s">
        <v>43</v>
      </c>
      <c r="F17" s="20" t="s">
        <v>2404</v>
      </c>
      <c r="G17" s="20">
        <v>50007889</v>
      </c>
      <c r="H17" s="20" t="s">
        <v>43</v>
      </c>
      <c r="I17" s="2" t="s">
        <v>1044</v>
      </c>
      <c r="J17" s="20" t="s">
        <v>585</v>
      </c>
      <c r="K17" s="18" t="s">
        <v>30</v>
      </c>
      <c r="L17" s="20"/>
      <c r="M17" s="20"/>
      <c r="N17" s="18" t="s">
        <v>30</v>
      </c>
      <c r="O17" s="20" t="s">
        <v>153</v>
      </c>
      <c r="P17" t="s">
        <v>2405</v>
      </c>
      <c r="Q17" s="18" t="s">
        <v>44</v>
      </c>
      <c r="R17" s="20" t="s">
        <v>31</v>
      </c>
      <c r="S17" s="20"/>
      <c r="T17" s="20" t="s">
        <v>2380</v>
      </c>
      <c r="U17" s="177">
        <v>1</v>
      </c>
      <c r="V17" s="155">
        <v>5199.7790000000005</v>
      </c>
      <c r="W17" s="155">
        <v>5199.7790000000005</v>
      </c>
      <c r="X17" s="176">
        <v>0</v>
      </c>
      <c r="Y17" s="176">
        <v>2.3663750178492701E-2</v>
      </c>
      <c r="Z17" s="176">
        <v>4.7998208641030597E-3</v>
      </c>
    </row>
    <row r="18" spans="1:26">
      <c r="A18" s="20">
        <v>158</v>
      </c>
      <c r="B18" s="20">
        <v>9935</v>
      </c>
      <c r="C18" s="20" t="s">
        <v>2406</v>
      </c>
      <c r="D18" s="2" t="s">
        <v>2407</v>
      </c>
      <c r="E18" s="20" t="s">
        <v>43</v>
      </c>
      <c r="F18" s="20" t="s">
        <v>2408</v>
      </c>
      <c r="G18" s="20">
        <v>62020771</v>
      </c>
      <c r="H18" s="20" t="s">
        <v>43</v>
      </c>
      <c r="I18" s="2" t="s">
        <v>1044</v>
      </c>
      <c r="J18" s="20" t="s">
        <v>585</v>
      </c>
      <c r="K18" s="18" t="s">
        <v>106</v>
      </c>
      <c r="L18" s="20"/>
      <c r="M18" s="20"/>
      <c r="N18" s="18" t="s">
        <v>107</v>
      </c>
      <c r="O18" s="20" t="s">
        <v>153</v>
      </c>
      <c r="P18" t="s">
        <v>2409</v>
      </c>
      <c r="Q18" s="18" t="s">
        <v>34</v>
      </c>
      <c r="R18" s="20" t="s">
        <v>31</v>
      </c>
      <c r="S18" s="20"/>
      <c r="T18" s="20" t="s">
        <v>2410</v>
      </c>
      <c r="U18" s="177">
        <v>3.71</v>
      </c>
      <c r="V18" s="155">
        <v>747.92600000000004</v>
      </c>
      <c r="W18" s="155">
        <v>2774.8049999999998</v>
      </c>
      <c r="X18" s="176">
        <v>0</v>
      </c>
      <c r="Y18" s="176">
        <v>1.2627901181700299E-2</v>
      </c>
      <c r="Z18" s="176">
        <v>2.5613718495407899E-3</v>
      </c>
    </row>
    <row r="19" spans="1:26">
      <c r="A19" s="20">
        <v>158</v>
      </c>
      <c r="B19" s="20">
        <v>9935</v>
      </c>
      <c r="C19" s="20" t="s">
        <v>2411</v>
      </c>
      <c r="D19" s="2" t="s">
        <v>2412</v>
      </c>
      <c r="E19" s="20" t="s">
        <v>330</v>
      </c>
      <c r="F19" s="20" t="s">
        <v>2413</v>
      </c>
      <c r="G19" s="20">
        <v>620180311</v>
      </c>
      <c r="H19" s="20" t="s">
        <v>43</v>
      </c>
      <c r="I19" s="2" t="s">
        <v>1044</v>
      </c>
      <c r="J19" s="20" t="s">
        <v>585</v>
      </c>
      <c r="K19" s="18" t="s">
        <v>106</v>
      </c>
      <c r="L19" s="20"/>
      <c r="M19" s="20"/>
      <c r="N19" s="18" t="s">
        <v>107</v>
      </c>
      <c r="O19" s="20" t="s">
        <v>153</v>
      </c>
      <c r="P19" t="s">
        <v>2414</v>
      </c>
      <c r="Q19" s="18" t="s">
        <v>34</v>
      </c>
      <c r="R19" s="20" t="s">
        <v>31</v>
      </c>
      <c r="S19" s="20"/>
      <c r="T19" s="20" t="s">
        <v>2415</v>
      </c>
      <c r="U19" s="177">
        <v>3.71</v>
      </c>
      <c r="V19" s="155">
        <v>907.85400000000004</v>
      </c>
      <c r="W19" s="155">
        <v>3368.14</v>
      </c>
      <c r="X19" s="176">
        <v>0</v>
      </c>
      <c r="Y19" s="176">
        <v>1.53281164779642E-2</v>
      </c>
      <c r="Z19" s="176">
        <v>3.10906820446416E-3</v>
      </c>
    </row>
    <row r="20" spans="1:26">
      <c r="A20" s="2">
        <v>158</v>
      </c>
      <c r="B20" s="2">
        <v>9935</v>
      </c>
      <c r="C20" s="2" t="s">
        <v>2416</v>
      </c>
      <c r="E20" s="20" t="s">
        <v>31</v>
      </c>
      <c r="F20" s="2" t="s">
        <v>2417</v>
      </c>
      <c r="G20" s="2">
        <v>62020599</v>
      </c>
      <c r="H20" s="20" t="s">
        <v>43</v>
      </c>
      <c r="I20" s="2" t="s">
        <v>1044</v>
      </c>
      <c r="J20" s="20" t="s">
        <v>585</v>
      </c>
      <c r="K20" s="18" t="s">
        <v>106</v>
      </c>
      <c r="L20" s="20"/>
      <c r="M20" s="20"/>
      <c r="N20" s="18" t="s">
        <v>107</v>
      </c>
      <c r="O20" s="20" t="s">
        <v>153</v>
      </c>
      <c r="P20" t="s">
        <v>2418</v>
      </c>
      <c r="Q20" s="2" t="s">
        <v>34</v>
      </c>
      <c r="R20" s="20" t="s">
        <v>31</v>
      </c>
      <c r="S20" s="20"/>
      <c r="T20" s="2" t="s">
        <v>2419</v>
      </c>
      <c r="U20" s="162">
        <v>3.71</v>
      </c>
      <c r="V20" s="153">
        <v>1078.6469999999999</v>
      </c>
      <c r="W20" s="153">
        <v>4001.779</v>
      </c>
      <c r="X20" s="168">
        <v>0</v>
      </c>
      <c r="Y20" s="168">
        <v>1.8211755906017799E-2</v>
      </c>
      <c r="Z20" s="168">
        <v>3.6939692698879198E-3</v>
      </c>
    </row>
    <row r="21" spans="1:26">
      <c r="A21" s="2">
        <v>158</v>
      </c>
      <c r="B21" s="2">
        <v>9935</v>
      </c>
      <c r="C21" s="2" t="s">
        <v>2420</v>
      </c>
      <c r="D21" s="2" t="s">
        <v>2421</v>
      </c>
      <c r="E21" s="2" t="s">
        <v>43</v>
      </c>
      <c r="F21" s="2" t="s">
        <v>2422</v>
      </c>
      <c r="G21" s="2">
        <v>62018577</v>
      </c>
      <c r="H21" s="2" t="s">
        <v>43</v>
      </c>
      <c r="I21" s="2" t="s">
        <v>1044</v>
      </c>
      <c r="J21" s="2" t="s">
        <v>585</v>
      </c>
      <c r="K21" s="2" t="s">
        <v>106</v>
      </c>
      <c r="N21" s="2" t="s">
        <v>107</v>
      </c>
      <c r="O21" s="2" t="s">
        <v>153</v>
      </c>
      <c r="P21" t="s">
        <v>2423</v>
      </c>
      <c r="Q21" s="2" t="s">
        <v>34</v>
      </c>
      <c r="R21" s="2" t="s">
        <v>31</v>
      </c>
      <c r="T21" s="2" t="s">
        <v>2424</v>
      </c>
      <c r="U21" s="162">
        <v>3.71</v>
      </c>
      <c r="V21" s="153">
        <v>614.476</v>
      </c>
      <c r="W21" s="153">
        <v>2279.7080000000001</v>
      </c>
      <c r="X21" s="168">
        <v>0</v>
      </c>
      <c r="Y21" s="168">
        <v>1.03747541110866E-2</v>
      </c>
      <c r="Z21" s="168">
        <v>2.1043562777125499E-3</v>
      </c>
    </row>
    <row r="22" spans="1:26">
      <c r="A22" s="2">
        <v>158</v>
      </c>
      <c r="B22" s="2">
        <v>9935</v>
      </c>
      <c r="C22" s="2" t="s">
        <v>2406</v>
      </c>
      <c r="D22" s="2" t="s">
        <v>2407</v>
      </c>
      <c r="E22" s="2" t="s">
        <v>43</v>
      </c>
      <c r="F22" s="2" t="s">
        <v>2425</v>
      </c>
      <c r="G22" s="2">
        <v>62020649</v>
      </c>
      <c r="H22" s="2" t="s">
        <v>43</v>
      </c>
      <c r="I22" s="2" t="s">
        <v>1044</v>
      </c>
      <c r="J22" s="2" t="s">
        <v>585</v>
      </c>
      <c r="K22" s="2" t="s">
        <v>106</v>
      </c>
      <c r="N22" s="2" t="s">
        <v>107</v>
      </c>
      <c r="O22" s="2" t="s">
        <v>153</v>
      </c>
      <c r="P22" t="s">
        <v>2426</v>
      </c>
      <c r="Q22" s="2" t="s">
        <v>34</v>
      </c>
      <c r="R22" s="2" t="s">
        <v>31</v>
      </c>
      <c r="T22" s="2" t="s">
        <v>2427</v>
      </c>
      <c r="U22" s="162">
        <v>3.71</v>
      </c>
      <c r="V22" s="153">
        <v>997.63199999999995</v>
      </c>
      <c r="W22" s="153">
        <v>3701.2159999999999</v>
      </c>
      <c r="X22" s="168">
        <v>0</v>
      </c>
      <c r="Y22" s="168">
        <v>1.6843916576437901E-2</v>
      </c>
      <c r="Z22" s="168">
        <v>3.41652449873641E-3</v>
      </c>
    </row>
    <row r="23" spans="1:26">
      <c r="A23" s="2">
        <v>158</v>
      </c>
      <c r="B23" s="2">
        <v>9935</v>
      </c>
      <c r="C23" s="2" t="s">
        <v>2406</v>
      </c>
      <c r="D23" s="2" t="s">
        <v>2407</v>
      </c>
      <c r="E23" s="2" t="s">
        <v>43</v>
      </c>
      <c r="F23" s="2" t="s">
        <v>2428</v>
      </c>
      <c r="G23" s="2">
        <v>62019633</v>
      </c>
      <c r="H23" s="2" t="s">
        <v>43</v>
      </c>
      <c r="I23" s="2" t="s">
        <v>1044</v>
      </c>
      <c r="J23" s="2" t="s">
        <v>585</v>
      </c>
      <c r="K23" s="2" t="s">
        <v>106</v>
      </c>
      <c r="N23" s="2" t="s">
        <v>107</v>
      </c>
      <c r="O23" s="2" t="s">
        <v>153</v>
      </c>
      <c r="P23" t="s">
        <v>2429</v>
      </c>
      <c r="Q23" s="2" t="s">
        <v>34</v>
      </c>
      <c r="R23" s="2" t="s">
        <v>31</v>
      </c>
      <c r="T23" s="2" t="s">
        <v>2375</v>
      </c>
      <c r="U23" s="162">
        <v>3.71</v>
      </c>
      <c r="V23" s="153">
        <v>1025.4000000000001</v>
      </c>
      <c r="W23" s="153">
        <v>3804.2339999999999</v>
      </c>
      <c r="X23" s="168">
        <v>0</v>
      </c>
      <c r="Y23" s="168">
        <v>1.73127439272447E-2</v>
      </c>
      <c r="Z23" s="168">
        <v>3.5116187793593399E-3</v>
      </c>
    </row>
    <row r="24" spans="1:26">
      <c r="A24" s="2">
        <v>158</v>
      </c>
      <c r="B24" s="2">
        <v>9935</v>
      </c>
      <c r="C24" s="2" t="s">
        <v>2430</v>
      </c>
      <c r="D24" s="2" t="s">
        <v>2431</v>
      </c>
      <c r="E24" s="2" t="s">
        <v>329</v>
      </c>
      <c r="F24" s="2" t="s">
        <v>2432</v>
      </c>
      <c r="G24" s="2">
        <v>62021399</v>
      </c>
      <c r="H24" s="2" t="s">
        <v>43</v>
      </c>
      <c r="I24" s="2" t="s">
        <v>1044</v>
      </c>
      <c r="J24" s="2" t="s">
        <v>585</v>
      </c>
      <c r="K24" s="2" t="s">
        <v>106</v>
      </c>
      <c r="N24" s="2" t="s">
        <v>107</v>
      </c>
      <c r="O24" s="2" t="s">
        <v>153</v>
      </c>
      <c r="P24" t="s">
        <v>2433</v>
      </c>
      <c r="Q24" s="2" t="s">
        <v>34</v>
      </c>
      <c r="R24" s="2" t="s">
        <v>31</v>
      </c>
      <c r="T24" s="2" t="s">
        <v>2391</v>
      </c>
      <c r="U24" s="162">
        <v>3.71</v>
      </c>
      <c r="V24" s="153">
        <v>302.90899999999999</v>
      </c>
      <c r="W24" s="153">
        <v>1123.7940000000001</v>
      </c>
      <c r="X24" s="168">
        <v>0</v>
      </c>
      <c r="Y24" s="168">
        <v>5.1142899116006797E-3</v>
      </c>
      <c r="Z24" s="168">
        <v>1.03735355713328E-3</v>
      </c>
    </row>
    <row r="25" spans="1:26">
      <c r="A25" s="2">
        <v>158</v>
      </c>
      <c r="B25" s="2">
        <v>9935</v>
      </c>
      <c r="C25" s="2" t="s">
        <v>2434</v>
      </c>
      <c r="D25" s="2" t="s">
        <v>1372</v>
      </c>
      <c r="E25" s="2" t="s">
        <v>331</v>
      </c>
      <c r="F25" s="2" t="s">
        <v>2435</v>
      </c>
      <c r="G25" s="2">
        <v>62021886</v>
      </c>
      <c r="H25" s="2" t="s">
        <v>43</v>
      </c>
      <c r="I25" s="2" t="s">
        <v>1044</v>
      </c>
      <c r="J25" s="2" t="s">
        <v>585</v>
      </c>
      <c r="K25" s="2" t="s">
        <v>106</v>
      </c>
      <c r="O25" s="2" t="s">
        <v>153</v>
      </c>
      <c r="P25" t="s">
        <v>2436</v>
      </c>
      <c r="Q25" s="2" t="s">
        <v>34</v>
      </c>
      <c r="R25" s="11" t="s">
        <v>31</v>
      </c>
      <c r="T25" s="2" t="s">
        <v>2436</v>
      </c>
      <c r="U25" s="162">
        <v>3.71</v>
      </c>
      <c r="V25" s="153">
        <v>373.00900000000001</v>
      </c>
      <c r="W25" s="153">
        <v>1383.8630000000001</v>
      </c>
      <c r="X25" s="168">
        <v>0</v>
      </c>
      <c r="Y25" s="168">
        <v>6.2978440604228797E-3</v>
      </c>
      <c r="Z25" s="168">
        <v>1.27741896749566E-3</v>
      </c>
    </row>
    <row r="26" spans="1:26">
      <c r="A26" s="2">
        <v>158</v>
      </c>
      <c r="B26" s="2">
        <v>9935</v>
      </c>
      <c r="C26" s="2" t="s">
        <v>2437</v>
      </c>
      <c r="D26" s="2" t="s">
        <v>2438</v>
      </c>
      <c r="E26" s="2" t="s">
        <v>330</v>
      </c>
      <c r="F26" s="2" t="s">
        <v>2439</v>
      </c>
      <c r="G26" s="2">
        <v>60399003</v>
      </c>
      <c r="H26" s="2" t="s">
        <v>43</v>
      </c>
      <c r="I26" s="2" t="s">
        <v>1044</v>
      </c>
      <c r="J26" s="2" t="s">
        <v>585</v>
      </c>
      <c r="K26" s="2" t="s">
        <v>106</v>
      </c>
      <c r="N26" s="2" t="s">
        <v>107</v>
      </c>
      <c r="O26" s="2" t="s">
        <v>153</v>
      </c>
      <c r="P26" t="s">
        <v>2440</v>
      </c>
      <c r="Q26" s="2" t="s">
        <v>34</v>
      </c>
      <c r="R26" s="11" t="s">
        <v>31</v>
      </c>
      <c r="T26" s="2" t="s">
        <v>2358</v>
      </c>
      <c r="U26" s="162">
        <v>3.71</v>
      </c>
      <c r="V26" s="153">
        <v>289.95600000000002</v>
      </c>
      <c r="W26" s="153">
        <v>1075.7370000000001</v>
      </c>
      <c r="X26" s="168">
        <v>0.05</v>
      </c>
      <c r="Y26" s="168">
        <v>4.8955887898292404E-3</v>
      </c>
      <c r="Z26" s="168">
        <v>9.9299346207804809E-4</v>
      </c>
    </row>
    <row r="27" spans="1:26">
      <c r="A27" s="2">
        <v>158</v>
      </c>
      <c r="B27" s="2">
        <v>9935</v>
      </c>
      <c r="C27" s="2" t="s">
        <v>2437</v>
      </c>
      <c r="D27" s="2" t="s">
        <v>2438</v>
      </c>
      <c r="E27" s="2" t="s">
        <v>330</v>
      </c>
      <c r="F27" s="2" t="s">
        <v>2441</v>
      </c>
      <c r="G27" s="2">
        <v>62006697</v>
      </c>
      <c r="H27" s="2" t="s">
        <v>43</v>
      </c>
      <c r="I27" s="2" t="s">
        <v>1044</v>
      </c>
      <c r="J27" s="2" t="s">
        <v>585</v>
      </c>
      <c r="K27" s="2" t="s">
        <v>106</v>
      </c>
      <c r="N27" s="2" t="s">
        <v>107</v>
      </c>
      <c r="O27" s="2" t="s">
        <v>153</v>
      </c>
      <c r="P27" t="s">
        <v>2442</v>
      </c>
      <c r="Q27" s="2" t="s">
        <v>34</v>
      </c>
      <c r="R27" s="2" t="s">
        <v>31</v>
      </c>
      <c r="T27" s="2" t="s">
        <v>2424</v>
      </c>
      <c r="U27" s="162">
        <v>3.71</v>
      </c>
      <c r="V27" s="153">
        <v>287.07900000000001</v>
      </c>
      <c r="W27" s="153">
        <v>1065.0630000000001</v>
      </c>
      <c r="X27" s="168">
        <v>0</v>
      </c>
      <c r="Y27" s="168">
        <v>4.8470111311580697E-3</v>
      </c>
      <c r="Z27" s="168">
        <v>9.8314024532836003E-4</v>
      </c>
    </row>
    <row r="28" spans="1:26">
      <c r="A28" s="2">
        <v>158</v>
      </c>
      <c r="B28" s="2">
        <v>9935</v>
      </c>
      <c r="C28" s="2" t="s">
        <v>2443</v>
      </c>
      <c r="D28" s="2" t="s">
        <v>2444</v>
      </c>
      <c r="E28" s="2" t="s">
        <v>43</v>
      </c>
      <c r="F28" s="2" t="s">
        <v>2445</v>
      </c>
      <c r="G28" s="2">
        <v>62016845</v>
      </c>
      <c r="H28" s="2" t="s">
        <v>43</v>
      </c>
      <c r="I28" s="2" t="s">
        <v>1044</v>
      </c>
      <c r="J28" s="2" t="s">
        <v>585</v>
      </c>
      <c r="K28" s="2" t="s">
        <v>106</v>
      </c>
      <c r="N28" s="2" t="s">
        <v>107</v>
      </c>
      <c r="O28" s="2" t="s">
        <v>153</v>
      </c>
      <c r="P28" t="s">
        <v>2446</v>
      </c>
      <c r="Q28" s="2" t="s">
        <v>34</v>
      </c>
      <c r="R28" s="2" t="s">
        <v>31</v>
      </c>
      <c r="T28" s="2" t="s">
        <v>2410</v>
      </c>
      <c r="U28" s="162">
        <v>3.71</v>
      </c>
      <c r="V28" s="153">
        <v>1920.8</v>
      </c>
      <c r="W28" s="153">
        <v>7126.1689999999999</v>
      </c>
      <c r="X28" s="168">
        <v>0</v>
      </c>
      <c r="Y28" s="168">
        <v>3.2430585979751902E-2</v>
      </c>
      <c r="Z28" s="168">
        <v>6.5780361120519899E-3</v>
      </c>
    </row>
    <row r="29" spans="1:26">
      <c r="A29" s="2">
        <v>158</v>
      </c>
      <c r="B29" s="2">
        <v>9935</v>
      </c>
      <c r="C29" s="2" t="s">
        <v>2447</v>
      </c>
      <c r="D29" s="2" t="s">
        <v>2448</v>
      </c>
      <c r="E29" s="2" t="s">
        <v>330</v>
      </c>
      <c r="F29" s="2" t="s">
        <v>2449</v>
      </c>
      <c r="G29" s="2">
        <v>62002044</v>
      </c>
      <c r="H29" s="2" t="s">
        <v>43</v>
      </c>
      <c r="I29" s="2" t="s">
        <v>1044</v>
      </c>
      <c r="J29" s="2" t="s">
        <v>585</v>
      </c>
      <c r="K29" s="2" t="s">
        <v>106</v>
      </c>
      <c r="N29" s="2" t="s">
        <v>107</v>
      </c>
      <c r="O29" s="2" t="s">
        <v>153</v>
      </c>
      <c r="P29" t="s">
        <v>2450</v>
      </c>
      <c r="Q29" s="2" t="s">
        <v>34</v>
      </c>
      <c r="R29" s="2" t="s">
        <v>31</v>
      </c>
      <c r="T29" s="2" t="s">
        <v>2391</v>
      </c>
      <c r="U29" s="162">
        <v>3.71</v>
      </c>
      <c r="V29" s="153">
        <v>420.05799999999999</v>
      </c>
      <c r="W29" s="153">
        <v>1558.415</v>
      </c>
      <c r="X29" s="168">
        <v>0</v>
      </c>
      <c r="Y29" s="168">
        <v>7.0922126558573897E-3</v>
      </c>
      <c r="Z29" s="168">
        <v>1.4385441876909001E-3</v>
      </c>
    </row>
    <row r="30" spans="1:26">
      <c r="A30" s="2">
        <v>158</v>
      </c>
      <c r="B30" s="2">
        <v>9935</v>
      </c>
      <c r="C30" s="2" t="s">
        <v>2451</v>
      </c>
      <c r="D30" s="2" t="s">
        <v>2452</v>
      </c>
      <c r="E30" s="2" t="s">
        <v>43</v>
      </c>
      <c r="F30" s="2" t="s">
        <v>2453</v>
      </c>
      <c r="G30" s="2">
        <v>62013818</v>
      </c>
      <c r="H30" s="2" t="s">
        <v>43</v>
      </c>
      <c r="I30" s="2" t="s">
        <v>1044</v>
      </c>
      <c r="J30" s="2" t="s">
        <v>585</v>
      </c>
      <c r="K30" s="2" t="s">
        <v>106</v>
      </c>
      <c r="N30" s="2" t="s">
        <v>107</v>
      </c>
      <c r="O30" s="2" t="s">
        <v>153</v>
      </c>
      <c r="P30" t="s">
        <v>2454</v>
      </c>
      <c r="Q30" s="2" t="s">
        <v>34</v>
      </c>
      <c r="R30" s="2" t="s">
        <v>31</v>
      </c>
      <c r="T30" s="2" t="s">
        <v>2410</v>
      </c>
      <c r="U30" s="162">
        <v>3.71</v>
      </c>
      <c r="V30" s="153">
        <v>67.031999999999996</v>
      </c>
      <c r="W30" s="153">
        <v>248.68799999999999</v>
      </c>
      <c r="X30" s="168">
        <v>0</v>
      </c>
      <c r="Y30" s="168">
        <v>1.1317579711468699E-3</v>
      </c>
      <c r="Z30" s="168">
        <v>2.2955936747349901E-4</v>
      </c>
    </row>
    <row r="31" spans="1:26">
      <c r="A31" s="2">
        <v>158</v>
      </c>
      <c r="B31" s="2">
        <v>9935</v>
      </c>
      <c r="C31" s="2" t="s">
        <v>2451</v>
      </c>
      <c r="D31" s="2" t="s">
        <v>2455</v>
      </c>
      <c r="E31" s="2" t="s">
        <v>331</v>
      </c>
      <c r="F31" s="2" t="s">
        <v>2456</v>
      </c>
      <c r="G31" s="2">
        <v>62017611</v>
      </c>
      <c r="H31" s="2" t="s">
        <v>43</v>
      </c>
      <c r="I31" s="2" t="s">
        <v>1044</v>
      </c>
      <c r="J31" s="2" t="s">
        <v>585</v>
      </c>
      <c r="K31" s="2" t="s">
        <v>106</v>
      </c>
      <c r="N31" s="2" t="s">
        <v>315</v>
      </c>
      <c r="O31" s="2" t="s">
        <v>153</v>
      </c>
      <c r="P31" t="s">
        <v>2457</v>
      </c>
      <c r="Q31" s="2" t="s">
        <v>1199</v>
      </c>
      <c r="R31" s="2" t="s">
        <v>31</v>
      </c>
      <c r="T31" s="2" t="s">
        <v>2424</v>
      </c>
      <c r="U31" s="162">
        <v>4.1524000000000001</v>
      </c>
      <c r="V31" s="153">
        <v>738.99099999999999</v>
      </c>
      <c r="W31" s="153">
        <v>3068.587</v>
      </c>
      <c r="X31" s="168">
        <v>0</v>
      </c>
      <c r="Y31" s="168">
        <v>1.39648790081724E-2</v>
      </c>
      <c r="Z31" s="168">
        <v>2.8325568484500502E-3</v>
      </c>
    </row>
    <row r="32" spans="1:26">
      <c r="A32" s="2">
        <v>158</v>
      </c>
      <c r="B32" s="2">
        <v>9935</v>
      </c>
      <c r="C32" s="2" t="s">
        <v>2458</v>
      </c>
      <c r="D32" s="2" t="s">
        <v>2459</v>
      </c>
      <c r="E32" s="2" t="s">
        <v>1343</v>
      </c>
      <c r="F32" s="2" t="s">
        <v>2460</v>
      </c>
      <c r="G32" s="2">
        <v>62010558</v>
      </c>
      <c r="H32" s="2" t="s">
        <v>43</v>
      </c>
      <c r="I32" s="2" t="s">
        <v>1044</v>
      </c>
      <c r="J32" s="2" t="s">
        <v>585</v>
      </c>
      <c r="K32" s="2" t="s">
        <v>106</v>
      </c>
      <c r="N32" s="2" t="s">
        <v>107</v>
      </c>
      <c r="O32" s="2" t="s">
        <v>153</v>
      </c>
      <c r="P32" t="s">
        <v>2461</v>
      </c>
      <c r="Q32" s="2" t="s">
        <v>34</v>
      </c>
      <c r="R32" s="2" t="s">
        <v>31</v>
      </c>
      <c r="T32" s="2" t="s">
        <v>2375</v>
      </c>
      <c r="U32" s="162">
        <v>3.71</v>
      </c>
      <c r="V32" s="153">
        <v>1379.82</v>
      </c>
      <c r="W32" s="153">
        <v>5119.1319999999996</v>
      </c>
      <c r="X32" s="168">
        <v>0</v>
      </c>
      <c r="Y32" s="168">
        <v>2.3296733299874001E-2</v>
      </c>
      <c r="Z32" s="168">
        <v>4.7253772421841297E-3</v>
      </c>
    </row>
    <row r="33" spans="1:26">
      <c r="A33" s="2">
        <v>158</v>
      </c>
      <c r="B33" s="2">
        <v>9935</v>
      </c>
      <c r="C33" s="2" t="s">
        <v>2462</v>
      </c>
      <c r="D33" s="2" t="s">
        <v>2463</v>
      </c>
      <c r="E33" s="2" t="s">
        <v>1343</v>
      </c>
      <c r="F33" s="2" t="s">
        <v>2462</v>
      </c>
      <c r="G33" s="2">
        <v>62018890</v>
      </c>
      <c r="H33" s="2" t="s">
        <v>43</v>
      </c>
      <c r="I33" s="2" t="s">
        <v>1044</v>
      </c>
      <c r="J33" s="2" t="s">
        <v>856</v>
      </c>
      <c r="K33" s="2" t="s">
        <v>30</v>
      </c>
      <c r="L33" s="2" t="s">
        <v>272</v>
      </c>
      <c r="M33" s="2" t="s">
        <v>272</v>
      </c>
      <c r="N33" s="2" t="s">
        <v>315</v>
      </c>
      <c r="O33" s="2" t="s">
        <v>153</v>
      </c>
      <c r="P33" t="s">
        <v>2464</v>
      </c>
      <c r="Q33" s="2" t="s">
        <v>1199</v>
      </c>
      <c r="R33" s="2" t="s">
        <v>910</v>
      </c>
      <c r="T33" s="2" t="s">
        <v>2391</v>
      </c>
      <c r="U33" s="162">
        <v>4.1524000000000001</v>
      </c>
      <c r="V33" s="153">
        <v>1415.627</v>
      </c>
      <c r="W33" s="153">
        <v>5878.2479999999996</v>
      </c>
      <c r="X33" s="168">
        <v>0</v>
      </c>
      <c r="Y33" s="168">
        <v>2.6751406193995301E-2</v>
      </c>
      <c r="Z33" s="168">
        <v>5.4261034969315799E-3</v>
      </c>
    </row>
    <row r="34" spans="1:26">
      <c r="A34" s="2">
        <v>158</v>
      </c>
      <c r="B34" s="2">
        <v>9935</v>
      </c>
      <c r="C34" s="2" t="s">
        <v>2465</v>
      </c>
      <c r="D34" s="2" t="s">
        <v>2466</v>
      </c>
      <c r="E34" s="2" t="s">
        <v>331</v>
      </c>
      <c r="F34" s="2" t="s">
        <v>2467</v>
      </c>
      <c r="G34" s="2">
        <v>62019294</v>
      </c>
      <c r="H34" s="2" t="s">
        <v>43</v>
      </c>
      <c r="I34" s="2" t="s">
        <v>1044</v>
      </c>
      <c r="J34" s="2" t="s">
        <v>585</v>
      </c>
      <c r="K34" s="2" t="s">
        <v>106</v>
      </c>
      <c r="N34" s="2" t="s">
        <v>312</v>
      </c>
      <c r="O34" s="2" t="s">
        <v>153</v>
      </c>
      <c r="P34" t="s">
        <v>2468</v>
      </c>
      <c r="Q34" s="2" t="s">
        <v>1199</v>
      </c>
      <c r="R34" s="2" t="s">
        <v>31</v>
      </c>
      <c r="T34" s="2" t="s">
        <v>2370</v>
      </c>
      <c r="U34" s="162">
        <v>4.1524000000000001</v>
      </c>
      <c r="V34" s="153">
        <v>486.7</v>
      </c>
      <c r="W34" s="153">
        <v>2020.973</v>
      </c>
      <c r="X34" s="168">
        <v>0</v>
      </c>
      <c r="Y34" s="168">
        <v>9.1972734125282396E-3</v>
      </c>
      <c r="Z34" s="168">
        <v>1.86552277155274E-3</v>
      </c>
    </row>
    <row r="35" spans="1:26">
      <c r="A35" s="2">
        <v>158</v>
      </c>
      <c r="B35" s="2">
        <v>9935</v>
      </c>
      <c r="C35" s="2" t="s">
        <v>2430</v>
      </c>
      <c r="D35" s="2" t="s">
        <v>2431</v>
      </c>
      <c r="E35" s="2" t="s">
        <v>329</v>
      </c>
      <c r="F35" s="2" t="s">
        <v>2469</v>
      </c>
      <c r="G35" s="2">
        <v>620160840</v>
      </c>
      <c r="H35" s="2" t="s">
        <v>43</v>
      </c>
      <c r="I35" s="2" t="s">
        <v>1044</v>
      </c>
      <c r="J35" s="2" t="s">
        <v>585</v>
      </c>
      <c r="K35" s="2" t="s">
        <v>106</v>
      </c>
      <c r="N35" s="2" t="s">
        <v>30</v>
      </c>
      <c r="O35" s="2" t="s">
        <v>153</v>
      </c>
      <c r="P35" t="s">
        <v>2470</v>
      </c>
      <c r="Q35" s="2" t="s">
        <v>34</v>
      </c>
      <c r="R35" s="2" t="s">
        <v>31</v>
      </c>
      <c r="T35" s="2" t="s">
        <v>2391</v>
      </c>
      <c r="U35" s="162">
        <v>3.71</v>
      </c>
      <c r="V35" s="153">
        <v>1570.671</v>
      </c>
      <c r="W35" s="153">
        <v>5827.1909999999998</v>
      </c>
      <c r="X35" s="168">
        <v>0</v>
      </c>
      <c r="Y35" s="168">
        <v>2.6519046793537299E-2</v>
      </c>
      <c r="Z35" s="168">
        <v>5.3789730340980798E-3</v>
      </c>
    </row>
    <row r="36" spans="1:26">
      <c r="A36" s="2">
        <v>158</v>
      </c>
      <c r="B36" s="2">
        <v>9935</v>
      </c>
      <c r="C36" s="2" t="s">
        <v>2411</v>
      </c>
      <c r="D36" s="2" t="s">
        <v>2412</v>
      </c>
      <c r="E36" s="2" t="s">
        <v>330</v>
      </c>
      <c r="F36" s="2" t="s">
        <v>2471</v>
      </c>
      <c r="G36" s="2">
        <v>620127781</v>
      </c>
      <c r="H36" s="2" t="s">
        <v>43</v>
      </c>
      <c r="I36" s="2" t="s">
        <v>1044</v>
      </c>
      <c r="J36" s="2" t="s">
        <v>585</v>
      </c>
      <c r="K36" s="2" t="s">
        <v>106</v>
      </c>
      <c r="N36" s="2" t="s">
        <v>107</v>
      </c>
      <c r="O36" s="2" t="s">
        <v>153</v>
      </c>
      <c r="P36" t="s">
        <v>2374</v>
      </c>
      <c r="Q36" s="2" t="s">
        <v>34</v>
      </c>
      <c r="R36" s="2" t="s">
        <v>31</v>
      </c>
      <c r="T36" s="2" t="s">
        <v>1338</v>
      </c>
      <c r="U36" s="162">
        <v>3.71</v>
      </c>
      <c r="V36" s="153">
        <v>1961.579</v>
      </c>
      <c r="W36" s="153">
        <v>7277.4589999999998</v>
      </c>
      <c r="X36" s="168">
        <v>0</v>
      </c>
      <c r="Y36" s="168">
        <v>3.3119095050434699E-2</v>
      </c>
      <c r="Z36" s="168">
        <v>6.7176893866876799E-3</v>
      </c>
    </row>
    <row r="37" spans="1:26">
      <c r="A37" s="2">
        <v>158</v>
      </c>
      <c r="B37" s="2">
        <v>9935</v>
      </c>
      <c r="C37" s="2" t="s">
        <v>2472</v>
      </c>
      <c r="D37" s="2" t="s">
        <v>2473</v>
      </c>
      <c r="E37" s="2" t="s">
        <v>43</v>
      </c>
      <c r="F37" s="2" t="s">
        <v>2474</v>
      </c>
      <c r="G37" s="2">
        <v>62010103</v>
      </c>
      <c r="H37" s="2" t="s">
        <v>43</v>
      </c>
      <c r="I37" s="2" t="s">
        <v>1044</v>
      </c>
      <c r="J37" s="2" t="s">
        <v>585</v>
      </c>
      <c r="K37" s="2" t="s">
        <v>106</v>
      </c>
      <c r="N37" s="2" t="s">
        <v>30</v>
      </c>
      <c r="O37" s="2" t="s">
        <v>153</v>
      </c>
      <c r="P37" t="s">
        <v>2475</v>
      </c>
      <c r="Q37" s="2" t="s">
        <v>34</v>
      </c>
      <c r="R37" s="2" t="s">
        <v>31</v>
      </c>
      <c r="T37" s="2" t="s">
        <v>2410</v>
      </c>
      <c r="U37" s="162">
        <v>3.71</v>
      </c>
      <c r="V37" s="153">
        <v>2091.21</v>
      </c>
      <c r="W37" s="153">
        <v>7758.3890000000001</v>
      </c>
      <c r="X37" s="168">
        <v>3.3E-3</v>
      </c>
      <c r="Y37" s="168">
        <v>3.53077659723946E-2</v>
      </c>
      <c r="Z37" s="168">
        <v>7.1616269822352696E-3</v>
      </c>
    </row>
    <row r="38" spans="1:26">
      <c r="A38" s="2">
        <v>158</v>
      </c>
      <c r="B38" s="2">
        <v>9935</v>
      </c>
      <c r="C38" s="2" t="s">
        <v>2476</v>
      </c>
      <c r="D38" s="2" t="s">
        <v>2477</v>
      </c>
      <c r="E38" s="2" t="s">
        <v>330</v>
      </c>
      <c r="F38" s="2" t="s">
        <v>2478</v>
      </c>
      <c r="G38" s="2">
        <v>62015862</v>
      </c>
      <c r="H38" s="2" t="s">
        <v>43</v>
      </c>
      <c r="I38" s="2" t="s">
        <v>1044</v>
      </c>
      <c r="J38" s="2" t="s">
        <v>585</v>
      </c>
      <c r="K38" s="2" t="s">
        <v>106</v>
      </c>
      <c r="N38" s="2" t="s">
        <v>107</v>
      </c>
      <c r="O38" s="2" t="s">
        <v>153</v>
      </c>
      <c r="P38" t="s">
        <v>2479</v>
      </c>
      <c r="Q38" s="2" t="s">
        <v>34</v>
      </c>
      <c r="R38" s="2" t="s">
        <v>31</v>
      </c>
      <c r="T38" s="2" t="s">
        <v>2370</v>
      </c>
      <c r="U38" s="162">
        <v>3.71</v>
      </c>
      <c r="V38" s="153">
        <v>1060.921</v>
      </c>
      <c r="W38" s="153">
        <v>3936.0189999999998</v>
      </c>
      <c r="X38" s="168">
        <v>0</v>
      </c>
      <c r="Y38" s="168">
        <v>1.79124842492886E-2</v>
      </c>
      <c r="Z38" s="168">
        <v>3.6332667045223901E-3</v>
      </c>
    </row>
    <row r="39" spans="1:26">
      <c r="A39" s="2">
        <v>158</v>
      </c>
      <c r="B39" s="2">
        <v>9935</v>
      </c>
      <c r="C39" s="2" t="s">
        <v>2480</v>
      </c>
      <c r="D39" s="2" t="s">
        <v>2345</v>
      </c>
      <c r="E39" s="2" t="s">
        <v>330</v>
      </c>
      <c r="F39" s="2" t="s">
        <v>2481</v>
      </c>
      <c r="G39" s="2">
        <v>50001015</v>
      </c>
      <c r="H39" s="2" t="s">
        <v>43</v>
      </c>
      <c r="I39" s="2" t="s">
        <v>1044</v>
      </c>
      <c r="J39" s="2" t="s">
        <v>585</v>
      </c>
      <c r="K39" s="2" t="s">
        <v>106</v>
      </c>
      <c r="N39" s="2" t="s">
        <v>30</v>
      </c>
      <c r="O39" s="2" t="s">
        <v>153</v>
      </c>
      <c r="P39" t="s">
        <v>2482</v>
      </c>
      <c r="Q39" s="2" t="s">
        <v>44</v>
      </c>
      <c r="R39" s="2" t="s">
        <v>31</v>
      </c>
      <c r="T39" s="2" t="s">
        <v>2410</v>
      </c>
      <c r="U39" s="162">
        <v>1</v>
      </c>
      <c r="V39" s="153">
        <v>2837.9110000000001</v>
      </c>
      <c r="W39" s="153">
        <v>2837.9110000000001</v>
      </c>
      <c r="X39" s="168">
        <v>0</v>
      </c>
      <c r="Y39" s="168">
        <v>1.2915088689658299E-2</v>
      </c>
      <c r="Z39" s="168">
        <v>2.61962333471152E-3</v>
      </c>
    </row>
    <row r="40" spans="1:26">
      <c r="A40" s="2">
        <v>158</v>
      </c>
      <c r="B40" s="2">
        <v>9935</v>
      </c>
      <c r="C40" s="2" t="s">
        <v>2483</v>
      </c>
      <c r="D40" s="2" t="s">
        <v>2484</v>
      </c>
      <c r="E40" s="2" t="s">
        <v>43</v>
      </c>
      <c r="F40" s="2" t="s">
        <v>2485</v>
      </c>
      <c r="G40" s="2">
        <v>62017819</v>
      </c>
      <c r="H40" s="2" t="s">
        <v>43</v>
      </c>
      <c r="I40" s="2" t="s">
        <v>1044</v>
      </c>
      <c r="J40" s="2" t="s">
        <v>585</v>
      </c>
      <c r="K40" s="2" t="s">
        <v>106</v>
      </c>
      <c r="N40" s="2" t="s">
        <v>107</v>
      </c>
      <c r="O40" s="2" t="s">
        <v>153</v>
      </c>
      <c r="P40" t="s">
        <v>2486</v>
      </c>
      <c r="Q40" s="2" t="s">
        <v>34</v>
      </c>
      <c r="R40" s="2" t="s">
        <v>31</v>
      </c>
      <c r="T40" s="2" t="s">
        <v>2424</v>
      </c>
      <c r="U40" s="162">
        <v>3.71</v>
      </c>
      <c r="V40" s="153">
        <v>385.77300000000002</v>
      </c>
      <c r="W40" s="153">
        <v>1431.2170000000001</v>
      </c>
      <c r="X40" s="168">
        <v>0</v>
      </c>
      <c r="Y40" s="168">
        <v>6.5133477223483904E-3</v>
      </c>
      <c r="Z40" s="168">
        <v>1.3211305079319201E-3</v>
      </c>
    </row>
    <row r="41" spans="1:26">
      <c r="A41" s="2">
        <v>158</v>
      </c>
      <c r="B41" s="2">
        <v>9935</v>
      </c>
      <c r="C41" s="2" t="s">
        <v>2487</v>
      </c>
      <c r="D41" s="2" t="s">
        <v>2488</v>
      </c>
      <c r="E41" s="2" t="s">
        <v>43</v>
      </c>
      <c r="F41" s="2" t="s">
        <v>2489</v>
      </c>
      <c r="G41" s="2">
        <v>62009311</v>
      </c>
      <c r="H41" s="2" t="s">
        <v>43</v>
      </c>
      <c r="I41" s="2" t="s">
        <v>1044</v>
      </c>
      <c r="J41" s="2" t="s">
        <v>585</v>
      </c>
      <c r="K41" s="2" t="s">
        <v>106</v>
      </c>
      <c r="N41" s="2" t="s">
        <v>107</v>
      </c>
      <c r="O41" s="2" t="s">
        <v>153</v>
      </c>
      <c r="P41" t="s">
        <v>2490</v>
      </c>
      <c r="Q41" s="2" t="s">
        <v>34</v>
      </c>
      <c r="R41" s="2" t="s">
        <v>31</v>
      </c>
      <c r="T41" s="2" t="s">
        <v>2427</v>
      </c>
      <c r="U41" s="162">
        <v>3.71</v>
      </c>
      <c r="V41" s="153">
        <v>2386.8040000000001</v>
      </c>
      <c r="W41" s="153">
        <v>8855.0439999999999</v>
      </c>
      <c r="X41" s="168">
        <v>0</v>
      </c>
      <c r="Y41" s="168">
        <v>4.0298550290928402E-2</v>
      </c>
      <c r="Z41" s="168">
        <v>8.1739293654014399E-3</v>
      </c>
    </row>
    <row r="42" spans="1:26">
      <c r="A42" s="2">
        <v>158</v>
      </c>
      <c r="B42" s="2">
        <v>9935</v>
      </c>
      <c r="C42" s="2" t="s">
        <v>2491</v>
      </c>
      <c r="D42" s="2" t="s">
        <v>2492</v>
      </c>
      <c r="E42" s="2" t="s">
        <v>1343</v>
      </c>
      <c r="F42" s="2" t="s">
        <v>2493</v>
      </c>
      <c r="G42" s="2">
        <v>62010434</v>
      </c>
      <c r="H42" s="2" t="s">
        <v>43</v>
      </c>
      <c r="I42" s="2" t="s">
        <v>1044</v>
      </c>
      <c r="J42" s="2" t="s">
        <v>585</v>
      </c>
      <c r="K42" s="2" t="s">
        <v>106</v>
      </c>
      <c r="N42" s="2" t="s">
        <v>107</v>
      </c>
      <c r="O42" s="2" t="s">
        <v>153</v>
      </c>
      <c r="P42" t="s">
        <v>2494</v>
      </c>
      <c r="Q42" s="2" t="s">
        <v>34</v>
      </c>
      <c r="R42" s="2" t="s">
        <v>31</v>
      </c>
      <c r="T42" s="2" t="s">
        <v>2370</v>
      </c>
      <c r="U42" s="162">
        <v>3.71</v>
      </c>
      <c r="V42" s="153">
        <v>845.92</v>
      </c>
      <c r="W42" s="153">
        <v>3138.3629999999998</v>
      </c>
      <c r="X42" s="168">
        <v>0</v>
      </c>
      <c r="Y42" s="168">
        <v>1.4282421115331E-2</v>
      </c>
      <c r="Z42" s="168">
        <v>2.8969652883496901E-3</v>
      </c>
    </row>
    <row r="43" spans="1:26">
      <c r="A43" s="2">
        <v>158</v>
      </c>
      <c r="B43" s="2">
        <v>9935</v>
      </c>
      <c r="C43" s="2" t="s">
        <v>2495</v>
      </c>
      <c r="D43" s="2" t="s">
        <v>2496</v>
      </c>
      <c r="E43" s="2" t="s">
        <v>1343</v>
      </c>
      <c r="F43" s="2" t="s">
        <v>2497</v>
      </c>
      <c r="G43" s="2">
        <v>62017140</v>
      </c>
      <c r="H43" s="2" t="s">
        <v>43</v>
      </c>
      <c r="I43" s="2" t="s">
        <v>1044</v>
      </c>
      <c r="J43" s="2" t="s">
        <v>585</v>
      </c>
      <c r="K43" s="2" t="s">
        <v>106</v>
      </c>
      <c r="N43" s="2" t="s">
        <v>312</v>
      </c>
      <c r="O43" s="2" t="s">
        <v>153</v>
      </c>
      <c r="P43" t="s">
        <v>2498</v>
      </c>
      <c r="Q43" s="2" t="s">
        <v>1199</v>
      </c>
      <c r="R43" s="2" t="s">
        <v>31</v>
      </c>
      <c r="T43" s="2" t="s">
        <v>2499</v>
      </c>
      <c r="U43" s="162">
        <v>4.1524000000000001</v>
      </c>
      <c r="V43" s="153">
        <v>607.82299999999998</v>
      </c>
      <c r="W43" s="153">
        <v>2523.9229999999998</v>
      </c>
      <c r="X43" s="168">
        <v>0</v>
      </c>
      <c r="Y43" s="168">
        <v>1.14861592784243E-2</v>
      </c>
      <c r="Z43" s="168">
        <v>2.32978739790363E-3</v>
      </c>
    </row>
    <row r="44" spans="1:26">
      <c r="A44" s="2">
        <v>158</v>
      </c>
      <c r="B44" s="2">
        <v>9935</v>
      </c>
      <c r="C44" s="2" t="s">
        <v>2500</v>
      </c>
      <c r="D44" s="2" t="s">
        <v>2501</v>
      </c>
      <c r="E44" s="2" t="s">
        <v>330</v>
      </c>
      <c r="F44" s="2" t="s">
        <v>2502</v>
      </c>
      <c r="G44" s="2">
        <v>620070831</v>
      </c>
      <c r="H44" s="2" t="s">
        <v>43</v>
      </c>
      <c r="I44" s="2" t="s">
        <v>1044</v>
      </c>
      <c r="J44" s="2" t="s">
        <v>585</v>
      </c>
      <c r="K44" s="2" t="s">
        <v>106</v>
      </c>
      <c r="N44" s="2" t="s">
        <v>107</v>
      </c>
      <c r="O44" s="2" t="s">
        <v>153</v>
      </c>
      <c r="P44" t="s">
        <v>2503</v>
      </c>
      <c r="Q44" s="2" t="s">
        <v>34</v>
      </c>
      <c r="R44" s="2" t="s">
        <v>31</v>
      </c>
      <c r="T44" s="2" t="s">
        <v>1321</v>
      </c>
      <c r="U44" s="162">
        <v>3.71</v>
      </c>
      <c r="V44" s="153">
        <v>1017.944</v>
      </c>
      <c r="W44" s="153">
        <v>3776.5720000000001</v>
      </c>
      <c r="X44" s="168">
        <v>0</v>
      </c>
      <c r="Y44" s="168">
        <v>1.7186855088125199E-2</v>
      </c>
      <c r="Z44" s="168">
        <v>3.4860842012808101E-3</v>
      </c>
    </row>
    <row r="45" spans="1:26">
      <c r="A45" s="2">
        <v>158</v>
      </c>
      <c r="B45" s="2">
        <v>9935</v>
      </c>
      <c r="C45" s="2" t="s">
        <v>2504</v>
      </c>
      <c r="D45" s="2" t="s">
        <v>2505</v>
      </c>
      <c r="E45" s="2" t="s">
        <v>43</v>
      </c>
      <c r="F45" s="2" t="s">
        <v>2504</v>
      </c>
      <c r="G45" s="2">
        <v>62013958</v>
      </c>
      <c r="H45" s="2" t="s">
        <v>43</v>
      </c>
      <c r="I45" s="2" t="s">
        <v>1044</v>
      </c>
      <c r="J45" s="2" t="s">
        <v>585</v>
      </c>
      <c r="K45" s="2" t="s">
        <v>106</v>
      </c>
      <c r="N45" s="2" t="s">
        <v>107</v>
      </c>
      <c r="O45" s="2" t="s">
        <v>153</v>
      </c>
      <c r="P45" t="s">
        <v>2506</v>
      </c>
      <c r="Q45" s="2" t="s">
        <v>34</v>
      </c>
      <c r="R45" s="2" t="s">
        <v>31</v>
      </c>
      <c r="T45" s="2" t="s">
        <v>2507</v>
      </c>
      <c r="U45" s="162">
        <v>3.71</v>
      </c>
      <c r="V45" s="153">
        <v>1035.596</v>
      </c>
      <c r="W45" s="153">
        <v>3842.0619999999999</v>
      </c>
      <c r="X45" s="168">
        <v>0</v>
      </c>
      <c r="Y45" s="168">
        <v>1.7484896179869199E-2</v>
      </c>
      <c r="Z45" s="168">
        <v>3.54653716582457E-3</v>
      </c>
    </row>
    <row r="46" spans="1:26">
      <c r="A46" s="2">
        <v>158</v>
      </c>
      <c r="B46" s="2">
        <v>9935</v>
      </c>
      <c r="C46" s="2" t="s">
        <v>2508</v>
      </c>
      <c r="D46" s="2" t="s">
        <v>2509</v>
      </c>
      <c r="E46" s="2" t="s">
        <v>43</v>
      </c>
      <c r="F46" s="2" t="s">
        <v>2510</v>
      </c>
      <c r="G46" s="2">
        <v>62016522</v>
      </c>
      <c r="H46" s="2" t="s">
        <v>43</v>
      </c>
      <c r="I46" s="2" t="s">
        <v>1044</v>
      </c>
      <c r="J46" s="2" t="s">
        <v>585</v>
      </c>
      <c r="K46" s="2" t="s">
        <v>106</v>
      </c>
      <c r="N46" s="2" t="s">
        <v>107</v>
      </c>
      <c r="O46" s="2" t="s">
        <v>153</v>
      </c>
      <c r="P46" t="s">
        <v>2511</v>
      </c>
      <c r="Q46" s="2" t="s">
        <v>34</v>
      </c>
      <c r="R46" s="2" t="s">
        <v>31</v>
      </c>
      <c r="T46" s="2" t="s">
        <v>2375</v>
      </c>
      <c r="U46" s="162">
        <v>3.71</v>
      </c>
      <c r="V46" s="153">
        <v>1528.9860000000001</v>
      </c>
      <c r="W46" s="153">
        <v>5672.5370000000003</v>
      </c>
      <c r="X46" s="168">
        <v>0</v>
      </c>
      <c r="Y46" s="168">
        <v>2.5815229126071901E-2</v>
      </c>
      <c r="Z46" s="168">
        <v>5.2362146505222102E-3</v>
      </c>
    </row>
    <row r="47" spans="1:26">
      <c r="A47" s="2">
        <v>158</v>
      </c>
      <c r="B47" s="2">
        <v>9935</v>
      </c>
      <c r="C47" s="2" t="s">
        <v>2465</v>
      </c>
      <c r="D47" s="2" t="s">
        <v>2466</v>
      </c>
      <c r="E47" s="2" t="s">
        <v>331</v>
      </c>
      <c r="F47" s="2" t="s">
        <v>2512</v>
      </c>
      <c r="G47" s="2">
        <v>62020797</v>
      </c>
      <c r="H47" s="2" t="s">
        <v>43</v>
      </c>
      <c r="I47" s="2" t="s">
        <v>1044</v>
      </c>
      <c r="J47" s="2" t="s">
        <v>585</v>
      </c>
      <c r="K47" s="2" t="s">
        <v>106</v>
      </c>
      <c r="N47" s="2" t="s">
        <v>107</v>
      </c>
      <c r="O47" s="2" t="s">
        <v>153</v>
      </c>
      <c r="P47" t="s">
        <v>2513</v>
      </c>
      <c r="Q47" s="2" t="s">
        <v>34</v>
      </c>
      <c r="R47" s="2" t="s">
        <v>31</v>
      </c>
      <c r="T47" s="2" t="s">
        <v>155</v>
      </c>
      <c r="U47" s="162">
        <v>3.71</v>
      </c>
      <c r="V47" s="153">
        <v>2193.6570000000002</v>
      </c>
      <c r="W47" s="153">
        <v>8138.4679999999998</v>
      </c>
      <c r="X47" s="168">
        <v>0</v>
      </c>
      <c r="Y47" s="168">
        <v>3.7037473461368299E-2</v>
      </c>
      <c r="Z47" s="168">
        <v>7.5124710383019499E-3</v>
      </c>
    </row>
    <row r="48" spans="1:26">
      <c r="A48" s="2">
        <v>158</v>
      </c>
      <c r="B48" s="2">
        <v>9935</v>
      </c>
      <c r="C48" s="2" t="s">
        <v>2514</v>
      </c>
      <c r="D48" s="2" t="s">
        <v>2515</v>
      </c>
      <c r="E48" s="2" t="s">
        <v>43</v>
      </c>
      <c r="F48" s="2" t="s">
        <v>2516</v>
      </c>
      <c r="G48" s="2">
        <v>620204090</v>
      </c>
      <c r="H48" s="2" t="s">
        <v>43</v>
      </c>
      <c r="I48" s="2" t="s">
        <v>1044</v>
      </c>
      <c r="J48" s="2" t="s">
        <v>585</v>
      </c>
      <c r="K48" s="2" t="s">
        <v>106</v>
      </c>
      <c r="N48" s="2" t="s">
        <v>107</v>
      </c>
      <c r="O48" s="2" t="s">
        <v>153</v>
      </c>
      <c r="P48" t="s">
        <v>2395</v>
      </c>
      <c r="Q48" s="2" t="s">
        <v>34</v>
      </c>
      <c r="R48" s="2" t="s">
        <v>31</v>
      </c>
      <c r="T48" s="2" t="s">
        <v>2358</v>
      </c>
      <c r="U48" s="162">
        <v>3.71</v>
      </c>
      <c r="V48" s="153">
        <v>1144.97</v>
      </c>
      <c r="W48" s="153">
        <v>4247.8389999999999</v>
      </c>
      <c r="X48" s="168">
        <v>0</v>
      </c>
      <c r="Y48" s="168">
        <v>1.9331551018507299E-2</v>
      </c>
      <c r="Z48" s="168">
        <v>3.9211021589653401E-3</v>
      </c>
    </row>
    <row r="49" spans="1:26">
      <c r="A49" s="2">
        <v>158</v>
      </c>
      <c r="B49" s="2">
        <v>9935</v>
      </c>
      <c r="D49" s="2" t="s">
        <v>2517</v>
      </c>
      <c r="E49" s="2" t="s">
        <v>331</v>
      </c>
      <c r="F49" s="2" t="s">
        <v>2518</v>
      </c>
      <c r="G49" s="2">
        <v>620201280</v>
      </c>
      <c r="H49" s="2" t="s">
        <v>43</v>
      </c>
      <c r="I49" s="2" t="s">
        <v>1044</v>
      </c>
      <c r="J49" s="2" t="s">
        <v>585</v>
      </c>
      <c r="K49" s="2" t="s">
        <v>106</v>
      </c>
      <c r="N49" s="2" t="s">
        <v>107</v>
      </c>
      <c r="O49" s="2" t="s">
        <v>153</v>
      </c>
      <c r="P49" t="s">
        <v>2395</v>
      </c>
      <c r="Q49" s="2" t="s">
        <v>34</v>
      </c>
      <c r="R49" s="2" t="s">
        <v>31</v>
      </c>
      <c r="T49" s="2" t="s">
        <v>2380</v>
      </c>
      <c r="U49" s="162">
        <v>3.71</v>
      </c>
      <c r="V49" s="153">
        <v>75.805000000000007</v>
      </c>
      <c r="W49" s="153">
        <v>281.238</v>
      </c>
      <c r="X49" s="168">
        <v>0</v>
      </c>
      <c r="Y49" s="168">
        <v>1.27988931063042E-3</v>
      </c>
      <c r="Z49" s="168">
        <v>2.59605488165177E-4</v>
      </c>
    </row>
    <row r="50" spans="1:26">
      <c r="A50" s="2">
        <v>158</v>
      </c>
      <c r="B50" s="2">
        <v>9935</v>
      </c>
      <c r="C50" s="2" t="s">
        <v>2519</v>
      </c>
      <c r="D50" s="2" t="s">
        <v>2520</v>
      </c>
      <c r="E50" s="2" t="s">
        <v>43</v>
      </c>
      <c r="F50" s="2" t="s">
        <v>2521</v>
      </c>
      <c r="G50" s="2">
        <v>620211750</v>
      </c>
      <c r="H50" s="2" t="s">
        <v>43</v>
      </c>
      <c r="I50" s="2" t="s">
        <v>1048</v>
      </c>
      <c r="J50" s="2" t="s">
        <v>585</v>
      </c>
      <c r="K50" s="2" t="s">
        <v>106</v>
      </c>
      <c r="N50" s="2" t="s">
        <v>107</v>
      </c>
      <c r="O50" s="2" t="s">
        <v>153</v>
      </c>
      <c r="P50" t="s">
        <v>2395</v>
      </c>
      <c r="Q50" s="2" t="s">
        <v>34</v>
      </c>
      <c r="R50" s="2" t="s">
        <v>31</v>
      </c>
      <c r="T50" s="2" t="s">
        <v>2419</v>
      </c>
      <c r="U50" s="162">
        <v>3.71</v>
      </c>
      <c r="V50" s="153">
        <v>136.61000000000001</v>
      </c>
      <c r="W50" s="153">
        <v>506.82400000000001</v>
      </c>
      <c r="X50" s="168">
        <v>0</v>
      </c>
      <c r="Y50" s="168">
        <v>2.3065147594752999E-3</v>
      </c>
      <c r="Z50" s="168">
        <v>4.67840371132434E-4</v>
      </c>
    </row>
    <row r="51" spans="1:26">
      <c r="A51" s="2">
        <v>158</v>
      </c>
      <c r="B51" s="2">
        <v>9935</v>
      </c>
      <c r="D51" s="2" t="s">
        <v>2517</v>
      </c>
      <c r="E51" s="2" t="s">
        <v>331</v>
      </c>
      <c r="F51" s="2" t="s">
        <v>2522</v>
      </c>
      <c r="G51" s="2">
        <v>79332607</v>
      </c>
      <c r="H51" s="2" t="s">
        <v>43</v>
      </c>
      <c r="I51" s="2" t="s">
        <v>1046</v>
      </c>
      <c r="J51" s="2" t="s">
        <v>585</v>
      </c>
      <c r="K51" s="2" t="s">
        <v>106</v>
      </c>
      <c r="O51" s="2" t="s">
        <v>153</v>
      </c>
      <c r="P51" t="s">
        <v>2523</v>
      </c>
      <c r="Q51" s="2" t="s">
        <v>34</v>
      </c>
      <c r="R51" s="2" t="s">
        <v>31</v>
      </c>
      <c r="T51" s="2" t="s">
        <v>155</v>
      </c>
      <c r="U51" s="162">
        <v>3.71</v>
      </c>
      <c r="V51" s="153">
        <v>1459.0409999999999</v>
      </c>
      <c r="W51" s="153">
        <v>5413.0439999999999</v>
      </c>
      <c r="X51" s="168">
        <v>0</v>
      </c>
      <c r="Y51" s="168">
        <v>2.4634300341626E-2</v>
      </c>
      <c r="Z51" s="168">
        <v>4.9966817541787101E-3</v>
      </c>
    </row>
    <row r="52" spans="1:26">
      <c r="A52" s="2">
        <v>158</v>
      </c>
      <c r="B52" s="2">
        <v>9935</v>
      </c>
      <c r="C52" s="2" t="s">
        <v>2524</v>
      </c>
      <c r="D52" s="2" t="s">
        <v>2525</v>
      </c>
      <c r="E52" s="2" t="s">
        <v>43</v>
      </c>
      <c r="F52" s="2" t="s">
        <v>2524</v>
      </c>
      <c r="G52" s="2">
        <v>620192860</v>
      </c>
      <c r="H52" s="2" t="s">
        <v>43</v>
      </c>
      <c r="I52" s="2" t="s">
        <v>1047</v>
      </c>
      <c r="J52" s="2" t="s">
        <v>585</v>
      </c>
      <c r="K52" s="2" t="s">
        <v>106</v>
      </c>
      <c r="N52" s="2" t="s">
        <v>312</v>
      </c>
      <c r="O52" s="2" t="s">
        <v>153</v>
      </c>
      <c r="P52" t="s">
        <v>2395</v>
      </c>
      <c r="Q52" s="2" t="s">
        <v>34</v>
      </c>
      <c r="R52" s="2" t="s">
        <v>31</v>
      </c>
      <c r="T52" s="2" t="s">
        <v>155</v>
      </c>
      <c r="U52" s="162">
        <v>3.71</v>
      </c>
      <c r="V52" s="153">
        <v>675.33600000000001</v>
      </c>
      <c r="W52" s="153">
        <v>2505.4960000000001</v>
      </c>
      <c r="X52" s="168">
        <v>0</v>
      </c>
      <c r="Y52" s="168">
        <v>1.14023003678417E-2</v>
      </c>
      <c r="Z52" s="168">
        <v>2.3127779321334501E-3</v>
      </c>
    </row>
    <row r="53" spans="1:26">
      <c r="A53" s="2">
        <v>158</v>
      </c>
      <c r="B53" s="2">
        <v>9935</v>
      </c>
      <c r="C53" s="2" t="s">
        <v>2526</v>
      </c>
      <c r="D53" s="2" t="s">
        <v>2527</v>
      </c>
      <c r="E53" s="2" t="s">
        <v>43</v>
      </c>
      <c r="F53" s="2" t="s">
        <v>2526</v>
      </c>
      <c r="G53" s="2">
        <v>62019765</v>
      </c>
      <c r="H53" s="2" t="s">
        <v>43</v>
      </c>
      <c r="I53" s="2" t="s">
        <v>1044</v>
      </c>
      <c r="J53" s="2" t="s">
        <v>585</v>
      </c>
      <c r="K53" s="2" t="s">
        <v>106</v>
      </c>
      <c r="N53" s="2" t="s">
        <v>312</v>
      </c>
      <c r="O53" s="2" t="s">
        <v>153</v>
      </c>
      <c r="P53" t="s">
        <v>2528</v>
      </c>
      <c r="Q53" s="2" t="s">
        <v>1199</v>
      </c>
      <c r="R53" s="2" t="s">
        <v>31</v>
      </c>
      <c r="T53" s="2" t="s">
        <v>2424</v>
      </c>
      <c r="U53" s="162">
        <v>4.1524000000000001</v>
      </c>
      <c r="V53" s="153">
        <v>468.32400000000001</v>
      </c>
      <c r="W53" s="153">
        <v>1944.6690000000001</v>
      </c>
      <c r="X53" s="168">
        <v>0</v>
      </c>
      <c r="Y53" s="168">
        <v>8.8500231438704106E-3</v>
      </c>
      <c r="Z53" s="168">
        <v>1.7950884966809601E-3</v>
      </c>
    </row>
    <row r="54" spans="1:26">
      <c r="A54" s="2">
        <v>158</v>
      </c>
      <c r="B54" s="2">
        <v>9935</v>
      </c>
      <c r="C54" s="2" t="s">
        <v>2529</v>
      </c>
      <c r="D54" s="2" t="s">
        <v>2530</v>
      </c>
      <c r="E54" s="2" t="s">
        <v>43</v>
      </c>
      <c r="F54" s="2" t="s">
        <v>2531</v>
      </c>
      <c r="G54" s="2">
        <v>620203590</v>
      </c>
      <c r="H54" s="2" t="s">
        <v>43</v>
      </c>
      <c r="I54" s="2" t="s">
        <v>1048</v>
      </c>
      <c r="J54" s="2" t="s">
        <v>585</v>
      </c>
      <c r="K54" s="2" t="s">
        <v>106</v>
      </c>
      <c r="N54" s="2" t="s">
        <v>107</v>
      </c>
      <c r="O54" s="2" t="s">
        <v>153</v>
      </c>
      <c r="P54" t="s">
        <v>2395</v>
      </c>
      <c r="Q54" s="2" t="s">
        <v>34</v>
      </c>
      <c r="R54" s="2" t="s">
        <v>31</v>
      </c>
      <c r="T54" s="2" t="s">
        <v>2424</v>
      </c>
      <c r="U54" s="162">
        <v>3.71</v>
      </c>
      <c r="V54" s="153">
        <v>1053.739</v>
      </c>
      <c r="W54" s="153">
        <v>3909.373</v>
      </c>
      <c r="X54" s="168">
        <v>0</v>
      </c>
      <c r="Y54" s="168">
        <v>1.7791222243009799E-2</v>
      </c>
      <c r="Z54" s="168">
        <v>3.6086706069735999E-3</v>
      </c>
    </row>
    <row r="55" spans="1:26">
      <c r="A55" s="2">
        <v>158</v>
      </c>
      <c r="B55" s="2">
        <v>9935</v>
      </c>
      <c r="C55" s="2" t="s">
        <v>1729</v>
      </c>
      <c r="D55" s="2" t="s">
        <v>1730</v>
      </c>
      <c r="E55" s="2" t="s">
        <v>1343</v>
      </c>
      <c r="F55" s="2" t="s">
        <v>2532</v>
      </c>
      <c r="G55" s="2">
        <v>62018411</v>
      </c>
      <c r="H55" s="2" t="s">
        <v>43</v>
      </c>
      <c r="I55" s="2" t="s">
        <v>1044</v>
      </c>
      <c r="J55" s="2" t="s">
        <v>585</v>
      </c>
      <c r="K55" s="2" t="s">
        <v>106</v>
      </c>
      <c r="N55" s="2" t="s">
        <v>107</v>
      </c>
      <c r="O55" s="2" t="s">
        <v>153</v>
      </c>
      <c r="P55" t="s">
        <v>2533</v>
      </c>
      <c r="Q55" s="2" t="s">
        <v>34</v>
      </c>
      <c r="R55" s="2" t="s">
        <v>31</v>
      </c>
      <c r="T55" s="2" t="s">
        <v>2424</v>
      </c>
      <c r="U55" s="162">
        <v>3.71</v>
      </c>
      <c r="V55" s="153">
        <v>748.42</v>
      </c>
      <c r="W55" s="153">
        <v>2776.6379999999999</v>
      </c>
      <c r="X55" s="168">
        <v>0</v>
      </c>
      <c r="Y55" s="168">
        <v>1.2636243231937299E-2</v>
      </c>
      <c r="Z55" s="168">
        <v>2.56306390369428E-3</v>
      </c>
    </row>
    <row r="56" spans="1:26">
      <c r="A56" s="2">
        <v>158</v>
      </c>
      <c r="B56" s="2">
        <v>9935</v>
      </c>
      <c r="C56" s="2" t="s">
        <v>2534</v>
      </c>
      <c r="D56" s="2" t="s">
        <v>2535</v>
      </c>
      <c r="E56" s="2" t="s">
        <v>43</v>
      </c>
      <c r="F56" s="2" t="s">
        <v>2536</v>
      </c>
      <c r="G56" s="2">
        <v>620178760</v>
      </c>
      <c r="H56" s="2" t="s">
        <v>43</v>
      </c>
      <c r="I56" s="2" t="s">
        <v>1044</v>
      </c>
      <c r="J56" s="2" t="s">
        <v>585</v>
      </c>
      <c r="K56" s="2" t="s">
        <v>106</v>
      </c>
      <c r="N56" s="2" t="s">
        <v>107</v>
      </c>
      <c r="O56" s="2" t="s">
        <v>153</v>
      </c>
      <c r="P56" t="s">
        <v>2395</v>
      </c>
      <c r="Q56" s="2" t="s">
        <v>34</v>
      </c>
      <c r="R56" s="2" t="s">
        <v>31</v>
      </c>
      <c r="T56" s="2" t="s">
        <v>2375</v>
      </c>
      <c r="U56" s="162">
        <v>3.71</v>
      </c>
      <c r="V56" s="153">
        <v>406.02100000000002</v>
      </c>
      <c r="W56" s="153">
        <v>1506.338</v>
      </c>
      <c r="X56" s="168">
        <v>0</v>
      </c>
      <c r="Y56" s="168">
        <v>6.8552151375890604E-3</v>
      </c>
      <c r="Z56" s="168">
        <v>1.39047295534841E-3</v>
      </c>
    </row>
    <row r="57" spans="1:26">
      <c r="A57" s="2">
        <v>158</v>
      </c>
      <c r="B57" s="2">
        <v>9935</v>
      </c>
      <c r="C57" s="2" t="s">
        <v>2537</v>
      </c>
      <c r="D57" s="2" t="s">
        <v>2538</v>
      </c>
      <c r="E57" s="2" t="s">
        <v>43</v>
      </c>
      <c r="F57" s="2" t="s">
        <v>2539</v>
      </c>
      <c r="G57" s="2">
        <v>620187340</v>
      </c>
      <c r="H57" s="2" t="s">
        <v>43</v>
      </c>
      <c r="I57" s="2" t="s">
        <v>1044</v>
      </c>
      <c r="J57" s="2" t="s">
        <v>585</v>
      </c>
      <c r="K57" s="2" t="s">
        <v>106</v>
      </c>
      <c r="N57" s="2" t="s">
        <v>107</v>
      </c>
      <c r="O57" s="2" t="s">
        <v>153</v>
      </c>
      <c r="P57" t="s">
        <v>2395</v>
      </c>
      <c r="Q57" s="2" t="s">
        <v>34</v>
      </c>
      <c r="R57" s="2" t="s">
        <v>31</v>
      </c>
      <c r="T57" s="2" t="s">
        <v>1321</v>
      </c>
      <c r="U57" s="162">
        <v>3.71</v>
      </c>
      <c r="V57" s="153">
        <v>371.34399999999999</v>
      </c>
      <c r="W57" s="153">
        <v>1377.6859999999999</v>
      </c>
      <c r="X57" s="168">
        <v>0</v>
      </c>
      <c r="Y57" s="168">
        <v>6.2697323785047398E-3</v>
      </c>
      <c r="Z57" s="168">
        <v>1.2717169533864E-3</v>
      </c>
    </row>
    <row r="58" spans="1:26">
      <c r="A58" s="2">
        <v>158</v>
      </c>
      <c r="B58" s="2">
        <v>9935</v>
      </c>
      <c r="C58" s="2" t="s">
        <v>2540</v>
      </c>
      <c r="D58" s="2" t="s">
        <v>2541</v>
      </c>
      <c r="E58" s="2" t="s">
        <v>329</v>
      </c>
      <c r="F58" s="2" t="s">
        <v>2542</v>
      </c>
      <c r="G58" s="2">
        <v>62019328</v>
      </c>
      <c r="H58" s="2" t="s">
        <v>43</v>
      </c>
      <c r="I58" s="2" t="s">
        <v>1044</v>
      </c>
      <c r="J58" s="2" t="s">
        <v>585</v>
      </c>
      <c r="K58" s="2" t="s">
        <v>106</v>
      </c>
      <c r="N58" s="2" t="s">
        <v>257</v>
      </c>
      <c r="O58" s="2" t="s">
        <v>153</v>
      </c>
      <c r="P58" t="s">
        <v>2543</v>
      </c>
      <c r="Q58" s="2" t="s">
        <v>1199</v>
      </c>
      <c r="R58" s="2" t="s">
        <v>31</v>
      </c>
      <c r="T58" s="2" t="s">
        <v>2410</v>
      </c>
      <c r="U58" s="162">
        <v>4.1524000000000001</v>
      </c>
      <c r="V58" s="153">
        <v>502.99099999999999</v>
      </c>
      <c r="W58" s="153">
        <v>2088.62</v>
      </c>
      <c r="X58" s="168">
        <v>0</v>
      </c>
      <c r="Y58" s="168">
        <v>9.5051323259294201E-3</v>
      </c>
      <c r="Z58" s="168">
        <v>1.9279671273542201E-3</v>
      </c>
    </row>
    <row r="59" spans="1:26">
      <c r="A59" s="2">
        <v>158</v>
      </c>
      <c r="B59" s="2">
        <v>9935</v>
      </c>
      <c r="C59" s="2" t="s">
        <v>2540</v>
      </c>
      <c r="D59" s="2" t="s">
        <v>2541</v>
      </c>
      <c r="E59" s="2" t="s">
        <v>329</v>
      </c>
      <c r="F59" s="2" t="s">
        <v>2544</v>
      </c>
      <c r="G59" s="2">
        <v>60400009</v>
      </c>
      <c r="H59" s="2" t="s">
        <v>43</v>
      </c>
      <c r="I59" s="2" t="s">
        <v>1044</v>
      </c>
      <c r="J59" s="2" t="s">
        <v>585</v>
      </c>
      <c r="K59" s="2" t="s">
        <v>106</v>
      </c>
      <c r="N59" s="2" t="s">
        <v>315</v>
      </c>
      <c r="O59" s="2" t="s">
        <v>153</v>
      </c>
      <c r="P59" t="s">
        <v>2545</v>
      </c>
      <c r="Q59" s="2" t="s">
        <v>34</v>
      </c>
      <c r="R59" s="2" t="s">
        <v>31</v>
      </c>
      <c r="T59" s="2" t="s">
        <v>155</v>
      </c>
      <c r="U59" s="162">
        <v>3.71</v>
      </c>
      <c r="V59" s="153">
        <v>571.54600000000005</v>
      </c>
      <c r="W59" s="153">
        <v>2120.4360000000001</v>
      </c>
      <c r="X59" s="168">
        <v>0</v>
      </c>
      <c r="Y59" s="168">
        <v>9.6499252539634407E-3</v>
      </c>
      <c r="Z59" s="168">
        <v>1.95733610360313E-3</v>
      </c>
    </row>
    <row r="60" spans="1:26">
      <c r="A60" s="2">
        <v>158</v>
      </c>
      <c r="B60" s="2">
        <v>9935</v>
      </c>
      <c r="C60" s="2" t="s">
        <v>2540</v>
      </c>
      <c r="D60" s="2" t="s">
        <v>2541</v>
      </c>
      <c r="E60" s="2" t="s">
        <v>329</v>
      </c>
      <c r="F60" s="2" t="s">
        <v>2546</v>
      </c>
      <c r="G60" s="2">
        <v>62021670</v>
      </c>
      <c r="H60" s="2" t="s">
        <v>43</v>
      </c>
      <c r="I60" s="2" t="s">
        <v>1046</v>
      </c>
      <c r="J60" s="2" t="s">
        <v>585</v>
      </c>
      <c r="K60" s="2" t="s">
        <v>106</v>
      </c>
      <c r="O60" s="2" t="s">
        <v>153</v>
      </c>
      <c r="P60" t="s">
        <v>2547</v>
      </c>
      <c r="Q60" s="2" t="s">
        <v>34</v>
      </c>
      <c r="R60" s="2" t="s">
        <v>31</v>
      </c>
      <c r="T60" s="2" t="s">
        <v>155</v>
      </c>
      <c r="U60" s="162">
        <v>3.71</v>
      </c>
      <c r="V60" s="153">
        <v>110.029</v>
      </c>
      <c r="W60" s="153">
        <v>408.20800000000003</v>
      </c>
      <c r="X60" s="168">
        <v>0</v>
      </c>
      <c r="Y60" s="168">
        <v>1.8577176108757901E-3</v>
      </c>
      <c r="Z60" s="168">
        <v>3.7680890311280699E-4</v>
      </c>
    </row>
    <row r="61" spans="1:26">
      <c r="A61" s="2">
        <v>158</v>
      </c>
      <c r="B61" s="2">
        <v>9935</v>
      </c>
      <c r="C61" s="2" t="s">
        <v>2406</v>
      </c>
      <c r="D61" s="2" t="s">
        <v>2407</v>
      </c>
      <c r="E61" s="2" t="s">
        <v>43</v>
      </c>
      <c r="F61" s="2" t="s">
        <v>2548</v>
      </c>
      <c r="G61" s="2">
        <v>62018072</v>
      </c>
      <c r="H61" s="2" t="s">
        <v>43</v>
      </c>
      <c r="I61" s="2" t="s">
        <v>1044</v>
      </c>
      <c r="J61" s="2" t="s">
        <v>585</v>
      </c>
      <c r="K61" s="2" t="s">
        <v>106</v>
      </c>
      <c r="N61" s="2" t="s">
        <v>312</v>
      </c>
      <c r="O61" s="2" t="s">
        <v>153</v>
      </c>
      <c r="P61" t="s">
        <v>2549</v>
      </c>
      <c r="Q61" s="2" t="s">
        <v>1199</v>
      </c>
      <c r="R61" s="2" t="s">
        <v>31</v>
      </c>
      <c r="T61" s="2" t="s">
        <v>155</v>
      </c>
      <c r="U61" s="162">
        <v>4.1524000000000001</v>
      </c>
      <c r="V61" s="153">
        <v>546.45799999999997</v>
      </c>
      <c r="W61" s="153">
        <v>2269.1120000000001</v>
      </c>
      <c r="X61" s="168">
        <v>0</v>
      </c>
      <c r="Y61" s="168">
        <v>1.0326534149314901E-2</v>
      </c>
      <c r="Z61" s="168">
        <v>2.09457561417307E-3</v>
      </c>
    </row>
    <row r="62" spans="1:26">
      <c r="A62" s="2">
        <v>158</v>
      </c>
      <c r="B62" s="2">
        <v>9935</v>
      </c>
      <c r="C62" s="2" t="s">
        <v>2550</v>
      </c>
      <c r="D62" s="2" t="s">
        <v>2551</v>
      </c>
      <c r="E62" s="2" t="s">
        <v>43</v>
      </c>
      <c r="F62" s="2" t="s">
        <v>2552</v>
      </c>
      <c r="G62" s="2">
        <v>620190210</v>
      </c>
      <c r="H62" s="2" t="s">
        <v>43</v>
      </c>
      <c r="I62" s="2" t="s">
        <v>1044</v>
      </c>
      <c r="J62" s="2" t="s">
        <v>585</v>
      </c>
      <c r="K62" s="2" t="s">
        <v>106</v>
      </c>
      <c r="N62" s="2" t="s">
        <v>107</v>
      </c>
      <c r="O62" s="2" t="s">
        <v>153</v>
      </c>
      <c r="P62" t="s">
        <v>2395</v>
      </c>
      <c r="Q62" s="2" t="s">
        <v>34</v>
      </c>
      <c r="R62" s="2" t="s">
        <v>31</v>
      </c>
      <c r="T62" s="2" t="s">
        <v>2499</v>
      </c>
      <c r="U62" s="162">
        <v>3.71</v>
      </c>
      <c r="V62" s="153">
        <v>387.30099999999999</v>
      </c>
      <c r="W62" s="153">
        <v>1436.8869999999999</v>
      </c>
      <c r="X62" s="168">
        <v>0</v>
      </c>
      <c r="Y62" s="168">
        <v>6.5391507773474404E-3</v>
      </c>
      <c r="Z62" s="168">
        <v>1.3263642532515599E-3</v>
      </c>
    </row>
    <row r="63" spans="1:26">
      <c r="A63" s="2">
        <v>158</v>
      </c>
      <c r="B63" s="2">
        <v>9935</v>
      </c>
      <c r="C63" s="2" t="s">
        <v>2553</v>
      </c>
      <c r="D63" s="2" t="s">
        <v>2554</v>
      </c>
      <c r="E63" s="2" t="s">
        <v>330</v>
      </c>
      <c r="F63" s="2" t="s">
        <v>2555</v>
      </c>
      <c r="G63" s="2">
        <v>620210010</v>
      </c>
      <c r="H63" s="2" t="s">
        <v>43</v>
      </c>
      <c r="I63" s="2" t="s">
        <v>1044</v>
      </c>
      <c r="J63" s="2" t="s">
        <v>585</v>
      </c>
      <c r="K63" s="2" t="s">
        <v>106</v>
      </c>
      <c r="N63" s="2" t="s">
        <v>107</v>
      </c>
      <c r="O63" s="2" t="s">
        <v>153</v>
      </c>
      <c r="P63" t="s">
        <v>2395</v>
      </c>
      <c r="Q63" s="2" t="s">
        <v>34</v>
      </c>
      <c r="R63" s="2" t="s">
        <v>31</v>
      </c>
      <c r="T63" s="2" t="s">
        <v>2424</v>
      </c>
      <c r="U63" s="162">
        <v>3.71</v>
      </c>
      <c r="V63" s="153">
        <v>550.97299999999996</v>
      </c>
      <c r="W63" s="153">
        <v>2044.11</v>
      </c>
      <c r="X63" s="168">
        <v>0</v>
      </c>
      <c r="Y63" s="168">
        <v>9.3025680034189706E-3</v>
      </c>
      <c r="Z63" s="168">
        <v>1.88688012913227E-3</v>
      </c>
    </row>
    <row r="64" spans="1:26">
      <c r="A64" s="2">
        <v>158</v>
      </c>
      <c r="B64" s="2">
        <v>9935</v>
      </c>
      <c r="C64" s="2" t="s">
        <v>2556</v>
      </c>
      <c r="D64" s="2" t="s">
        <v>2557</v>
      </c>
      <c r="E64" s="2" t="s">
        <v>330</v>
      </c>
      <c r="F64" s="2" t="s">
        <v>2558</v>
      </c>
      <c r="G64" s="2">
        <v>620197400</v>
      </c>
      <c r="H64" s="2" t="s">
        <v>43</v>
      </c>
      <c r="I64" s="2" t="s">
        <v>1044</v>
      </c>
      <c r="J64" s="2" t="s">
        <v>585</v>
      </c>
      <c r="K64" s="2" t="s">
        <v>106</v>
      </c>
      <c r="N64" s="2" t="s">
        <v>107</v>
      </c>
      <c r="O64" s="2" t="s">
        <v>153</v>
      </c>
      <c r="P64" t="s">
        <v>2395</v>
      </c>
      <c r="Q64" s="2" t="s">
        <v>34</v>
      </c>
      <c r="R64" s="2" t="s">
        <v>31</v>
      </c>
      <c r="T64" s="2" t="s">
        <v>2370</v>
      </c>
      <c r="U64" s="162">
        <v>3.71</v>
      </c>
      <c r="V64" s="153">
        <v>1419.3389999999999</v>
      </c>
      <c r="W64" s="153">
        <v>5265.7470000000003</v>
      </c>
      <c r="X64" s="168">
        <v>0</v>
      </c>
      <c r="Y64" s="168">
        <v>2.3963965510734798E-2</v>
      </c>
      <c r="Z64" s="168">
        <v>4.86071483925706E-3</v>
      </c>
    </row>
    <row r="65" spans="1:26">
      <c r="A65" s="2">
        <v>158</v>
      </c>
      <c r="B65" s="2">
        <v>9935</v>
      </c>
      <c r="C65" s="2" t="s">
        <v>2559</v>
      </c>
      <c r="D65" s="2" t="s">
        <v>2560</v>
      </c>
      <c r="E65" s="2" t="s">
        <v>43</v>
      </c>
      <c r="F65" s="2" t="s">
        <v>2561</v>
      </c>
      <c r="G65" s="2">
        <v>620184860</v>
      </c>
      <c r="H65" s="2" t="s">
        <v>43</v>
      </c>
      <c r="I65" s="2" t="s">
        <v>1044</v>
      </c>
      <c r="J65" s="2" t="s">
        <v>585</v>
      </c>
      <c r="K65" s="2" t="s">
        <v>106</v>
      </c>
      <c r="N65" s="2" t="s">
        <v>107</v>
      </c>
      <c r="O65" s="2" t="s">
        <v>153</v>
      </c>
      <c r="P65" t="s">
        <v>2395</v>
      </c>
      <c r="Q65" s="2" t="s">
        <v>34</v>
      </c>
      <c r="R65" s="2" t="s">
        <v>31</v>
      </c>
      <c r="T65" s="2" t="s">
        <v>2507</v>
      </c>
      <c r="U65" s="162">
        <v>3.71</v>
      </c>
      <c r="V65" s="153">
        <v>800.56700000000001</v>
      </c>
      <c r="W65" s="153">
        <v>2970.1039999999998</v>
      </c>
      <c r="X65" s="168">
        <v>0</v>
      </c>
      <c r="Y65" s="168">
        <v>1.35166874674279E-2</v>
      </c>
      <c r="Z65" s="168">
        <v>2.7416482184926998E-3</v>
      </c>
    </row>
    <row r="66" spans="1:26">
      <c r="A66" s="2">
        <v>158</v>
      </c>
      <c r="B66" s="2">
        <v>9935</v>
      </c>
      <c r="C66" s="2" t="s">
        <v>2562</v>
      </c>
      <c r="D66" s="2" t="s">
        <v>2563</v>
      </c>
      <c r="E66" s="2" t="s">
        <v>43</v>
      </c>
      <c r="F66" s="2" t="s">
        <v>2564</v>
      </c>
      <c r="G66" s="2">
        <v>620186680</v>
      </c>
      <c r="H66" s="2" t="s">
        <v>43</v>
      </c>
      <c r="I66" s="2" t="s">
        <v>1044</v>
      </c>
      <c r="J66" s="2" t="s">
        <v>585</v>
      </c>
      <c r="K66" s="2" t="s">
        <v>106</v>
      </c>
      <c r="N66" s="2" t="s">
        <v>315</v>
      </c>
      <c r="O66" s="2" t="s">
        <v>153</v>
      </c>
      <c r="P66" t="s">
        <v>2395</v>
      </c>
      <c r="Q66" s="2" t="s">
        <v>34</v>
      </c>
      <c r="R66" s="2" t="s">
        <v>31</v>
      </c>
      <c r="T66" s="2" t="s">
        <v>1326</v>
      </c>
      <c r="U66" s="162">
        <v>3.71</v>
      </c>
      <c r="V66" s="153">
        <v>161.69900000000001</v>
      </c>
      <c r="W66" s="153">
        <v>599.90300000000002</v>
      </c>
      <c r="X66" s="168">
        <v>0</v>
      </c>
      <c r="Y66" s="168">
        <v>2.7301079462922202E-3</v>
      </c>
      <c r="Z66" s="168">
        <v>5.5375961050234705E-4</v>
      </c>
    </row>
    <row r="67" spans="1:26">
      <c r="A67" s="2">
        <v>158</v>
      </c>
      <c r="B67" s="2">
        <v>9935</v>
      </c>
      <c r="C67" s="2" t="s">
        <v>2565</v>
      </c>
      <c r="E67" s="2" t="s">
        <v>31</v>
      </c>
      <c r="F67" s="2" t="s">
        <v>2566</v>
      </c>
      <c r="G67" s="2">
        <v>62018619</v>
      </c>
      <c r="H67" s="2" t="s">
        <v>43</v>
      </c>
      <c r="I67" s="2" t="s">
        <v>1044</v>
      </c>
      <c r="J67" s="2" t="s">
        <v>585</v>
      </c>
      <c r="K67" s="2" t="s">
        <v>106</v>
      </c>
      <c r="N67" s="2" t="s">
        <v>315</v>
      </c>
      <c r="O67" s="2" t="s">
        <v>153</v>
      </c>
      <c r="P67" t="s">
        <v>2567</v>
      </c>
      <c r="Q67" s="2" t="s">
        <v>34</v>
      </c>
      <c r="R67" s="2" t="s">
        <v>31</v>
      </c>
      <c r="T67" s="2" t="s">
        <v>2568</v>
      </c>
      <c r="U67" s="162">
        <v>3.71</v>
      </c>
      <c r="V67" s="153">
        <v>254.983</v>
      </c>
      <c r="W67" s="153">
        <v>945.98699999999997</v>
      </c>
      <c r="X67" s="168">
        <v>0</v>
      </c>
      <c r="Y67" s="168">
        <v>4.3051074164367001E-3</v>
      </c>
      <c r="Z67" s="168">
        <v>8.7322356954217602E-4</v>
      </c>
    </row>
    <row r="68" spans="1:26">
      <c r="A68" s="2">
        <v>158</v>
      </c>
      <c r="B68" s="2">
        <v>9935</v>
      </c>
      <c r="C68" s="2" t="s">
        <v>2569</v>
      </c>
      <c r="D68" s="2" t="s">
        <v>2570</v>
      </c>
      <c r="E68" s="2" t="s">
        <v>43</v>
      </c>
      <c r="F68" s="2" t="s">
        <v>2571</v>
      </c>
      <c r="G68" s="2">
        <v>620181150</v>
      </c>
      <c r="H68" s="2" t="s">
        <v>43</v>
      </c>
      <c r="I68" s="2" t="s">
        <v>1044</v>
      </c>
      <c r="J68" s="2" t="s">
        <v>585</v>
      </c>
      <c r="K68" s="2" t="s">
        <v>106</v>
      </c>
      <c r="N68" s="2" t="s">
        <v>107</v>
      </c>
      <c r="O68" s="2" t="s">
        <v>153</v>
      </c>
      <c r="P68" t="s">
        <v>2395</v>
      </c>
      <c r="Q68" s="2" t="s">
        <v>34</v>
      </c>
      <c r="R68" s="2" t="s">
        <v>31</v>
      </c>
      <c r="T68" s="2" t="s">
        <v>2395</v>
      </c>
      <c r="U68" s="162">
        <v>3.71</v>
      </c>
      <c r="V68" s="153">
        <v>902.94200000000001</v>
      </c>
      <c r="W68" s="153">
        <v>3349.9160000000002</v>
      </c>
      <c r="X68" s="168">
        <v>0</v>
      </c>
      <c r="Y68" s="168">
        <v>1.5245180373844499E-2</v>
      </c>
      <c r="Z68" s="168">
        <v>3.0922459155227002E-3</v>
      </c>
    </row>
    <row r="69" spans="1:26">
      <c r="A69" s="2">
        <v>158</v>
      </c>
      <c r="B69" s="2">
        <v>9935</v>
      </c>
      <c r="C69" s="2" t="s">
        <v>2572</v>
      </c>
      <c r="D69" s="2" t="s">
        <v>2573</v>
      </c>
      <c r="E69" s="2" t="s">
        <v>43</v>
      </c>
      <c r="F69" s="2" t="s">
        <v>2574</v>
      </c>
      <c r="G69" s="2">
        <v>620197160</v>
      </c>
      <c r="H69" s="2" t="s">
        <v>43</v>
      </c>
      <c r="I69" s="2" t="s">
        <v>1044</v>
      </c>
      <c r="J69" s="2" t="s">
        <v>585</v>
      </c>
      <c r="K69" s="2" t="s">
        <v>106</v>
      </c>
      <c r="N69" s="2" t="s">
        <v>312</v>
      </c>
      <c r="O69" s="2" t="s">
        <v>153</v>
      </c>
      <c r="P69" t="s">
        <v>2395</v>
      </c>
      <c r="Q69" s="2" t="s">
        <v>1199</v>
      </c>
      <c r="R69" s="2" t="s">
        <v>31</v>
      </c>
      <c r="T69" s="2" t="s">
        <v>2410</v>
      </c>
      <c r="U69" s="162">
        <v>4.1524000000000001</v>
      </c>
      <c r="V69" s="153">
        <v>305.60000000000002</v>
      </c>
      <c r="W69" s="153">
        <v>1268.973</v>
      </c>
      <c r="X69" s="168">
        <v>0</v>
      </c>
      <c r="Y69" s="168">
        <v>5.7749880051578802E-3</v>
      </c>
      <c r="Z69" s="168">
        <v>1.17136581091423E-3</v>
      </c>
    </row>
    <row r="70" spans="1:26">
      <c r="A70" s="2">
        <v>158</v>
      </c>
      <c r="B70" s="2">
        <v>9935</v>
      </c>
      <c r="C70" s="2" t="s">
        <v>2562</v>
      </c>
      <c r="D70" s="2" t="s">
        <v>2563</v>
      </c>
      <c r="E70" s="2" t="s">
        <v>43</v>
      </c>
      <c r="F70" s="2" t="s">
        <v>2575</v>
      </c>
      <c r="G70" s="2">
        <v>620189650</v>
      </c>
      <c r="H70" s="2" t="s">
        <v>43</v>
      </c>
      <c r="I70" s="2" t="s">
        <v>1044</v>
      </c>
      <c r="J70" s="2" t="s">
        <v>585</v>
      </c>
      <c r="K70" s="2" t="s">
        <v>106</v>
      </c>
      <c r="N70" s="2" t="s">
        <v>107</v>
      </c>
      <c r="O70" s="2" t="s">
        <v>153</v>
      </c>
      <c r="P70" t="s">
        <v>2395</v>
      </c>
      <c r="Q70" s="2" t="s">
        <v>34</v>
      </c>
      <c r="R70" s="2" t="s">
        <v>31</v>
      </c>
      <c r="T70" s="2" t="s">
        <v>2427</v>
      </c>
      <c r="U70" s="162">
        <v>3.71</v>
      </c>
      <c r="V70" s="153">
        <v>568.21400000000006</v>
      </c>
      <c r="W70" s="153">
        <v>2108.0729999999999</v>
      </c>
      <c r="X70" s="168">
        <v>0</v>
      </c>
      <c r="Y70" s="168">
        <v>9.5936610252844202E-3</v>
      </c>
      <c r="Z70" s="168">
        <v>1.9459237865917E-3</v>
      </c>
    </row>
    <row r="71" spans="1:26">
      <c r="A71" s="2">
        <v>158</v>
      </c>
      <c r="B71" s="2">
        <v>9935</v>
      </c>
      <c r="C71" s="2" t="s">
        <v>2576</v>
      </c>
      <c r="D71" s="2" t="s">
        <v>2577</v>
      </c>
      <c r="E71" s="2" t="s">
        <v>43</v>
      </c>
      <c r="F71" s="2" t="s">
        <v>2576</v>
      </c>
      <c r="G71" s="2">
        <v>620209380</v>
      </c>
      <c r="H71" s="2" t="s">
        <v>43</v>
      </c>
      <c r="I71" s="2" t="s">
        <v>1044</v>
      </c>
      <c r="J71" s="2" t="s">
        <v>585</v>
      </c>
      <c r="K71" s="2" t="s">
        <v>106</v>
      </c>
      <c r="N71" s="2" t="s">
        <v>107</v>
      </c>
      <c r="O71" s="2" t="s">
        <v>153</v>
      </c>
      <c r="P71" t="s">
        <v>2395</v>
      </c>
      <c r="Q71" s="2" t="s">
        <v>34</v>
      </c>
      <c r="R71" s="2" t="s">
        <v>31</v>
      </c>
      <c r="T71" s="2" t="s">
        <v>2375</v>
      </c>
      <c r="U71" s="162">
        <v>3.71</v>
      </c>
      <c r="V71" s="153">
        <v>102.35599999999999</v>
      </c>
      <c r="W71" s="153">
        <v>379.74200000000002</v>
      </c>
      <c r="X71" s="168">
        <v>0</v>
      </c>
      <c r="Y71" s="168">
        <v>1.72817350452578E-3</v>
      </c>
      <c r="Z71" s="168">
        <v>3.5053291136212002E-4</v>
      </c>
    </row>
    <row r="72" spans="1:26">
      <c r="A72" s="2">
        <v>158</v>
      </c>
      <c r="B72" s="2">
        <v>9935</v>
      </c>
      <c r="C72" s="2" t="s">
        <v>2540</v>
      </c>
      <c r="D72" s="2" t="s">
        <v>2541</v>
      </c>
      <c r="E72" s="2" t="s">
        <v>329</v>
      </c>
      <c r="F72" s="2" t="s">
        <v>2578</v>
      </c>
      <c r="G72" s="2">
        <v>62018445</v>
      </c>
      <c r="H72" s="2" t="s">
        <v>43</v>
      </c>
      <c r="I72" s="2" t="s">
        <v>1046</v>
      </c>
      <c r="J72" s="2" t="s">
        <v>585</v>
      </c>
      <c r="K72" s="2" t="s">
        <v>106</v>
      </c>
      <c r="N72" s="2" t="s">
        <v>107</v>
      </c>
      <c r="O72" s="2" t="s">
        <v>357</v>
      </c>
      <c r="P72" t="s">
        <v>2579</v>
      </c>
      <c r="Q72" s="2" t="s">
        <v>34</v>
      </c>
      <c r="R72" s="2" t="s">
        <v>31</v>
      </c>
      <c r="T72" s="2" t="s">
        <v>155</v>
      </c>
      <c r="U72" s="162">
        <v>3.71</v>
      </c>
      <c r="V72" s="153">
        <v>2429.0839999999998</v>
      </c>
      <c r="W72" s="153">
        <v>9011.9009999999998</v>
      </c>
      <c r="X72" s="168">
        <v>0</v>
      </c>
      <c r="Y72" s="168">
        <v>4.1012391536559098E-2</v>
      </c>
      <c r="Z72" s="168">
        <v>8.3187208747180601E-3</v>
      </c>
    </row>
    <row r="73" spans="1:26">
      <c r="A73" s="2">
        <v>158</v>
      </c>
      <c r="B73" s="2">
        <v>9936</v>
      </c>
      <c r="D73" s="2" t="s">
        <v>2517</v>
      </c>
      <c r="E73" s="2" t="s">
        <v>331</v>
      </c>
      <c r="F73" s="2" t="s">
        <v>2522</v>
      </c>
      <c r="G73" s="2">
        <v>79332607</v>
      </c>
      <c r="H73" s="2" t="s">
        <v>43</v>
      </c>
      <c r="I73" s="2" t="s">
        <v>1046</v>
      </c>
      <c r="J73" s="2" t="s">
        <v>585</v>
      </c>
      <c r="K73" s="2" t="s">
        <v>106</v>
      </c>
      <c r="O73" s="2" t="s">
        <v>153</v>
      </c>
      <c r="P73" t="s">
        <v>2523</v>
      </c>
      <c r="Q73" s="2" t="s">
        <v>34</v>
      </c>
      <c r="R73" s="2" t="s">
        <v>31</v>
      </c>
      <c r="T73" s="2" t="s">
        <v>155</v>
      </c>
      <c r="U73" s="162">
        <v>3.71</v>
      </c>
      <c r="V73" s="153">
        <v>20.170999999999999</v>
      </c>
      <c r="W73" s="153">
        <v>74.834000000000003</v>
      </c>
      <c r="X73" s="168">
        <v>0</v>
      </c>
      <c r="Y73" s="168">
        <v>1</v>
      </c>
      <c r="Z73" s="168">
        <v>4.6809756471831903E-3</v>
      </c>
    </row>
    <row r="74" spans="1:26">
      <c r="A74" s="2">
        <v>158</v>
      </c>
      <c r="B74" s="2">
        <v>9937</v>
      </c>
      <c r="C74" s="2" t="s">
        <v>2376</v>
      </c>
      <c r="D74" s="2" t="s">
        <v>2377</v>
      </c>
      <c r="E74" s="2" t="s">
        <v>43</v>
      </c>
      <c r="F74" s="2" t="s">
        <v>2378</v>
      </c>
      <c r="G74" s="2">
        <v>50007962</v>
      </c>
      <c r="H74" s="2" t="s">
        <v>43</v>
      </c>
      <c r="I74" s="2" t="s">
        <v>1046</v>
      </c>
      <c r="J74" s="2" t="s">
        <v>585</v>
      </c>
      <c r="K74" s="2" t="s">
        <v>30</v>
      </c>
      <c r="N74" s="2" t="s">
        <v>30</v>
      </c>
      <c r="O74" s="2" t="s">
        <v>153</v>
      </c>
      <c r="P74" t="s">
        <v>2580</v>
      </c>
      <c r="Q74" s="2" t="s">
        <v>44</v>
      </c>
      <c r="R74" s="2" t="s">
        <v>31</v>
      </c>
      <c r="T74" s="2" t="s">
        <v>2380</v>
      </c>
      <c r="U74" s="162">
        <v>1</v>
      </c>
      <c r="V74" s="153">
        <v>168.52</v>
      </c>
      <c r="W74" s="153">
        <v>168.52</v>
      </c>
      <c r="X74" s="168">
        <v>0</v>
      </c>
      <c r="Y74" s="168">
        <v>0.14983875250051401</v>
      </c>
      <c r="Z74" s="168">
        <v>5.3792460157528E-3</v>
      </c>
    </row>
    <row r="75" spans="1:26">
      <c r="A75" s="2">
        <v>158</v>
      </c>
      <c r="B75" s="2">
        <v>9937</v>
      </c>
      <c r="C75" s="2" t="s">
        <v>2381</v>
      </c>
      <c r="D75" s="2" t="s">
        <v>2382</v>
      </c>
      <c r="E75" s="2" t="s">
        <v>1343</v>
      </c>
      <c r="F75" s="2" t="s">
        <v>2581</v>
      </c>
      <c r="G75" s="2">
        <v>50006535</v>
      </c>
      <c r="H75" s="2" t="s">
        <v>43</v>
      </c>
      <c r="I75" s="2" t="s">
        <v>1046</v>
      </c>
      <c r="J75" s="2" t="s">
        <v>585</v>
      </c>
      <c r="K75" s="2" t="s">
        <v>30</v>
      </c>
      <c r="N75" s="2" t="s">
        <v>30</v>
      </c>
      <c r="O75" s="2" t="s">
        <v>153</v>
      </c>
      <c r="P75" t="s">
        <v>2582</v>
      </c>
      <c r="R75" s="2" t="s">
        <v>31</v>
      </c>
      <c r="T75" s="2" t="s">
        <v>2380</v>
      </c>
      <c r="U75" s="162">
        <v>0</v>
      </c>
      <c r="V75" s="153">
        <v>0</v>
      </c>
      <c r="W75" s="153">
        <v>293.54599999999999</v>
      </c>
      <c r="X75" s="168">
        <v>0</v>
      </c>
      <c r="Y75" s="168">
        <v>0.261004991552516</v>
      </c>
      <c r="Z75" s="168">
        <v>9.3701398167717002E-3</v>
      </c>
    </row>
    <row r="76" spans="1:26">
      <c r="A76" s="2">
        <v>158</v>
      </c>
      <c r="B76" s="2">
        <v>9937</v>
      </c>
      <c r="D76" s="2" t="s">
        <v>2517</v>
      </c>
      <c r="E76" s="2" t="s">
        <v>331</v>
      </c>
      <c r="F76" s="2" t="s">
        <v>2522</v>
      </c>
      <c r="G76" s="2">
        <v>79332607</v>
      </c>
      <c r="H76" s="2" t="s">
        <v>43</v>
      </c>
      <c r="I76" s="2" t="s">
        <v>1046</v>
      </c>
      <c r="J76" s="2" t="s">
        <v>585</v>
      </c>
      <c r="K76" s="2" t="s">
        <v>106</v>
      </c>
      <c r="O76" s="2" t="s">
        <v>153</v>
      </c>
      <c r="P76" t="s">
        <v>2523</v>
      </c>
      <c r="Q76" s="2" t="s">
        <v>34</v>
      </c>
      <c r="R76" s="2" t="s">
        <v>31</v>
      </c>
      <c r="T76" s="2" t="s">
        <v>155</v>
      </c>
      <c r="U76" s="162">
        <v>3.71</v>
      </c>
      <c r="V76" s="153">
        <v>40.341999999999999</v>
      </c>
      <c r="W76" s="153">
        <v>149.66800000000001</v>
      </c>
      <c r="X76" s="168">
        <v>0</v>
      </c>
      <c r="Y76" s="168">
        <v>0.13307672791370301</v>
      </c>
      <c r="Z76" s="168">
        <v>4.77748544000158E-3</v>
      </c>
    </row>
    <row r="77" spans="1:26">
      <c r="A77" s="2">
        <v>158</v>
      </c>
      <c r="B77" s="2">
        <v>9937</v>
      </c>
      <c r="C77" s="2" t="s">
        <v>2416</v>
      </c>
      <c r="E77" s="2" t="s">
        <v>31</v>
      </c>
      <c r="F77" s="2" t="s">
        <v>2417</v>
      </c>
      <c r="G77" s="2">
        <v>62020599</v>
      </c>
      <c r="H77" s="2" t="s">
        <v>43</v>
      </c>
      <c r="I77" s="2" t="s">
        <v>1044</v>
      </c>
      <c r="J77" s="2" t="s">
        <v>585</v>
      </c>
      <c r="K77" s="2" t="s">
        <v>106</v>
      </c>
      <c r="N77" s="2" t="s">
        <v>107</v>
      </c>
      <c r="O77" s="2" t="s">
        <v>153</v>
      </c>
      <c r="P77" t="s">
        <v>2418</v>
      </c>
      <c r="Q77" s="2" t="s">
        <v>34</v>
      </c>
      <c r="R77" s="2" t="s">
        <v>31</v>
      </c>
      <c r="T77" s="2" t="s">
        <v>2419</v>
      </c>
      <c r="U77" s="162">
        <v>3.71</v>
      </c>
      <c r="V77" s="153">
        <v>43.143999999999998</v>
      </c>
      <c r="W77" s="153">
        <v>160.06399999999999</v>
      </c>
      <c r="X77" s="168">
        <v>0</v>
      </c>
      <c r="Y77" s="168">
        <v>0.14232021103174</v>
      </c>
      <c r="Z77" s="168">
        <v>5.1093286307956898E-3</v>
      </c>
    </row>
    <row r="78" spans="1:26">
      <c r="A78" s="2">
        <v>158</v>
      </c>
      <c r="B78" s="2">
        <v>9937</v>
      </c>
      <c r="C78" s="2" t="s">
        <v>2406</v>
      </c>
      <c r="D78" s="2" t="s">
        <v>2407</v>
      </c>
      <c r="E78" s="2" t="s">
        <v>43</v>
      </c>
      <c r="F78" s="2" t="s">
        <v>2425</v>
      </c>
      <c r="G78" s="2">
        <v>62020649</v>
      </c>
      <c r="H78" s="2" t="s">
        <v>43</v>
      </c>
      <c r="I78" s="2" t="s">
        <v>1044</v>
      </c>
      <c r="J78" s="2" t="s">
        <v>585</v>
      </c>
      <c r="K78" s="2" t="s">
        <v>106</v>
      </c>
      <c r="N78" s="2" t="s">
        <v>107</v>
      </c>
      <c r="O78" s="2" t="s">
        <v>153</v>
      </c>
      <c r="P78" t="s">
        <v>2426</v>
      </c>
      <c r="Q78" s="2" t="s">
        <v>34</v>
      </c>
      <c r="R78" s="2" t="s">
        <v>31</v>
      </c>
      <c r="T78" s="2" t="s">
        <v>2427</v>
      </c>
      <c r="U78" s="162">
        <v>3.71</v>
      </c>
      <c r="V78" s="153">
        <v>49.884999999999998</v>
      </c>
      <c r="W78" s="153">
        <v>185.07400000000001</v>
      </c>
      <c r="X78" s="168">
        <v>0</v>
      </c>
      <c r="Y78" s="168">
        <v>0.164557598401505</v>
      </c>
      <c r="Z78" s="168">
        <v>5.9076560021420997E-3</v>
      </c>
    </row>
    <row r="79" spans="1:26">
      <c r="A79" s="2">
        <v>158</v>
      </c>
      <c r="B79" s="2">
        <v>9937</v>
      </c>
      <c r="C79" s="2" t="s">
        <v>2465</v>
      </c>
      <c r="D79" s="2" t="s">
        <v>2466</v>
      </c>
      <c r="E79" s="2" t="s">
        <v>331</v>
      </c>
      <c r="F79" s="2" t="s">
        <v>2512</v>
      </c>
      <c r="G79" s="2">
        <v>62020797</v>
      </c>
      <c r="H79" s="2" t="s">
        <v>43</v>
      </c>
      <c r="I79" s="2" t="s">
        <v>1044</v>
      </c>
      <c r="J79" s="2" t="s">
        <v>585</v>
      </c>
      <c r="K79" s="2" t="s">
        <v>106</v>
      </c>
      <c r="N79" s="2" t="s">
        <v>107</v>
      </c>
      <c r="O79" s="2" t="s">
        <v>153</v>
      </c>
      <c r="P79" t="s">
        <v>2513</v>
      </c>
      <c r="Q79" s="2" t="s">
        <v>34</v>
      </c>
      <c r="R79" s="2" t="s">
        <v>31</v>
      </c>
      <c r="T79" s="2" t="s">
        <v>155</v>
      </c>
      <c r="U79" s="162">
        <v>3.71</v>
      </c>
      <c r="V79" s="153">
        <v>45.23</v>
      </c>
      <c r="W79" s="153">
        <v>167.803</v>
      </c>
      <c r="X79" s="168">
        <v>0</v>
      </c>
      <c r="Y79" s="168">
        <v>0.14920171860002199</v>
      </c>
      <c r="Z79" s="168">
        <v>5.3563763507700297E-3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6</v>
      </c>
      <c r="J1" s="19" t="s">
        <v>7</v>
      </c>
      <c r="K1" s="19" t="s">
        <v>343</v>
      </c>
      <c r="L1" s="19" t="s">
        <v>1136</v>
      </c>
      <c r="M1" s="19" t="s">
        <v>168</v>
      </c>
      <c r="N1" s="19" t="s">
        <v>1137</v>
      </c>
      <c r="O1" s="19" t="s">
        <v>139</v>
      </c>
      <c r="P1" s="19" t="s">
        <v>176</v>
      </c>
      <c r="Q1" s="19" t="s">
        <v>11</v>
      </c>
      <c r="R1" s="19" t="s">
        <v>169</v>
      </c>
      <c r="S1" s="19" t="s">
        <v>170</v>
      </c>
      <c r="T1" s="19" t="s">
        <v>148</v>
      </c>
      <c r="U1" s="172" t="s">
        <v>1138</v>
      </c>
      <c r="V1" s="19" t="s">
        <v>1139</v>
      </c>
      <c r="W1" s="19" t="s">
        <v>17</v>
      </c>
      <c r="X1" s="172" t="s">
        <v>19</v>
      </c>
      <c r="Y1" s="161" t="s">
        <v>18</v>
      </c>
      <c r="Z1" s="19" t="s">
        <v>20</v>
      </c>
      <c r="AA1" s="167" t="s">
        <v>24</v>
      </c>
      <c r="AB1" s="167" t="s">
        <v>25</v>
      </c>
    </row>
    <row r="2" spans="1:28">
      <c r="A2" s="20">
        <v>158</v>
      </c>
      <c r="B2" s="20">
        <v>1522</v>
      </c>
      <c r="C2" s="20" t="s">
        <v>1341</v>
      </c>
      <c r="D2" s="20" t="s">
        <v>1342</v>
      </c>
      <c r="E2" s="18" t="s">
        <v>1343</v>
      </c>
      <c r="F2" s="20" t="s">
        <v>1344</v>
      </c>
      <c r="G2" s="20" t="s">
        <v>1345</v>
      </c>
      <c r="H2" s="20" t="s">
        <v>43</v>
      </c>
      <c r="I2" s="18" t="s">
        <v>30</v>
      </c>
      <c r="J2" s="18" t="s">
        <v>30</v>
      </c>
      <c r="K2" s="20" t="s">
        <v>346</v>
      </c>
      <c r="L2" s="20" t="s">
        <v>1346</v>
      </c>
      <c r="M2" s="20" t="s">
        <v>456</v>
      </c>
      <c r="N2" s="20" t="s">
        <v>1347</v>
      </c>
      <c r="O2" s="20" t="s">
        <v>153</v>
      </c>
      <c r="P2" s="20" t="s">
        <v>1348</v>
      </c>
      <c r="Q2" s="18" t="s">
        <v>44</v>
      </c>
      <c r="R2" s="20" t="s">
        <v>31</v>
      </c>
      <c r="S2" s="20"/>
      <c r="T2" s="20" t="s">
        <v>155</v>
      </c>
      <c r="U2" s="178">
        <v>11200</v>
      </c>
      <c r="V2" s="155">
        <v>0</v>
      </c>
      <c r="W2" s="155">
        <v>192</v>
      </c>
      <c r="X2" s="178">
        <v>74.096000000000004</v>
      </c>
      <c r="Y2" s="177">
        <v>1</v>
      </c>
      <c r="Z2" s="155">
        <v>0.14199999999999999</v>
      </c>
      <c r="AA2" s="176">
        <v>0.98991471335853198</v>
      </c>
      <c r="AB2" s="176">
        <v>1.39525418025912E-5</v>
      </c>
    </row>
    <row r="3" spans="1:28">
      <c r="A3" s="20">
        <v>158</v>
      </c>
      <c r="B3" s="20">
        <v>1522</v>
      </c>
      <c r="C3" s="20" t="s">
        <v>1349</v>
      </c>
      <c r="D3" s="20" t="s">
        <v>1350</v>
      </c>
      <c r="E3" s="18" t="s">
        <v>1343</v>
      </c>
      <c r="F3" s="20" t="s">
        <v>1351</v>
      </c>
      <c r="G3" s="20" t="s">
        <v>1352</v>
      </c>
      <c r="H3" s="20" t="s">
        <v>338</v>
      </c>
      <c r="I3" s="18" t="s">
        <v>30</v>
      </c>
      <c r="J3" s="18" t="s">
        <v>30</v>
      </c>
      <c r="K3" s="20" t="s">
        <v>346</v>
      </c>
      <c r="L3" s="20" t="s">
        <v>1352</v>
      </c>
      <c r="M3" s="20" t="s">
        <v>493</v>
      </c>
      <c r="N3" s="20" t="s">
        <v>1353</v>
      </c>
      <c r="O3" s="20" t="s">
        <v>153</v>
      </c>
      <c r="P3" s="20" t="s">
        <v>1354</v>
      </c>
      <c r="Q3" s="18" t="s">
        <v>44</v>
      </c>
      <c r="R3" s="20" t="s">
        <v>31</v>
      </c>
      <c r="S3" s="20"/>
      <c r="T3" s="20" t="s">
        <v>1355</v>
      </c>
      <c r="U3" s="178">
        <v>22.5</v>
      </c>
      <c r="V3" s="155">
        <v>1</v>
      </c>
      <c r="W3" s="155">
        <v>346</v>
      </c>
      <c r="X3" s="178">
        <v>0.41899999999999998</v>
      </c>
      <c r="Y3" s="177">
        <v>1</v>
      </c>
      <c r="Z3" s="155">
        <v>1E-3</v>
      </c>
      <c r="AA3" s="176">
        <v>1.0085286641468299E-2</v>
      </c>
      <c r="AB3" s="176">
        <v>1.4214899683508099E-7</v>
      </c>
    </row>
    <row r="4" spans="1:28">
      <c r="A4" s="20">
        <v>158</v>
      </c>
      <c r="B4" s="20">
        <v>9935</v>
      </c>
      <c r="C4" s="20" t="s">
        <v>1341</v>
      </c>
      <c r="D4" s="20" t="s">
        <v>1342</v>
      </c>
      <c r="E4" s="18" t="s">
        <v>1343</v>
      </c>
      <c r="F4" s="20" t="s">
        <v>1344</v>
      </c>
      <c r="G4" s="20" t="s">
        <v>1345</v>
      </c>
      <c r="H4" s="20" t="s">
        <v>43</v>
      </c>
      <c r="I4" s="18" t="s">
        <v>30</v>
      </c>
      <c r="J4" s="18" t="s">
        <v>30</v>
      </c>
      <c r="K4" s="20" t="s">
        <v>346</v>
      </c>
      <c r="L4" s="20" t="s">
        <v>1346</v>
      </c>
      <c r="M4" s="20" t="s">
        <v>456</v>
      </c>
      <c r="N4" s="20" t="s">
        <v>1347</v>
      </c>
      <c r="O4" s="20" t="s">
        <v>153</v>
      </c>
      <c r="P4" s="20" t="s">
        <v>1348</v>
      </c>
      <c r="Q4" s="18" t="s">
        <v>44</v>
      </c>
      <c r="R4" s="20" t="s">
        <v>31</v>
      </c>
      <c r="S4" s="20"/>
      <c r="T4" s="20" t="s">
        <v>155</v>
      </c>
      <c r="U4" s="178">
        <v>11200</v>
      </c>
      <c r="V4" s="155">
        <v>0</v>
      </c>
      <c r="W4" s="155">
        <v>1444</v>
      </c>
      <c r="X4" s="178">
        <v>74.096000000000004</v>
      </c>
      <c r="Y4" s="177">
        <v>1</v>
      </c>
      <c r="Z4" s="155">
        <v>1.07</v>
      </c>
      <c r="AA4" s="176">
        <v>0.93474793486988605</v>
      </c>
      <c r="AB4" s="176">
        <v>9.8764779172072902E-7</v>
      </c>
    </row>
    <row r="5" spans="1:28">
      <c r="A5" s="20">
        <v>158</v>
      </c>
      <c r="B5" s="20">
        <v>9935</v>
      </c>
      <c r="C5" s="20" t="s">
        <v>1349</v>
      </c>
      <c r="D5" s="20" t="s">
        <v>1350</v>
      </c>
      <c r="E5" s="18" t="s">
        <v>1343</v>
      </c>
      <c r="F5" s="20" t="s">
        <v>1351</v>
      </c>
      <c r="G5" s="20" t="s">
        <v>1352</v>
      </c>
      <c r="H5" s="20" t="s">
        <v>338</v>
      </c>
      <c r="I5" s="18" t="s">
        <v>30</v>
      </c>
      <c r="J5" s="18" t="s">
        <v>30</v>
      </c>
      <c r="K5" s="20" t="s">
        <v>346</v>
      </c>
      <c r="L5" s="20" t="s">
        <v>1352</v>
      </c>
      <c r="M5" s="20" t="s">
        <v>493</v>
      </c>
      <c r="N5" s="20" t="s">
        <v>1353</v>
      </c>
      <c r="O5" s="20" t="s">
        <v>153</v>
      </c>
      <c r="P5" s="20" t="s">
        <v>1354</v>
      </c>
      <c r="Q5" s="18" t="s">
        <v>44</v>
      </c>
      <c r="R5" s="20" t="s">
        <v>31</v>
      </c>
      <c r="S5" s="20"/>
      <c r="T5" s="20" t="s">
        <v>1355</v>
      </c>
      <c r="U5" s="178">
        <v>22.5</v>
      </c>
      <c r="V5" s="155">
        <v>1</v>
      </c>
      <c r="W5" s="155">
        <v>17830</v>
      </c>
      <c r="X5" s="178">
        <v>0.41899999999999998</v>
      </c>
      <c r="Y5" s="177">
        <v>1</v>
      </c>
      <c r="Z5" s="155">
        <v>7.4999999999999997E-2</v>
      </c>
      <c r="AA5" s="176">
        <v>6.5252065130113696E-2</v>
      </c>
      <c r="AB5" s="176">
        <v>6.8944852004347706E-8</v>
      </c>
    </row>
    <row r="6" spans="1:28">
      <c r="A6" s="20">
        <v>158</v>
      </c>
      <c r="B6" s="20">
        <v>9936</v>
      </c>
      <c r="C6" s="20" t="s">
        <v>1341</v>
      </c>
      <c r="D6" s="20" t="s">
        <v>1342</v>
      </c>
      <c r="E6" s="18" t="s">
        <v>1343</v>
      </c>
      <c r="F6" s="20" t="s">
        <v>1344</v>
      </c>
      <c r="G6" s="20" t="s">
        <v>1345</v>
      </c>
      <c r="H6" s="20" t="s">
        <v>43</v>
      </c>
      <c r="I6" s="18" t="s">
        <v>30</v>
      </c>
      <c r="J6" s="18" t="s">
        <v>30</v>
      </c>
      <c r="K6" s="20" t="s">
        <v>346</v>
      </c>
      <c r="L6" s="20" t="s">
        <v>1346</v>
      </c>
      <c r="M6" s="20" t="s">
        <v>456</v>
      </c>
      <c r="N6" s="20" t="s">
        <v>1347</v>
      </c>
      <c r="O6" s="20" t="s">
        <v>153</v>
      </c>
      <c r="P6" s="20" t="s">
        <v>1348</v>
      </c>
      <c r="Q6" s="18" t="s">
        <v>44</v>
      </c>
      <c r="R6" s="20" t="s">
        <v>31</v>
      </c>
      <c r="S6" s="20"/>
      <c r="T6" s="20" t="s">
        <v>155</v>
      </c>
      <c r="U6" s="178">
        <v>11200</v>
      </c>
      <c r="V6" s="155">
        <v>0</v>
      </c>
      <c r="W6" s="155">
        <v>48</v>
      </c>
      <c r="X6" s="178">
        <v>74.096000000000004</v>
      </c>
      <c r="Y6" s="177">
        <v>1</v>
      </c>
      <c r="Z6" s="155">
        <v>3.5999999999999997E-2</v>
      </c>
      <c r="AA6" s="176">
        <v>0.952115824096743</v>
      </c>
      <c r="AB6" s="176">
        <v>2.2247095301239498E-6</v>
      </c>
    </row>
    <row r="7" spans="1:28">
      <c r="A7" s="20">
        <v>158</v>
      </c>
      <c r="B7" s="20">
        <v>9936</v>
      </c>
      <c r="C7" s="20" t="s">
        <v>1349</v>
      </c>
      <c r="D7" s="20" t="s">
        <v>1350</v>
      </c>
      <c r="E7" s="18" t="s">
        <v>1343</v>
      </c>
      <c r="F7" s="20" t="s">
        <v>1351</v>
      </c>
      <c r="G7" s="20" t="s">
        <v>1352</v>
      </c>
      <c r="H7" s="20" t="s">
        <v>338</v>
      </c>
      <c r="I7" s="18" t="s">
        <v>30</v>
      </c>
      <c r="J7" s="18" t="s">
        <v>30</v>
      </c>
      <c r="K7" s="20" t="s">
        <v>346</v>
      </c>
      <c r="L7" s="20" t="s">
        <v>1352</v>
      </c>
      <c r="M7" s="20" t="s">
        <v>493</v>
      </c>
      <c r="N7" s="20" t="s">
        <v>1353</v>
      </c>
      <c r="O7" s="20" t="s">
        <v>153</v>
      </c>
      <c r="P7" s="20" t="s">
        <v>1354</v>
      </c>
      <c r="Q7" s="18" t="s">
        <v>44</v>
      </c>
      <c r="R7" s="20" t="s">
        <v>31</v>
      </c>
      <c r="S7" s="20"/>
      <c r="T7" s="20" t="s">
        <v>1355</v>
      </c>
      <c r="U7" s="178">
        <v>22.5</v>
      </c>
      <c r="V7" s="155">
        <v>1</v>
      </c>
      <c r="W7" s="155">
        <v>427</v>
      </c>
      <c r="X7" s="178">
        <v>0.41899999999999998</v>
      </c>
      <c r="Y7" s="177">
        <v>1</v>
      </c>
      <c r="Z7" s="155">
        <v>2E-3</v>
      </c>
      <c r="AA7" s="176">
        <v>4.7884175903257199E-2</v>
      </c>
      <c r="AB7" s="176">
        <v>1.11885948933964E-7</v>
      </c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168</v>
      </c>
      <c r="M1" s="19" t="s">
        <v>191</v>
      </c>
      <c r="N1" s="19" t="s">
        <v>1137</v>
      </c>
      <c r="O1" s="19" t="s">
        <v>139</v>
      </c>
      <c r="P1" s="19" t="s">
        <v>176</v>
      </c>
      <c r="Q1" s="19" t="s">
        <v>11</v>
      </c>
      <c r="R1" s="19" t="s">
        <v>169</v>
      </c>
      <c r="S1" s="19" t="s">
        <v>170</v>
      </c>
      <c r="T1" s="19" t="s">
        <v>148</v>
      </c>
      <c r="U1" s="19" t="s">
        <v>1138</v>
      </c>
      <c r="V1" s="19" t="s">
        <v>1139</v>
      </c>
      <c r="W1" s="19" t="s">
        <v>17</v>
      </c>
      <c r="X1" s="19" t="s">
        <v>19</v>
      </c>
      <c r="Y1" s="19" t="s">
        <v>18</v>
      </c>
      <c r="Z1" s="19" t="s">
        <v>1356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4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1152</v>
      </c>
      <c r="E1" s="19" t="s">
        <v>1153</v>
      </c>
      <c r="F1" s="172" t="s">
        <v>18</v>
      </c>
      <c r="G1" s="19" t="s">
        <v>1154</v>
      </c>
      <c r="H1" s="19" t="s">
        <v>1155</v>
      </c>
      <c r="I1" s="19" t="s">
        <v>1156</v>
      </c>
      <c r="J1" s="19" t="s">
        <v>1157</v>
      </c>
      <c r="K1" s="19" t="s">
        <v>1158</v>
      </c>
      <c r="L1" s="19" t="s">
        <v>1159</v>
      </c>
      <c r="M1" s="172" t="s">
        <v>18</v>
      </c>
      <c r="N1" s="19" t="s">
        <v>1160</v>
      </c>
      <c r="O1" s="19" t="s">
        <v>1161</v>
      </c>
      <c r="P1" s="19" t="s">
        <v>1314</v>
      </c>
      <c r="Q1" s="19" t="s">
        <v>1315</v>
      </c>
      <c r="R1" s="19" t="s">
        <v>1316</v>
      </c>
      <c r="S1" s="19" t="s">
        <v>6</v>
      </c>
      <c r="T1" s="19" t="s">
        <v>7</v>
      </c>
      <c r="U1" s="19" t="s">
        <v>1165</v>
      </c>
      <c r="V1" s="19" t="s">
        <v>945</v>
      </c>
      <c r="W1" s="19" t="s">
        <v>952</v>
      </c>
      <c r="X1" s="19" t="s">
        <v>341</v>
      </c>
      <c r="Y1" s="19" t="s">
        <v>139</v>
      </c>
      <c r="Z1" s="19" t="s">
        <v>1166</v>
      </c>
      <c r="AA1" s="19" t="s">
        <v>1167</v>
      </c>
      <c r="AB1" s="19" t="s">
        <v>916</v>
      </c>
      <c r="AC1" s="19" t="s">
        <v>924</v>
      </c>
      <c r="AD1" s="19" t="s">
        <v>1168</v>
      </c>
      <c r="AE1" s="19" t="s">
        <v>942</v>
      </c>
      <c r="AF1" s="19" t="s">
        <v>927</v>
      </c>
      <c r="AG1" s="19" t="s">
        <v>938</v>
      </c>
      <c r="AH1" s="163" t="s">
        <v>1169</v>
      </c>
      <c r="AI1" s="19" t="s">
        <v>1170</v>
      </c>
      <c r="AJ1" s="19" t="s">
        <v>1171</v>
      </c>
      <c r="AK1" s="19" t="s">
        <v>967</v>
      </c>
      <c r="AL1" s="19" t="s">
        <v>1172</v>
      </c>
      <c r="AM1" s="19" t="s">
        <v>1173</v>
      </c>
      <c r="AN1" s="167" t="s">
        <v>24</v>
      </c>
      <c r="AO1" s="167" t="s">
        <v>25</v>
      </c>
    </row>
    <row r="2" spans="1:41">
      <c r="A2" s="12" t="s">
        <v>1317</v>
      </c>
      <c r="B2" s="12" t="s">
        <v>1318</v>
      </c>
      <c r="C2" s="12" t="s">
        <v>1063</v>
      </c>
      <c r="D2" s="1" t="s">
        <v>1319</v>
      </c>
      <c r="E2" s="12" t="s">
        <v>34</v>
      </c>
      <c r="F2" s="184">
        <v>3.71</v>
      </c>
      <c r="G2" s="159">
        <v>-235000</v>
      </c>
      <c r="H2" s="152">
        <v>867.22</v>
      </c>
      <c r="I2" s="160">
        <v>1.0252650000000001</v>
      </c>
      <c r="J2" s="152">
        <v>8.5000000000000006E-5</v>
      </c>
      <c r="K2" s="11" t="s">
        <v>1319</v>
      </c>
      <c r="L2" s="12" t="s">
        <v>44</v>
      </c>
      <c r="M2" s="185">
        <v>1</v>
      </c>
      <c r="N2" s="160">
        <v>872555</v>
      </c>
      <c r="O2" s="160">
        <v>-865.43</v>
      </c>
      <c r="P2" s="160">
        <v>-8.5000000000000006E-5</v>
      </c>
      <c r="Q2" s="160">
        <v>1.0238989999999999</v>
      </c>
      <c r="R2" s="159">
        <v>1.8</v>
      </c>
      <c r="S2" s="11" t="s">
        <v>30</v>
      </c>
      <c r="T2" s="18" t="s">
        <v>30</v>
      </c>
      <c r="U2" s="12" t="s">
        <v>763</v>
      </c>
      <c r="V2" s="12" t="s">
        <v>31</v>
      </c>
      <c r="W2" s="11" t="s">
        <v>31</v>
      </c>
      <c r="X2" s="12" t="s">
        <v>1320</v>
      </c>
      <c r="Y2" s="12" t="s">
        <v>153</v>
      </c>
      <c r="Z2" s="1" t="s">
        <v>1321</v>
      </c>
      <c r="AA2" s="24" t="s">
        <v>1322</v>
      </c>
      <c r="AB2" s="12" t="s">
        <v>920</v>
      </c>
      <c r="AC2" s="12" t="s">
        <v>926</v>
      </c>
      <c r="AD2" s="12" t="s">
        <v>153</v>
      </c>
      <c r="AE2" s="12" t="s">
        <v>944</v>
      </c>
      <c r="AF2" s="12" t="s">
        <v>923</v>
      </c>
      <c r="AG2" s="12" t="s">
        <v>919</v>
      </c>
      <c r="AH2" s="186">
        <v>4.9210000000000003</v>
      </c>
      <c r="AI2" s="159">
        <v>-369.03</v>
      </c>
      <c r="AJ2" s="11" t="s">
        <v>1323</v>
      </c>
      <c r="AK2" s="12" t="s">
        <v>153</v>
      </c>
      <c r="AL2" s="11" t="s">
        <v>154</v>
      </c>
      <c r="AM2" s="11" t="s">
        <v>1324</v>
      </c>
      <c r="AN2" s="176">
        <v>2.8571430000000002</v>
      </c>
      <c r="AO2" s="176">
        <v>0</v>
      </c>
    </row>
    <row r="3" spans="1:41">
      <c r="A3" s="12" t="s">
        <v>1317</v>
      </c>
      <c r="B3" s="12" t="s">
        <v>1318</v>
      </c>
      <c r="C3" s="12" t="s">
        <v>1063</v>
      </c>
      <c r="D3" s="1" t="s">
        <v>1325</v>
      </c>
      <c r="E3" s="12" t="s">
        <v>34</v>
      </c>
      <c r="F3" s="184">
        <v>3.71</v>
      </c>
      <c r="G3" s="159">
        <v>117500</v>
      </c>
      <c r="H3" s="152">
        <v>-439.33</v>
      </c>
      <c r="I3" s="160">
        <v>-0.51939500000000005</v>
      </c>
      <c r="J3" s="152">
        <v>-4.3000000000000002E-5</v>
      </c>
      <c r="K3" s="11" t="s">
        <v>1325</v>
      </c>
      <c r="L3" s="12" t="s">
        <v>44</v>
      </c>
      <c r="M3" s="185">
        <v>1</v>
      </c>
      <c r="N3" s="160">
        <v>-442035</v>
      </c>
      <c r="O3" s="160">
        <v>432.71</v>
      </c>
      <c r="P3" s="160">
        <v>4.1999999999999998E-5</v>
      </c>
      <c r="Q3" s="160">
        <v>-0.51194300000000004</v>
      </c>
      <c r="R3" s="159">
        <v>-6.62</v>
      </c>
      <c r="S3" s="11" t="s">
        <v>30</v>
      </c>
      <c r="T3" s="18" t="s">
        <v>30</v>
      </c>
      <c r="U3" s="12" t="s">
        <v>763</v>
      </c>
      <c r="V3" s="12" t="s">
        <v>31</v>
      </c>
      <c r="W3" s="11" t="s">
        <v>31</v>
      </c>
      <c r="X3" s="12" t="s">
        <v>1320</v>
      </c>
      <c r="Y3" s="12" t="s">
        <v>153</v>
      </c>
      <c r="Z3" s="1" t="s">
        <v>1326</v>
      </c>
      <c r="AA3" s="24" t="s">
        <v>1322</v>
      </c>
      <c r="AB3" s="12" t="s">
        <v>920</v>
      </c>
      <c r="AC3" s="12" t="s">
        <v>926</v>
      </c>
      <c r="AD3" s="12" t="s">
        <v>153</v>
      </c>
      <c r="AE3" s="12" t="s">
        <v>944</v>
      </c>
      <c r="AF3" s="12" t="s">
        <v>923</v>
      </c>
      <c r="AG3" s="12" t="s">
        <v>919</v>
      </c>
      <c r="AH3" s="165">
        <v>4.9210000000000003</v>
      </c>
      <c r="AI3" s="159">
        <v>-373.899</v>
      </c>
      <c r="AJ3" s="12" t="s">
        <v>1323</v>
      </c>
      <c r="AK3" s="12" t="s">
        <v>153</v>
      </c>
      <c r="AL3" s="11" t="s">
        <v>154</v>
      </c>
      <c r="AM3" s="11" t="s">
        <v>1324</v>
      </c>
      <c r="AN3" s="176">
        <v>-10.507937</v>
      </c>
      <c r="AO3" s="176">
        <v>-9.9999999999999995E-7</v>
      </c>
    </row>
    <row r="4" spans="1:41">
      <c r="A4" s="12" t="s">
        <v>1317</v>
      </c>
      <c r="B4" s="12" t="s">
        <v>1318</v>
      </c>
      <c r="C4" s="12" t="s">
        <v>1063</v>
      </c>
      <c r="D4" s="1" t="s">
        <v>1327</v>
      </c>
      <c r="E4" s="12" t="s">
        <v>34</v>
      </c>
      <c r="F4" s="184">
        <v>3.71</v>
      </c>
      <c r="G4" s="159">
        <v>-117500</v>
      </c>
      <c r="H4" s="152">
        <v>417.96</v>
      </c>
      <c r="I4" s="160">
        <v>0.49413000000000001</v>
      </c>
      <c r="J4" s="152">
        <v>4.1E-5</v>
      </c>
      <c r="K4" s="11" t="s">
        <v>1327</v>
      </c>
      <c r="L4" s="12" t="s">
        <v>44</v>
      </c>
      <c r="M4" s="185">
        <v>1</v>
      </c>
      <c r="N4" s="160">
        <v>437805</v>
      </c>
      <c r="O4" s="160">
        <v>-412.51</v>
      </c>
      <c r="P4" s="160">
        <v>-4.0000000000000003E-5</v>
      </c>
      <c r="Q4" s="160">
        <v>0.48804500000000001</v>
      </c>
      <c r="R4" s="159">
        <v>5.45</v>
      </c>
      <c r="S4" s="11" t="s">
        <v>30</v>
      </c>
      <c r="T4" s="18" t="s">
        <v>30</v>
      </c>
      <c r="U4" s="12" t="s">
        <v>763</v>
      </c>
      <c r="V4" s="12" t="s">
        <v>31</v>
      </c>
      <c r="W4" s="11" t="s">
        <v>31</v>
      </c>
      <c r="X4" s="12" t="s">
        <v>1320</v>
      </c>
      <c r="Y4" s="12" t="s">
        <v>153</v>
      </c>
      <c r="Z4" s="1" t="s">
        <v>1326</v>
      </c>
      <c r="AA4" s="24" t="s">
        <v>1328</v>
      </c>
      <c r="AB4" s="12" t="s">
        <v>921</v>
      </c>
      <c r="AC4" s="12" t="s">
        <v>926</v>
      </c>
      <c r="AD4" s="12" t="s">
        <v>153</v>
      </c>
      <c r="AE4" s="12" t="s">
        <v>944</v>
      </c>
      <c r="AF4" s="12" t="s">
        <v>923</v>
      </c>
      <c r="AG4" s="12" t="s">
        <v>921</v>
      </c>
      <c r="AH4" s="165">
        <v>5.98</v>
      </c>
      <c r="AI4" s="159">
        <v>-355.709</v>
      </c>
      <c r="AJ4" s="12" t="s">
        <v>1329</v>
      </c>
      <c r="AK4" s="12" t="s">
        <v>153</v>
      </c>
      <c r="AL4" s="11" t="s">
        <v>154</v>
      </c>
      <c r="AM4" s="11" t="s">
        <v>1324</v>
      </c>
      <c r="AN4" s="176">
        <v>8.6507939999999994</v>
      </c>
      <c r="AO4" s="176">
        <v>9.9999999999999995E-7</v>
      </c>
    </row>
    <row r="5" spans="1:41">
      <c r="A5" s="12" t="s">
        <v>1317</v>
      </c>
      <c r="B5" s="12" t="s">
        <v>1330</v>
      </c>
      <c r="C5" s="12" t="s">
        <v>1063</v>
      </c>
      <c r="D5" s="1" t="s">
        <v>1319</v>
      </c>
      <c r="E5" s="12" t="s">
        <v>34</v>
      </c>
      <c r="F5" s="184">
        <v>3.71</v>
      </c>
      <c r="G5" s="159">
        <v>-7400000</v>
      </c>
      <c r="H5" s="152">
        <v>27308.25</v>
      </c>
      <c r="I5" s="160">
        <v>9.8485000000000003E-2</v>
      </c>
      <c r="J5" s="152">
        <v>2.5000000000000001E-5</v>
      </c>
      <c r="K5" s="11" t="s">
        <v>1319</v>
      </c>
      <c r="L5" s="12" t="s">
        <v>44</v>
      </c>
      <c r="M5" s="185">
        <v>1</v>
      </c>
      <c r="N5" s="160">
        <v>27476200</v>
      </c>
      <c r="O5" s="160">
        <v>-27251.74</v>
      </c>
      <c r="P5" s="160">
        <v>-2.5000000000000001E-5</v>
      </c>
      <c r="Q5" s="160">
        <v>9.8285999999999998E-2</v>
      </c>
      <c r="R5" s="159">
        <v>56.51</v>
      </c>
      <c r="S5" s="11" t="s">
        <v>30</v>
      </c>
      <c r="T5" s="18" t="s">
        <v>30</v>
      </c>
      <c r="U5" s="12" t="s">
        <v>763</v>
      </c>
      <c r="V5" s="12" t="s">
        <v>31</v>
      </c>
      <c r="W5" s="11" t="s">
        <v>31</v>
      </c>
      <c r="X5" s="12" t="s">
        <v>1320</v>
      </c>
      <c r="Y5" s="12" t="s">
        <v>153</v>
      </c>
      <c r="Z5" s="1" t="s">
        <v>1321</v>
      </c>
      <c r="AA5" s="24" t="s">
        <v>1322</v>
      </c>
      <c r="AB5" s="12" t="s">
        <v>920</v>
      </c>
      <c r="AC5" s="12" t="s">
        <v>926</v>
      </c>
      <c r="AD5" s="12" t="s">
        <v>153</v>
      </c>
      <c r="AE5" s="12" t="s">
        <v>944</v>
      </c>
      <c r="AF5" s="12" t="s">
        <v>923</v>
      </c>
      <c r="AG5" s="12" t="s">
        <v>919</v>
      </c>
      <c r="AH5" s="165">
        <v>4.9210000000000003</v>
      </c>
      <c r="AI5" s="159">
        <v>-369.03</v>
      </c>
      <c r="AJ5" s="12" t="s">
        <v>1323</v>
      </c>
      <c r="AK5" s="12" t="s">
        <v>153</v>
      </c>
      <c r="AL5" s="11" t="s">
        <v>154</v>
      </c>
      <c r="AM5" s="11" t="s">
        <v>1324</v>
      </c>
      <c r="AN5" s="176">
        <v>4.1128090000000004</v>
      </c>
      <c r="AO5" s="176">
        <v>0</v>
      </c>
    </row>
    <row r="6" spans="1:41">
      <c r="A6" s="12" t="s">
        <v>1317</v>
      </c>
      <c r="B6" s="12" t="s">
        <v>1330</v>
      </c>
      <c r="C6" s="12" t="s">
        <v>1063</v>
      </c>
      <c r="D6" s="1" t="s">
        <v>1331</v>
      </c>
      <c r="E6" s="12" t="s">
        <v>1199</v>
      </c>
      <c r="F6" s="184">
        <v>4.1524000000000001</v>
      </c>
      <c r="G6" s="159">
        <v>-4900000</v>
      </c>
      <c r="H6" s="152">
        <v>20191.09</v>
      </c>
      <c r="I6" s="160">
        <v>7.2817000000000007E-2</v>
      </c>
      <c r="J6" s="152">
        <v>1.9000000000000001E-5</v>
      </c>
      <c r="K6" s="11" t="s">
        <v>1331</v>
      </c>
      <c r="L6" s="12" t="s">
        <v>44</v>
      </c>
      <c r="M6" s="185">
        <v>1</v>
      </c>
      <c r="N6" s="160">
        <v>20312460</v>
      </c>
      <c r="O6" s="160">
        <v>-20240.689999999999</v>
      </c>
      <c r="P6" s="160">
        <v>-1.9000000000000001E-5</v>
      </c>
      <c r="Q6" s="160">
        <v>7.2999999999999995E-2</v>
      </c>
      <c r="R6" s="159">
        <v>-49.6</v>
      </c>
      <c r="S6" s="11" t="s">
        <v>30</v>
      </c>
      <c r="T6" s="18" t="s">
        <v>30</v>
      </c>
      <c r="U6" s="12" t="s">
        <v>763</v>
      </c>
      <c r="V6" s="12" t="s">
        <v>31</v>
      </c>
      <c r="W6" s="11" t="s">
        <v>31</v>
      </c>
      <c r="X6" s="12" t="s">
        <v>1332</v>
      </c>
      <c r="Y6" s="12" t="s">
        <v>153</v>
      </c>
      <c r="Z6" s="1" t="s">
        <v>1321</v>
      </c>
      <c r="AA6" s="24" t="s">
        <v>1322</v>
      </c>
      <c r="AB6" s="12" t="s">
        <v>920</v>
      </c>
      <c r="AC6" s="12" t="s">
        <v>926</v>
      </c>
      <c r="AD6" s="12" t="s">
        <v>153</v>
      </c>
      <c r="AE6" s="12" t="s">
        <v>944</v>
      </c>
      <c r="AF6" s="12" t="s">
        <v>923</v>
      </c>
      <c r="AG6" s="12" t="s">
        <v>919</v>
      </c>
      <c r="AH6" s="165">
        <v>3.3250000000000002</v>
      </c>
      <c r="AI6" s="159">
        <v>-412.06299999999999</v>
      </c>
      <c r="AJ6" s="12" t="s">
        <v>1333</v>
      </c>
      <c r="AK6" s="12" t="s">
        <v>153</v>
      </c>
      <c r="AL6" s="11" t="s">
        <v>154</v>
      </c>
      <c r="AM6" s="11" t="s">
        <v>1324</v>
      </c>
      <c r="AN6" s="176">
        <v>-3.6098979999999998</v>
      </c>
      <c r="AO6" s="176">
        <v>0</v>
      </c>
    </row>
    <row r="7" spans="1:41">
      <c r="A7" s="12" t="s">
        <v>1317</v>
      </c>
      <c r="B7" s="12" t="s">
        <v>1330</v>
      </c>
      <c r="C7" s="12" t="s">
        <v>1063</v>
      </c>
      <c r="D7" s="1" t="s">
        <v>1325</v>
      </c>
      <c r="E7" s="12" t="s">
        <v>34</v>
      </c>
      <c r="F7" s="184">
        <v>3.71</v>
      </c>
      <c r="G7" s="159">
        <v>3700000</v>
      </c>
      <c r="H7" s="152">
        <v>-13834.28</v>
      </c>
      <c r="I7" s="160">
        <v>-4.9891999999999999E-2</v>
      </c>
      <c r="J7" s="152">
        <v>-1.2999999999999999E-5</v>
      </c>
      <c r="K7" s="11" t="s">
        <v>1325</v>
      </c>
      <c r="L7" s="12" t="s">
        <v>44</v>
      </c>
      <c r="M7" s="185">
        <v>1</v>
      </c>
      <c r="N7" s="160">
        <v>-13919400</v>
      </c>
      <c r="O7" s="160">
        <v>13625.85</v>
      </c>
      <c r="P7" s="160">
        <v>1.2999999999999999E-5</v>
      </c>
      <c r="Q7" s="160">
        <v>-4.9142999999999999E-2</v>
      </c>
      <c r="R7" s="159">
        <v>-208.43</v>
      </c>
      <c r="S7" s="11" t="s">
        <v>30</v>
      </c>
      <c r="T7" s="18" t="s">
        <v>30</v>
      </c>
      <c r="U7" s="12" t="s">
        <v>763</v>
      </c>
      <c r="V7" s="12" t="s">
        <v>31</v>
      </c>
      <c r="W7" s="11" t="s">
        <v>31</v>
      </c>
      <c r="X7" s="12" t="s">
        <v>1320</v>
      </c>
      <c r="Y7" s="12" t="s">
        <v>153</v>
      </c>
      <c r="Z7" s="1" t="s">
        <v>1326</v>
      </c>
      <c r="AA7" s="24" t="s">
        <v>1322</v>
      </c>
      <c r="AB7" s="12" t="s">
        <v>920</v>
      </c>
      <c r="AC7" s="12" t="s">
        <v>926</v>
      </c>
      <c r="AD7" s="12" t="s">
        <v>153</v>
      </c>
      <c r="AE7" s="12" t="s">
        <v>944</v>
      </c>
      <c r="AF7" s="12" t="s">
        <v>923</v>
      </c>
      <c r="AG7" s="12" t="s">
        <v>919</v>
      </c>
      <c r="AH7" s="165">
        <v>4.9210000000000003</v>
      </c>
      <c r="AI7" s="159">
        <v>-373.899</v>
      </c>
      <c r="AJ7" s="12" t="s">
        <v>1323</v>
      </c>
      <c r="AK7" s="12" t="s">
        <v>153</v>
      </c>
      <c r="AL7" s="11" t="s">
        <v>154</v>
      </c>
      <c r="AM7" s="11" t="s">
        <v>1324</v>
      </c>
      <c r="AN7" s="176">
        <v>-15.169578</v>
      </c>
      <c r="AO7" s="176">
        <v>0</v>
      </c>
    </row>
    <row r="8" spans="1:41">
      <c r="A8" s="12" t="s">
        <v>1317</v>
      </c>
      <c r="B8" s="12" t="s">
        <v>1330</v>
      </c>
      <c r="C8" s="12" t="s">
        <v>1063</v>
      </c>
      <c r="D8" s="1" t="s">
        <v>1327</v>
      </c>
      <c r="E8" s="12" t="s">
        <v>34</v>
      </c>
      <c r="F8" s="184">
        <v>3.71</v>
      </c>
      <c r="G8" s="159">
        <v>-3700000</v>
      </c>
      <c r="H8" s="152">
        <v>13161.26</v>
      </c>
      <c r="I8" s="160">
        <v>4.7465E-2</v>
      </c>
      <c r="J8" s="152">
        <v>1.2E-5</v>
      </c>
      <c r="K8" s="11" t="s">
        <v>1327</v>
      </c>
      <c r="L8" s="12" t="s">
        <v>44</v>
      </c>
      <c r="M8" s="185">
        <v>1</v>
      </c>
      <c r="N8" s="160">
        <v>13786200</v>
      </c>
      <c r="O8" s="160">
        <v>-12989.6</v>
      </c>
      <c r="P8" s="160">
        <v>-1.2E-5</v>
      </c>
      <c r="Q8" s="160">
        <v>4.6848000000000001E-2</v>
      </c>
      <c r="R8" s="159">
        <v>171.66</v>
      </c>
      <c r="S8" s="11" t="s">
        <v>30</v>
      </c>
      <c r="T8" s="18" t="s">
        <v>30</v>
      </c>
      <c r="U8" s="12" t="s">
        <v>763</v>
      </c>
      <c r="V8" s="12" t="s">
        <v>31</v>
      </c>
      <c r="W8" s="11" t="s">
        <v>31</v>
      </c>
      <c r="X8" s="12" t="s">
        <v>1320</v>
      </c>
      <c r="Y8" s="12" t="s">
        <v>153</v>
      </c>
      <c r="Z8" s="1" t="s">
        <v>1326</v>
      </c>
      <c r="AA8" s="24" t="s">
        <v>1328</v>
      </c>
      <c r="AB8" s="12" t="s">
        <v>921</v>
      </c>
      <c r="AC8" s="12" t="s">
        <v>926</v>
      </c>
      <c r="AD8" s="12" t="s">
        <v>153</v>
      </c>
      <c r="AE8" s="12" t="s">
        <v>944</v>
      </c>
      <c r="AF8" s="12" t="s">
        <v>923</v>
      </c>
      <c r="AG8" s="12" t="s">
        <v>921</v>
      </c>
      <c r="AH8" s="165">
        <v>5.98</v>
      </c>
      <c r="AI8" s="159">
        <v>-355.709</v>
      </c>
      <c r="AJ8" s="12" t="s">
        <v>1329</v>
      </c>
      <c r="AK8" s="12" t="s">
        <v>153</v>
      </c>
      <c r="AL8" s="11" t="s">
        <v>154</v>
      </c>
      <c r="AM8" s="11" t="s">
        <v>1324</v>
      </c>
      <c r="AN8" s="176">
        <v>12.493449999999999</v>
      </c>
      <c r="AO8" s="176">
        <v>0</v>
      </c>
    </row>
    <row r="9" spans="1:41">
      <c r="A9" s="12" t="s">
        <v>1317</v>
      </c>
      <c r="B9" s="12" t="s">
        <v>1330</v>
      </c>
      <c r="C9" s="12" t="s">
        <v>1063</v>
      </c>
      <c r="D9" s="1" t="s">
        <v>1319</v>
      </c>
      <c r="E9" s="12" t="s">
        <v>34</v>
      </c>
      <c r="F9" s="184">
        <v>3.71</v>
      </c>
      <c r="G9" s="159">
        <v>-38877000</v>
      </c>
      <c r="H9" s="152">
        <v>143467.96</v>
      </c>
      <c r="I9" s="160">
        <v>0.517405</v>
      </c>
      <c r="J9" s="152">
        <v>1.3200000000000001E-4</v>
      </c>
      <c r="K9" s="11" t="s">
        <v>1319</v>
      </c>
      <c r="L9" s="12" t="s">
        <v>44</v>
      </c>
      <c r="M9" s="185">
        <v>1</v>
      </c>
      <c r="N9" s="160">
        <v>144350301</v>
      </c>
      <c r="O9" s="160">
        <v>-143171.07</v>
      </c>
      <c r="P9" s="160">
        <v>-1.3200000000000001E-4</v>
      </c>
      <c r="Q9" s="160">
        <v>0.51636000000000004</v>
      </c>
      <c r="R9" s="159">
        <v>296.89</v>
      </c>
      <c r="S9" s="11" t="s">
        <v>30</v>
      </c>
      <c r="T9" s="18" t="s">
        <v>30</v>
      </c>
      <c r="U9" s="12" t="s">
        <v>763</v>
      </c>
      <c r="V9" s="12" t="s">
        <v>31</v>
      </c>
      <c r="W9" s="11" t="s">
        <v>31</v>
      </c>
      <c r="X9" s="12" t="s">
        <v>1320</v>
      </c>
      <c r="Y9" s="12" t="s">
        <v>153</v>
      </c>
      <c r="Z9" s="1" t="s">
        <v>1321</v>
      </c>
      <c r="AA9" s="24" t="s">
        <v>1322</v>
      </c>
      <c r="AB9" s="12" t="s">
        <v>920</v>
      </c>
      <c r="AC9" s="12" t="s">
        <v>926</v>
      </c>
      <c r="AD9" s="12" t="s">
        <v>153</v>
      </c>
      <c r="AE9" s="12" t="s">
        <v>944</v>
      </c>
      <c r="AF9" s="12" t="s">
        <v>923</v>
      </c>
      <c r="AG9" s="12" t="s">
        <v>919</v>
      </c>
      <c r="AH9" s="165">
        <v>4.9210000000000003</v>
      </c>
      <c r="AI9" s="159">
        <v>-369.03</v>
      </c>
      <c r="AJ9" s="12" t="s">
        <v>1323</v>
      </c>
      <c r="AK9" s="12" t="s">
        <v>153</v>
      </c>
      <c r="AL9" s="11" t="s">
        <v>154</v>
      </c>
      <c r="AM9" s="11" t="s">
        <v>1324</v>
      </c>
      <c r="AN9" s="176">
        <v>21.607714999999999</v>
      </c>
      <c r="AO9" s="176">
        <v>0</v>
      </c>
    </row>
    <row r="10" spans="1:41">
      <c r="A10" s="12" t="s">
        <v>1317</v>
      </c>
      <c r="B10" s="12" t="s">
        <v>1330</v>
      </c>
      <c r="C10" s="12" t="s">
        <v>1063</v>
      </c>
      <c r="D10" s="1" t="s">
        <v>1334</v>
      </c>
      <c r="E10" s="12" t="s">
        <v>1200</v>
      </c>
      <c r="F10" s="184">
        <v>2.6</v>
      </c>
      <c r="G10" s="159">
        <v>-80000000</v>
      </c>
      <c r="H10" s="152">
        <v>2048.8200000000002</v>
      </c>
      <c r="I10" s="160">
        <v>7.3889999999999997E-3</v>
      </c>
      <c r="J10" s="152">
        <v>1.9999999999999999E-6</v>
      </c>
      <c r="K10" s="11" t="s">
        <v>1334</v>
      </c>
      <c r="L10" s="12" t="s">
        <v>44</v>
      </c>
      <c r="M10" s="185">
        <v>1</v>
      </c>
      <c r="N10" s="160">
        <v>2064000</v>
      </c>
      <c r="O10" s="160">
        <v>-2082.3000000000002</v>
      </c>
      <c r="P10" s="160">
        <v>-1.9999999999999999E-6</v>
      </c>
      <c r="Q10" s="160">
        <v>7.5100000000000002E-3</v>
      </c>
      <c r="R10" s="159">
        <v>-33.49</v>
      </c>
      <c r="S10" s="11" t="s">
        <v>30</v>
      </c>
      <c r="T10" s="18" t="s">
        <v>30</v>
      </c>
      <c r="U10" s="12" t="s">
        <v>763</v>
      </c>
      <c r="V10" s="12" t="s">
        <v>31</v>
      </c>
      <c r="W10" s="11" t="s">
        <v>31</v>
      </c>
      <c r="X10" s="12" t="s">
        <v>1335</v>
      </c>
      <c r="Y10" s="12" t="s">
        <v>153</v>
      </c>
      <c r="Z10" s="1" t="s">
        <v>1321</v>
      </c>
      <c r="AA10" s="24" t="s">
        <v>1322</v>
      </c>
      <c r="AB10" s="12" t="s">
        <v>920</v>
      </c>
      <c r="AC10" s="12" t="s">
        <v>926</v>
      </c>
      <c r="AD10" s="12" t="s">
        <v>153</v>
      </c>
      <c r="AE10" s="12" t="s">
        <v>944</v>
      </c>
      <c r="AF10" s="12" t="s">
        <v>923</v>
      </c>
      <c r="AG10" s="12" t="s">
        <v>919</v>
      </c>
      <c r="AH10" s="165">
        <v>0.376</v>
      </c>
      <c r="AI10" s="159">
        <v>-2.5609999999999999</v>
      </c>
      <c r="AJ10" s="12" t="s">
        <v>1336</v>
      </c>
      <c r="AK10" s="12" t="s">
        <v>153</v>
      </c>
      <c r="AL10" s="11" t="s">
        <v>154</v>
      </c>
      <c r="AM10" s="11" t="s">
        <v>1324</v>
      </c>
      <c r="AN10" s="176">
        <v>-2.4374090000000002</v>
      </c>
      <c r="AO10" s="176">
        <v>0</v>
      </c>
    </row>
    <row r="11" spans="1:41">
      <c r="A11" s="12" t="s">
        <v>1317</v>
      </c>
      <c r="B11" s="12" t="s">
        <v>1330</v>
      </c>
      <c r="C11" s="12" t="s">
        <v>1063</v>
      </c>
      <c r="D11" s="1" t="s">
        <v>1325</v>
      </c>
      <c r="E11" s="12" t="s">
        <v>34</v>
      </c>
      <c r="F11" s="184">
        <v>3.71</v>
      </c>
      <c r="G11" s="159">
        <v>9125000</v>
      </c>
      <c r="H11" s="152">
        <v>-34118.33</v>
      </c>
      <c r="I11" s="160">
        <v>-0.123045</v>
      </c>
      <c r="J11" s="152">
        <v>-3.1000000000000001E-5</v>
      </c>
      <c r="K11" s="11" t="s">
        <v>1325</v>
      </c>
      <c r="L11" s="12" t="s">
        <v>44</v>
      </c>
      <c r="M11" s="185">
        <v>1</v>
      </c>
      <c r="N11" s="160">
        <v>-34328250</v>
      </c>
      <c r="O11" s="160">
        <v>33604.300000000003</v>
      </c>
      <c r="P11" s="160">
        <v>3.1000000000000001E-5</v>
      </c>
      <c r="Q11" s="160">
        <v>-0.121197</v>
      </c>
      <c r="R11" s="159">
        <v>-514.02</v>
      </c>
      <c r="S11" s="11" t="s">
        <v>30</v>
      </c>
      <c r="T11" s="18" t="s">
        <v>30</v>
      </c>
      <c r="U11" s="12" t="s">
        <v>763</v>
      </c>
      <c r="V11" s="12" t="s">
        <v>31</v>
      </c>
      <c r="W11" s="11" t="s">
        <v>31</v>
      </c>
      <c r="X11" s="12" t="s">
        <v>1320</v>
      </c>
      <c r="Y11" s="12" t="s">
        <v>153</v>
      </c>
      <c r="Z11" s="1" t="s">
        <v>1326</v>
      </c>
      <c r="AA11" s="24" t="s">
        <v>1322</v>
      </c>
      <c r="AB11" s="12" t="s">
        <v>920</v>
      </c>
      <c r="AC11" s="12" t="s">
        <v>926</v>
      </c>
      <c r="AD11" s="12" t="s">
        <v>153</v>
      </c>
      <c r="AE11" s="12" t="s">
        <v>944</v>
      </c>
      <c r="AF11" s="12" t="s">
        <v>923</v>
      </c>
      <c r="AG11" s="12" t="s">
        <v>919</v>
      </c>
      <c r="AH11" s="165">
        <v>4.9210000000000003</v>
      </c>
      <c r="AI11" s="159">
        <v>-373.899</v>
      </c>
      <c r="AJ11" s="12" t="s">
        <v>1323</v>
      </c>
      <c r="AK11" s="12" t="s">
        <v>153</v>
      </c>
      <c r="AL11" s="11" t="s">
        <v>154</v>
      </c>
      <c r="AM11" s="11" t="s">
        <v>1324</v>
      </c>
      <c r="AN11" s="176">
        <v>-37.41048</v>
      </c>
      <c r="AO11" s="176">
        <v>0</v>
      </c>
    </row>
    <row r="12" spans="1:41">
      <c r="A12" s="12" t="s">
        <v>1317</v>
      </c>
      <c r="B12" s="12" t="s">
        <v>1330</v>
      </c>
      <c r="C12" s="12" t="s">
        <v>1063</v>
      </c>
      <c r="D12" s="1" t="s">
        <v>1327</v>
      </c>
      <c r="E12" s="12" t="s">
        <v>34</v>
      </c>
      <c r="F12" s="184">
        <v>3.71</v>
      </c>
      <c r="G12" s="159">
        <v>-9125000</v>
      </c>
      <c r="H12" s="152">
        <v>32458.52</v>
      </c>
      <c r="I12" s="160">
        <v>0.117059</v>
      </c>
      <c r="J12" s="152">
        <v>3.0000000000000001E-5</v>
      </c>
      <c r="K12" s="11" t="s">
        <v>1327</v>
      </c>
      <c r="L12" s="12" t="s">
        <v>44</v>
      </c>
      <c r="M12" s="185">
        <v>1</v>
      </c>
      <c r="N12" s="160">
        <v>33999750</v>
      </c>
      <c r="O12" s="160">
        <v>-32035.17</v>
      </c>
      <c r="P12" s="160">
        <v>-3.0000000000000001E-5</v>
      </c>
      <c r="Q12" s="160">
        <v>0.115538</v>
      </c>
      <c r="R12" s="159">
        <v>423.35</v>
      </c>
      <c r="S12" s="11" t="s">
        <v>30</v>
      </c>
      <c r="T12" s="18" t="s">
        <v>30</v>
      </c>
      <c r="U12" s="12" t="s">
        <v>763</v>
      </c>
      <c r="V12" s="12" t="s">
        <v>31</v>
      </c>
      <c r="W12" s="11" t="s">
        <v>31</v>
      </c>
      <c r="X12" s="12" t="s">
        <v>1320</v>
      </c>
      <c r="Y12" s="12" t="s">
        <v>153</v>
      </c>
      <c r="Z12" s="1" t="s">
        <v>1326</v>
      </c>
      <c r="AA12" s="24" t="s">
        <v>1328</v>
      </c>
      <c r="AB12" s="12" t="s">
        <v>921</v>
      </c>
      <c r="AC12" s="12" t="s">
        <v>926</v>
      </c>
      <c r="AD12" s="12" t="s">
        <v>153</v>
      </c>
      <c r="AE12" s="12" t="s">
        <v>944</v>
      </c>
      <c r="AF12" s="12" t="s">
        <v>923</v>
      </c>
      <c r="AG12" s="12" t="s">
        <v>921</v>
      </c>
      <c r="AH12" s="165">
        <v>5.98</v>
      </c>
      <c r="AI12" s="159">
        <v>-355.709</v>
      </c>
      <c r="AJ12" s="12" t="s">
        <v>1329</v>
      </c>
      <c r="AK12" s="12" t="s">
        <v>153</v>
      </c>
      <c r="AL12" s="11" t="s">
        <v>154</v>
      </c>
      <c r="AM12" s="11" t="s">
        <v>1324</v>
      </c>
      <c r="AN12" s="176">
        <v>30.811499000000001</v>
      </c>
      <c r="AO12" s="176">
        <v>0</v>
      </c>
    </row>
    <row r="13" spans="1:41">
      <c r="A13" s="12" t="s">
        <v>1317</v>
      </c>
      <c r="B13" s="12" t="s">
        <v>1330</v>
      </c>
      <c r="C13" s="12" t="s">
        <v>1063</v>
      </c>
      <c r="D13" s="1" t="s">
        <v>1331</v>
      </c>
      <c r="E13" s="12" t="s">
        <v>1199</v>
      </c>
      <c r="F13" s="184">
        <v>4.1524000000000001</v>
      </c>
      <c r="G13" s="159">
        <v>-2439000</v>
      </c>
      <c r="H13" s="152">
        <v>10050.219999999999</v>
      </c>
      <c r="I13" s="160">
        <v>3.6244999999999999E-2</v>
      </c>
      <c r="J13" s="152">
        <v>9.0000000000000002E-6</v>
      </c>
      <c r="K13" s="11" t="s">
        <v>1331</v>
      </c>
      <c r="L13" s="12" t="s">
        <v>44</v>
      </c>
      <c r="M13" s="185">
        <v>1</v>
      </c>
      <c r="N13" s="160">
        <v>10110630.6</v>
      </c>
      <c r="O13" s="160">
        <v>-10074.91</v>
      </c>
      <c r="P13" s="160">
        <v>-9.0000000000000002E-6</v>
      </c>
      <c r="Q13" s="160">
        <v>3.6336E-2</v>
      </c>
      <c r="R13" s="159">
        <v>-24.69</v>
      </c>
      <c r="S13" s="11" t="s">
        <v>30</v>
      </c>
      <c r="T13" s="18" t="s">
        <v>30</v>
      </c>
      <c r="U13" s="12" t="s">
        <v>763</v>
      </c>
      <c r="V13" s="12" t="s">
        <v>31</v>
      </c>
      <c r="W13" s="11" t="s">
        <v>31</v>
      </c>
      <c r="X13" s="12" t="s">
        <v>1332</v>
      </c>
      <c r="Y13" s="12" t="s">
        <v>153</v>
      </c>
      <c r="Z13" s="1" t="s">
        <v>1321</v>
      </c>
      <c r="AA13" s="24" t="s">
        <v>1322</v>
      </c>
      <c r="AB13" s="12" t="s">
        <v>920</v>
      </c>
      <c r="AC13" s="12" t="s">
        <v>926</v>
      </c>
      <c r="AD13" s="12" t="s">
        <v>153</v>
      </c>
      <c r="AE13" s="12" t="s">
        <v>944</v>
      </c>
      <c r="AF13" s="12" t="s">
        <v>923</v>
      </c>
      <c r="AG13" s="12" t="s">
        <v>919</v>
      </c>
      <c r="AH13" s="165">
        <v>3.3250000000000002</v>
      </c>
      <c r="AI13" s="159">
        <v>-412.06299999999999</v>
      </c>
      <c r="AJ13" s="12" t="s">
        <v>1333</v>
      </c>
      <c r="AK13" s="12" t="s">
        <v>153</v>
      </c>
      <c r="AL13" s="11" t="s">
        <v>154</v>
      </c>
      <c r="AM13" s="11" t="s">
        <v>1324</v>
      </c>
      <c r="AN13" s="176">
        <v>-1.796943</v>
      </c>
      <c r="AO13" s="176">
        <v>0</v>
      </c>
    </row>
    <row r="14" spans="1:41">
      <c r="A14" s="12" t="s">
        <v>1317</v>
      </c>
      <c r="B14" s="12" t="s">
        <v>1330</v>
      </c>
      <c r="C14" s="12" t="s">
        <v>1063</v>
      </c>
      <c r="D14" s="1" t="s">
        <v>1325</v>
      </c>
      <c r="E14" s="12" t="s">
        <v>34</v>
      </c>
      <c r="F14" s="184">
        <v>3.71</v>
      </c>
      <c r="G14" s="159">
        <v>19438500</v>
      </c>
      <c r="H14" s="152">
        <v>-72680.45</v>
      </c>
      <c r="I14" s="160">
        <v>-0.26211600000000002</v>
      </c>
      <c r="J14" s="152">
        <v>-6.7000000000000002E-5</v>
      </c>
      <c r="K14" s="11" t="s">
        <v>1325</v>
      </c>
      <c r="L14" s="12" t="s">
        <v>44</v>
      </c>
      <c r="M14" s="185">
        <v>1</v>
      </c>
      <c r="N14" s="160">
        <v>-73127637</v>
      </c>
      <c r="O14" s="160">
        <v>71585.45</v>
      </c>
      <c r="P14" s="160">
        <v>6.6000000000000005E-5</v>
      </c>
      <c r="Q14" s="160">
        <v>-0.25818000000000002</v>
      </c>
      <c r="R14" s="159">
        <v>-1095</v>
      </c>
      <c r="S14" s="11" t="s">
        <v>30</v>
      </c>
      <c r="T14" s="18" t="s">
        <v>30</v>
      </c>
      <c r="U14" s="12" t="s">
        <v>763</v>
      </c>
      <c r="V14" s="12" t="s">
        <v>31</v>
      </c>
      <c r="W14" s="11" t="s">
        <v>31</v>
      </c>
      <c r="X14" s="12" t="s">
        <v>1320</v>
      </c>
      <c r="Y14" s="12" t="s">
        <v>153</v>
      </c>
      <c r="Z14" s="1" t="s">
        <v>1326</v>
      </c>
      <c r="AA14" s="24" t="s">
        <v>1322</v>
      </c>
      <c r="AB14" s="12" t="s">
        <v>920</v>
      </c>
      <c r="AC14" s="12" t="s">
        <v>926</v>
      </c>
      <c r="AD14" s="12" t="s">
        <v>153</v>
      </c>
      <c r="AE14" s="12" t="s">
        <v>944</v>
      </c>
      <c r="AF14" s="12" t="s">
        <v>923</v>
      </c>
      <c r="AG14" s="12" t="s">
        <v>919</v>
      </c>
      <c r="AH14" s="165">
        <v>4.9210000000000003</v>
      </c>
      <c r="AI14" s="159">
        <v>-373.899</v>
      </c>
      <c r="AJ14" s="12" t="s">
        <v>1323</v>
      </c>
      <c r="AK14" s="12" t="s">
        <v>153</v>
      </c>
      <c r="AL14" s="11" t="s">
        <v>154</v>
      </c>
      <c r="AM14" s="11" t="s">
        <v>1324</v>
      </c>
      <c r="AN14" s="176">
        <v>-79.694322999999997</v>
      </c>
      <c r="AO14" s="176">
        <v>-9.9999999999999995E-7</v>
      </c>
    </row>
    <row r="15" spans="1:41">
      <c r="A15" s="12" t="s">
        <v>1317</v>
      </c>
      <c r="B15" s="12" t="s">
        <v>1330</v>
      </c>
      <c r="C15" s="12" t="s">
        <v>1063</v>
      </c>
      <c r="D15" s="1" t="s">
        <v>1327</v>
      </c>
      <c r="E15" s="12" t="s">
        <v>34</v>
      </c>
      <c r="F15" s="184">
        <v>3.71</v>
      </c>
      <c r="G15" s="159">
        <v>-19438500</v>
      </c>
      <c r="H15" s="152">
        <v>69144.66</v>
      </c>
      <c r="I15" s="160">
        <v>0.249365</v>
      </c>
      <c r="J15" s="152">
        <v>6.3999999999999997E-5</v>
      </c>
      <c r="K15" s="11" t="s">
        <v>1327</v>
      </c>
      <c r="L15" s="12" t="s">
        <v>44</v>
      </c>
      <c r="M15" s="185">
        <v>1</v>
      </c>
      <c r="N15" s="160">
        <v>72427851</v>
      </c>
      <c r="O15" s="160">
        <v>-68242.81</v>
      </c>
      <c r="P15" s="160">
        <v>-6.3E-5</v>
      </c>
      <c r="Q15" s="160">
        <v>0.24612400000000001</v>
      </c>
      <c r="R15" s="159">
        <v>901.84</v>
      </c>
      <c r="S15" s="11" t="s">
        <v>30</v>
      </c>
      <c r="T15" s="18" t="s">
        <v>30</v>
      </c>
      <c r="U15" s="12" t="s">
        <v>763</v>
      </c>
      <c r="V15" s="12" t="s">
        <v>31</v>
      </c>
      <c r="W15" s="11" t="s">
        <v>31</v>
      </c>
      <c r="X15" s="12" t="s">
        <v>1320</v>
      </c>
      <c r="Y15" s="12" t="s">
        <v>153</v>
      </c>
      <c r="Z15" s="1" t="s">
        <v>1326</v>
      </c>
      <c r="AA15" s="24" t="s">
        <v>1328</v>
      </c>
      <c r="AB15" s="12" t="s">
        <v>921</v>
      </c>
      <c r="AC15" s="12" t="s">
        <v>926</v>
      </c>
      <c r="AD15" s="12" t="s">
        <v>153</v>
      </c>
      <c r="AE15" s="12" t="s">
        <v>944</v>
      </c>
      <c r="AF15" s="12" t="s">
        <v>923</v>
      </c>
      <c r="AG15" s="12" t="s">
        <v>921</v>
      </c>
      <c r="AH15" s="165">
        <v>5.98</v>
      </c>
      <c r="AI15" s="159">
        <v>-355.709</v>
      </c>
      <c r="AJ15" s="12" t="s">
        <v>1329</v>
      </c>
      <c r="AK15" s="12" t="s">
        <v>153</v>
      </c>
      <c r="AL15" s="11" t="s">
        <v>154</v>
      </c>
      <c r="AM15" s="11" t="s">
        <v>1324</v>
      </c>
      <c r="AN15" s="176">
        <v>65.636099000000002</v>
      </c>
      <c r="AO15" s="176">
        <v>9.9999999999999995E-7</v>
      </c>
    </row>
    <row r="16" spans="1:41">
      <c r="A16" s="12" t="s">
        <v>1317</v>
      </c>
      <c r="B16" s="12" t="s">
        <v>1330</v>
      </c>
      <c r="C16" s="12" t="s">
        <v>1063</v>
      </c>
      <c r="D16" s="1" t="s">
        <v>1337</v>
      </c>
      <c r="E16" s="12" t="s">
        <v>1200</v>
      </c>
      <c r="F16" s="184">
        <v>2.6</v>
      </c>
      <c r="G16" s="159">
        <v>80000000</v>
      </c>
      <c r="H16" s="152">
        <v>-2096.5500000000002</v>
      </c>
      <c r="I16" s="160">
        <v>-7.561E-3</v>
      </c>
      <c r="J16" s="152">
        <v>-1.9999999999999999E-6</v>
      </c>
      <c r="K16" s="11" t="s">
        <v>1337</v>
      </c>
      <c r="L16" s="12" t="s">
        <v>44</v>
      </c>
      <c r="M16" s="185">
        <v>1</v>
      </c>
      <c r="N16" s="160">
        <v>-2112000</v>
      </c>
      <c r="O16" s="160">
        <v>2082.33</v>
      </c>
      <c r="P16" s="160">
        <v>1.9999999999999999E-6</v>
      </c>
      <c r="Q16" s="160">
        <v>-7.5100000000000002E-3</v>
      </c>
      <c r="R16" s="159">
        <v>-14.21</v>
      </c>
      <c r="S16" s="11" t="s">
        <v>30</v>
      </c>
      <c r="T16" s="18" t="s">
        <v>30</v>
      </c>
      <c r="U16" s="12" t="s">
        <v>763</v>
      </c>
      <c r="V16" s="12" t="s">
        <v>31</v>
      </c>
      <c r="W16" s="11" t="s">
        <v>31</v>
      </c>
      <c r="X16" s="12" t="s">
        <v>1335</v>
      </c>
      <c r="Y16" s="12" t="s">
        <v>153</v>
      </c>
      <c r="Z16" s="1" t="s">
        <v>1338</v>
      </c>
      <c r="AA16" s="24" t="s">
        <v>1322</v>
      </c>
      <c r="AB16" s="12" t="s">
        <v>919</v>
      </c>
      <c r="AC16" s="12" t="s">
        <v>926</v>
      </c>
      <c r="AD16" s="12" t="s">
        <v>153</v>
      </c>
      <c r="AE16" s="12" t="s">
        <v>944</v>
      </c>
      <c r="AF16" s="12" t="s">
        <v>923</v>
      </c>
      <c r="AG16" s="12" t="s">
        <v>919</v>
      </c>
      <c r="AH16" s="165">
        <v>0.376</v>
      </c>
      <c r="AI16" s="159">
        <v>-2.62</v>
      </c>
      <c r="AJ16" s="12" t="s">
        <v>1336</v>
      </c>
      <c r="AK16" s="12" t="s">
        <v>153</v>
      </c>
      <c r="AL16" s="11" t="s">
        <v>154</v>
      </c>
      <c r="AM16" s="11" t="s">
        <v>1324</v>
      </c>
      <c r="AN16" s="176">
        <v>-1.0342070000000001</v>
      </c>
      <c r="AO16" s="176">
        <v>0</v>
      </c>
    </row>
    <row r="17" spans="1:41">
      <c r="A17" s="12" t="s">
        <v>1317</v>
      </c>
      <c r="B17" s="12" t="s">
        <v>1330</v>
      </c>
      <c r="C17" s="12" t="s">
        <v>1063</v>
      </c>
      <c r="D17" s="1" t="s">
        <v>1319</v>
      </c>
      <c r="E17" s="12" t="s">
        <v>34</v>
      </c>
      <c r="F17" s="184">
        <v>3.71</v>
      </c>
      <c r="G17" s="159">
        <v>-18250000</v>
      </c>
      <c r="H17" s="152">
        <v>67348.05</v>
      </c>
      <c r="I17" s="160">
        <v>0.24288499999999999</v>
      </c>
      <c r="J17" s="152">
        <v>6.2000000000000003E-5</v>
      </c>
      <c r="K17" s="11" t="s">
        <v>1319</v>
      </c>
      <c r="L17" s="12" t="s">
        <v>44</v>
      </c>
      <c r="M17" s="185">
        <v>1</v>
      </c>
      <c r="N17" s="160">
        <v>67762250</v>
      </c>
      <c r="O17" s="160">
        <v>-67208.69</v>
      </c>
      <c r="P17" s="160">
        <v>-6.2000000000000003E-5</v>
      </c>
      <c r="Q17" s="160">
        <v>0.242395</v>
      </c>
      <c r="R17" s="159">
        <v>139.37</v>
      </c>
      <c r="S17" s="11" t="s">
        <v>30</v>
      </c>
      <c r="T17" s="18" t="s">
        <v>30</v>
      </c>
      <c r="U17" s="12" t="s">
        <v>763</v>
      </c>
      <c r="V17" s="12" t="s">
        <v>31</v>
      </c>
      <c r="W17" s="11" t="s">
        <v>31</v>
      </c>
      <c r="X17" s="12" t="s">
        <v>1320</v>
      </c>
      <c r="Y17" s="12" t="s">
        <v>153</v>
      </c>
      <c r="Z17" s="1" t="s">
        <v>1321</v>
      </c>
      <c r="AA17" s="24" t="s">
        <v>1322</v>
      </c>
      <c r="AB17" s="12" t="s">
        <v>920</v>
      </c>
      <c r="AC17" s="12" t="s">
        <v>926</v>
      </c>
      <c r="AD17" s="12" t="s">
        <v>153</v>
      </c>
      <c r="AE17" s="12" t="s">
        <v>944</v>
      </c>
      <c r="AF17" s="12" t="s">
        <v>923</v>
      </c>
      <c r="AG17" s="12" t="s">
        <v>919</v>
      </c>
      <c r="AH17" s="165">
        <v>4.9210000000000003</v>
      </c>
      <c r="AI17" s="159">
        <v>-369.03</v>
      </c>
      <c r="AJ17" s="12" t="s">
        <v>1323</v>
      </c>
      <c r="AK17" s="12" t="s">
        <v>153</v>
      </c>
      <c r="AL17" s="11" t="s">
        <v>154</v>
      </c>
      <c r="AM17" s="11" t="s">
        <v>1324</v>
      </c>
      <c r="AN17" s="176">
        <v>10.143376999999999</v>
      </c>
      <c r="AO17" s="176">
        <v>0</v>
      </c>
    </row>
    <row r="18" spans="1:41">
      <c r="A18" s="12" t="s">
        <v>1317</v>
      </c>
      <c r="B18" s="12" t="s">
        <v>1330</v>
      </c>
      <c r="C18" s="12" t="s">
        <v>1063</v>
      </c>
      <c r="D18" s="1" t="s">
        <v>1331</v>
      </c>
      <c r="E18" s="12" t="s">
        <v>1199</v>
      </c>
      <c r="F18" s="184">
        <v>4.1524000000000001</v>
      </c>
      <c r="G18" s="159">
        <v>-3600000</v>
      </c>
      <c r="H18" s="152">
        <v>14834.27</v>
      </c>
      <c r="I18" s="160">
        <v>5.3498999999999998E-2</v>
      </c>
      <c r="J18" s="152">
        <v>1.4E-5</v>
      </c>
      <c r="K18" s="11" t="s">
        <v>1331</v>
      </c>
      <c r="L18" s="12" t="s">
        <v>44</v>
      </c>
      <c r="M18" s="185">
        <v>1</v>
      </c>
      <c r="N18" s="160">
        <v>14923440</v>
      </c>
      <c r="O18" s="160">
        <v>-14870.71</v>
      </c>
      <c r="P18" s="160">
        <v>-1.4E-5</v>
      </c>
      <c r="Q18" s="160">
        <v>5.3633E-2</v>
      </c>
      <c r="R18" s="159">
        <v>-36.44</v>
      </c>
      <c r="S18" s="11" t="s">
        <v>30</v>
      </c>
      <c r="T18" s="18" t="s">
        <v>30</v>
      </c>
      <c r="U18" s="12" t="s">
        <v>763</v>
      </c>
      <c r="V18" s="12" t="s">
        <v>31</v>
      </c>
      <c r="W18" s="11" t="s">
        <v>31</v>
      </c>
      <c r="X18" s="12" t="s">
        <v>1332</v>
      </c>
      <c r="Y18" s="12" t="s">
        <v>153</v>
      </c>
      <c r="Z18" s="1" t="s">
        <v>1321</v>
      </c>
      <c r="AA18" s="24" t="s">
        <v>1322</v>
      </c>
      <c r="AB18" s="12" t="s">
        <v>920</v>
      </c>
      <c r="AC18" s="12" t="s">
        <v>926</v>
      </c>
      <c r="AD18" s="12" t="s">
        <v>153</v>
      </c>
      <c r="AE18" s="12" t="s">
        <v>944</v>
      </c>
      <c r="AF18" s="12" t="s">
        <v>923</v>
      </c>
      <c r="AG18" s="12" t="s">
        <v>919</v>
      </c>
      <c r="AH18" s="165">
        <v>3.3250000000000002</v>
      </c>
      <c r="AI18" s="159">
        <v>-412.06299999999999</v>
      </c>
      <c r="AJ18" s="12" t="s">
        <v>1333</v>
      </c>
      <c r="AK18" s="12" t="s">
        <v>153</v>
      </c>
      <c r="AL18" s="11" t="s">
        <v>154</v>
      </c>
      <c r="AM18" s="11" t="s">
        <v>1324</v>
      </c>
      <c r="AN18" s="176">
        <v>-2.6521110000000001</v>
      </c>
      <c r="AO18" s="176">
        <v>0</v>
      </c>
    </row>
    <row r="19" spans="1:41">
      <c r="A19" s="12" t="s">
        <v>1317</v>
      </c>
      <c r="B19" s="12" t="s">
        <v>1339</v>
      </c>
      <c r="C19" s="12" t="s">
        <v>1063</v>
      </c>
      <c r="D19" s="1" t="s">
        <v>1319</v>
      </c>
      <c r="E19" s="12" t="s">
        <v>34</v>
      </c>
      <c r="F19" s="184">
        <v>3.71</v>
      </c>
      <c r="G19" s="159">
        <v>-200000</v>
      </c>
      <c r="H19" s="152">
        <v>738.06</v>
      </c>
      <c r="I19" s="160">
        <v>0.77977799999999997</v>
      </c>
      <c r="J19" s="152">
        <v>4.6E-5</v>
      </c>
      <c r="K19" s="11" t="s">
        <v>1319</v>
      </c>
      <c r="L19" s="12" t="s">
        <v>44</v>
      </c>
      <c r="M19" s="185">
        <v>1</v>
      </c>
      <c r="N19" s="160">
        <v>742600</v>
      </c>
      <c r="O19" s="160">
        <v>-736.53</v>
      </c>
      <c r="P19" s="160">
        <v>-4.6E-5</v>
      </c>
      <c r="Q19" s="160">
        <v>0.77814499999999998</v>
      </c>
      <c r="R19" s="159">
        <v>1.53</v>
      </c>
      <c r="S19" s="11" t="s">
        <v>30</v>
      </c>
      <c r="T19" s="18" t="s">
        <v>30</v>
      </c>
      <c r="U19" s="12" t="s">
        <v>763</v>
      </c>
      <c r="V19" s="12" t="s">
        <v>31</v>
      </c>
      <c r="W19" s="11" t="s">
        <v>31</v>
      </c>
      <c r="X19" s="12" t="s">
        <v>1320</v>
      </c>
      <c r="Y19" s="12" t="s">
        <v>153</v>
      </c>
      <c r="Z19" s="1" t="s">
        <v>1321</v>
      </c>
      <c r="AA19" s="24" t="s">
        <v>1322</v>
      </c>
      <c r="AB19" s="12" t="s">
        <v>920</v>
      </c>
      <c r="AC19" s="12" t="s">
        <v>926</v>
      </c>
      <c r="AD19" s="12" t="s">
        <v>153</v>
      </c>
      <c r="AE19" s="12" t="s">
        <v>944</v>
      </c>
      <c r="AF19" s="12" t="s">
        <v>923</v>
      </c>
      <c r="AG19" s="12" t="s">
        <v>919</v>
      </c>
      <c r="AH19" s="165">
        <v>4.9210000000000003</v>
      </c>
      <c r="AI19" s="159">
        <v>-369.03</v>
      </c>
      <c r="AJ19" s="12" t="s">
        <v>1323</v>
      </c>
      <c r="AK19" s="12" t="s">
        <v>153</v>
      </c>
      <c r="AL19" s="11" t="s">
        <v>154</v>
      </c>
      <c r="AM19" s="11" t="s">
        <v>1324</v>
      </c>
      <c r="AN19" s="176">
        <v>-76.5</v>
      </c>
      <c r="AO19" s="176">
        <v>0</v>
      </c>
    </row>
    <row r="20" spans="1:41">
      <c r="A20" s="11" t="s">
        <v>1317</v>
      </c>
      <c r="B20" s="11" t="s">
        <v>1339</v>
      </c>
      <c r="C20" s="12" t="s">
        <v>1063</v>
      </c>
      <c r="D20" s="11" t="s">
        <v>1331</v>
      </c>
      <c r="E20" s="12" t="s">
        <v>1199</v>
      </c>
      <c r="F20" s="185">
        <v>4.1524000000000001</v>
      </c>
      <c r="G20" s="160">
        <v>-55000</v>
      </c>
      <c r="H20" s="160">
        <v>226.63</v>
      </c>
      <c r="I20" s="160">
        <v>0.23943999999999999</v>
      </c>
      <c r="J20" s="160">
        <v>1.4E-5</v>
      </c>
      <c r="K20" s="11" t="s">
        <v>1331</v>
      </c>
      <c r="L20" s="11" t="s">
        <v>44</v>
      </c>
      <c r="M20" s="185">
        <v>1</v>
      </c>
      <c r="N20" s="160">
        <v>227997</v>
      </c>
      <c r="O20" s="160">
        <v>-227.19</v>
      </c>
      <c r="P20" s="160">
        <v>-1.4E-5</v>
      </c>
      <c r="Q20" s="160">
        <v>0.24002699999999999</v>
      </c>
      <c r="R20" s="160">
        <v>-0.56000000000000005</v>
      </c>
      <c r="S20" s="11" t="s">
        <v>30</v>
      </c>
      <c r="T20" s="18" t="s">
        <v>30</v>
      </c>
      <c r="U20" s="12" t="s">
        <v>763</v>
      </c>
      <c r="V20" s="12" t="s">
        <v>31</v>
      </c>
      <c r="W20" s="11" t="s">
        <v>31</v>
      </c>
      <c r="X20" s="11" t="s">
        <v>1332</v>
      </c>
      <c r="Y20" s="12" t="s">
        <v>153</v>
      </c>
      <c r="Z20" s="11" t="s">
        <v>1321</v>
      </c>
      <c r="AA20" s="11" t="s">
        <v>1322</v>
      </c>
      <c r="AB20" s="12" t="s">
        <v>920</v>
      </c>
      <c r="AC20" s="12" t="s">
        <v>926</v>
      </c>
      <c r="AD20" s="12" t="s">
        <v>153</v>
      </c>
      <c r="AE20" s="12" t="s">
        <v>944</v>
      </c>
      <c r="AF20" s="12" t="s">
        <v>923</v>
      </c>
      <c r="AG20" s="12" t="s">
        <v>919</v>
      </c>
      <c r="AH20" s="165">
        <v>3.3250000000000002</v>
      </c>
      <c r="AI20" s="160">
        <v>-412.06299999999999</v>
      </c>
      <c r="AJ20" s="11" t="s">
        <v>1333</v>
      </c>
      <c r="AK20" s="12" t="s">
        <v>153</v>
      </c>
      <c r="AL20" s="11" t="s">
        <v>154</v>
      </c>
      <c r="AM20" s="11" t="s">
        <v>1324</v>
      </c>
      <c r="AN20" s="168">
        <v>28</v>
      </c>
      <c r="AO20" s="168">
        <v>0</v>
      </c>
    </row>
    <row r="21" spans="1:41">
      <c r="A21" s="11" t="s">
        <v>1317</v>
      </c>
      <c r="B21" s="11" t="s">
        <v>1339</v>
      </c>
      <c r="C21" s="11" t="s">
        <v>1063</v>
      </c>
      <c r="D21" s="11" t="s">
        <v>1325</v>
      </c>
      <c r="E21" s="11" t="s">
        <v>34</v>
      </c>
      <c r="F21" s="185">
        <v>3.71</v>
      </c>
      <c r="G21" s="160">
        <v>100000</v>
      </c>
      <c r="H21" s="160">
        <v>-373.9</v>
      </c>
      <c r="I21" s="160">
        <v>-0.395034</v>
      </c>
      <c r="J21" s="160">
        <v>-2.3E-5</v>
      </c>
      <c r="K21" s="11" t="s">
        <v>1325</v>
      </c>
      <c r="L21" s="11" t="s">
        <v>44</v>
      </c>
      <c r="M21" s="185">
        <v>1</v>
      </c>
      <c r="N21" s="160">
        <v>-376200</v>
      </c>
      <c r="O21" s="160">
        <v>368.27</v>
      </c>
      <c r="P21" s="160">
        <v>2.3E-5</v>
      </c>
      <c r="Q21" s="160">
        <v>-0.38907799999999998</v>
      </c>
      <c r="R21" s="160">
        <v>-5.63</v>
      </c>
      <c r="S21" s="11" t="s">
        <v>30</v>
      </c>
      <c r="T21" s="11" t="s">
        <v>30</v>
      </c>
      <c r="U21" s="11" t="s">
        <v>763</v>
      </c>
      <c r="V21" s="11" t="s">
        <v>31</v>
      </c>
      <c r="W21" s="11" t="s">
        <v>31</v>
      </c>
      <c r="X21" s="11" t="s">
        <v>1320</v>
      </c>
      <c r="Y21" s="11" t="s">
        <v>153</v>
      </c>
      <c r="Z21" s="11" t="s">
        <v>1326</v>
      </c>
      <c r="AA21" s="11" t="s">
        <v>1322</v>
      </c>
      <c r="AB21" s="11" t="s">
        <v>920</v>
      </c>
      <c r="AC21" s="11" t="s">
        <v>926</v>
      </c>
      <c r="AD21" s="11" t="s">
        <v>153</v>
      </c>
      <c r="AE21" s="11" t="s">
        <v>944</v>
      </c>
      <c r="AF21" s="11" t="s">
        <v>923</v>
      </c>
      <c r="AG21" s="11" t="s">
        <v>919</v>
      </c>
      <c r="AH21" s="165">
        <v>4.9210000000000003</v>
      </c>
      <c r="AI21" s="160">
        <v>-373.899</v>
      </c>
      <c r="AJ21" s="11" t="s">
        <v>1323</v>
      </c>
      <c r="AK21" s="11" t="s">
        <v>153</v>
      </c>
      <c r="AL21" s="11" t="s">
        <v>154</v>
      </c>
      <c r="AM21" s="11" t="s">
        <v>1324</v>
      </c>
      <c r="AN21" s="168">
        <v>281.5</v>
      </c>
      <c r="AO21" s="168">
        <v>0</v>
      </c>
    </row>
    <row r="22" spans="1:41">
      <c r="A22" s="11" t="s">
        <v>1317</v>
      </c>
      <c r="B22" s="11" t="s">
        <v>1339</v>
      </c>
      <c r="C22" s="12" t="s">
        <v>1063</v>
      </c>
      <c r="D22" s="11" t="s">
        <v>1327</v>
      </c>
      <c r="E22" s="12" t="s">
        <v>34</v>
      </c>
      <c r="F22" s="185">
        <v>3.71</v>
      </c>
      <c r="G22" s="160">
        <v>-100000</v>
      </c>
      <c r="H22" s="160">
        <v>355.71</v>
      </c>
      <c r="I22" s="160">
        <v>0.37581599999999998</v>
      </c>
      <c r="J22" s="160">
        <v>2.1999999999999999E-5</v>
      </c>
      <c r="K22" s="11" t="s">
        <v>1327</v>
      </c>
      <c r="L22" s="11" t="s">
        <v>44</v>
      </c>
      <c r="M22" s="185">
        <v>1</v>
      </c>
      <c r="N22" s="160">
        <v>372600</v>
      </c>
      <c r="O22" s="160">
        <v>-351.07</v>
      </c>
      <c r="P22" s="160">
        <v>-2.1999999999999999E-5</v>
      </c>
      <c r="Q22" s="160">
        <v>0.37090600000000001</v>
      </c>
      <c r="R22" s="160">
        <v>4.6399999999999997</v>
      </c>
      <c r="S22" s="11" t="s">
        <v>30</v>
      </c>
      <c r="T22" s="18" t="s">
        <v>30</v>
      </c>
      <c r="U22" s="11" t="s">
        <v>763</v>
      </c>
      <c r="V22" s="11" t="s">
        <v>31</v>
      </c>
      <c r="W22" s="11" t="s">
        <v>31</v>
      </c>
      <c r="X22" s="11" t="s">
        <v>1320</v>
      </c>
      <c r="Y22" s="11" t="s">
        <v>153</v>
      </c>
      <c r="Z22" s="11" t="s">
        <v>1326</v>
      </c>
      <c r="AA22" s="11" t="s">
        <v>1328</v>
      </c>
      <c r="AB22" s="11" t="s">
        <v>921</v>
      </c>
      <c r="AC22" s="11" t="s">
        <v>926</v>
      </c>
      <c r="AD22" s="11" t="s">
        <v>153</v>
      </c>
      <c r="AE22" s="12" t="s">
        <v>944</v>
      </c>
      <c r="AF22" s="12" t="s">
        <v>923</v>
      </c>
      <c r="AG22" s="11" t="s">
        <v>921</v>
      </c>
      <c r="AH22" s="165">
        <v>5.98</v>
      </c>
      <c r="AI22" s="160">
        <v>-355.709</v>
      </c>
      <c r="AJ22" s="11" t="s">
        <v>1329</v>
      </c>
      <c r="AK22" s="11" t="s">
        <v>153</v>
      </c>
      <c r="AL22" s="11" t="s">
        <v>154</v>
      </c>
      <c r="AM22" s="11" t="s">
        <v>1324</v>
      </c>
      <c r="AN22" s="168">
        <v>-232</v>
      </c>
      <c r="AO22" s="168">
        <v>0</v>
      </c>
    </row>
    <row r="23" spans="1:41">
      <c r="A23" s="11" t="s">
        <v>1317</v>
      </c>
      <c r="B23" s="11" t="s">
        <v>1340</v>
      </c>
      <c r="C23" s="12" t="s">
        <v>1063</v>
      </c>
      <c r="D23" s="11" t="s">
        <v>1319</v>
      </c>
      <c r="E23" s="12" t="s">
        <v>34</v>
      </c>
      <c r="F23" s="185">
        <v>3.71</v>
      </c>
      <c r="G23" s="160">
        <v>-970000</v>
      </c>
      <c r="H23" s="160">
        <v>3579.6</v>
      </c>
      <c r="I23" s="160">
        <v>1.0252680000000001</v>
      </c>
      <c r="J23" s="160">
        <v>1.1400000000000001E-4</v>
      </c>
      <c r="K23" s="11" t="s">
        <v>1319</v>
      </c>
      <c r="L23" s="11" t="s">
        <v>44</v>
      </c>
      <c r="M23" s="185">
        <v>1</v>
      </c>
      <c r="N23" s="160">
        <v>3601610</v>
      </c>
      <c r="O23" s="160">
        <v>-3572.19</v>
      </c>
      <c r="P23" s="160">
        <v>-1.1400000000000001E-4</v>
      </c>
      <c r="Q23" s="160">
        <v>1.0239050000000001</v>
      </c>
      <c r="R23" s="160">
        <v>7.41</v>
      </c>
      <c r="S23" s="11" t="s">
        <v>30</v>
      </c>
      <c r="T23" s="18" t="s">
        <v>30</v>
      </c>
      <c r="U23" s="11" t="s">
        <v>763</v>
      </c>
      <c r="V23" s="11" t="s">
        <v>31</v>
      </c>
      <c r="W23" s="11" t="s">
        <v>31</v>
      </c>
      <c r="X23" s="11" t="s">
        <v>1320</v>
      </c>
      <c r="Y23" s="11" t="s">
        <v>153</v>
      </c>
      <c r="Z23" s="11" t="s">
        <v>1321</v>
      </c>
      <c r="AA23" s="11" t="s">
        <v>1322</v>
      </c>
      <c r="AB23" s="11" t="s">
        <v>920</v>
      </c>
      <c r="AC23" s="11" t="s">
        <v>926</v>
      </c>
      <c r="AD23" s="11" t="s">
        <v>153</v>
      </c>
      <c r="AE23" s="12" t="s">
        <v>944</v>
      </c>
      <c r="AF23" s="12" t="s">
        <v>923</v>
      </c>
      <c r="AG23" s="11" t="s">
        <v>919</v>
      </c>
      <c r="AH23" s="165">
        <v>4.9210000000000003</v>
      </c>
      <c r="AI23" s="160">
        <v>-369.03</v>
      </c>
      <c r="AJ23" s="11" t="s">
        <v>1323</v>
      </c>
      <c r="AK23" s="11" t="s">
        <v>153</v>
      </c>
      <c r="AL23" s="11" t="s">
        <v>154</v>
      </c>
      <c r="AM23" s="11" t="s">
        <v>1324</v>
      </c>
      <c r="AN23" s="168">
        <v>2.8610039999999999</v>
      </c>
      <c r="AO23" s="168">
        <v>0</v>
      </c>
    </row>
    <row r="24" spans="1:41">
      <c r="A24" s="11" t="s">
        <v>1317</v>
      </c>
      <c r="B24" s="11" t="s">
        <v>1340</v>
      </c>
      <c r="C24" s="12" t="s">
        <v>1063</v>
      </c>
      <c r="D24" s="11" t="s">
        <v>1325</v>
      </c>
      <c r="E24" s="12" t="s">
        <v>34</v>
      </c>
      <c r="F24" s="185">
        <v>3.71</v>
      </c>
      <c r="G24" s="160">
        <v>485000</v>
      </c>
      <c r="H24" s="160">
        <v>-1813.41</v>
      </c>
      <c r="I24" s="160">
        <v>-0.51939599999999997</v>
      </c>
      <c r="J24" s="160">
        <v>-5.8E-5</v>
      </c>
      <c r="K24" s="11" t="s">
        <v>1325</v>
      </c>
      <c r="L24" s="11" t="s">
        <v>44</v>
      </c>
      <c r="M24" s="185">
        <v>1</v>
      </c>
      <c r="N24" s="160">
        <v>-1824570</v>
      </c>
      <c r="O24" s="160">
        <v>1786.09</v>
      </c>
      <c r="P24" s="160">
        <v>5.7000000000000003E-5</v>
      </c>
      <c r="Q24" s="160">
        <v>-0.51195100000000004</v>
      </c>
      <c r="R24" s="160">
        <v>-27.32</v>
      </c>
      <c r="S24" s="11" t="s">
        <v>30</v>
      </c>
      <c r="T24" s="18" t="s">
        <v>30</v>
      </c>
      <c r="U24" s="11" t="s">
        <v>763</v>
      </c>
      <c r="V24" s="11" t="s">
        <v>31</v>
      </c>
      <c r="W24" s="11" t="s">
        <v>31</v>
      </c>
      <c r="X24" s="11" t="s">
        <v>1320</v>
      </c>
      <c r="Y24" s="11" t="s">
        <v>153</v>
      </c>
      <c r="Z24" s="11" t="s">
        <v>1326</v>
      </c>
      <c r="AA24" s="11" t="s">
        <v>1322</v>
      </c>
      <c r="AB24" s="11" t="s">
        <v>920</v>
      </c>
      <c r="AC24" s="11" t="s">
        <v>926</v>
      </c>
      <c r="AD24" s="11" t="s">
        <v>153</v>
      </c>
      <c r="AE24" s="12" t="s">
        <v>944</v>
      </c>
      <c r="AF24" s="12" t="s">
        <v>923</v>
      </c>
      <c r="AG24" s="11" t="s">
        <v>919</v>
      </c>
      <c r="AH24" s="165">
        <v>4.9210000000000003</v>
      </c>
      <c r="AI24" s="160">
        <v>-373.899</v>
      </c>
      <c r="AJ24" s="11" t="s">
        <v>1323</v>
      </c>
      <c r="AK24" s="11" t="s">
        <v>153</v>
      </c>
      <c r="AL24" s="11" t="s">
        <v>154</v>
      </c>
      <c r="AM24" s="11" t="s">
        <v>1324</v>
      </c>
      <c r="AN24" s="168">
        <v>-10.548263</v>
      </c>
      <c r="AO24" s="168">
        <v>-9.9999999999999995E-7</v>
      </c>
    </row>
    <row r="25" spans="1:41">
      <c r="A25" s="11" t="s">
        <v>1317</v>
      </c>
      <c r="B25" s="11" t="s">
        <v>1340</v>
      </c>
      <c r="C25" s="12" t="s">
        <v>1063</v>
      </c>
      <c r="D25" s="11" t="s">
        <v>1327</v>
      </c>
      <c r="E25" s="12" t="s">
        <v>34</v>
      </c>
      <c r="F25" s="185">
        <v>3.71</v>
      </c>
      <c r="G25" s="160">
        <v>-485000</v>
      </c>
      <c r="H25" s="160">
        <v>1725.19</v>
      </c>
      <c r="I25" s="160">
        <v>0.49412800000000001</v>
      </c>
      <c r="J25" s="160">
        <v>5.5000000000000002E-5</v>
      </c>
      <c r="K25" s="11" t="s">
        <v>1327</v>
      </c>
      <c r="L25" s="11" t="s">
        <v>44</v>
      </c>
      <c r="M25" s="185">
        <v>1</v>
      </c>
      <c r="N25" s="160">
        <v>1807110</v>
      </c>
      <c r="O25" s="160">
        <v>-1702.69</v>
      </c>
      <c r="P25" s="160">
        <v>-5.3999999999999998E-5</v>
      </c>
      <c r="Q25" s="160">
        <v>0.48804599999999998</v>
      </c>
      <c r="R25" s="160">
        <v>22.5</v>
      </c>
      <c r="S25" s="11" t="s">
        <v>30</v>
      </c>
      <c r="T25" s="18" t="s">
        <v>30</v>
      </c>
      <c r="U25" s="11" t="s">
        <v>763</v>
      </c>
      <c r="V25" s="11" t="s">
        <v>31</v>
      </c>
      <c r="W25" s="11" t="s">
        <v>31</v>
      </c>
      <c r="X25" s="11" t="s">
        <v>1320</v>
      </c>
      <c r="Y25" s="11" t="s">
        <v>153</v>
      </c>
      <c r="Z25" s="11" t="s">
        <v>1326</v>
      </c>
      <c r="AA25" s="11" t="s">
        <v>1328</v>
      </c>
      <c r="AB25" s="11" t="s">
        <v>921</v>
      </c>
      <c r="AC25" s="11" t="s">
        <v>926</v>
      </c>
      <c r="AD25" s="11" t="s">
        <v>153</v>
      </c>
      <c r="AE25" s="12" t="s">
        <v>944</v>
      </c>
      <c r="AF25" s="12" t="s">
        <v>923</v>
      </c>
      <c r="AG25" s="11" t="s">
        <v>921</v>
      </c>
      <c r="AH25" s="165">
        <v>5.98</v>
      </c>
      <c r="AI25" s="160">
        <v>-355.709</v>
      </c>
      <c r="AJ25" s="11" t="s">
        <v>1329</v>
      </c>
      <c r="AK25" s="11" t="s">
        <v>153</v>
      </c>
      <c r="AL25" s="11" t="s">
        <v>154</v>
      </c>
      <c r="AM25" s="11" t="s">
        <v>1324</v>
      </c>
      <c r="AN25" s="168">
        <v>8.6872589999999992</v>
      </c>
      <c r="AO25" s="168">
        <v>9.9999999999999995E-7</v>
      </c>
    </row>
    <row r="26" spans="1:41">
      <c r="C26" s="12"/>
      <c r="E26" s="12"/>
      <c r="T26" s="18"/>
      <c r="AE26" s="12"/>
      <c r="AF26" s="12"/>
    </row>
    <row r="27" spans="1:41">
      <c r="C27" s="12"/>
      <c r="E27" s="12"/>
      <c r="T27" s="18"/>
    </row>
    <row r="28" spans="1:41">
      <c r="C28" s="12"/>
      <c r="E28" s="12"/>
      <c r="T28" s="18"/>
    </row>
    <row r="29" spans="1:41">
      <c r="C29" s="12"/>
      <c r="E29" s="12"/>
      <c r="T29" s="18"/>
    </row>
    <row r="30" spans="1:41">
      <c r="C30" s="12"/>
      <c r="E30" s="12"/>
      <c r="T30" s="18"/>
    </row>
    <row r="31" spans="1:41">
      <c r="C31" s="12"/>
      <c r="E31" s="12"/>
      <c r="T31" s="18"/>
    </row>
    <row r="32" spans="1:41">
      <c r="C32" s="12"/>
      <c r="E32" s="12"/>
      <c r="T32" s="18"/>
    </row>
    <row r="33" spans="3:20">
      <c r="C33" s="12"/>
      <c r="T33" s="18"/>
    </row>
    <row r="34" spans="3:20">
      <c r="C34" s="12"/>
      <c r="T34" s="18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5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5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134</v>
      </c>
      <c r="D1" s="19" t="s">
        <v>135</v>
      </c>
      <c r="E1" s="19" t="s">
        <v>136</v>
      </c>
      <c r="F1" s="19" t="s">
        <v>137</v>
      </c>
      <c r="G1" s="19" t="s">
        <v>5</v>
      </c>
      <c r="H1" s="19" t="s">
        <v>1174</v>
      </c>
      <c r="I1" s="19" t="s">
        <v>6</v>
      </c>
      <c r="J1" s="19" t="s">
        <v>7</v>
      </c>
      <c r="K1" s="19" t="s">
        <v>168</v>
      </c>
      <c r="L1" s="19" t="s">
        <v>139</v>
      </c>
      <c r="M1" s="19" t="s">
        <v>1175</v>
      </c>
      <c r="N1" s="19" t="s">
        <v>1176</v>
      </c>
      <c r="O1" s="19" t="s">
        <v>1177</v>
      </c>
      <c r="P1" s="19" t="s">
        <v>9</v>
      </c>
      <c r="Q1" s="19" t="s">
        <v>10</v>
      </c>
      <c r="R1" s="19" t="s">
        <v>140</v>
      </c>
      <c r="S1" s="19" t="s">
        <v>11</v>
      </c>
      <c r="T1" s="19" t="s">
        <v>12</v>
      </c>
      <c r="U1" s="19" t="s">
        <v>141</v>
      </c>
      <c r="V1" s="143" t="s">
        <v>14</v>
      </c>
      <c r="W1" s="19" t="s">
        <v>770</v>
      </c>
      <c r="X1" s="19" t="s">
        <v>927</v>
      </c>
      <c r="Y1" s="19" t="s">
        <v>1179</v>
      </c>
      <c r="Z1" s="19" t="s">
        <v>15</v>
      </c>
      <c r="AA1" s="19" t="s">
        <v>13</v>
      </c>
      <c r="AB1" s="19" t="s">
        <v>427</v>
      </c>
      <c r="AC1" s="19" t="s">
        <v>775</v>
      </c>
      <c r="AD1" s="19" t="s">
        <v>1180</v>
      </c>
      <c r="AE1" s="19" t="s">
        <v>1181</v>
      </c>
      <c r="AF1" s="19" t="s">
        <v>1182</v>
      </c>
      <c r="AG1" s="19" t="s">
        <v>798</v>
      </c>
      <c r="AH1" s="19" t="s">
        <v>799</v>
      </c>
      <c r="AI1" s="19" t="s">
        <v>1183</v>
      </c>
      <c r="AJ1" s="19" t="s">
        <v>805</v>
      </c>
      <c r="AK1" s="19" t="s">
        <v>169</v>
      </c>
      <c r="AL1" s="19" t="s">
        <v>182</v>
      </c>
      <c r="AM1" s="19" t="s">
        <v>170</v>
      </c>
      <c r="AN1" s="19" t="s">
        <v>148</v>
      </c>
      <c r="AO1" s="19" t="s">
        <v>171</v>
      </c>
      <c r="AP1" s="143" t="s">
        <v>1184</v>
      </c>
      <c r="AQ1" s="19" t="s">
        <v>1185</v>
      </c>
      <c r="AR1" s="19" t="s">
        <v>1186</v>
      </c>
      <c r="AS1" s="19" t="s">
        <v>18</v>
      </c>
      <c r="AT1" s="19" t="s">
        <v>20</v>
      </c>
      <c r="AU1" s="19" t="s">
        <v>183</v>
      </c>
      <c r="AV1" s="19" t="s">
        <v>21</v>
      </c>
      <c r="AW1" s="19" t="s">
        <v>184</v>
      </c>
      <c r="AX1" s="19" t="s">
        <v>848</v>
      </c>
      <c r="AY1" s="19" t="s">
        <v>22</v>
      </c>
      <c r="AZ1" s="19" t="s">
        <v>24</v>
      </c>
      <c r="BA1" s="19" t="s">
        <v>25</v>
      </c>
    </row>
    <row r="2" spans="1:53">
      <c r="C2" s="20"/>
      <c r="D2" s="20"/>
      <c r="E2" s="20"/>
      <c r="F2" s="20"/>
      <c r="G2" s="20"/>
      <c r="I2" s="18"/>
      <c r="J2" s="18"/>
      <c r="K2" s="20"/>
      <c r="L2" s="20"/>
      <c r="M2" s="20"/>
      <c r="N2" s="20"/>
      <c r="O2" s="20"/>
      <c r="P2" s="20"/>
      <c r="Q2" s="20"/>
      <c r="R2" s="20"/>
      <c r="S2" s="18"/>
      <c r="T2" s="20"/>
      <c r="U2" s="20"/>
      <c r="V2" s="148"/>
      <c r="W2" s="20"/>
      <c r="X2" s="20"/>
      <c r="Y2" s="20"/>
      <c r="Z2" s="20"/>
      <c r="AA2" s="20"/>
      <c r="AB2" s="18"/>
      <c r="AC2" s="20"/>
      <c r="AD2" s="20"/>
      <c r="AE2" s="149"/>
      <c r="AF2" s="20"/>
      <c r="AG2" s="20"/>
      <c r="AH2" s="20"/>
      <c r="AK2" s="20"/>
      <c r="AL2" s="20"/>
      <c r="AM2" s="20"/>
      <c r="AR2" s="20"/>
      <c r="AS2" s="20"/>
      <c r="AT2" s="20"/>
      <c r="AU2" s="27"/>
      <c r="AV2" s="27"/>
      <c r="AW2" s="27"/>
      <c r="AX2" s="18"/>
      <c r="AY2" s="20"/>
      <c r="AZ2" s="20"/>
      <c r="BA2" s="20"/>
    </row>
    <row r="3" spans="1:53">
      <c r="C3" s="20"/>
      <c r="D3" s="20"/>
      <c r="E3" s="20"/>
      <c r="F3" s="20"/>
      <c r="G3" s="20"/>
      <c r="I3" s="18"/>
      <c r="J3" s="18"/>
      <c r="K3" s="20"/>
      <c r="L3" s="20"/>
      <c r="M3" s="20"/>
      <c r="N3" s="20"/>
      <c r="O3" s="20"/>
      <c r="P3" s="20"/>
      <c r="Q3" s="20"/>
      <c r="R3" s="20"/>
      <c r="S3" s="18"/>
      <c r="T3" s="20"/>
      <c r="U3" s="20"/>
      <c r="V3" s="148"/>
      <c r="W3" s="20"/>
      <c r="X3" s="20"/>
      <c r="Y3" s="20"/>
      <c r="Z3" s="20"/>
      <c r="AA3" s="20"/>
      <c r="AB3" s="18"/>
      <c r="AC3" s="20"/>
      <c r="AD3" s="20"/>
      <c r="AE3" s="149"/>
      <c r="AF3" s="20"/>
      <c r="AG3" s="20"/>
      <c r="AH3" s="20"/>
      <c r="AK3" s="20"/>
      <c r="AL3" s="20"/>
      <c r="AM3" s="20"/>
      <c r="AR3" s="20"/>
      <c r="AS3" s="20"/>
      <c r="AT3" s="20"/>
      <c r="AU3" s="20"/>
      <c r="AV3" s="20"/>
      <c r="AW3" s="20"/>
      <c r="AX3" s="18"/>
      <c r="AY3" s="20"/>
      <c r="AZ3" s="20"/>
      <c r="BA3" s="20"/>
    </row>
    <row r="4" spans="1:53">
      <c r="C4" s="20"/>
      <c r="D4" s="20"/>
      <c r="E4" s="20"/>
      <c r="F4" s="20"/>
      <c r="G4" s="20"/>
      <c r="I4" s="18"/>
      <c r="J4" s="18"/>
      <c r="K4" s="20"/>
      <c r="L4" s="20"/>
      <c r="M4" s="20"/>
      <c r="N4" s="20"/>
      <c r="O4" s="20"/>
      <c r="P4" s="20"/>
      <c r="Q4" s="20"/>
      <c r="R4" s="20"/>
      <c r="S4" s="18"/>
      <c r="T4" s="20"/>
      <c r="U4" s="20"/>
      <c r="V4" s="148"/>
      <c r="W4" s="20"/>
      <c r="X4" s="20"/>
      <c r="Y4" s="20"/>
      <c r="Z4" s="20"/>
      <c r="AA4" s="20"/>
      <c r="AB4" s="18"/>
      <c r="AC4" s="20"/>
      <c r="AD4" s="20"/>
      <c r="AE4" s="149"/>
      <c r="AF4" s="20"/>
      <c r="AG4" s="20"/>
      <c r="AH4" s="20"/>
      <c r="AK4" s="20"/>
      <c r="AL4" s="20"/>
      <c r="AM4" s="20"/>
      <c r="AR4" s="20"/>
      <c r="AS4" s="20"/>
      <c r="AT4" s="20"/>
      <c r="AU4" s="27"/>
      <c r="AV4" s="27"/>
      <c r="AW4" s="27"/>
      <c r="AX4" s="18"/>
      <c r="AY4" s="20"/>
      <c r="AZ4" s="20"/>
      <c r="BA4" s="20"/>
    </row>
    <row r="5" spans="1:53">
      <c r="C5" s="20"/>
      <c r="D5" s="20"/>
      <c r="E5" s="20"/>
      <c r="F5" s="20"/>
      <c r="G5" s="20"/>
      <c r="I5" s="18"/>
      <c r="J5" s="18"/>
      <c r="K5" s="20"/>
      <c r="L5" s="20"/>
      <c r="M5" s="20"/>
      <c r="N5" s="20"/>
      <c r="O5" s="20"/>
      <c r="P5" s="20"/>
      <c r="Q5" s="20"/>
      <c r="R5" s="20"/>
      <c r="S5" s="18"/>
      <c r="T5" s="20"/>
      <c r="U5" s="20"/>
      <c r="V5" s="148"/>
      <c r="W5" s="20"/>
      <c r="X5" s="20"/>
      <c r="Y5" s="20"/>
      <c r="Z5" s="20"/>
      <c r="AA5" s="20"/>
      <c r="AB5" s="18"/>
      <c r="AC5" s="20"/>
      <c r="AD5" s="20"/>
      <c r="AE5" s="149"/>
      <c r="AF5" s="20"/>
      <c r="AG5" s="20"/>
      <c r="AH5" s="20"/>
      <c r="AK5" s="20"/>
      <c r="AL5" s="20"/>
      <c r="AM5" s="20"/>
      <c r="AR5" s="20"/>
      <c r="AS5" s="20"/>
      <c r="AT5" s="20"/>
      <c r="AU5" s="27"/>
      <c r="AV5" s="27"/>
      <c r="AW5" s="27"/>
      <c r="AX5" s="18"/>
      <c r="AY5" s="20"/>
      <c r="AZ5" s="20"/>
      <c r="BA5" s="20"/>
    </row>
    <row r="6" spans="1:53">
      <c r="C6" s="20"/>
      <c r="D6" s="20"/>
      <c r="E6" s="20"/>
      <c r="F6" s="20"/>
      <c r="G6" s="20"/>
      <c r="I6" s="18"/>
      <c r="J6" s="18"/>
      <c r="K6" s="20"/>
      <c r="L6" s="20"/>
      <c r="M6" s="20"/>
      <c r="N6" s="20"/>
      <c r="O6" s="20"/>
      <c r="P6" s="20"/>
      <c r="Q6" s="20"/>
      <c r="R6" s="20"/>
      <c r="S6" s="18"/>
      <c r="T6" s="20"/>
      <c r="U6" s="20"/>
      <c r="V6" s="148"/>
      <c r="W6" s="20"/>
      <c r="X6" s="20"/>
      <c r="Y6" s="20"/>
      <c r="Z6" s="20"/>
      <c r="AA6" s="20"/>
      <c r="AB6" s="18"/>
      <c r="AC6" s="20"/>
      <c r="AD6" s="20"/>
      <c r="AE6" s="149"/>
      <c r="AF6" s="20"/>
      <c r="AG6" s="20"/>
      <c r="AH6" s="20"/>
      <c r="AK6" s="20"/>
      <c r="AL6" s="20"/>
      <c r="AM6" s="20"/>
      <c r="AR6" s="20"/>
      <c r="AS6" s="20"/>
      <c r="AT6" s="20"/>
      <c r="AU6" s="27"/>
      <c r="AV6" s="27"/>
      <c r="AW6" s="27"/>
      <c r="AX6" s="18"/>
      <c r="AY6" s="20"/>
      <c r="AZ6" s="20"/>
      <c r="BA6" s="20"/>
    </row>
    <row r="7" spans="1:53">
      <c r="C7" s="20"/>
      <c r="D7" s="20"/>
      <c r="E7" s="20"/>
      <c r="F7" s="20"/>
      <c r="G7" s="20"/>
      <c r="I7" s="18"/>
      <c r="J7" s="18"/>
      <c r="K7" s="20"/>
      <c r="L7" s="20"/>
      <c r="M7" s="20"/>
      <c r="N7" s="20"/>
      <c r="O7" s="20"/>
      <c r="P7" s="20"/>
      <c r="Q7" s="20"/>
      <c r="R7" s="20"/>
      <c r="S7" s="18"/>
      <c r="T7" s="20"/>
      <c r="U7" s="20"/>
      <c r="V7" s="148"/>
      <c r="W7" s="20"/>
      <c r="X7" s="20"/>
      <c r="Y7" s="20"/>
      <c r="Z7" s="20"/>
      <c r="AA7" s="20"/>
      <c r="AB7" s="18"/>
      <c r="AC7" s="20"/>
      <c r="AD7" s="20"/>
      <c r="AE7" s="149"/>
      <c r="AF7" s="20"/>
      <c r="AG7" s="20"/>
      <c r="AH7" s="20"/>
      <c r="AK7" s="20"/>
      <c r="AL7" s="20"/>
      <c r="AM7" s="20"/>
      <c r="AR7" s="20"/>
      <c r="AS7" s="20"/>
      <c r="AT7" s="20"/>
      <c r="AU7" s="27"/>
      <c r="AV7" s="27"/>
      <c r="AW7" s="27"/>
      <c r="AX7" s="18"/>
      <c r="AY7" s="20"/>
      <c r="AZ7" s="20"/>
      <c r="BA7" s="20"/>
    </row>
    <row r="8" spans="1:53">
      <c r="C8" s="20"/>
      <c r="D8" s="20"/>
      <c r="E8" s="20"/>
      <c r="F8" s="20"/>
      <c r="G8" s="20"/>
      <c r="I8" s="18"/>
      <c r="J8" s="18"/>
      <c r="K8" s="20"/>
      <c r="L8" s="20"/>
      <c r="M8" s="20"/>
      <c r="N8" s="20"/>
      <c r="O8" s="20"/>
      <c r="P8" s="20"/>
      <c r="Q8" s="20"/>
      <c r="R8" s="20"/>
      <c r="S8" s="18"/>
      <c r="T8" s="20"/>
      <c r="U8" s="20"/>
      <c r="V8" s="148"/>
      <c r="W8" s="20"/>
      <c r="X8" s="20"/>
      <c r="Y8" s="20"/>
      <c r="Z8" s="20"/>
      <c r="AA8" s="20"/>
      <c r="AB8" s="18"/>
      <c r="AC8" s="20"/>
      <c r="AD8" s="20"/>
      <c r="AE8" s="149"/>
      <c r="AF8" s="20"/>
      <c r="AG8" s="20"/>
      <c r="AH8" s="20"/>
      <c r="AK8" s="20"/>
      <c r="AL8" s="20"/>
      <c r="AM8" s="20"/>
      <c r="AR8" s="20"/>
      <c r="AS8" s="20"/>
      <c r="AT8" s="20"/>
      <c r="AU8" s="20"/>
      <c r="AV8" s="20"/>
      <c r="AW8" s="20"/>
      <c r="AX8" s="18"/>
      <c r="AY8" s="20"/>
      <c r="AZ8" s="20"/>
      <c r="BA8" s="20"/>
    </row>
    <row r="9" spans="1:53">
      <c r="C9" s="20"/>
      <c r="D9" s="20"/>
      <c r="E9" s="20"/>
      <c r="F9" s="20"/>
      <c r="G9" s="20"/>
      <c r="I9" s="18"/>
      <c r="J9" s="18"/>
      <c r="K9" s="20"/>
      <c r="L9" s="20"/>
      <c r="M9" s="20"/>
      <c r="N9" s="20"/>
      <c r="O9" s="20"/>
      <c r="P9" s="20"/>
      <c r="Q9" s="20"/>
      <c r="R9" s="20"/>
      <c r="S9" s="18"/>
      <c r="T9" s="20"/>
      <c r="U9" s="20"/>
      <c r="V9" s="148"/>
      <c r="W9" s="20"/>
      <c r="X9" s="20"/>
      <c r="Y9" s="20"/>
      <c r="Z9" s="20"/>
      <c r="AA9" s="20"/>
      <c r="AB9" s="18"/>
      <c r="AC9" s="20"/>
      <c r="AD9" s="20"/>
      <c r="AE9" s="149"/>
      <c r="AF9" s="20"/>
      <c r="AG9" s="20"/>
      <c r="AH9" s="20"/>
      <c r="AK9" s="20"/>
      <c r="AL9" s="20"/>
      <c r="AM9" s="20"/>
      <c r="AR9" s="20"/>
      <c r="AS9" s="20"/>
      <c r="AT9" s="20"/>
      <c r="AU9" s="27"/>
      <c r="AV9" s="27"/>
      <c r="AW9" s="27"/>
      <c r="AX9" s="18"/>
      <c r="AY9" s="20"/>
      <c r="AZ9" s="20"/>
      <c r="BA9" s="20"/>
    </row>
    <row r="10" spans="1:53">
      <c r="C10" s="20"/>
      <c r="D10" s="20"/>
      <c r="E10" s="20"/>
      <c r="F10" s="20"/>
      <c r="G10" s="20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8"/>
      <c r="T10" s="20"/>
      <c r="U10" s="20"/>
      <c r="V10" s="148"/>
      <c r="W10" s="20"/>
      <c r="X10" s="20"/>
      <c r="Y10" s="20"/>
      <c r="Z10" s="20"/>
      <c r="AA10" s="20"/>
      <c r="AB10" s="18"/>
      <c r="AC10" s="20"/>
      <c r="AD10" s="20"/>
      <c r="AE10" s="149"/>
      <c r="AF10" s="20"/>
      <c r="AG10" s="20"/>
      <c r="AH10" s="20"/>
      <c r="AK10" s="20"/>
      <c r="AL10" s="20"/>
      <c r="AM10" s="20"/>
      <c r="AR10" s="20"/>
      <c r="AS10" s="20"/>
      <c r="AT10" s="20"/>
      <c r="AU10" s="20"/>
      <c r="AV10" s="20"/>
      <c r="AW10" s="20"/>
      <c r="AX10" s="18"/>
      <c r="AY10" s="20"/>
      <c r="AZ10" s="20"/>
      <c r="BA10" s="20"/>
    </row>
    <row r="11" spans="1:53">
      <c r="C11" s="20"/>
      <c r="D11" s="20"/>
      <c r="E11" s="20"/>
      <c r="F11" s="20"/>
      <c r="G11" s="20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18"/>
      <c r="T11" s="20"/>
      <c r="U11" s="20"/>
      <c r="V11" s="148"/>
      <c r="W11" s="20"/>
      <c r="X11" s="20"/>
      <c r="Y11" s="20"/>
      <c r="Z11" s="20"/>
      <c r="AA11" s="20"/>
      <c r="AB11" s="18"/>
      <c r="AC11" s="20"/>
      <c r="AD11" s="20"/>
      <c r="AE11" s="149"/>
      <c r="AF11" s="20"/>
      <c r="AG11" s="20"/>
      <c r="AH11" s="20"/>
      <c r="AK11" s="20"/>
      <c r="AL11" s="20"/>
      <c r="AM11" s="20"/>
      <c r="AR11" s="20"/>
      <c r="AS11" s="20"/>
      <c r="AT11" s="20"/>
      <c r="AU11" s="20"/>
      <c r="AV11" s="20"/>
      <c r="AW11" s="20"/>
      <c r="AX11" s="18"/>
      <c r="AY11" s="20"/>
      <c r="AZ11" s="20"/>
      <c r="BA11" s="20"/>
    </row>
    <row r="12" spans="1:53">
      <c r="C12" s="20"/>
      <c r="D12" s="20"/>
      <c r="E12" s="20"/>
      <c r="F12" s="20"/>
      <c r="G12" s="20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18"/>
      <c r="T12" s="20"/>
      <c r="U12" s="20"/>
      <c r="V12" s="148"/>
      <c r="W12" s="20"/>
      <c r="X12" s="20"/>
      <c r="Y12" s="20"/>
      <c r="Z12" s="20"/>
      <c r="AA12" s="20"/>
      <c r="AB12" s="18"/>
      <c r="AC12" s="20"/>
      <c r="AD12" s="20"/>
      <c r="AE12" s="149"/>
      <c r="AF12" s="20"/>
      <c r="AG12" s="20"/>
      <c r="AH12" s="20"/>
      <c r="AK12" s="20"/>
      <c r="AL12" s="20"/>
      <c r="AM12" s="20"/>
      <c r="AR12" s="20"/>
      <c r="AS12" s="20"/>
      <c r="AT12" s="20"/>
      <c r="AU12" s="20"/>
      <c r="AV12" s="20"/>
      <c r="AW12" s="20"/>
      <c r="AX12" s="18"/>
      <c r="AY12" s="20"/>
      <c r="AZ12" s="20"/>
      <c r="BA12" s="20"/>
    </row>
    <row r="13" spans="1:53">
      <c r="C13" s="20"/>
      <c r="D13" s="20"/>
      <c r="E13" s="20"/>
      <c r="F13" s="20"/>
      <c r="G13" s="20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8"/>
      <c r="T13" s="20"/>
      <c r="U13" s="20"/>
      <c r="V13" s="148"/>
      <c r="W13" s="20"/>
      <c r="X13" s="20"/>
      <c r="Y13" s="20"/>
      <c r="Z13" s="20"/>
      <c r="AA13" s="20"/>
      <c r="AB13" s="18"/>
      <c r="AC13" s="20"/>
      <c r="AD13" s="20"/>
      <c r="AE13" s="149"/>
      <c r="AF13" s="20"/>
      <c r="AG13" s="20"/>
      <c r="AH13" s="20"/>
      <c r="AK13" s="20"/>
      <c r="AL13" s="20"/>
      <c r="AM13" s="20"/>
      <c r="AR13" s="20"/>
      <c r="AS13" s="20"/>
      <c r="AT13" s="20"/>
      <c r="AU13" s="20"/>
      <c r="AV13" s="20"/>
      <c r="AW13" s="20"/>
      <c r="AX13" s="18"/>
      <c r="AY13" s="20"/>
      <c r="AZ13" s="20"/>
      <c r="BA13" s="20"/>
    </row>
    <row r="14" spans="1:53">
      <c r="C14" s="20"/>
      <c r="D14" s="20"/>
      <c r="E14" s="20"/>
      <c r="F14" s="20"/>
      <c r="G14" s="20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18"/>
      <c r="T14" s="20"/>
      <c r="U14" s="20"/>
      <c r="V14" s="148"/>
      <c r="W14" s="20"/>
      <c r="X14" s="20"/>
      <c r="Y14" s="20"/>
      <c r="Z14" s="20"/>
      <c r="AA14" s="20"/>
      <c r="AB14" s="18"/>
      <c r="AC14" s="20"/>
      <c r="AD14" s="20"/>
      <c r="AE14" s="149"/>
      <c r="AF14" s="20"/>
      <c r="AG14" s="20"/>
      <c r="AH14" s="20"/>
      <c r="AK14" s="20"/>
      <c r="AL14" s="20"/>
      <c r="AM14" s="20"/>
      <c r="AR14" s="20"/>
      <c r="AS14" s="20"/>
      <c r="AT14" s="20"/>
      <c r="AU14" s="20"/>
      <c r="AV14" s="20"/>
      <c r="AW14" s="20"/>
      <c r="AX14" s="18"/>
      <c r="AY14" s="20"/>
      <c r="AZ14" s="20"/>
      <c r="BA14" s="20"/>
    </row>
    <row r="15" spans="1:53">
      <c r="C15" s="20"/>
      <c r="D15" s="20"/>
      <c r="E15" s="20"/>
      <c r="F15" s="20"/>
      <c r="G15" s="20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18"/>
      <c r="T15" s="20"/>
      <c r="U15" s="20"/>
      <c r="V15" s="148"/>
      <c r="W15" s="20"/>
      <c r="X15" s="20"/>
      <c r="Y15" s="20"/>
      <c r="Z15" s="20"/>
      <c r="AA15" s="20"/>
      <c r="AB15" s="18"/>
      <c r="AC15" s="20"/>
      <c r="AD15" s="20"/>
      <c r="AE15" s="149"/>
      <c r="AF15" s="20"/>
      <c r="AG15" s="20"/>
      <c r="AH15" s="20"/>
      <c r="AK15" s="20"/>
      <c r="AL15" s="20"/>
      <c r="AM15" s="20"/>
      <c r="AR15" s="20"/>
      <c r="AS15" s="20"/>
      <c r="AT15" s="20"/>
      <c r="AU15" s="20"/>
      <c r="AV15" s="20"/>
      <c r="AW15" s="20"/>
      <c r="AX15" s="18"/>
      <c r="AY15" s="20"/>
      <c r="AZ15" s="20"/>
      <c r="BA15" s="20"/>
    </row>
    <row r="16" spans="1:53">
      <c r="C16" s="20"/>
      <c r="D16" s="20"/>
      <c r="E16" s="20"/>
      <c r="F16" s="20"/>
      <c r="G16" s="20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18"/>
      <c r="T16" s="20"/>
      <c r="U16" s="20"/>
      <c r="V16" s="148"/>
      <c r="W16" s="20"/>
      <c r="X16" s="20"/>
      <c r="Y16" s="20"/>
      <c r="Z16" s="20"/>
      <c r="AA16" s="20"/>
      <c r="AB16" s="18"/>
      <c r="AC16" s="20"/>
      <c r="AD16" s="20"/>
      <c r="AE16" s="149"/>
      <c r="AF16" s="20"/>
      <c r="AG16" s="20"/>
      <c r="AH16" s="20"/>
      <c r="AK16" s="20"/>
      <c r="AL16" s="20"/>
      <c r="AM16" s="20"/>
      <c r="AR16" s="20"/>
      <c r="AS16" s="20"/>
      <c r="AT16" s="20"/>
      <c r="AU16" s="20"/>
      <c r="AV16" s="20"/>
      <c r="AW16" s="20"/>
      <c r="AX16" s="18"/>
      <c r="AY16" s="20"/>
      <c r="AZ16" s="20"/>
      <c r="BA16" s="20"/>
    </row>
    <row r="17" spans="3:53">
      <c r="C17" s="20"/>
      <c r="D17" s="20"/>
      <c r="E17" s="20"/>
      <c r="F17" s="20"/>
      <c r="G17" s="20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18"/>
      <c r="T17" s="20"/>
      <c r="U17" s="20"/>
      <c r="V17" s="148"/>
      <c r="W17" s="20"/>
      <c r="X17" s="20"/>
      <c r="Y17" s="20"/>
      <c r="Z17" s="20"/>
      <c r="AA17" s="20"/>
      <c r="AB17" s="18"/>
      <c r="AC17" s="20"/>
      <c r="AD17" s="20"/>
      <c r="AE17" s="149"/>
      <c r="AF17" s="20"/>
      <c r="AG17" s="20"/>
      <c r="AH17" s="20"/>
      <c r="AK17" s="20"/>
      <c r="AL17" s="20"/>
      <c r="AM17" s="20"/>
      <c r="AR17" s="20"/>
      <c r="AS17" s="20"/>
      <c r="AT17" s="20"/>
      <c r="AU17" s="20"/>
      <c r="AV17" s="20"/>
      <c r="AW17" s="20"/>
      <c r="AX17" s="18"/>
      <c r="AY17" s="20"/>
      <c r="AZ17" s="20"/>
      <c r="BA17" s="20"/>
    </row>
    <row r="18" spans="3:53">
      <c r="C18" s="20"/>
      <c r="D18" s="20"/>
      <c r="E18" s="20"/>
      <c r="F18" s="20"/>
      <c r="G18" s="20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18"/>
      <c r="T18" s="20"/>
      <c r="U18" s="20"/>
      <c r="V18" s="148"/>
      <c r="W18" s="20"/>
      <c r="X18" s="20"/>
      <c r="Y18" s="20"/>
      <c r="Z18" s="20"/>
      <c r="AA18" s="20"/>
      <c r="AB18" s="18"/>
      <c r="AC18" s="20"/>
      <c r="AD18" s="20"/>
      <c r="AE18" s="149"/>
      <c r="AF18" s="20"/>
      <c r="AG18" s="20"/>
      <c r="AH18" s="20"/>
      <c r="AK18" s="20"/>
      <c r="AL18" s="20"/>
      <c r="AM18" s="20"/>
      <c r="AR18" s="20"/>
      <c r="AS18" s="20"/>
      <c r="AT18" s="20"/>
      <c r="AU18" s="20"/>
      <c r="AV18" s="20"/>
      <c r="AW18" s="20"/>
      <c r="AX18" s="18"/>
      <c r="AY18" s="20"/>
      <c r="AZ18" s="20"/>
      <c r="BA18" s="20"/>
    </row>
    <row r="19" spans="3:53">
      <c r="C19" s="20"/>
      <c r="D19" s="20"/>
      <c r="E19" s="20"/>
      <c r="F19" s="20"/>
      <c r="G19" s="20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148"/>
      <c r="W19" s="20"/>
      <c r="X19" s="20"/>
      <c r="Y19" s="20"/>
      <c r="Z19" s="20"/>
      <c r="AA19" s="20"/>
      <c r="AB19" s="18"/>
      <c r="AC19" s="20"/>
      <c r="AD19" s="20"/>
      <c r="AE19" s="149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3:53">
      <c r="D20" s="20"/>
      <c r="G20" s="20"/>
      <c r="I20" s="18"/>
      <c r="J20" s="18"/>
      <c r="K20" s="20"/>
      <c r="L20" s="20"/>
      <c r="M20" s="20"/>
      <c r="Q20" s="20"/>
      <c r="R20" s="20"/>
      <c r="S20" s="18"/>
      <c r="U20" s="20"/>
      <c r="W20" s="20"/>
      <c r="X20" s="20"/>
      <c r="AB20" s="18"/>
      <c r="AC20" s="20"/>
      <c r="AE20" s="150"/>
      <c r="AG20" s="20"/>
      <c r="AH20" s="20"/>
      <c r="AK20" s="20"/>
      <c r="AM20" s="20"/>
      <c r="AX20" s="18"/>
      <c r="AY20" s="20"/>
    </row>
    <row r="21" spans="3:53">
      <c r="D21" s="4"/>
      <c r="S21" s="18"/>
      <c r="AE21" s="150"/>
    </row>
    <row r="22" spans="3:53">
      <c r="D22" s="4"/>
      <c r="S22" s="18"/>
      <c r="AE22" s="150"/>
    </row>
    <row r="23" spans="3:53">
      <c r="D23" s="4"/>
      <c r="AE23" s="150"/>
    </row>
    <row r="24" spans="3:53">
      <c r="AE24" s="150"/>
    </row>
    <row r="25" spans="3:53">
      <c r="AE25" s="150"/>
    </row>
    <row r="26" spans="3:53">
      <c r="AE26" s="150"/>
    </row>
    <row r="27" spans="3:53">
      <c r="AE27" s="150"/>
    </row>
    <row r="28" spans="3:53">
      <c r="AE28" s="150"/>
    </row>
    <row r="29" spans="3:53">
      <c r="AE29" s="150"/>
    </row>
    <row r="30" spans="3:53">
      <c r="AE30" s="150"/>
    </row>
    <row r="31" spans="3:53">
      <c r="AE31" s="150"/>
    </row>
    <row r="32" spans="3:53">
      <c r="AE32" s="150"/>
    </row>
    <row r="33" spans="31:31">
      <c r="AE33" s="150"/>
    </row>
    <row r="34" spans="31:31">
      <c r="AE34" s="150"/>
    </row>
    <row r="35" spans="31:31">
      <c r="AE35" s="150"/>
    </row>
    <row r="36" spans="31:31">
      <c r="AE36" s="150"/>
    </row>
    <row r="37" spans="31:31">
      <c r="AE37" s="150"/>
    </row>
    <row r="38" spans="31:31">
      <c r="AE38" s="150"/>
    </row>
    <row r="39" spans="31:31">
      <c r="AE39" s="150"/>
    </row>
    <row r="40" spans="31:31">
      <c r="AE40" s="150"/>
    </row>
    <row r="41" spans="31:31">
      <c r="AE41" s="150"/>
    </row>
    <row r="42" spans="31:31">
      <c r="AE42" s="150"/>
    </row>
    <row r="43" spans="31:31">
      <c r="AE43" s="150"/>
    </row>
    <row r="44" spans="31:31">
      <c r="AE44" s="150"/>
    </row>
    <row r="45" spans="31:31">
      <c r="AE45" s="150"/>
    </row>
    <row r="46" spans="31:31">
      <c r="AE46" s="150"/>
    </row>
    <row r="47" spans="31:31">
      <c r="AE47" s="150"/>
    </row>
    <row r="48" spans="31:31">
      <c r="AE48" s="150"/>
    </row>
    <row r="49" spans="31:31">
      <c r="AE49" s="150"/>
    </row>
    <row r="50" spans="31:31">
      <c r="AE50" s="150"/>
    </row>
    <row r="51" spans="31:31">
      <c r="AE51" s="150"/>
    </row>
    <row r="52" spans="31:31">
      <c r="AE52" s="150"/>
    </row>
    <row r="53" spans="31:31">
      <c r="AE53" s="150"/>
    </row>
    <row r="54" spans="31:31">
      <c r="AE54" s="150"/>
    </row>
    <row r="55" spans="31:31">
      <c r="AE55" s="150"/>
    </row>
    <row r="56" spans="31:31">
      <c r="AE56" s="150"/>
    </row>
    <row r="57" spans="31:31">
      <c r="AE57" s="150"/>
    </row>
    <row r="58" spans="31:31">
      <c r="AE58" s="150"/>
    </row>
    <row r="59" spans="31:31">
      <c r="AE59" s="150"/>
    </row>
    <row r="60" spans="31:31">
      <c r="AE60" s="150"/>
    </row>
    <row r="61" spans="31:31">
      <c r="AE61" s="150"/>
    </row>
    <row r="62" spans="31:31">
      <c r="AE62" s="150"/>
    </row>
    <row r="63" spans="31:31">
      <c r="AE63" s="150"/>
    </row>
    <row r="64" spans="31:31">
      <c r="AE64" s="150"/>
    </row>
    <row r="65" spans="31:31">
      <c r="AE65" s="150"/>
    </row>
    <row r="66" spans="31:31">
      <c r="AE66" s="150"/>
    </row>
    <row r="67" spans="31:31">
      <c r="AE67" s="150"/>
    </row>
    <row r="68" spans="31:31">
      <c r="AE68" s="150"/>
    </row>
    <row r="69" spans="31:31">
      <c r="AE69" s="150"/>
    </row>
    <row r="70" spans="31:31">
      <c r="AE70" s="150"/>
    </row>
    <row r="71" spans="31:31">
      <c r="AE71" s="150"/>
    </row>
    <row r="72" spans="31:31">
      <c r="AE72" s="150"/>
    </row>
    <row r="73" spans="31:31">
      <c r="AE73" s="150"/>
    </row>
    <row r="74" spans="31:31">
      <c r="AE74" s="150"/>
    </row>
    <row r="75" spans="31:31">
      <c r="AE75" s="150"/>
    </row>
    <row r="76" spans="31:31">
      <c r="AE76" s="150"/>
    </row>
    <row r="77" spans="31:31">
      <c r="AE77" s="150"/>
    </row>
    <row r="78" spans="31:31">
      <c r="AE78" s="150"/>
    </row>
    <row r="79" spans="31:31">
      <c r="AE79" s="150"/>
    </row>
    <row r="80" spans="31:31">
      <c r="AE80" s="150"/>
    </row>
    <row r="81" spans="31:31">
      <c r="AE81" s="150"/>
    </row>
    <row r="82" spans="31:31">
      <c r="AE82" s="150"/>
    </row>
    <row r="83" spans="31:31">
      <c r="AE83" s="150"/>
    </row>
    <row r="84" spans="31:31">
      <c r="AE84" s="150"/>
    </row>
    <row r="85" spans="31:31">
      <c r="AE85" s="150"/>
    </row>
    <row r="86" spans="31:31">
      <c r="AE86" s="150"/>
    </row>
    <row r="87" spans="31:31">
      <c r="AE87" s="150"/>
    </row>
    <row r="88" spans="31:31">
      <c r="AE88" s="150"/>
    </row>
    <row r="89" spans="31:31">
      <c r="AE89" s="150"/>
    </row>
    <row r="90" spans="31:31">
      <c r="AE90" s="150"/>
    </row>
    <row r="91" spans="31:31">
      <c r="AE91" s="150"/>
    </row>
    <row r="92" spans="31:31">
      <c r="AE92" s="150"/>
    </row>
    <row r="93" spans="31:31">
      <c r="AE93" s="150"/>
    </row>
    <row r="94" spans="31:31">
      <c r="AE94" s="150"/>
    </row>
    <row r="95" spans="31:31">
      <c r="AE95" s="150"/>
    </row>
    <row r="96" spans="31:31">
      <c r="AE96" s="150"/>
    </row>
    <row r="97" spans="31:31">
      <c r="AE97" s="150"/>
    </row>
    <row r="98" spans="31:31">
      <c r="AE98" s="150"/>
    </row>
    <row r="99" spans="31:31">
      <c r="AE99" s="150"/>
    </row>
    <row r="100" spans="31:31">
      <c r="AE100" s="150"/>
    </row>
    <row r="101" spans="31:31">
      <c r="AE101" s="150"/>
    </row>
    <row r="102" spans="31:31">
      <c r="AE102" s="150"/>
    </row>
    <row r="103" spans="31:31">
      <c r="AE103" s="150"/>
    </row>
    <row r="104" spans="31:31">
      <c r="AE104" s="150"/>
    </row>
    <row r="105" spans="31:31">
      <c r="AE105" s="150"/>
    </row>
    <row r="106" spans="31:31">
      <c r="AE106" s="150"/>
    </row>
    <row r="107" spans="31:31">
      <c r="AE107" s="150"/>
    </row>
    <row r="108" spans="31:31">
      <c r="AE108" s="150"/>
    </row>
    <row r="109" spans="31:31">
      <c r="AE109" s="150"/>
    </row>
    <row r="110" spans="31:31">
      <c r="AE110" s="150"/>
    </row>
    <row r="111" spans="31:31">
      <c r="AE111" s="150"/>
    </row>
    <row r="112" spans="31:31">
      <c r="AE112" s="150"/>
    </row>
    <row r="113" spans="31:31">
      <c r="AE113" s="150"/>
    </row>
    <row r="114" spans="31:31">
      <c r="AE114" s="150"/>
    </row>
    <row r="115" spans="31:31">
      <c r="AE115" s="150"/>
    </row>
    <row r="116" spans="31:31">
      <c r="AE116" s="150"/>
    </row>
    <row r="117" spans="31:31">
      <c r="AE117" s="150"/>
    </row>
    <row r="118" spans="31:31">
      <c r="AE118" s="150"/>
    </row>
    <row r="119" spans="31:31">
      <c r="AE119" s="150"/>
    </row>
    <row r="120" spans="31:31">
      <c r="AE120" s="150"/>
    </row>
    <row r="121" spans="31:31">
      <c r="AE121" s="150"/>
    </row>
    <row r="122" spans="31:31">
      <c r="AE122" s="150"/>
    </row>
    <row r="123" spans="31:31">
      <c r="AE123" s="150"/>
    </row>
    <row r="124" spans="31:31">
      <c r="AE124" s="150"/>
    </row>
    <row r="125" spans="31:31">
      <c r="AE125" s="150"/>
    </row>
    <row r="126" spans="31:31">
      <c r="AE126" s="150"/>
    </row>
    <row r="127" spans="31:31">
      <c r="AE127" s="150"/>
    </row>
    <row r="128" spans="31:31">
      <c r="AE128" s="150"/>
    </row>
    <row r="129" spans="31:31">
      <c r="AE129" s="150"/>
    </row>
    <row r="130" spans="31:31">
      <c r="AE130" s="150"/>
    </row>
    <row r="131" spans="31:31">
      <c r="AE131" s="150"/>
    </row>
    <row r="132" spans="31:31">
      <c r="AE132" s="150"/>
    </row>
    <row r="133" spans="31:31">
      <c r="AE133" s="150"/>
    </row>
    <row r="134" spans="31:31">
      <c r="AE134" s="150"/>
    </row>
    <row r="135" spans="31:31">
      <c r="AE135" s="150"/>
    </row>
    <row r="136" spans="31:31">
      <c r="AE136" s="150"/>
    </row>
    <row r="137" spans="31:31">
      <c r="AE137" s="150"/>
    </row>
    <row r="138" spans="31:31">
      <c r="AE138" s="150"/>
    </row>
    <row r="139" spans="31:31">
      <c r="AE139" s="150"/>
    </row>
    <row r="140" spans="31:31">
      <c r="AE140" s="150"/>
    </row>
    <row r="141" spans="31:31">
      <c r="AE141" s="150"/>
    </row>
    <row r="142" spans="31:31">
      <c r="AE142" s="150"/>
    </row>
    <row r="143" spans="31:31">
      <c r="AE143" s="150"/>
    </row>
    <row r="144" spans="31:31">
      <c r="AE144" s="150"/>
    </row>
    <row r="145" spans="31:31">
      <c r="AE145" s="150"/>
    </row>
    <row r="146" spans="31:31">
      <c r="AE146" s="150"/>
    </row>
    <row r="147" spans="31:31">
      <c r="AE147" s="150"/>
    </row>
    <row r="148" spans="31:31">
      <c r="AE148" s="150"/>
    </row>
    <row r="149" spans="31:31">
      <c r="AE149" s="150"/>
    </row>
    <row r="150" spans="31:31">
      <c r="AE150" s="150"/>
    </row>
    <row r="151" spans="31:31">
      <c r="AE151" s="150"/>
    </row>
    <row r="152" spans="31:31">
      <c r="AE152" s="150"/>
    </row>
    <row r="153" spans="31:31">
      <c r="AE153" s="150"/>
    </row>
    <row r="154" spans="31:31">
      <c r="AE154" s="150"/>
    </row>
    <row r="155" spans="31:31">
      <c r="AE155" s="150"/>
    </row>
    <row r="156" spans="31:31">
      <c r="AE156" s="150"/>
    </row>
    <row r="157" spans="31:31">
      <c r="AE157" s="150"/>
    </row>
    <row r="158" spans="31:31">
      <c r="AE158" s="150"/>
    </row>
    <row r="159" spans="31:31">
      <c r="AE159" s="150"/>
    </row>
    <row r="160" spans="31:31">
      <c r="AE160" s="150"/>
    </row>
    <row r="161" spans="31:31">
      <c r="AE161" s="150"/>
    </row>
    <row r="162" spans="31:31">
      <c r="AE162" s="150"/>
    </row>
    <row r="163" spans="31:31">
      <c r="AE163" s="150"/>
    </row>
    <row r="164" spans="31:31">
      <c r="AE164" s="150"/>
    </row>
    <row r="165" spans="31:31">
      <c r="AE165" s="150"/>
    </row>
    <row r="166" spans="31:31">
      <c r="AE166" s="150"/>
    </row>
    <row r="167" spans="31:31">
      <c r="AE167" s="150"/>
    </row>
    <row r="168" spans="31:31">
      <c r="AE168" s="150"/>
    </row>
    <row r="169" spans="31:31">
      <c r="AE169" s="150"/>
    </row>
    <row r="170" spans="31:31">
      <c r="AE170" s="150"/>
    </row>
    <row r="171" spans="31:31">
      <c r="AE171" s="150"/>
    </row>
    <row r="172" spans="31:31">
      <c r="AE172" s="150"/>
    </row>
    <row r="173" spans="31:31">
      <c r="AE173" s="150"/>
    </row>
    <row r="174" spans="31:31">
      <c r="AE174" s="150"/>
    </row>
    <row r="175" spans="31:31">
      <c r="AE175" s="150"/>
    </row>
    <row r="176" spans="31:31">
      <c r="AE176" s="150"/>
    </row>
    <row r="177" spans="31:31">
      <c r="AE177" s="150"/>
    </row>
    <row r="178" spans="31:31">
      <c r="AE178" s="150"/>
    </row>
    <row r="179" spans="31:31">
      <c r="AE179" s="150"/>
    </row>
    <row r="180" spans="31:31">
      <c r="AE180" s="150"/>
    </row>
    <row r="181" spans="31:31">
      <c r="AE181" s="150"/>
    </row>
    <row r="182" spans="31:31">
      <c r="AE182" s="150"/>
    </row>
    <row r="183" spans="31:31">
      <c r="AE183" s="150"/>
    </row>
    <row r="184" spans="31:31">
      <c r="AE184" s="150"/>
    </row>
    <row r="185" spans="31:31">
      <c r="AE185" s="150"/>
    </row>
    <row r="186" spans="31:31">
      <c r="AE186" s="150"/>
    </row>
    <row r="187" spans="31:31">
      <c r="AE187" s="150"/>
    </row>
    <row r="188" spans="31:31">
      <c r="AE188" s="150"/>
    </row>
    <row r="189" spans="31:31">
      <c r="AE189" s="150"/>
    </row>
    <row r="190" spans="31:31">
      <c r="AE190" s="150"/>
    </row>
    <row r="191" spans="31:31">
      <c r="AE191" s="150"/>
    </row>
    <row r="192" spans="31:31">
      <c r="AE192" s="150"/>
    </row>
    <row r="193" spans="31:31">
      <c r="AE193" s="150"/>
    </row>
    <row r="194" spans="31:31">
      <c r="AE194" s="150"/>
    </row>
    <row r="195" spans="31:31">
      <c r="AE195" s="150"/>
    </row>
    <row r="196" spans="31:31">
      <c r="AE196" s="150"/>
    </row>
    <row r="197" spans="31:31">
      <c r="AE197" s="150"/>
    </row>
    <row r="198" spans="31:31">
      <c r="AE198" s="150"/>
    </row>
    <row r="199" spans="31:31">
      <c r="AE199" s="150"/>
    </row>
    <row r="200" spans="31:31">
      <c r="AE200" s="150"/>
    </row>
    <row r="201" spans="31:31">
      <c r="AE201" s="150"/>
    </row>
    <row r="202" spans="31:31">
      <c r="AE202" s="150"/>
    </row>
    <row r="203" spans="31:31">
      <c r="AE203" s="150"/>
    </row>
    <row r="204" spans="31:31">
      <c r="AE204" s="150"/>
    </row>
    <row r="205" spans="31:31">
      <c r="AE205" s="150"/>
    </row>
    <row r="206" spans="31:31">
      <c r="AE206" s="150"/>
    </row>
    <row r="207" spans="31:31">
      <c r="AE207" s="150"/>
    </row>
    <row r="208" spans="31:31">
      <c r="AE208" s="150"/>
    </row>
    <row r="209" spans="31:31">
      <c r="AE209" s="150"/>
    </row>
    <row r="210" spans="31:31">
      <c r="AE210" s="150"/>
    </row>
    <row r="211" spans="31:31">
      <c r="AE211" s="150"/>
    </row>
    <row r="212" spans="31:31">
      <c r="AE212" s="150"/>
    </row>
    <row r="213" spans="31:31">
      <c r="AE213" s="150"/>
    </row>
    <row r="214" spans="31:31">
      <c r="AE214" s="150"/>
    </row>
    <row r="215" spans="31:31">
      <c r="AE215" s="150"/>
    </row>
    <row r="216" spans="31:31">
      <c r="AE216" s="150"/>
    </row>
    <row r="217" spans="31:31">
      <c r="AE217" s="150"/>
    </row>
    <row r="218" spans="31:31">
      <c r="AE218" s="150"/>
    </row>
    <row r="219" spans="31:31">
      <c r="AE219" s="150"/>
    </row>
    <row r="220" spans="31:31">
      <c r="AE220" s="150"/>
    </row>
    <row r="221" spans="31:31">
      <c r="AE221" s="150"/>
    </row>
    <row r="222" spans="31:31">
      <c r="AE222" s="150"/>
    </row>
    <row r="223" spans="31:31">
      <c r="AE223" s="150"/>
    </row>
    <row r="224" spans="31:31">
      <c r="AE224" s="150"/>
    </row>
    <row r="225" spans="31:31">
      <c r="AE225" s="150"/>
    </row>
    <row r="226" spans="31:31">
      <c r="AE226" s="150"/>
    </row>
    <row r="227" spans="31:31">
      <c r="AE227" s="150"/>
    </row>
    <row r="228" spans="31:31">
      <c r="AE228" s="150"/>
    </row>
    <row r="229" spans="31:31">
      <c r="AE229" s="150"/>
    </row>
    <row r="230" spans="31:31">
      <c r="AE230" s="150"/>
    </row>
    <row r="231" spans="31:31">
      <c r="AE231" s="150"/>
    </row>
    <row r="232" spans="31:31">
      <c r="AE232" s="150"/>
    </row>
    <row r="233" spans="31:31">
      <c r="AE233" s="150"/>
    </row>
    <row r="234" spans="31:31">
      <c r="AE234" s="150"/>
    </row>
    <row r="235" spans="31:31">
      <c r="AE235" s="150"/>
    </row>
    <row r="236" spans="31:31">
      <c r="AE236" s="150"/>
    </row>
    <row r="237" spans="31:31">
      <c r="AE237" s="150"/>
    </row>
    <row r="238" spans="31:31">
      <c r="AE238" s="150"/>
    </row>
    <row r="239" spans="31:31">
      <c r="AE239" s="150"/>
    </row>
    <row r="240" spans="31:31">
      <c r="AE240" s="150"/>
    </row>
    <row r="241" spans="31:31">
      <c r="AE241" s="150"/>
    </row>
    <row r="242" spans="31:31">
      <c r="AE242" s="150"/>
    </row>
    <row r="243" spans="31:31">
      <c r="AE243" s="150"/>
    </row>
    <row r="244" spans="31:31">
      <c r="AE244" s="150"/>
    </row>
    <row r="245" spans="31:31">
      <c r="AE245" s="150"/>
    </row>
    <row r="246" spans="31:31">
      <c r="AE246" s="150"/>
    </row>
    <row r="247" spans="31:31">
      <c r="AE247" s="150"/>
    </row>
    <row r="248" spans="31:31">
      <c r="AE248" s="150"/>
    </row>
    <row r="249" spans="31:31">
      <c r="AE249" s="150"/>
    </row>
    <row r="250" spans="31:31">
      <c r="AE250" s="150"/>
    </row>
    <row r="251" spans="31:31">
      <c r="AE251" s="150"/>
    </row>
    <row r="252" spans="31:31">
      <c r="AE252" s="150"/>
    </row>
    <row r="253" spans="31:31">
      <c r="AE253" s="150"/>
    </row>
    <row r="254" spans="31:31">
      <c r="AE254" s="150"/>
    </row>
    <row r="255" spans="31:31">
      <c r="AE255" s="150"/>
    </row>
    <row r="256" spans="31:31">
      <c r="AE256" s="150"/>
    </row>
    <row r="257" spans="31:31">
      <c r="AE257" s="150"/>
    </row>
    <row r="258" spans="31:31">
      <c r="AE258" s="150"/>
    </row>
    <row r="259" spans="31:31">
      <c r="AE259" s="150"/>
    </row>
    <row r="260" spans="31:31">
      <c r="AE260" s="150"/>
    </row>
    <row r="261" spans="31:31">
      <c r="AE261" s="150"/>
    </row>
    <row r="262" spans="31:31">
      <c r="AE262" s="150"/>
    </row>
    <row r="263" spans="31:31">
      <c r="AE263" s="150"/>
    </row>
    <row r="264" spans="31:31">
      <c r="AE264" s="150"/>
    </row>
    <row r="265" spans="31:31">
      <c r="AE265" s="150"/>
    </row>
    <row r="266" spans="31:31">
      <c r="AE266" s="150"/>
    </row>
    <row r="267" spans="31:31">
      <c r="AE267" s="150"/>
    </row>
    <row r="268" spans="31:31">
      <c r="AE268" s="150"/>
    </row>
    <row r="269" spans="31:31">
      <c r="AE269" s="150"/>
    </row>
    <row r="270" spans="31:31">
      <c r="AE270" s="150"/>
    </row>
    <row r="271" spans="31:31">
      <c r="AE271" s="150"/>
    </row>
    <row r="272" spans="31:31">
      <c r="AE272" s="150"/>
    </row>
    <row r="273" spans="31:31">
      <c r="AE273" s="150"/>
    </row>
    <row r="274" spans="31:31">
      <c r="AE274" s="150"/>
    </row>
    <row r="275" spans="31:31">
      <c r="AE275" s="150"/>
    </row>
    <row r="276" spans="31:31">
      <c r="AE276" s="150"/>
    </row>
    <row r="277" spans="31:31">
      <c r="AE277" s="150"/>
    </row>
    <row r="278" spans="31:31">
      <c r="AE278" s="150"/>
    </row>
    <row r="279" spans="31:31">
      <c r="AE279" s="150"/>
    </row>
    <row r="280" spans="31:31">
      <c r="AE280" s="150"/>
    </row>
    <row r="281" spans="31:31">
      <c r="AE281" s="150"/>
    </row>
    <row r="282" spans="31:31">
      <c r="AE282" s="150"/>
    </row>
    <row r="283" spans="31:31">
      <c r="AE283" s="150"/>
    </row>
    <row r="284" spans="31:31">
      <c r="AE284" s="150"/>
    </row>
    <row r="285" spans="31:31">
      <c r="AE285" s="150"/>
    </row>
    <row r="286" spans="31:31">
      <c r="AE286" s="150"/>
    </row>
    <row r="287" spans="31:31">
      <c r="AE287" s="150"/>
    </row>
    <row r="288" spans="31:31">
      <c r="AE288" s="150"/>
    </row>
    <row r="289" spans="31:31">
      <c r="AE289" s="150"/>
    </row>
    <row r="290" spans="31:31">
      <c r="AE290" s="150"/>
    </row>
    <row r="291" spans="31:31">
      <c r="AE291" s="150"/>
    </row>
    <row r="292" spans="31:31">
      <c r="AE292" s="150"/>
    </row>
    <row r="293" spans="31:31">
      <c r="AE293" s="150"/>
    </row>
    <row r="294" spans="31:31">
      <c r="AE294" s="150"/>
    </row>
    <row r="295" spans="31:31">
      <c r="AE295" s="150"/>
    </row>
    <row r="296" spans="31:31">
      <c r="AE296" s="150"/>
    </row>
    <row r="297" spans="31:31">
      <c r="AE297" s="150"/>
    </row>
    <row r="298" spans="31:31">
      <c r="AE298" s="150"/>
    </row>
    <row r="299" spans="31:31">
      <c r="AE299" s="150"/>
    </row>
    <row r="300" spans="31:31">
      <c r="AE300" s="150"/>
    </row>
    <row r="301" spans="31:31">
      <c r="AE301" s="150"/>
    </row>
    <row r="302" spans="31:31">
      <c r="AE302" s="150"/>
    </row>
    <row r="303" spans="31:31">
      <c r="AE303" s="150"/>
    </row>
    <row r="304" spans="31:31">
      <c r="AE304" s="150"/>
    </row>
    <row r="305" spans="31:31">
      <c r="AE305" s="150"/>
    </row>
    <row r="306" spans="31:31">
      <c r="AE306" s="150"/>
    </row>
    <row r="307" spans="31:31">
      <c r="AE307" s="150"/>
    </row>
    <row r="308" spans="31:31">
      <c r="AE308" s="150"/>
    </row>
    <row r="309" spans="31:31">
      <c r="AE309" s="150"/>
    </row>
    <row r="310" spans="31:31">
      <c r="AE310" s="150"/>
    </row>
    <row r="311" spans="31:31">
      <c r="AE311" s="150"/>
    </row>
    <row r="312" spans="31:31">
      <c r="AE312" s="150"/>
    </row>
    <row r="313" spans="31:31">
      <c r="AE313" s="150"/>
    </row>
    <row r="314" spans="31:31">
      <c r="AE314" s="150"/>
    </row>
    <row r="315" spans="31:31">
      <c r="AE315" s="150"/>
    </row>
    <row r="316" spans="31:31">
      <c r="AE316" s="150"/>
    </row>
    <row r="317" spans="31:31">
      <c r="AE317" s="150"/>
    </row>
    <row r="318" spans="31:31">
      <c r="AE318" s="150"/>
    </row>
    <row r="319" spans="31:31">
      <c r="AE319" s="150"/>
    </row>
    <row r="320" spans="31:31">
      <c r="AE320" s="150"/>
    </row>
    <row r="321" spans="31:31">
      <c r="AE321" s="150"/>
    </row>
    <row r="322" spans="31:31">
      <c r="AE322" s="150"/>
    </row>
    <row r="323" spans="31:31">
      <c r="AE323" s="150"/>
    </row>
    <row r="324" spans="31:31">
      <c r="AE324" s="150"/>
    </row>
    <row r="325" spans="31:31">
      <c r="AE325" s="150"/>
    </row>
    <row r="326" spans="31:31">
      <c r="AE326" s="150"/>
    </row>
    <row r="327" spans="31:31">
      <c r="AE327" s="150"/>
    </row>
    <row r="328" spans="31:31">
      <c r="AE328" s="150"/>
    </row>
    <row r="329" spans="31:31">
      <c r="AE329" s="150"/>
    </row>
    <row r="330" spans="31:31">
      <c r="AE330" s="150"/>
    </row>
    <row r="331" spans="31:31">
      <c r="AE331" s="150"/>
    </row>
    <row r="332" spans="31:31">
      <c r="AE332" s="150"/>
    </row>
    <row r="333" spans="31:31">
      <c r="AE333" s="150"/>
    </row>
    <row r="334" spans="31:31">
      <c r="AE334" s="150"/>
    </row>
    <row r="335" spans="31:31">
      <c r="AE335" s="150"/>
    </row>
    <row r="336" spans="31:31">
      <c r="AE336" s="150"/>
    </row>
    <row r="337" spans="31:31">
      <c r="AE337" s="150"/>
    </row>
    <row r="338" spans="31:31">
      <c r="AE338" s="150"/>
    </row>
    <row r="339" spans="31:31">
      <c r="AE339" s="150"/>
    </row>
    <row r="340" spans="31:31">
      <c r="AE340" s="150"/>
    </row>
    <row r="341" spans="31:31">
      <c r="AE341" s="150"/>
    </row>
    <row r="342" spans="31:31">
      <c r="AE342" s="150"/>
    </row>
    <row r="343" spans="31:31">
      <c r="AE343" s="150"/>
    </row>
    <row r="344" spans="31:31">
      <c r="AE344" s="150"/>
    </row>
    <row r="345" spans="31:31">
      <c r="AE345" s="150"/>
    </row>
    <row r="346" spans="31:31">
      <c r="AE346" s="150"/>
    </row>
    <row r="347" spans="31:31">
      <c r="AE347" s="150"/>
    </row>
    <row r="348" spans="31:31">
      <c r="AE348" s="150"/>
    </row>
    <row r="349" spans="31:31">
      <c r="AE349" s="150"/>
    </row>
    <row r="350" spans="31:31">
      <c r="AE350" s="150"/>
    </row>
    <row r="351" spans="31:31">
      <c r="AE351" s="150"/>
    </row>
    <row r="352" spans="31:31">
      <c r="AE352" s="150"/>
    </row>
    <row r="353" spans="31:31">
      <c r="AE353" s="150"/>
    </row>
    <row r="354" spans="31:31">
      <c r="AE354" s="150"/>
    </row>
    <row r="355" spans="31:31">
      <c r="AE355" s="150"/>
    </row>
    <row r="356" spans="31:31">
      <c r="AE356" s="150"/>
    </row>
    <row r="357" spans="31:31">
      <c r="AE357" s="150"/>
    </row>
    <row r="358" spans="31:31">
      <c r="AE358" s="150"/>
    </row>
    <row r="359" spans="31:31">
      <c r="AE359" s="150"/>
    </row>
    <row r="360" spans="31:31">
      <c r="AE360" s="150"/>
    </row>
    <row r="361" spans="31:31">
      <c r="AE361" s="150"/>
    </row>
    <row r="362" spans="31:31">
      <c r="AE362" s="150"/>
    </row>
    <row r="363" spans="31:31">
      <c r="AE363" s="150"/>
    </row>
    <row r="364" spans="31:31">
      <c r="AE364" s="150"/>
    </row>
    <row r="365" spans="31:31">
      <c r="AE365" s="150"/>
    </row>
    <row r="366" spans="31:31">
      <c r="AE366" s="150"/>
    </row>
    <row r="367" spans="31:31">
      <c r="AE367" s="150"/>
    </row>
    <row r="368" spans="31:31">
      <c r="AE368" s="150"/>
    </row>
    <row r="369" spans="31:31">
      <c r="AE369" s="150"/>
    </row>
    <row r="370" spans="31:31">
      <c r="AE370" s="150"/>
    </row>
    <row r="371" spans="31:31">
      <c r="AE371" s="150"/>
    </row>
    <row r="372" spans="31:31">
      <c r="AE372" s="150"/>
    </row>
    <row r="373" spans="31:31">
      <c r="AE373" s="150"/>
    </row>
    <row r="374" spans="31:31">
      <c r="AE374" s="150"/>
    </row>
    <row r="375" spans="31:31">
      <c r="AE375" s="150"/>
    </row>
    <row r="376" spans="31:31">
      <c r="AE376" s="150"/>
    </row>
    <row r="377" spans="31:31">
      <c r="AE377" s="150"/>
    </row>
    <row r="378" spans="31:31">
      <c r="AE378" s="150"/>
    </row>
    <row r="379" spans="31:31">
      <c r="AE379" s="150"/>
    </row>
    <row r="380" spans="31:31">
      <c r="AE380" s="150"/>
    </row>
    <row r="381" spans="31:31">
      <c r="AE381" s="150"/>
    </row>
    <row r="382" spans="31:31">
      <c r="AE382" s="150"/>
    </row>
    <row r="383" spans="31:31">
      <c r="AE383" s="150"/>
    </row>
    <row r="384" spans="31:31">
      <c r="AE384" s="150"/>
    </row>
    <row r="385" spans="31:31">
      <c r="AE385" s="150"/>
    </row>
    <row r="386" spans="31:31">
      <c r="AE386" s="150"/>
    </row>
    <row r="387" spans="31:31">
      <c r="AE387" s="150"/>
    </row>
    <row r="388" spans="31:31">
      <c r="AE388" s="150"/>
    </row>
    <row r="389" spans="31:31">
      <c r="AE389" s="150"/>
    </row>
    <row r="390" spans="31:31">
      <c r="AE390" s="150"/>
    </row>
    <row r="391" spans="31:31">
      <c r="AE391" s="150"/>
    </row>
    <row r="392" spans="31:31">
      <c r="AE392" s="150"/>
    </row>
    <row r="393" spans="31:31">
      <c r="AE393" s="150"/>
    </row>
    <row r="394" spans="31:31">
      <c r="AE394" s="150"/>
    </row>
    <row r="395" spans="31:31">
      <c r="AE395" s="150"/>
    </row>
    <row r="396" spans="31:31">
      <c r="AE396" s="150"/>
    </row>
    <row r="397" spans="31:31">
      <c r="AE397" s="150"/>
    </row>
    <row r="398" spans="31:31">
      <c r="AE398" s="150"/>
    </row>
    <row r="399" spans="31:31">
      <c r="AE399" s="150"/>
    </row>
    <row r="400" spans="31:31">
      <c r="AE400" s="150"/>
    </row>
    <row r="401" spans="31:31">
      <c r="AE401" s="150"/>
    </row>
    <row r="402" spans="31:31">
      <c r="AE402" s="150"/>
    </row>
    <row r="403" spans="31:31">
      <c r="AE403" s="150"/>
    </row>
    <row r="404" spans="31:31">
      <c r="AE404" s="150"/>
    </row>
    <row r="405" spans="31:31">
      <c r="AE405" s="150"/>
    </row>
    <row r="406" spans="31:31">
      <c r="AE406" s="150"/>
    </row>
    <row r="407" spans="31:31">
      <c r="AE407" s="150"/>
    </row>
    <row r="408" spans="31:31">
      <c r="AE408" s="150"/>
    </row>
    <row r="409" spans="31:31">
      <c r="AE409" s="150"/>
    </row>
    <row r="410" spans="31:31">
      <c r="AE410" s="150"/>
    </row>
    <row r="411" spans="31:31">
      <c r="AE411" s="150"/>
    </row>
    <row r="412" spans="31:31">
      <c r="AE412" s="150"/>
    </row>
    <row r="413" spans="31:31">
      <c r="AE413" s="150"/>
    </row>
    <row r="414" spans="31:31">
      <c r="AE414" s="150"/>
    </row>
    <row r="415" spans="31:31">
      <c r="AE415" s="150"/>
    </row>
    <row r="416" spans="31:31">
      <c r="AE416" s="150"/>
    </row>
    <row r="417" spans="31:31">
      <c r="AE417" s="150"/>
    </row>
    <row r="418" spans="31:31">
      <c r="AE418" s="150"/>
    </row>
    <row r="419" spans="31:31">
      <c r="AE419" s="150"/>
    </row>
    <row r="420" spans="31:31">
      <c r="AE420" s="150"/>
    </row>
    <row r="421" spans="31:31">
      <c r="AE421" s="150"/>
    </row>
    <row r="422" spans="31:31">
      <c r="AE422" s="150"/>
    </row>
    <row r="423" spans="31:31">
      <c r="AE423" s="150"/>
    </row>
    <row r="424" spans="31:31">
      <c r="AE424" s="150"/>
    </row>
    <row r="425" spans="31:31">
      <c r="AE425" s="150"/>
    </row>
    <row r="426" spans="31:31">
      <c r="AE426" s="150"/>
    </row>
    <row r="427" spans="31:31">
      <c r="AE427" s="150"/>
    </row>
    <row r="428" spans="31:31">
      <c r="AE428" s="150"/>
    </row>
    <row r="429" spans="31:31">
      <c r="AE429" s="150"/>
    </row>
    <row r="430" spans="31:31">
      <c r="AE430" s="150"/>
    </row>
    <row r="431" spans="31:31">
      <c r="AE431" s="150"/>
    </row>
    <row r="432" spans="31:31">
      <c r="AE432" s="150"/>
    </row>
    <row r="433" spans="31:31">
      <c r="AE433" s="150"/>
    </row>
    <row r="434" spans="31:31">
      <c r="AE434" s="150"/>
    </row>
    <row r="435" spans="31:31">
      <c r="AE435" s="150"/>
    </row>
    <row r="436" spans="31:31">
      <c r="AE436" s="150"/>
    </row>
    <row r="437" spans="31:31">
      <c r="AE437" s="150"/>
    </row>
    <row r="438" spans="31:31">
      <c r="AE438" s="150"/>
    </row>
    <row r="439" spans="31:31">
      <c r="AE439" s="150"/>
    </row>
    <row r="440" spans="31:31">
      <c r="AE440" s="150"/>
    </row>
    <row r="441" spans="31:31">
      <c r="AE441" s="150"/>
    </row>
    <row r="442" spans="31:31">
      <c r="AE442" s="150"/>
    </row>
    <row r="443" spans="31:31">
      <c r="AE443" s="150"/>
    </row>
    <row r="444" spans="31:31">
      <c r="AE444" s="150"/>
    </row>
    <row r="445" spans="31:31">
      <c r="AE445" s="150"/>
    </row>
    <row r="446" spans="31:31">
      <c r="AE446" s="150"/>
    </row>
    <row r="447" spans="31:31">
      <c r="AE447" s="150"/>
    </row>
    <row r="448" spans="31:31">
      <c r="AE448" s="150"/>
    </row>
    <row r="449" spans="31:31">
      <c r="AE449" s="150"/>
    </row>
    <row r="450" spans="31:31">
      <c r="AE450" s="150"/>
    </row>
    <row r="451" spans="31:31">
      <c r="AE451" s="150"/>
    </row>
    <row r="452" spans="31:31">
      <c r="AE452" s="150"/>
    </row>
    <row r="453" spans="31:31">
      <c r="AE453" s="150"/>
    </row>
    <row r="454" spans="31:31">
      <c r="AE454" s="150"/>
    </row>
    <row r="455" spans="31:31">
      <c r="AE455" s="150"/>
    </row>
    <row r="456" spans="31:31">
      <c r="AE456" s="150"/>
    </row>
    <row r="457" spans="31:31">
      <c r="AE457" s="150"/>
    </row>
    <row r="458" spans="31:31">
      <c r="AE458" s="150"/>
    </row>
    <row r="459" spans="31:31">
      <c r="AE459" s="150"/>
    </row>
    <row r="460" spans="31:31">
      <c r="AE460" s="150"/>
    </row>
    <row r="461" spans="31:31">
      <c r="AE461" s="150"/>
    </row>
    <row r="462" spans="31:31">
      <c r="AE462" s="150"/>
    </row>
    <row r="463" spans="31:31">
      <c r="AE463" s="150"/>
    </row>
    <row r="464" spans="31:31">
      <c r="AE464" s="150"/>
    </row>
    <row r="465" spans="31:31">
      <c r="AE465" s="150"/>
    </row>
    <row r="466" spans="31:31">
      <c r="AE466" s="150"/>
    </row>
    <row r="467" spans="31:31">
      <c r="AE467" s="150"/>
    </row>
    <row r="468" spans="31:31">
      <c r="AE468" s="150"/>
    </row>
    <row r="469" spans="31:31">
      <c r="AE469" s="150"/>
    </row>
    <row r="470" spans="31:31">
      <c r="AE470" s="150"/>
    </row>
    <row r="471" spans="31:31">
      <c r="AE471" s="150"/>
    </row>
    <row r="472" spans="31:31">
      <c r="AE472" s="150"/>
    </row>
    <row r="473" spans="31:31">
      <c r="AE473" s="150"/>
    </row>
    <row r="474" spans="31:31">
      <c r="AE474" s="150"/>
    </row>
    <row r="475" spans="31:31">
      <c r="AE475" s="150"/>
    </row>
    <row r="476" spans="31:31">
      <c r="AE476" s="150"/>
    </row>
    <row r="477" spans="31:31">
      <c r="AE477" s="150"/>
    </row>
    <row r="478" spans="31:31">
      <c r="AE478" s="150"/>
    </row>
    <row r="479" spans="31:31">
      <c r="AE479" s="150"/>
    </row>
    <row r="480" spans="31:31">
      <c r="AE480" s="150"/>
    </row>
    <row r="481" spans="31:31">
      <c r="AE481" s="150"/>
    </row>
    <row r="482" spans="31:31">
      <c r="AE482" s="150"/>
    </row>
    <row r="483" spans="31:31">
      <c r="AE483" s="150"/>
    </row>
    <row r="484" spans="31:31">
      <c r="AE484" s="150"/>
    </row>
    <row r="485" spans="31:31">
      <c r="AE485" s="150"/>
    </row>
    <row r="486" spans="31:31">
      <c r="AE486" s="150"/>
    </row>
    <row r="487" spans="31:31">
      <c r="AE487" s="150"/>
    </row>
    <row r="488" spans="31:31">
      <c r="AE488" s="150"/>
    </row>
    <row r="489" spans="31:31">
      <c r="AE489" s="150"/>
    </row>
    <row r="490" spans="31:31">
      <c r="AE490" s="150"/>
    </row>
    <row r="491" spans="31:31">
      <c r="AE491" s="150"/>
    </row>
    <row r="492" spans="31:31">
      <c r="AE492" s="150"/>
    </row>
    <row r="493" spans="31:31">
      <c r="AE493" s="150"/>
    </row>
    <row r="494" spans="31:31">
      <c r="AE494" s="150"/>
    </row>
    <row r="495" spans="31:31">
      <c r="AE495" s="150"/>
    </row>
    <row r="496" spans="31:31">
      <c r="AE496" s="150"/>
    </row>
    <row r="497" spans="31:31">
      <c r="AE497" s="150"/>
    </row>
    <row r="498" spans="31:31">
      <c r="AE498" s="150"/>
    </row>
    <row r="499" spans="31:31">
      <c r="AE499" s="150"/>
    </row>
    <row r="500" spans="31:31">
      <c r="AE500" s="150"/>
    </row>
    <row r="501" spans="31:31">
      <c r="AE501" s="150"/>
    </row>
    <row r="502" spans="31:31">
      <c r="AE502" s="150"/>
    </row>
    <row r="503" spans="31:31">
      <c r="AE503" s="150"/>
    </row>
    <row r="504" spans="31:31">
      <c r="AE504" s="150"/>
    </row>
    <row r="505" spans="31:31">
      <c r="AE505" s="150"/>
    </row>
    <row r="506" spans="31:31">
      <c r="AE506" s="150"/>
    </row>
    <row r="507" spans="31:31">
      <c r="AE507" s="150"/>
    </row>
    <row r="508" spans="31:31">
      <c r="AE508" s="150"/>
    </row>
    <row r="509" spans="31:31">
      <c r="AE509" s="150"/>
    </row>
    <row r="510" spans="31:31">
      <c r="AE510" s="150"/>
    </row>
    <row r="511" spans="31:31">
      <c r="AE511" s="150"/>
    </row>
    <row r="512" spans="31:31">
      <c r="AE512" s="150"/>
    </row>
    <row r="513" spans="31:31">
      <c r="AE513" s="150"/>
    </row>
    <row r="514" spans="31:31">
      <c r="AE514" s="150"/>
    </row>
    <row r="515" spans="31:31">
      <c r="AE515" s="150"/>
    </row>
    <row r="516" spans="31:31">
      <c r="AE516" s="150"/>
    </row>
    <row r="517" spans="31:31">
      <c r="AE517" s="150"/>
    </row>
    <row r="518" spans="31:31">
      <c r="AE518" s="150"/>
    </row>
    <row r="519" spans="31:31">
      <c r="AE519" s="150"/>
    </row>
    <row r="520" spans="31:31">
      <c r="AE520" s="150"/>
    </row>
    <row r="521" spans="31:31">
      <c r="AE521" s="150"/>
    </row>
    <row r="522" spans="31:31">
      <c r="AE522" s="150"/>
    </row>
    <row r="523" spans="31:31">
      <c r="AE523" s="150"/>
    </row>
    <row r="524" spans="31:31">
      <c r="AE524" s="150"/>
    </row>
    <row r="525" spans="31:31">
      <c r="AE525" s="150"/>
    </row>
    <row r="526" spans="31:31">
      <c r="AE526" s="150"/>
    </row>
    <row r="527" spans="31:31">
      <c r="AE527" s="150"/>
    </row>
    <row r="528" spans="31:31">
      <c r="AE528" s="150"/>
    </row>
    <row r="529" spans="31:31">
      <c r="AE529" s="150"/>
    </row>
    <row r="530" spans="31:31">
      <c r="AE530" s="150"/>
    </row>
    <row r="531" spans="31:31">
      <c r="AE531" s="150"/>
    </row>
    <row r="532" spans="31:31">
      <c r="AE532" s="150"/>
    </row>
    <row r="533" spans="31:31">
      <c r="AE533" s="150"/>
    </row>
    <row r="534" spans="31:31">
      <c r="AE534" s="150"/>
    </row>
    <row r="535" spans="31:31">
      <c r="AE535" s="150"/>
    </row>
    <row r="536" spans="31:31">
      <c r="AE536" s="150"/>
    </row>
    <row r="537" spans="31:31">
      <c r="AE537" s="150"/>
    </row>
    <row r="538" spans="31:31">
      <c r="AE538" s="150"/>
    </row>
    <row r="539" spans="31:31">
      <c r="AE539" s="150"/>
    </row>
    <row r="540" spans="31:31">
      <c r="AE540" s="150"/>
    </row>
    <row r="541" spans="31:31">
      <c r="AE541" s="150"/>
    </row>
    <row r="542" spans="31:31">
      <c r="AE542" s="150"/>
    </row>
    <row r="543" spans="31:31">
      <c r="AE543" s="150"/>
    </row>
    <row r="544" spans="31:31">
      <c r="AE544" s="150"/>
    </row>
    <row r="545" spans="31:31">
      <c r="AE545" s="150"/>
    </row>
    <row r="546" spans="31:31">
      <c r="AE546" s="150"/>
    </row>
    <row r="547" spans="31:31">
      <c r="AE547" s="150"/>
    </row>
    <row r="548" spans="31:31">
      <c r="AE548" s="150"/>
    </row>
    <row r="549" spans="31:31">
      <c r="AE549" s="150"/>
    </row>
    <row r="550" spans="31:31">
      <c r="AE550" s="150"/>
    </row>
    <row r="551" spans="31:31">
      <c r="AE551" s="150"/>
    </row>
    <row r="552" spans="31:31">
      <c r="AE552" s="150"/>
    </row>
    <row r="553" spans="31:31">
      <c r="AE553" s="150"/>
    </row>
    <row r="554" spans="31:31">
      <c r="AE554" s="150"/>
    </row>
    <row r="555" spans="31:31">
      <c r="AE555" s="150"/>
    </row>
    <row r="556" spans="31:31">
      <c r="AE556" s="150"/>
    </row>
    <row r="557" spans="31:31">
      <c r="AE557" s="150"/>
    </row>
    <row r="558" spans="31:31">
      <c r="AE558" s="150"/>
    </row>
    <row r="559" spans="31:31">
      <c r="AE559" s="150"/>
    </row>
    <row r="560" spans="31:31">
      <c r="AE560" s="150"/>
    </row>
    <row r="561" spans="31:31">
      <c r="AE561" s="150"/>
    </row>
    <row r="562" spans="31:31">
      <c r="AE562" s="150"/>
    </row>
    <row r="563" spans="31:31">
      <c r="AE563" s="150"/>
    </row>
    <row r="564" spans="31:31">
      <c r="AE564" s="150"/>
    </row>
    <row r="565" spans="31:31">
      <c r="AE565" s="150"/>
    </row>
    <row r="566" spans="31:31">
      <c r="AE566" s="150"/>
    </row>
    <row r="567" spans="31:31">
      <c r="AE567" s="150"/>
    </row>
    <row r="568" spans="31:31">
      <c r="AE568" s="150"/>
    </row>
    <row r="569" spans="31:31">
      <c r="AE569" s="150"/>
    </row>
    <row r="570" spans="31:31">
      <c r="AE570" s="150"/>
    </row>
    <row r="571" spans="31:31">
      <c r="AE571" s="150"/>
    </row>
    <row r="572" spans="31:31">
      <c r="AE572" s="150"/>
    </row>
    <row r="573" spans="31:31">
      <c r="AE573" s="150"/>
    </row>
    <row r="574" spans="31:31">
      <c r="AE574" s="150"/>
    </row>
    <row r="575" spans="31:31">
      <c r="AE575" s="150"/>
    </row>
    <row r="576" spans="31:31">
      <c r="AE576" s="150"/>
    </row>
    <row r="577" spans="31:31">
      <c r="AE577" s="150"/>
    </row>
    <row r="578" spans="31:31">
      <c r="AE578" s="150"/>
    </row>
    <row r="579" spans="31:31">
      <c r="AE579" s="150"/>
    </row>
    <row r="580" spans="31:31">
      <c r="AE580" s="150"/>
    </row>
    <row r="581" spans="31:31">
      <c r="AE581" s="150"/>
    </row>
    <row r="582" spans="31:31">
      <c r="AE582" s="150"/>
    </row>
    <row r="583" spans="31:31">
      <c r="AE583" s="150"/>
    </row>
    <row r="584" spans="31:31">
      <c r="AE584" s="150"/>
    </row>
    <row r="585" spans="31:31">
      <c r="AE585" s="150"/>
    </row>
    <row r="586" spans="31:31">
      <c r="AE586" s="150"/>
    </row>
    <row r="587" spans="31:31">
      <c r="AE587" s="150"/>
    </row>
    <row r="588" spans="31:31">
      <c r="AE588" s="150"/>
    </row>
    <row r="589" spans="31:31">
      <c r="AE589" s="150"/>
    </row>
    <row r="590" spans="31:31">
      <c r="AE590" s="150"/>
    </row>
    <row r="591" spans="31:31">
      <c r="AE591" s="150"/>
    </row>
    <row r="592" spans="31:31">
      <c r="AE592" s="150"/>
    </row>
    <row r="593" spans="31:31">
      <c r="AE593" s="150"/>
    </row>
    <row r="594" spans="31:31">
      <c r="AE594" s="150"/>
    </row>
    <row r="595" spans="31:31">
      <c r="AE595" s="150"/>
    </row>
    <row r="596" spans="31:31">
      <c r="AE596" s="150"/>
    </row>
    <row r="597" spans="31:31">
      <c r="AE597" s="150"/>
    </row>
    <row r="598" spans="31:31">
      <c r="AE598" s="150"/>
    </row>
    <row r="599" spans="31:31">
      <c r="AE599" s="150"/>
    </row>
    <row r="600" spans="31:31">
      <c r="AE600" s="150"/>
    </row>
    <row r="601" spans="31:31">
      <c r="AE601" s="150"/>
    </row>
    <row r="602" spans="31:31">
      <c r="AE602" s="150"/>
    </row>
    <row r="603" spans="31:31">
      <c r="AE603" s="150"/>
    </row>
    <row r="604" spans="31:31">
      <c r="AE604" s="150"/>
    </row>
    <row r="605" spans="31:31">
      <c r="AE605" s="150"/>
    </row>
    <row r="606" spans="31:31">
      <c r="AE606" s="150"/>
    </row>
    <row r="607" spans="31:31">
      <c r="AE607" s="150"/>
    </row>
    <row r="608" spans="31:31">
      <c r="AE608" s="150"/>
    </row>
    <row r="609" spans="31:31">
      <c r="AE609" s="150"/>
    </row>
    <row r="610" spans="31:31">
      <c r="AE610" s="150"/>
    </row>
    <row r="611" spans="31:31">
      <c r="AE611" s="150"/>
    </row>
    <row r="612" spans="31:31">
      <c r="AE612" s="150"/>
    </row>
    <row r="613" spans="31:31">
      <c r="AE613" s="150"/>
    </row>
    <row r="614" spans="31:31">
      <c r="AE614" s="150"/>
    </row>
    <row r="615" spans="31:31">
      <c r="AE615" s="150"/>
    </row>
    <row r="616" spans="31:31">
      <c r="AE616" s="150"/>
    </row>
    <row r="617" spans="31:31">
      <c r="AE617" s="150"/>
    </row>
    <row r="618" spans="31:31">
      <c r="AE618" s="150"/>
    </row>
    <row r="619" spans="31:31">
      <c r="AE619" s="150"/>
    </row>
    <row r="620" spans="31:31">
      <c r="AE620" s="150"/>
    </row>
    <row r="621" spans="31:31">
      <c r="AE621" s="150"/>
    </row>
    <row r="622" spans="31:31">
      <c r="AE622" s="150"/>
    </row>
    <row r="623" spans="31:31">
      <c r="AE623" s="150"/>
    </row>
    <row r="624" spans="31:31">
      <c r="AE624" s="150"/>
    </row>
    <row r="625" spans="31:31">
      <c r="AE625" s="150"/>
    </row>
    <row r="626" spans="31:31">
      <c r="AE626" s="150"/>
    </row>
    <row r="627" spans="31:31">
      <c r="AE627" s="150"/>
    </row>
    <row r="628" spans="31:31">
      <c r="AE628" s="150"/>
    </row>
    <row r="629" spans="31:31">
      <c r="AE629" s="150"/>
    </row>
    <row r="630" spans="31:31">
      <c r="AE630" s="150"/>
    </row>
    <row r="631" spans="31:31">
      <c r="AE631" s="150"/>
    </row>
    <row r="632" spans="31:31">
      <c r="AE632" s="150"/>
    </row>
    <row r="633" spans="31:31">
      <c r="AE633" s="150"/>
    </row>
    <row r="634" spans="31:31">
      <c r="AE634" s="150"/>
    </row>
    <row r="635" spans="31:31">
      <c r="AE635" s="150"/>
    </row>
    <row r="636" spans="31:31">
      <c r="AE636" s="150"/>
    </row>
    <row r="637" spans="31:31">
      <c r="AE637" s="150"/>
    </row>
    <row r="638" spans="31:31">
      <c r="AE638" s="150"/>
    </row>
    <row r="639" spans="31:31">
      <c r="AE639" s="150"/>
    </row>
    <row r="640" spans="31:31">
      <c r="AE640" s="150"/>
    </row>
    <row r="641" spans="31:31">
      <c r="AE641" s="150"/>
    </row>
    <row r="642" spans="31:31">
      <c r="AE642" s="150"/>
    </row>
    <row r="643" spans="31:31">
      <c r="AE643" s="150"/>
    </row>
    <row r="644" spans="31:31">
      <c r="AE644" s="150"/>
    </row>
    <row r="645" spans="31:31">
      <c r="AE645" s="150"/>
    </row>
    <row r="646" spans="31:31">
      <c r="AE646" s="150"/>
    </row>
    <row r="647" spans="31:31">
      <c r="AE647" s="150"/>
    </row>
    <row r="648" spans="31:31">
      <c r="AE648" s="150"/>
    </row>
    <row r="649" spans="31:31">
      <c r="AE649" s="150"/>
    </row>
    <row r="650" spans="31:31">
      <c r="AE650" s="150"/>
    </row>
    <row r="651" spans="31:31">
      <c r="AE651" s="150"/>
    </row>
    <row r="652" spans="31:31">
      <c r="AE652" s="150"/>
    </row>
    <row r="653" spans="31:31">
      <c r="AE653" s="150"/>
    </row>
    <row r="654" spans="31:31">
      <c r="AE654" s="150"/>
    </row>
    <row r="655" spans="31:31">
      <c r="AE655" s="150"/>
    </row>
    <row r="656" spans="31:31">
      <c r="AE656" s="150"/>
    </row>
    <row r="657" spans="31:31">
      <c r="AE657" s="150"/>
    </row>
    <row r="658" spans="31:31">
      <c r="AE658" s="150"/>
    </row>
    <row r="659" spans="31:31">
      <c r="AE659" s="150"/>
    </row>
    <row r="660" spans="31:31">
      <c r="AE660" s="150"/>
    </row>
    <row r="661" spans="31:31">
      <c r="AE661" s="150"/>
    </row>
    <row r="662" spans="31:31">
      <c r="AE662" s="150"/>
    </row>
    <row r="663" spans="31:31">
      <c r="AE663" s="150"/>
    </row>
    <row r="664" spans="31:31">
      <c r="AE664" s="150"/>
    </row>
    <row r="665" spans="31:31">
      <c r="AE665" s="150"/>
    </row>
    <row r="666" spans="31:31">
      <c r="AE666" s="150"/>
    </row>
    <row r="667" spans="31:31">
      <c r="AE667" s="150"/>
    </row>
    <row r="668" spans="31:31">
      <c r="AE668" s="150"/>
    </row>
    <row r="669" spans="31:31">
      <c r="AE669" s="150"/>
    </row>
    <row r="670" spans="31:31">
      <c r="AE670" s="150"/>
    </row>
    <row r="671" spans="31:31">
      <c r="AE671" s="150"/>
    </row>
    <row r="672" spans="31:31">
      <c r="AE672" s="150"/>
    </row>
    <row r="673" spans="31:31">
      <c r="AE673" s="150"/>
    </row>
    <row r="674" spans="31:31">
      <c r="AE674" s="150"/>
    </row>
    <row r="675" spans="31:31">
      <c r="AE675" s="150"/>
    </row>
    <row r="676" spans="31:31">
      <c r="AE676" s="150"/>
    </row>
    <row r="677" spans="31:31">
      <c r="AE677" s="150"/>
    </row>
    <row r="678" spans="31:31">
      <c r="AE678" s="150"/>
    </row>
    <row r="679" spans="31:31">
      <c r="AE679" s="150"/>
    </row>
    <row r="680" spans="31:31">
      <c r="AE680" s="150"/>
    </row>
    <row r="681" spans="31:31">
      <c r="AE681" s="150"/>
    </row>
    <row r="682" spans="31:31">
      <c r="AE682" s="150"/>
    </row>
    <row r="683" spans="31:31">
      <c r="AE683" s="150"/>
    </row>
    <row r="684" spans="31:31">
      <c r="AE684" s="150"/>
    </row>
    <row r="685" spans="31:31">
      <c r="AE685" s="150"/>
    </row>
    <row r="686" spans="31:31">
      <c r="AE686" s="150"/>
    </row>
    <row r="687" spans="31:31">
      <c r="AE687" s="150"/>
    </row>
    <row r="688" spans="31:31">
      <c r="AE688" s="150"/>
    </row>
    <row r="689" spans="31:31">
      <c r="AE689" s="150"/>
    </row>
    <row r="690" spans="31:31">
      <c r="AE690" s="150"/>
    </row>
    <row r="691" spans="31:31">
      <c r="AE691" s="150"/>
    </row>
    <row r="692" spans="31:31">
      <c r="AE692" s="150"/>
    </row>
    <row r="693" spans="31:31">
      <c r="AE693" s="150"/>
    </row>
    <row r="694" spans="31:31">
      <c r="AE694" s="150"/>
    </row>
    <row r="695" spans="31:31">
      <c r="AE695" s="150"/>
    </row>
    <row r="696" spans="31:31">
      <c r="AE696" s="150"/>
    </row>
    <row r="697" spans="31:31">
      <c r="AE697" s="150"/>
    </row>
    <row r="698" spans="31:31">
      <c r="AE698" s="150"/>
    </row>
    <row r="699" spans="31:31">
      <c r="AE699" s="150"/>
    </row>
    <row r="700" spans="31:31">
      <c r="AE700" s="150"/>
    </row>
    <row r="701" spans="31:31">
      <c r="AE701" s="150"/>
    </row>
    <row r="702" spans="31:31">
      <c r="AE702" s="150"/>
    </row>
    <row r="703" spans="31:31">
      <c r="AE703" s="150"/>
    </row>
    <row r="704" spans="31:31">
      <c r="AE704" s="150"/>
    </row>
    <row r="705" spans="31:31">
      <c r="AE705" s="150"/>
    </row>
    <row r="706" spans="31:31">
      <c r="AE706" s="150"/>
    </row>
    <row r="707" spans="31:31">
      <c r="AE707" s="150"/>
    </row>
    <row r="708" spans="31:31">
      <c r="AE708" s="150"/>
    </row>
    <row r="709" spans="31:31">
      <c r="AE709" s="150"/>
    </row>
    <row r="710" spans="31:31">
      <c r="AE710" s="150"/>
    </row>
    <row r="711" spans="31:31">
      <c r="AE711" s="150"/>
    </row>
    <row r="712" spans="31:31">
      <c r="AE712" s="150"/>
    </row>
    <row r="713" spans="31:31">
      <c r="AE713" s="150"/>
    </row>
    <row r="714" spans="31:31">
      <c r="AE714" s="150"/>
    </row>
    <row r="715" spans="31:31">
      <c r="AE715" s="150"/>
    </row>
    <row r="716" spans="31:31">
      <c r="AE716" s="150"/>
    </row>
    <row r="717" spans="31:31">
      <c r="AE717" s="150"/>
    </row>
    <row r="718" spans="31:31">
      <c r="AE718" s="150"/>
    </row>
    <row r="719" spans="31:31">
      <c r="AE719" s="150"/>
    </row>
    <row r="720" spans="31:31">
      <c r="AE720" s="150"/>
    </row>
    <row r="721" spans="31:31">
      <c r="AE721" s="150"/>
    </row>
    <row r="722" spans="31:31">
      <c r="AE722" s="150"/>
    </row>
    <row r="723" spans="31:31">
      <c r="AE723" s="150"/>
    </row>
    <row r="724" spans="31:31">
      <c r="AE724" s="150"/>
    </row>
    <row r="725" spans="31:31">
      <c r="AE725" s="150"/>
    </row>
    <row r="726" spans="31:31">
      <c r="AE726" s="150"/>
    </row>
    <row r="727" spans="31:31">
      <c r="AE727" s="150"/>
    </row>
    <row r="728" spans="31:31">
      <c r="AE728" s="150"/>
    </row>
    <row r="729" spans="31:31">
      <c r="AE729" s="150"/>
    </row>
    <row r="730" spans="31:31">
      <c r="AE730" s="150"/>
    </row>
    <row r="731" spans="31:31">
      <c r="AE731" s="150"/>
    </row>
    <row r="732" spans="31:31">
      <c r="AE732" s="150"/>
    </row>
    <row r="733" spans="31:31">
      <c r="AE733" s="150"/>
    </row>
    <row r="734" spans="31:31">
      <c r="AE734" s="150"/>
    </row>
    <row r="735" spans="31:31">
      <c r="AE735" s="150"/>
    </row>
    <row r="736" spans="31:31">
      <c r="AE736" s="150"/>
    </row>
    <row r="737" spans="31:31">
      <c r="AE737" s="150"/>
    </row>
    <row r="738" spans="31:31">
      <c r="AE738" s="150"/>
    </row>
    <row r="739" spans="31:31">
      <c r="AE739" s="150"/>
    </row>
    <row r="740" spans="31:31">
      <c r="AE740" s="150"/>
    </row>
    <row r="741" spans="31:31">
      <c r="AE741" s="150"/>
    </row>
    <row r="742" spans="31:31">
      <c r="AE742" s="150"/>
    </row>
    <row r="743" spans="31:31">
      <c r="AE743" s="150"/>
    </row>
    <row r="744" spans="31:31">
      <c r="AE744" s="150"/>
    </row>
    <row r="745" spans="31:31">
      <c r="AE745" s="150"/>
    </row>
    <row r="746" spans="31:31">
      <c r="AE746" s="150"/>
    </row>
    <row r="747" spans="31:31">
      <c r="AE747" s="150"/>
    </row>
    <row r="748" spans="31:31">
      <c r="AE748" s="150"/>
    </row>
    <row r="749" spans="31:31">
      <c r="AE749" s="150"/>
    </row>
    <row r="750" spans="31:31">
      <c r="AE750" s="150"/>
    </row>
    <row r="751" spans="31:31">
      <c r="AE751" s="150"/>
    </row>
    <row r="752" spans="31:31">
      <c r="AE752" s="150"/>
    </row>
    <row r="753" spans="31:31">
      <c r="AE753" s="150"/>
    </row>
    <row r="754" spans="31:31">
      <c r="AE754" s="150"/>
    </row>
    <row r="755" spans="31:31">
      <c r="AE755" s="150"/>
    </row>
    <row r="756" spans="31:31">
      <c r="AE756" s="150"/>
    </row>
    <row r="757" spans="31:31">
      <c r="AE757" s="150"/>
    </row>
    <row r="758" spans="31:31">
      <c r="AE758" s="150"/>
    </row>
    <row r="759" spans="31:31">
      <c r="AE759" s="150"/>
    </row>
    <row r="760" spans="31:31">
      <c r="AE760" s="150"/>
    </row>
    <row r="761" spans="31:31">
      <c r="AE761" s="150"/>
    </row>
    <row r="762" spans="31:31">
      <c r="AE762" s="150"/>
    </row>
    <row r="763" spans="31:31">
      <c r="AE763" s="150"/>
    </row>
    <row r="764" spans="31:31">
      <c r="AE764" s="150"/>
    </row>
    <row r="765" spans="31:31">
      <c r="AE765" s="150"/>
    </row>
    <row r="766" spans="31:31">
      <c r="AE766" s="150"/>
    </row>
    <row r="767" spans="31:31">
      <c r="AE767" s="150"/>
    </row>
    <row r="768" spans="31:31">
      <c r="AE768" s="150"/>
    </row>
    <row r="769" spans="31:31">
      <c r="AE769" s="150"/>
    </row>
    <row r="770" spans="31:31">
      <c r="AE770" s="150"/>
    </row>
    <row r="771" spans="31:31">
      <c r="AE771" s="150"/>
    </row>
    <row r="772" spans="31:31">
      <c r="AE772" s="150"/>
    </row>
    <row r="773" spans="31:31">
      <c r="AE773" s="150"/>
    </row>
    <row r="774" spans="31:31">
      <c r="AE774" s="150"/>
    </row>
    <row r="775" spans="31:31">
      <c r="AE775" s="150"/>
    </row>
    <row r="776" spans="31:31">
      <c r="AE776" s="150"/>
    </row>
    <row r="777" spans="31:31">
      <c r="AE777" s="150"/>
    </row>
    <row r="778" spans="31:31">
      <c r="AE778" s="150"/>
    </row>
    <row r="779" spans="31:31">
      <c r="AE779" s="150"/>
    </row>
    <row r="780" spans="31:31">
      <c r="AE780" s="150"/>
    </row>
    <row r="781" spans="31:31">
      <c r="AE781" s="150"/>
    </row>
    <row r="782" spans="31:31">
      <c r="AE782" s="150"/>
    </row>
    <row r="783" spans="31:31">
      <c r="AE783" s="150"/>
    </row>
    <row r="784" spans="31:31">
      <c r="AE784" s="150"/>
    </row>
    <row r="785" spans="31:31">
      <c r="AE785" s="150"/>
    </row>
    <row r="786" spans="31:31">
      <c r="AE786" s="150"/>
    </row>
    <row r="787" spans="31:31">
      <c r="AE787" s="150"/>
    </row>
    <row r="788" spans="31:31">
      <c r="AE788" s="150"/>
    </row>
    <row r="789" spans="31:31">
      <c r="AE789" s="150"/>
    </row>
    <row r="790" spans="31:31">
      <c r="AE790" s="150"/>
    </row>
    <row r="791" spans="31:31">
      <c r="AE791" s="150"/>
    </row>
    <row r="792" spans="31:31">
      <c r="AE792" s="150"/>
    </row>
    <row r="793" spans="31:31">
      <c r="AE793" s="150"/>
    </row>
    <row r="794" spans="31:31">
      <c r="AE794" s="150"/>
    </row>
    <row r="795" spans="31:31">
      <c r="AE795" s="150"/>
    </row>
    <row r="796" spans="31:31">
      <c r="AE796" s="150"/>
    </row>
    <row r="797" spans="31:31">
      <c r="AE797" s="150"/>
    </row>
    <row r="798" spans="31:31">
      <c r="AE798" s="150"/>
    </row>
    <row r="799" spans="31:31">
      <c r="AE799" s="150"/>
    </row>
    <row r="800" spans="31:31">
      <c r="AE800" s="150"/>
    </row>
    <row r="801" spans="31:31">
      <c r="AE801" s="150"/>
    </row>
    <row r="802" spans="31:31">
      <c r="AE802" s="15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5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139</v>
      </c>
      <c r="M1" s="19" t="s">
        <v>191</v>
      </c>
      <c r="N1" s="19" t="s">
        <v>176</v>
      </c>
      <c r="O1" s="19" t="s">
        <v>9</v>
      </c>
      <c r="P1" s="19" t="s">
        <v>10</v>
      </c>
      <c r="Q1" s="19" t="s">
        <v>192</v>
      </c>
      <c r="R1" s="19" t="s">
        <v>11</v>
      </c>
      <c r="S1" s="19" t="s">
        <v>12</v>
      </c>
      <c r="T1" s="143" t="s">
        <v>14</v>
      </c>
      <c r="U1" s="19" t="s">
        <v>15</v>
      </c>
      <c r="V1" s="19" t="s">
        <v>169</v>
      </c>
      <c r="W1" s="19" t="s">
        <v>170</v>
      </c>
      <c r="X1" s="19" t="s">
        <v>148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148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8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8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8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8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8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8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8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8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8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8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8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8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8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8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8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8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8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5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185</v>
      </c>
      <c r="D1" s="19" t="s">
        <v>186</v>
      </c>
      <c r="E1" s="19" t="s">
        <v>187</v>
      </c>
      <c r="F1" s="19" t="s">
        <v>5</v>
      </c>
      <c r="G1" s="19" t="s">
        <v>188</v>
      </c>
      <c r="H1" s="19" t="s">
        <v>6</v>
      </c>
      <c r="I1" s="19" t="s">
        <v>7</v>
      </c>
      <c r="J1" s="19" t="s">
        <v>139</v>
      </c>
      <c r="K1" s="19" t="s">
        <v>189</v>
      </c>
      <c r="L1" s="19" t="s">
        <v>10</v>
      </c>
      <c r="M1" s="19" t="s">
        <v>11</v>
      </c>
      <c r="N1" s="19" t="s">
        <v>12</v>
      </c>
      <c r="O1" s="143" t="s">
        <v>14</v>
      </c>
      <c r="P1" s="19" t="s">
        <v>15</v>
      </c>
      <c r="Q1" s="19" t="s">
        <v>149</v>
      </c>
      <c r="R1" s="19" t="s">
        <v>18</v>
      </c>
      <c r="S1" s="19" t="s">
        <v>190</v>
      </c>
      <c r="T1" s="19" t="s">
        <v>20</v>
      </c>
      <c r="U1" s="19" t="s">
        <v>24</v>
      </c>
      <c r="V1" s="19" t="s">
        <v>25</v>
      </c>
    </row>
    <row r="2" spans="1:22">
      <c r="A2" s="20"/>
      <c r="B2" s="20"/>
      <c r="C2" s="20"/>
      <c r="E2" s="18"/>
      <c r="F2" s="20"/>
      <c r="G2" s="20"/>
      <c r="H2" s="18"/>
      <c r="I2" s="18"/>
      <c r="J2" s="20"/>
      <c r="K2" s="20"/>
      <c r="M2" s="18"/>
      <c r="N2" s="20"/>
      <c r="O2" s="148"/>
      <c r="P2" s="20"/>
      <c r="R2" s="20"/>
      <c r="S2" s="20"/>
      <c r="T2" s="20"/>
      <c r="U2" s="20"/>
      <c r="V2" s="20"/>
    </row>
    <row r="3" spans="1:22">
      <c r="A3" s="20"/>
      <c r="B3" s="20"/>
      <c r="C3" s="20"/>
      <c r="E3" s="18"/>
      <c r="F3" s="20"/>
      <c r="G3" s="20"/>
      <c r="H3" s="18"/>
      <c r="I3" s="18"/>
      <c r="J3" s="20"/>
      <c r="K3" s="20"/>
      <c r="M3" s="18"/>
      <c r="N3" s="20"/>
      <c r="O3" s="148"/>
      <c r="P3" s="20"/>
      <c r="R3" s="20"/>
      <c r="T3" s="20"/>
      <c r="U3" s="20"/>
      <c r="V3" s="20"/>
    </row>
    <row r="4" spans="1:22">
      <c r="A4" s="20"/>
      <c r="B4" s="20"/>
      <c r="C4" s="20"/>
      <c r="E4" s="18"/>
      <c r="F4" s="20"/>
      <c r="G4" s="20"/>
      <c r="H4" s="18"/>
      <c r="I4" s="18"/>
      <c r="J4" s="20"/>
      <c r="K4" s="20"/>
      <c r="M4" s="18"/>
      <c r="N4" s="20"/>
      <c r="O4" s="148"/>
      <c r="P4" s="20"/>
      <c r="R4" s="20"/>
      <c r="T4" s="20"/>
      <c r="U4" s="20"/>
      <c r="V4" s="20"/>
    </row>
    <row r="5" spans="1:22">
      <c r="A5" s="20"/>
      <c r="B5" s="20"/>
      <c r="C5" s="20"/>
      <c r="E5" s="18"/>
      <c r="F5" s="20"/>
      <c r="G5" s="20"/>
      <c r="H5" s="18"/>
      <c r="I5" s="18"/>
      <c r="J5" s="20"/>
      <c r="K5" s="20"/>
      <c r="M5" s="18"/>
      <c r="N5" s="20"/>
      <c r="O5" s="148"/>
      <c r="P5" s="20"/>
      <c r="R5" s="20"/>
      <c r="T5" s="20"/>
      <c r="U5" s="20"/>
      <c r="V5" s="20"/>
    </row>
    <row r="6" spans="1:22">
      <c r="A6" s="20"/>
      <c r="B6" s="20"/>
      <c r="C6" s="20"/>
      <c r="E6" s="18"/>
      <c r="F6" s="20"/>
      <c r="G6" s="20"/>
      <c r="H6" s="18"/>
      <c r="I6" s="18"/>
      <c r="J6" s="20"/>
      <c r="K6" s="20"/>
      <c r="M6" s="18"/>
      <c r="N6" s="20"/>
      <c r="O6" s="148"/>
      <c r="P6" s="20"/>
      <c r="R6" s="20"/>
      <c r="T6" s="20"/>
      <c r="U6" s="20"/>
      <c r="V6" s="20"/>
    </row>
    <row r="7" spans="1:22">
      <c r="A7" s="20"/>
      <c r="B7" s="20"/>
      <c r="C7" s="20"/>
      <c r="E7" s="18"/>
      <c r="F7" s="20"/>
      <c r="G7" s="20"/>
      <c r="H7" s="18"/>
      <c r="I7" s="18"/>
      <c r="J7" s="20"/>
      <c r="K7" s="20"/>
      <c r="M7" s="18"/>
      <c r="N7" s="20"/>
      <c r="O7" s="148"/>
      <c r="P7" s="20"/>
      <c r="R7" s="20"/>
      <c r="S7" s="20"/>
      <c r="T7" s="20"/>
      <c r="U7" s="20"/>
      <c r="V7" s="20"/>
    </row>
    <row r="8" spans="1:22">
      <c r="A8" s="20"/>
      <c r="B8" s="20"/>
      <c r="C8" s="20"/>
      <c r="E8" s="18"/>
      <c r="F8" s="20"/>
      <c r="G8" s="20"/>
      <c r="H8" s="18"/>
      <c r="I8" s="18"/>
      <c r="J8" s="20"/>
      <c r="K8" s="20"/>
      <c r="M8" s="18"/>
      <c r="N8" s="20"/>
      <c r="O8" s="148"/>
      <c r="P8" s="20"/>
      <c r="R8" s="20"/>
      <c r="S8" s="20"/>
      <c r="T8" s="20"/>
      <c r="U8" s="20"/>
      <c r="V8" s="20"/>
    </row>
    <row r="9" spans="1:22">
      <c r="A9" s="20"/>
      <c r="B9" s="20"/>
      <c r="C9" s="20"/>
      <c r="E9" s="18"/>
      <c r="F9" s="20"/>
      <c r="G9" s="20"/>
      <c r="H9" s="18"/>
      <c r="I9" s="18"/>
      <c r="J9" s="20"/>
      <c r="K9" s="20"/>
      <c r="M9" s="18"/>
      <c r="N9" s="20"/>
      <c r="O9" s="148"/>
      <c r="P9" s="20"/>
      <c r="R9" s="20"/>
      <c r="S9" s="20"/>
      <c r="T9" s="20"/>
      <c r="U9" s="20"/>
      <c r="V9" s="20"/>
    </row>
    <row r="10" spans="1:22">
      <c r="A10" s="20"/>
      <c r="B10" s="20"/>
      <c r="C10" s="20"/>
      <c r="E10" s="18"/>
      <c r="F10" s="20"/>
      <c r="G10" s="20"/>
      <c r="H10" s="18"/>
      <c r="I10" s="18"/>
      <c r="J10" s="20"/>
      <c r="K10" s="20"/>
      <c r="M10" s="18"/>
      <c r="N10" s="20"/>
      <c r="O10" s="148"/>
      <c r="P10" s="20"/>
      <c r="R10" s="20"/>
      <c r="S10" s="20"/>
      <c r="T10" s="20"/>
      <c r="U10" s="20"/>
      <c r="V10" s="20"/>
    </row>
    <row r="11" spans="1:22">
      <c r="A11" s="20"/>
      <c r="B11" s="20"/>
      <c r="C11" s="20"/>
      <c r="E11" s="18"/>
      <c r="F11" s="20"/>
      <c r="G11" s="20"/>
      <c r="H11" s="18"/>
      <c r="I11" s="18"/>
      <c r="J11" s="20"/>
      <c r="K11" s="20"/>
      <c r="M11" s="18"/>
      <c r="N11" s="20"/>
      <c r="O11" s="148"/>
      <c r="P11" s="20"/>
      <c r="R11" s="20"/>
      <c r="S11" s="20"/>
      <c r="T11" s="20"/>
      <c r="U11" s="20"/>
      <c r="V11" s="20"/>
    </row>
    <row r="12" spans="1:22">
      <c r="A12" s="20"/>
      <c r="B12" s="20"/>
      <c r="C12" s="20"/>
      <c r="E12" s="18"/>
      <c r="F12" s="20"/>
      <c r="G12" s="20"/>
      <c r="H12" s="18"/>
      <c r="I12" s="18"/>
      <c r="J12" s="20"/>
      <c r="K12" s="20"/>
      <c r="M12" s="18"/>
      <c r="N12" s="20"/>
      <c r="O12" s="148"/>
      <c r="P12" s="20"/>
      <c r="R12" s="20"/>
      <c r="S12" s="20"/>
      <c r="T12" s="20"/>
      <c r="U12" s="20"/>
      <c r="V12" s="20"/>
    </row>
    <row r="13" spans="1:22">
      <c r="A13" s="20"/>
      <c r="B13" s="20"/>
      <c r="C13" s="20"/>
      <c r="E13" s="18"/>
      <c r="F13" s="20"/>
      <c r="G13" s="20"/>
      <c r="H13" s="18"/>
      <c r="I13" s="18"/>
      <c r="J13" s="20"/>
      <c r="K13" s="20"/>
      <c r="M13" s="18"/>
      <c r="N13" s="20"/>
      <c r="O13" s="148"/>
      <c r="P13" s="20"/>
      <c r="R13" s="20"/>
      <c r="S13" s="20"/>
      <c r="T13" s="20"/>
      <c r="U13" s="20"/>
      <c r="V13" s="20"/>
    </row>
    <row r="14" spans="1:22">
      <c r="A14" s="20"/>
      <c r="B14" s="20"/>
      <c r="C14" s="20"/>
      <c r="E14" s="18"/>
      <c r="F14" s="20"/>
      <c r="G14" s="20"/>
      <c r="H14" s="18"/>
      <c r="I14" s="18"/>
      <c r="J14" s="20"/>
      <c r="K14" s="20"/>
      <c r="M14" s="18"/>
      <c r="N14" s="20"/>
      <c r="O14" s="148"/>
      <c r="P14" s="20"/>
      <c r="R14" s="20"/>
      <c r="S14" s="20"/>
      <c r="T14" s="20"/>
      <c r="U14" s="20"/>
      <c r="V14" s="20"/>
    </row>
    <row r="15" spans="1:22">
      <c r="A15" s="20"/>
      <c r="B15" s="20"/>
      <c r="C15" s="20"/>
      <c r="E15" s="18"/>
      <c r="F15" s="20"/>
      <c r="G15" s="20"/>
      <c r="H15" s="18"/>
      <c r="I15" s="18"/>
      <c r="J15" s="20"/>
      <c r="K15" s="20"/>
      <c r="M15" s="18"/>
      <c r="N15" s="20"/>
      <c r="O15" s="148"/>
      <c r="P15" s="20"/>
      <c r="R15" s="20"/>
      <c r="S15" s="20"/>
      <c r="T15" s="20"/>
      <c r="U15" s="20"/>
      <c r="V15" s="20"/>
    </row>
    <row r="16" spans="1:22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8"/>
      <c r="P16" s="20"/>
      <c r="R16" s="20"/>
      <c r="S16" s="20"/>
      <c r="T16" s="20"/>
      <c r="U16" s="20"/>
      <c r="V16" s="20"/>
    </row>
    <row r="17" spans="1:22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8"/>
      <c r="P17" s="20"/>
      <c r="R17" s="20"/>
      <c r="S17" s="20"/>
      <c r="T17" s="20"/>
      <c r="U17" s="20"/>
      <c r="V17" s="20"/>
    </row>
    <row r="18" spans="1:22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8"/>
      <c r="P18" s="20"/>
      <c r="R18" s="20"/>
      <c r="S18" s="20"/>
      <c r="T18" s="20"/>
      <c r="U18" s="20"/>
      <c r="V18" s="20"/>
    </row>
    <row r="19" spans="1:22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8"/>
      <c r="P19" s="20"/>
      <c r="R19" s="20"/>
      <c r="S19" s="20"/>
      <c r="T19" s="20"/>
      <c r="U19" s="20"/>
      <c r="V19" s="20"/>
    </row>
    <row r="20" spans="1:22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174</v>
      </c>
      <c r="D1" s="19" t="s">
        <v>5</v>
      </c>
      <c r="E1" s="19" t="s">
        <v>175</v>
      </c>
      <c r="F1" s="19" t="s">
        <v>139</v>
      </c>
      <c r="G1" s="19" t="s">
        <v>176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169</v>
      </c>
      <c r="N1" s="19" t="s">
        <v>182</v>
      </c>
      <c r="O1" s="19" t="s">
        <v>170</v>
      </c>
      <c r="P1" s="19" t="s">
        <v>148</v>
      </c>
      <c r="Q1" s="19" t="s">
        <v>11</v>
      </c>
      <c r="R1" s="19" t="s">
        <v>183</v>
      </c>
      <c r="S1" s="19" t="s">
        <v>20</v>
      </c>
      <c r="T1" s="19" t="s">
        <v>21</v>
      </c>
      <c r="U1" s="19" t="s">
        <v>184</v>
      </c>
      <c r="V1" s="19" t="s">
        <v>22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0"/>
      <c r="M20" s="20"/>
      <c r="O20" s="20"/>
      <c r="V20" s="20"/>
    </row>
    <row r="21" spans="1:24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165</v>
      </c>
      <c r="E1" s="19" t="s">
        <v>166</v>
      </c>
      <c r="F1" s="19" t="s">
        <v>3</v>
      </c>
      <c r="G1" s="19" t="s">
        <v>4</v>
      </c>
      <c r="H1" s="19" t="s">
        <v>167</v>
      </c>
      <c r="I1" s="19" t="s">
        <v>5</v>
      </c>
      <c r="J1" s="19" t="s">
        <v>6</v>
      </c>
      <c r="K1" s="19" t="s">
        <v>7</v>
      </c>
      <c r="L1" s="19" t="s">
        <v>168</v>
      </c>
      <c r="M1" s="19" t="s">
        <v>139</v>
      </c>
      <c r="N1" s="19" t="s">
        <v>11</v>
      </c>
      <c r="O1" s="19" t="s">
        <v>169</v>
      </c>
      <c r="P1" s="19" t="s">
        <v>170</v>
      </c>
      <c r="Q1" s="19" t="s">
        <v>148</v>
      </c>
      <c r="R1" s="19" t="s">
        <v>171</v>
      </c>
      <c r="S1" s="19" t="s">
        <v>172</v>
      </c>
      <c r="T1" s="19" t="s">
        <v>173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3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145</v>
      </c>
      <c r="D1" s="19" t="s">
        <v>146</v>
      </c>
      <c r="E1" s="19" t="s">
        <v>5</v>
      </c>
      <c r="F1" s="19" t="s">
        <v>6</v>
      </c>
      <c r="G1" s="19" t="s">
        <v>7</v>
      </c>
      <c r="H1" s="19" t="s">
        <v>139</v>
      </c>
      <c r="I1" s="19" t="s">
        <v>147</v>
      </c>
      <c r="J1" s="19" t="s">
        <v>11</v>
      </c>
      <c r="K1" s="19" t="s">
        <v>148</v>
      </c>
      <c r="L1" s="19" t="s">
        <v>149</v>
      </c>
      <c r="M1" s="161" t="s">
        <v>18</v>
      </c>
      <c r="N1" s="19" t="s">
        <v>20</v>
      </c>
      <c r="O1" s="19" t="s">
        <v>21</v>
      </c>
      <c r="P1" s="19" t="s">
        <v>22</v>
      </c>
      <c r="Q1" s="167" t="s">
        <v>24</v>
      </c>
      <c r="R1" s="167" t="s">
        <v>25</v>
      </c>
    </row>
    <row r="2" spans="1:18">
      <c r="A2" s="20">
        <v>158</v>
      </c>
      <c r="B2" s="20">
        <v>1441</v>
      </c>
      <c r="C2" s="27" t="s">
        <v>150</v>
      </c>
      <c r="D2" s="27" t="s">
        <v>151</v>
      </c>
      <c r="E2" s="27" t="s">
        <v>152</v>
      </c>
      <c r="F2" s="18" t="s">
        <v>30</v>
      </c>
      <c r="G2" s="18" t="s">
        <v>30</v>
      </c>
      <c r="H2" s="20" t="s">
        <v>153</v>
      </c>
      <c r="I2" s="20" t="s">
        <v>154</v>
      </c>
      <c r="J2" s="18" t="s">
        <v>44</v>
      </c>
      <c r="K2" s="20" t="s">
        <v>155</v>
      </c>
      <c r="L2" s="153">
        <v>-2.6909999999999998</v>
      </c>
      <c r="M2" s="177">
        <v>1</v>
      </c>
      <c r="N2" s="155">
        <v>-2.6909999999999998</v>
      </c>
      <c r="O2" s="20"/>
      <c r="P2" s="18" t="s">
        <v>36</v>
      </c>
      <c r="Q2" s="176">
        <v>0.39611128531029799</v>
      </c>
      <c r="R2" s="176">
        <v>-2.7583428963451199E-4</v>
      </c>
    </row>
    <row r="3" spans="1:18">
      <c r="A3" s="20">
        <v>158</v>
      </c>
      <c r="B3" s="20">
        <v>1441</v>
      </c>
      <c r="C3" s="27" t="s">
        <v>156</v>
      </c>
      <c r="D3" s="20" t="s">
        <v>157</v>
      </c>
      <c r="E3" s="27" t="s">
        <v>158</v>
      </c>
      <c r="F3" s="18" t="s">
        <v>30</v>
      </c>
      <c r="G3" s="18" t="s">
        <v>30</v>
      </c>
      <c r="H3" s="20" t="s">
        <v>153</v>
      </c>
      <c r="I3" s="20" t="s">
        <v>154</v>
      </c>
      <c r="J3" s="18" t="s">
        <v>44</v>
      </c>
      <c r="K3" s="20" t="s">
        <v>155</v>
      </c>
      <c r="L3" s="153">
        <v>-4.6559999999999997</v>
      </c>
      <c r="M3" s="177">
        <v>1</v>
      </c>
      <c r="N3" s="155">
        <v>-4.6559999999999997</v>
      </c>
      <c r="O3" s="20"/>
      <c r="P3" s="18" t="s">
        <v>36</v>
      </c>
      <c r="Q3" s="176">
        <v>0.68537124300197705</v>
      </c>
      <c r="R3" s="176">
        <v>-4.7726206487977099E-4</v>
      </c>
    </row>
    <row r="4" spans="1:18">
      <c r="A4" s="20">
        <v>158</v>
      </c>
      <c r="B4" s="20">
        <v>1441</v>
      </c>
      <c r="C4" s="27" t="s">
        <v>159</v>
      </c>
      <c r="D4" s="20" t="s">
        <v>160</v>
      </c>
      <c r="E4" s="27" t="s">
        <v>152</v>
      </c>
      <c r="F4" s="18" t="s">
        <v>30</v>
      </c>
      <c r="G4" s="18" t="s">
        <v>30</v>
      </c>
      <c r="H4" s="20" t="s">
        <v>153</v>
      </c>
      <c r="I4" s="20" t="s">
        <v>154</v>
      </c>
      <c r="J4" s="18" t="s">
        <v>44</v>
      </c>
      <c r="K4" s="20" t="s">
        <v>155</v>
      </c>
      <c r="L4" s="153">
        <v>0.55400000000000005</v>
      </c>
      <c r="M4" s="177">
        <v>1</v>
      </c>
      <c r="N4" s="155">
        <v>0.55400000000000005</v>
      </c>
      <c r="O4" s="20"/>
      <c r="P4" s="18" t="s">
        <v>36</v>
      </c>
      <c r="Q4" s="176">
        <v>-8.1482528312274802E-2</v>
      </c>
      <c r="R4" s="176">
        <v>5.6740810343320097E-5</v>
      </c>
    </row>
    <row r="5" spans="1:18">
      <c r="A5" s="20">
        <v>158</v>
      </c>
      <c r="B5" s="20">
        <v>1522</v>
      </c>
      <c r="C5" s="27" t="s">
        <v>150</v>
      </c>
      <c r="D5" s="20" t="s">
        <v>151</v>
      </c>
      <c r="E5" s="27" t="s">
        <v>152</v>
      </c>
      <c r="F5" s="18" t="s">
        <v>30</v>
      </c>
      <c r="G5" s="18" t="s">
        <v>30</v>
      </c>
      <c r="H5" s="20" t="s">
        <v>153</v>
      </c>
      <c r="I5" s="20" t="s">
        <v>154</v>
      </c>
      <c r="J5" s="18" t="s">
        <v>44</v>
      </c>
      <c r="K5" s="20" t="s">
        <v>155</v>
      </c>
      <c r="L5" s="153">
        <v>-2.621</v>
      </c>
      <c r="M5" s="177">
        <v>1</v>
      </c>
      <c r="N5" s="155">
        <v>-2.621</v>
      </c>
      <c r="O5" s="20"/>
      <c r="P5" s="18" t="s">
        <v>36</v>
      </c>
      <c r="Q5" s="176">
        <v>-0.270008735279817</v>
      </c>
      <c r="R5" s="176">
        <v>-2.57071650306388E-4</v>
      </c>
    </row>
    <row r="6" spans="1:18">
      <c r="A6" s="20">
        <v>158</v>
      </c>
      <c r="B6" s="20">
        <v>1522</v>
      </c>
      <c r="C6" s="27" t="s">
        <v>156</v>
      </c>
      <c r="D6" s="20" t="s">
        <v>157</v>
      </c>
      <c r="E6" s="27" t="s">
        <v>158</v>
      </c>
      <c r="F6" s="18" t="s">
        <v>30</v>
      </c>
      <c r="G6" s="18" t="s">
        <v>30</v>
      </c>
      <c r="H6" s="20" t="s">
        <v>153</v>
      </c>
      <c r="I6" s="20" t="s">
        <v>154</v>
      </c>
      <c r="J6" s="18" t="s">
        <v>44</v>
      </c>
      <c r="K6" s="20" t="s">
        <v>155</v>
      </c>
      <c r="L6" s="153">
        <v>7.4999999999999997E-2</v>
      </c>
      <c r="M6" s="177">
        <v>1</v>
      </c>
      <c r="N6" s="155">
        <v>7.4999999999999997E-2</v>
      </c>
      <c r="O6" s="20"/>
      <c r="P6" s="18" t="s">
        <v>36</v>
      </c>
      <c r="Q6" s="176">
        <v>7.7247480366222504E-3</v>
      </c>
      <c r="R6" s="176">
        <v>7.3546277083130701E-6</v>
      </c>
    </row>
    <row r="7" spans="1:18">
      <c r="A7" s="20">
        <v>158</v>
      </c>
      <c r="B7" s="20">
        <v>1522</v>
      </c>
      <c r="C7" s="27" t="s">
        <v>159</v>
      </c>
      <c r="D7" s="20" t="s">
        <v>160</v>
      </c>
      <c r="E7" s="27" t="s">
        <v>152</v>
      </c>
      <c r="F7" s="18" t="s">
        <v>30</v>
      </c>
      <c r="G7" s="18" t="s">
        <v>30</v>
      </c>
      <c r="H7" s="20" t="s">
        <v>153</v>
      </c>
      <c r="I7" s="20" t="s">
        <v>154</v>
      </c>
      <c r="J7" s="18" t="s">
        <v>44</v>
      </c>
      <c r="K7" s="20" t="s">
        <v>155</v>
      </c>
      <c r="L7" s="153">
        <v>12.254</v>
      </c>
      <c r="M7" s="177">
        <v>1</v>
      </c>
      <c r="N7" s="155">
        <v>12.254</v>
      </c>
      <c r="O7" s="20"/>
      <c r="P7" s="18" t="s">
        <v>36</v>
      </c>
      <c r="Q7" s="176">
        <v>1.2622839872431999</v>
      </c>
      <c r="R7" s="176">
        <v>1.20180344320953E-3</v>
      </c>
    </row>
    <row r="8" spans="1:18">
      <c r="A8" s="20">
        <v>158</v>
      </c>
      <c r="B8" s="20">
        <v>9935</v>
      </c>
      <c r="C8" s="27" t="s">
        <v>150</v>
      </c>
      <c r="D8" s="20" t="s">
        <v>151</v>
      </c>
      <c r="E8" s="27" t="s">
        <v>152</v>
      </c>
      <c r="F8" s="18" t="s">
        <v>30</v>
      </c>
      <c r="G8" s="18" t="s">
        <v>30</v>
      </c>
      <c r="H8" s="20" t="s">
        <v>153</v>
      </c>
      <c r="I8" s="20" t="s">
        <v>154</v>
      </c>
      <c r="J8" s="18" t="s">
        <v>44</v>
      </c>
      <c r="K8" s="20" t="s">
        <v>155</v>
      </c>
      <c r="L8" s="153">
        <v>470.13299999999998</v>
      </c>
      <c r="M8" s="177">
        <v>1</v>
      </c>
      <c r="N8" s="155">
        <v>470.13299999999998</v>
      </c>
      <c r="O8" s="20"/>
      <c r="P8" s="18" t="s">
        <v>36</v>
      </c>
      <c r="Q8" s="176">
        <v>0.52241084450782804</v>
      </c>
      <c r="R8" s="176">
        <v>4.3397072472921798E-4</v>
      </c>
    </row>
    <row r="9" spans="1:18">
      <c r="A9" s="20">
        <v>158</v>
      </c>
      <c r="B9" s="20">
        <v>9935</v>
      </c>
      <c r="C9" s="27" t="s">
        <v>156</v>
      </c>
      <c r="D9" s="20" t="s">
        <v>157</v>
      </c>
      <c r="E9" s="27" t="s">
        <v>158</v>
      </c>
      <c r="F9" s="18" t="s">
        <v>30</v>
      </c>
      <c r="G9" s="18" t="s">
        <v>30</v>
      </c>
      <c r="H9" s="20" t="s">
        <v>153</v>
      </c>
      <c r="I9" s="20" t="s">
        <v>154</v>
      </c>
      <c r="J9" s="18" t="s">
        <v>44</v>
      </c>
      <c r="K9" s="20" t="s">
        <v>155</v>
      </c>
      <c r="L9" s="153">
        <v>-75.236999999999995</v>
      </c>
      <c r="M9" s="177">
        <v>1</v>
      </c>
      <c r="N9" s="155">
        <v>-75.236999999999995</v>
      </c>
      <c r="O9" s="20"/>
      <c r="P9" s="18" t="s">
        <v>36</v>
      </c>
      <c r="Q9" s="176">
        <v>-8.3602799583963897E-2</v>
      </c>
      <c r="R9" s="176">
        <v>-6.9449491537690804E-5</v>
      </c>
    </row>
    <row r="10" spans="1:18">
      <c r="A10" s="20">
        <v>158</v>
      </c>
      <c r="B10" s="20">
        <v>9935</v>
      </c>
      <c r="C10" s="27" t="s">
        <v>159</v>
      </c>
      <c r="D10" s="20" t="s">
        <v>160</v>
      </c>
      <c r="E10" s="27" t="s">
        <v>152</v>
      </c>
      <c r="F10" s="18" t="s">
        <v>30</v>
      </c>
      <c r="G10" s="18" t="s">
        <v>30</v>
      </c>
      <c r="H10" s="20" t="s">
        <v>153</v>
      </c>
      <c r="I10" s="20" t="s">
        <v>154</v>
      </c>
      <c r="J10" s="18" t="s">
        <v>44</v>
      </c>
      <c r="K10" s="20" t="s">
        <v>155</v>
      </c>
      <c r="L10" s="153">
        <v>505.03300000000002</v>
      </c>
      <c r="M10" s="177">
        <v>1</v>
      </c>
      <c r="N10" s="155">
        <v>505.03300000000002</v>
      </c>
      <c r="O10" s="20"/>
      <c r="P10" s="18" t="s">
        <v>36</v>
      </c>
      <c r="Q10" s="176">
        <v>0.56119176061627796</v>
      </c>
      <c r="R10" s="176">
        <v>4.6618633136560401E-4</v>
      </c>
    </row>
    <row r="11" spans="1:18">
      <c r="A11" s="20">
        <v>158</v>
      </c>
      <c r="B11" s="20">
        <v>9935</v>
      </c>
      <c r="C11" s="27" t="s">
        <v>161</v>
      </c>
      <c r="D11" s="20" t="s">
        <v>162</v>
      </c>
      <c r="E11" s="27" t="s">
        <v>163</v>
      </c>
      <c r="F11" s="18"/>
      <c r="G11" s="18" t="s">
        <v>30</v>
      </c>
      <c r="H11" s="20" t="s">
        <v>153</v>
      </c>
      <c r="I11" s="20" t="s">
        <v>164</v>
      </c>
      <c r="J11" s="18" t="s">
        <v>44</v>
      </c>
      <c r="K11" s="20" t="s">
        <v>155</v>
      </c>
      <c r="L11" s="153">
        <v>175</v>
      </c>
      <c r="M11" s="177">
        <v>1</v>
      </c>
      <c r="N11" s="155">
        <v>0</v>
      </c>
      <c r="O11" s="20"/>
      <c r="P11" s="18" t="s">
        <v>36</v>
      </c>
      <c r="Q11" s="176">
        <v>1.94459857856628E-7</v>
      </c>
      <c r="R11" s="176">
        <v>1.61539306337116E-10</v>
      </c>
    </row>
    <row r="12" spans="1:18">
      <c r="A12" s="20">
        <v>158</v>
      </c>
      <c r="B12" s="20">
        <v>9936</v>
      </c>
      <c r="C12" s="27" t="s">
        <v>150</v>
      </c>
      <c r="D12" s="20" t="s">
        <v>151</v>
      </c>
      <c r="E12" s="27" t="s">
        <v>152</v>
      </c>
      <c r="F12" s="18" t="s">
        <v>30</v>
      </c>
      <c r="G12" s="18" t="s">
        <v>30</v>
      </c>
      <c r="H12" s="20" t="s">
        <v>153</v>
      </c>
      <c r="I12" s="20" t="s">
        <v>154</v>
      </c>
      <c r="J12" s="18" t="s">
        <v>44</v>
      </c>
      <c r="K12" s="20" t="s">
        <v>155</v>
      </c>
      <c r="L12" s="153">
        <v>-4.2110000000000003</v>
      </c>
      <c r="M12" s="177">
        <v>1</v>
      </c>
      <c r="N12" s="155">
        <v>-4.2110000000000003</v>
      </c>
      <c r="O12" s="20"/>
      <c r="P12" s="18" t="s">
        <v>36</v>
      </c>
      <c r="Q12" s="176">
        <v>1.6402430474409899</v>
      </c>
      <c r="R12" s="176">
        <v>-2.6341412336914098E-4</v>
      </c>
    </row>
    <row r="13" spans="1:18">
      <c r="A13" s="20">
        <v>158</v>
      </c>
      <c r="B13" s="20">
        <v>9936</v>
      </c>
      <c r="C13" s="27" t="s">
        <v>156</v>
      </c>
      <c r="D13" s="20" t="s">
        <v>157</v>
      </c>
      <c r="E13" s="27" t="s">
        <v>158</v>
      </c>
      <c r="F13" s="18" t="s">
        <v>30</v>
      </c>
      <c r="G13" s="18" t="s">
        <v>30</v>
      </c>
      <c r="H13" s="20" t="s">
        <v>153</v>
      </c>
      <c r="I13" s="20" t="s">
        <v>154</v>
      </c>
      <c r="J13" s="18" t="s">
        <v>44</v>
      </c>
      <c r="K13" s="20" t="s">
        <v>155</v>
      </c>
      <c r="L13" s="153">
        <v>0</v>
      </c>
      <c r="M13" s="177">
        <v>1</v>
      </c>
      <c r="N13" s="155">
        <v>0</v>
      </c>
      <c r="O13" s="20"/>
      <c r="P13" s="18" t="s">
        <v>36</v>
      </c>
      <c r="Q13" s="176">
        <v>3.8949910415206E-6</v>
      </c>
      <c r="R13" s="176">
        <v>-6.2551440308404696E-10</v>
      </c>
    </row>
    <row r="14" spans="1:18">
      <c r="A14" s="20">
        <v>158</v>
      </c>
      <c r="B14" s="20">
        <v>9936</v>
      </c>
      <c r="C14" s="27" t="s">
        <v>159</v>
      </c>
      <c r="D14" s="20" t="s">
        <v>160</v>
      </c>
      <c r="E14" s="27" t="s">
        <v>152</v>
      </c>
      <c r="F14" s="18" t="s">
        <v>30</v>
      </c>
      <c r="G14" s="18" t="s">
        <v>30</v>
      </c>
      <c r="H14" s="20" t="s">
        <v>153</v>
      </c>
      <c r="I14" s="20" t="s">
        <v>154</v>
      </c>
      <c r="J14" s="18" t="s">
        <v>44</v>
      </c>
      <c r="K14" s="20" t="s">
        <v>155</v>
      </c>
      <c r="L14" s="153">
        <v>1.6439999999999999</v>
      </c>
      <c r="M14" s="177">
        <v>1</v>
      </c>
      <c r="N14" s="155">
        <v>1.6439999999999999</v>
      </c>
      <c r="O14" s="20"/>
      <c r="P14" s="18" t="s">
        <v>36</v>
      </c>
      <c r="Q14" s="176">
        <v>-0.64024694243203195</v>
      </c>
      <c r="R14" s="176">
        <v>1.02820181035746E-4</v>
      </c>
    </row>
    <row r="15" spans="1:18">
      <c r="A15" s="20">
        <v>158</v>
      </c>
      <c r="B15" s="20">
        <v>9937</v>
      </c>
      <c r="C15" s="27" t="s">
        <v>150</v>
      </c>
      <c r="D15" s="20" t="s">
        <v>151</v>
      </c>
      <c r="E15" s="27" t="s">
        <v>152</v>
      </c>
      <c r="F15" s="18" t="s">
        <v>30</v>
      </c>
      <c r="G15" s="18" t="s">
        <v>30</v>
      </c>
      <c r="H15" s="20" t="s">
        <v>153</v>
      </c>
      <c r="I15" s="20" t="s">
        <v>154</v>
      </c>
      <c r="J15" s="18" t="s">
        <v>44</v>
      </c>
      <c r="K15" s="20" t="s">
        <v>155</v>
      </c>
      <c r="L15" s="153">
        <v>-8.0739999999999998</v>
      </c>
      <c r="M15" s="177">
        <v>1</v>
      </c>
      <c r="N15" s="155">
        <v>-8.0739999999999998</v>
      </c>
      <c r="O15" s="20"/>
      <c r="P15" s="18" t="s">
        <v>36</v>
      </c>
      <c r="Q15" s="176">
        <v>-1.97935455403434</v>
      </c>
      <c r="R15" s="176">
        <v>-2.5774180887140901E-4</v>
      </c>
    </row>
    <row r="16" spans="1:18">
      <c r="A16" s="20">
        <v>158</v>
      </c>
      <c r="B16" s="20">
        <v>9937</v>
      </c>
      <c r="C16" s="27" t="s">
        <v>156</v>
      </c>
      <c r="D16" s="20" t="s">
        <v>157</v>
      </c>
      <c r="E16" s="27" t="s">
        <v>158</v>
      </c>
      <c r="F16" s="18" t="s">
        <v>30</v>
      </c>
      <c r="G16" s="18" t="s">
        <v>30</v>
      </c>
      <c r="H16" s="20" t="s">
        <v>153</v>
      </c>
      <c r="I16" s="20" t="s">
        <v>154</v>
      </c>
      <c r="J16" s="18" t="s">
        <v>44</v>
      </c>
      <c r="K16" s="20" t="s">
        <v>155</v>
      </c>
      <c r="L16" s="153">
        <v>-1.0489999999999999</v>
      </c>
      <c r="M16" s="177">
        <v>1</v>
      </c>
      <c r="N16" s="155">
        <v>-1.0489999999999999</v>
      </c>
      <c r="O16" s="20"/>
      <c r="P16" s="18" t="s">
        <v>36</v>
      </c>
      <c r="Q16" s="176">
        <v>-0.257124296762965</v>
      </c>
      <c r="R16" s="176">
        <v>-3.3481460518227902E-5</v>
      </c>
    </row>
    <row r="17" spans="1:18">
      <c r="A17" s="20">
        <v>158</v>
      </c>
      <c r="B17" s="20">
        <v>9937</v>
      </c>
      <c r="C17" s="27" t="s">
        <v>159</v>
      </c>
      <c r="D17" s="20" t="s">
        <v>160</v>
      </c>
      <c r="E17" s="27" t="s">
        <v>152</v>
      </c>
      <c r="F17" s="18" t="s">
        <v>30</v>
      </c>
      <c r="G17" s="18" t="s">
        <v>30</v>
      </c>
      <c r="H17" s="20" t="s">
        <v>153</v>
      </c>
      <c r="I17" s="20" t="s">
        <v>154</v>
      </c>
      <c r="J17" s="18" t="s">
        <v>44</v>
      </c>
      <c r="K17" s="20" t="s">
        <v>155</v>
      </c>
      <c r="L17" s="153">
        <v>13.202999999999999</v>
      </c>
      <c r="M17" s="177">
        <v>1</v>
      </c>
      <c r="N17" s="155">
        <v>13.202999999999999</v>
      </c>
      <c r="O17" s="20"/>
      <c r="P17" s="18" t="s">
        <v>36</v>
      </c>
      <c r="Q17" s="176">
        <v>3.2364788507973099</v>
      </c>
      <c r="R17" s="176">
        <v>4.2143834801012798E-4</v>
      </c>
    </row>
    <row r="18" spans="1:18">
      <c r="A18" s="20">
        <v>158</v>
      </c>
      <c r="B18" s="20">
        <v>15073</v>
      </c>
      <c r="C18" s="27" t="s">
        <v>150</v>
      </c>
      <c r="D18" s="20" t="s">
        <v>151</v>
      </c>
      <c r="E18" s="27" t="s">
        <v>152</v>
      </c>
      <c r="F18" s="18" t="s">
        <v>30</v>
      </c>
      <c r="G18" s="18" t="s">
        <v>30</v>
      </c>
      <c r="H18" s="20" t="s">
        <v>153</v>
      </c>
      <c r="I18" s="20" t="s">
        <v>154</v>
      </c>
      <c r="J18" s="18" t="s">
        <v>44</v>
      </c>
      <c r="K18" s="20" t="s">
        <v>155</v>
      </c>
      <c r="L18" s="153">
        <v>-0.501</v>
      </c>
      <c r="M18" s="177">
        <v>1</v>
      </c>
      <c r="N18" s="155">
        <v>-0.501</v>
      </c>
      <c r="O18" s="20"/>
      <c r="P18" s="18" t="s">
        <v>36</v>
      </c>
      <c r="Q18" s="176">
        <v>1</v>
      </c>
      <c r="R18" s="176">
        <v>-2.4467117372339598E-4</v>
      </c>
    </row>
    <row r="19" spans="1:18">
      <c r="A19" s="20"/>
      <c r="B19" s="20"/>
      <c r="C19" s="27"/>
      <c r="D19" s="20"/>
      <c r="E19" s="27"/>
      <c r="F19" s="18"/>
      <c r="G19" s="18"/>
      <c r="H19" s="20"/>
      <c r="I19" s="20"/>
      <c r="J19" s="18"/>
      <c r="K19" s="20"/>
      <c r="M19" s="20"/>
      <c r="N19" s="20"/>
      <c r="O19" s="20"/>
      <c r="P19" s="18"/>
      <c r="Q19" s="20"/>
      <c r="R19" s="20"/>
    </row>
    <row r="20" spans="1:18">
      <c r="E20" s="27"/>
      <c r="F20" s="18"/>
      <c r="G20" s="18"/>
      <c r="H20" s="20"/>
      <c r="P20" s="1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5" customWidth="1"/>
    <col min="17" max="20" width="11.625" style="2" customWidth="1"/>
    <col min="21" max="16384" width="11.625" style="2"/>
  </cols>
  <sheetData>
    <row r="1" spans="1:22" ht="66.75" customHeight="1">
      <c r="A1" s="19" t="s">
        <v>0</v>
      </c>
      <c r="B1" s="19" t="s">
        <v>1</v>
      </c>
      <c r="C1" s="19" t="s">
        <v>134</v>
      </c>
      <c r="D1" s="19" t="s">
        <v>135</v>
      </c>
      <c r="E1" s="19" t="s">
        <v>136</v>
      </c>
      <c r="F1" s="19" t="s">
        <v>137</v>
      </c>
      <c r="G1" s="19" t="s">
        <v>138</v>
      </c>
      <c r="H1" s="19" t="s">
        <v>6</v>
      </c>
      <c r="I1" s="19" t="s">
        <v>7</v>
      </c>
      <c r="J1" s="19" t="s">
        <v>139</v>
      </c>
      <c r="K1" s="19" t="s">
        <v>9</v>
      </c>
      <c r="L1" s="19" t="s">
        <v>10</v>
      </c>
      <c r="M1" s="19" t="s">
        <v>140</v>
      </c>
      <c r="N1" s="19" t="s">
        <v>11</v>
      </c>
      <c r="O1" s="19" t="s">
        <v>18</v>
      </c>
      <c r="P1" s="143" t="s">
        <v>14</v>
      </c>
      <c r="Q1" s="19" t="s">
        <v>141</v>
      </c>
      <c r="R1" s="19" t="s">
        <v>142</v>
      </c>
      <c r="S1" s="19" t="s">
        <v>143</v>
      </c>
      <c r="T1" s="19" t="s">
        <v>144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4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8"/>
  <sheetViews>
    <sheetView rightToLeft="1" tabSelected="1" zoomScale="70" zoomScaleNormal="70" workbookViewId="0">
      <selection activeCell="G32" sqref="G32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208</v>
      </c>
      <c r="E1" s="19" t="s">
        <v>209</v>
      </c>
      <c r="F1" s="19" t="s">
        <v>210</v>
      </c>
      <c r="G1" s="19" t="s">
        <v>211</v>
      </c>
      <c r="H1" s="19" t="s">
        <v>212</v>
      </c>
      <c r="I1" s="19" t="s">
        <v>213</v>
      </c>
      <c r="J1" s="19" t="s">
        <v>11</v>
      </c>
      <c r="K1" s="19" t="s">
        <v>214</v>
      </c>
      <c r="L1" s="19" t="s">
        <v>215</v>
      </c>
      <c r="M1" s="19" t="s">
        <v>216</v>
      </c>
      <c r="N1" s="19" t="s">
        <v>217</v>
      </c>
      <c r="O1" s="19" t="s">
        <v>218</v>
      </c>
      <c r="P1" s="19" t="s">
        <v>219</v>
      </c>
      <c r="Q1" s="19" t="s">
        <v>220</v>
      </c>
    </row>
    <row r="2" spans="1:22" ht="14.1" customHeight="1">
      <c r="A2" s="2">
        <v>520042615</v>
      </c>
      <c r="B2" s="2">
        <v>9935</v>
      </c>
      <c r="C2" s="2" t="s">
        <v>1049</v>
      </c>
      <c r="D2" s="2" t="s">
        <v>2731</v>
      </c>
      <c r="E2" s="2">
        <v>540303633</v>
      </c>
      <c r="F2" s="20" t="s">
        <v>329</v>
      </c>
      <c r="G2" s="2" t="s">
        <v>2518</v>
      </c>
      <c r="H2" s="2">
        <v>62020128</v>
      </c>
      <c r="I2" s="20" t="s">
        <v>1343</v>
      </c>
      <c r="J2" s="2" t="s">
        <v>2730</v>
      </c>
      <c r="K2" s="20">
        <v>44581</v>
      </c>
      <c r="L2" s="2">
        <v>500</v>
      </c>
      <c r="M2" s="2">
        <v>1855</v>
      </c>
      <c r="N2" s="2">
        <v>395.45100000000002</v>
      </c>
      <c r="O2" s="189">
        <v>1467.12321</v>
      </c>
      <c r="P2" s="20">
        <v>0.82062400000000002</v>
      </c>
      <c r="Q2" s="2">
        <v>47503</v>
      </c>
      <c r="V2" s="18"/>
    </row>
    <row r="3" spans="1:22" ht="13.5" customHeight="1">
      <c r="A3" s="2">
        <v>520042615</v>
      </c>
      <c r="B3" s="2">
        <v>9935</v>
      </c>
      <c r="C3" s="2" t="s">
        <v>2729</v>
      </c>
      <c r="D3" s="2" t="s">
        <v>2732</v>
      </c>
      <c r="E3" s="2" t="s">
        <v>2733</v>
      </c>
      <c r="F3" s="20" t="s">
        <v>330</v>
      </c>
      <c r="G3" s="2" t="s">
        <v>2734</v>
      </c>
      <c r="H3" s="2">
        <v>62019765</v>
      </c>
      <c r="I3" s="20" t="s">
        <v>1343</v>
      </c>
      <c r="J3" s="2" t="s">
        <v>2735</v>
      </c>
      <c r="K3" s="20">
        <v>44524</v>
      </c>
      <c r="L3" s="2">
        <v>468.08</v>
      </c>
      <c r="M3" s="2">
        <v>1736.5768</v>
      </c>
      <c r="N3" s="2">
        <v>17.763999999999999</v>
      </c>
      <c r="O3" s="189">
        <v>73.763233600000007</v>
      </c>
      <c r="P3" s="20">
        <v>0.36055375149547081</v>
      </c>
      <c r="Q3" s="2">
        <v>47067</v>
      </c>
      <c r="V3" s="18"/>
    </row>
    <row r="4" spans="1:22" ht="14.1" customHeight="1">
      <c r="A4" s="2">
        <v>520042615</v>
      </c>
      <c r="B4" s="2">
        <v>9935</v>
      </c>
      <c r="C4" s="2" t="s">
        <v>494</v>
      </c>
      <c r="D4" s="2" t="s">
        <v>2736</v>
      </c>
      <c r="E4" s="2" t="s">
        <v>2737</v>
      </c>
      <c r="F4" s="20" t="s">
        <v>330</v>
      </c>
      <c r="G4" s="2" t="s">
        <v>2531</v>
      </c>
      <c r="H4" s="2">
        <v>62020359</v>
      </c>
      <c r="I4" s="20" t="s">
        <v>1343</v>
      </c>
      <c r="J4" s="2" t="s">
        <v>2730</v>
      </c>
      <c r="K4" s="20">
        <v>44635</v>
      </c>
      <c r="L4" s="2">
        <v>1700</v>
      </c>
      <c r="M4" s="2">
        <v>6307</v>
      </c>
      <c r="N4" s="2">
        <v>710.65700000000004</v>
      </c>
      <c r="O4" s="189">
        <v>2636.5374700000002</v>
      </c>
      <c r="P4" s="20">
        <v>0.47707352941176467</v>
      </c>
      <c r="Q4" s="2">
        <v>48274</v>
      </c>
      <c r="V4" s="18"/>
    </row>
    <row r="5" spans="1:22" ht="14.1" customHeight="1">
      <c r="A5" s="2">
        <v>520042615</v>
      </c>
      <c r="B5" s="2">
        <v>9935</v>
      </c>
      <c r="C5" s="2" t="s">
        <v>2738</v>
      </c>
      <c r="D5" s="2" t="s">
        <v>2739</v>
      </c>
      <c r="E5" s="2">
        <v>104909</v>
      </c>
      <c r="F5" s="20" t="s">
        <v>330</v>
      </c>
      <c r="G5" s="2" t="s">
        <v>2740</v>
      </c>
      <c r="H5" s="2">
        <v>62018734</v>
      </c>
      <c r="I5" s="20" t="s">
        <v>1343</v>
      </c>
      <c r="J5" s="2" t="s">
        <v>2730</v>
      </c>
      <c r="K5" s="20">
        <v>44399</v>
      </c>
      <c r="L5" s="2">
        <v>400</v>
      </c>
      <c r="M5" s="2">
        <v>1484</v>
      </c>
      <c r="N5" s="2">
        <v>80</v>
      </c>
      <c r="O5" s="189">
        <v>296.8</v>
      </c>
      <c r="P5" s="20">
        <v>0.2</v>
      </c>
      <c r="Q5" s="2">
        <v>47665</v>
      </c>
      <c r="V5" s="18"/>
    </row>
    <row r="6" spans="1:22" ht="14.1" customHeight="1">
      <c r="A6" s="2">
        <v>520042615</v>
      </c>
      <c r="B6" s="2">
        <v>9935</v>
      </c>
      <c r="C6" s="2" t="s">
        <v>494</v>
      </c>
      <c r="D6" s="2" t="s">
        <v>2742</v>
      </c>
      <c r="E6" s="2" t="s">
        <v>2743</v>
      </c>
      <c r="F6" s="20" t="s">
        <v>330</v>
      </c>
      <c r="G6" s="2" t="s">
        <v>2744</v>
      </c>
      <c r="H6" s="2">
        <v>62018072</v>
      </c>
      <c r="I6" s="20" t="s">
        <v>1343</v>
      </c>
      <c r="J6" s="2" t="s">
        <v>2735</v>
      </c>
      <c r="K6" s="20">
        <v>44286</v>
      </c>
      <c r="L6" s="2">
        <v>600</v>
      </c>
      <c r="M6" s="2">
        <v>2226</v>
      </c>
      <c r="N6" s="2">
        <v>26.348200000000002</v>
      </c>
      <c r="O6" s="189">
        <v>109.40826568</v>
      </c>
      <c r="P6" s="2">
        <v>4.3913666666666663E-2</v>
      </c>
      <c r="Q6" s="2">
        <v>45380</v>
      </c>
    </row>
    <row r="7" spans="1:22" ht="14.1" customHeight="1">
      <c r="A7" s="2">
        <v>520042615</v>
      </c>
      <c r="B7" s="2">
        <v>9935</v>
      </c>
      <c r="C7" s="2" t="s">
        <v>2745</v>
      </c>
      <c r="D7" s="2" t="s">
        <v>2746</v>
      </c>
      <c r="E7" s="2" t="s">
        <v>2747</v>
      </c>
      <c r="F7" s="20" t="s">
        <v>328</v>
      </c>
      <c r="G7" s="2" t="s">
        <v>2748</v>
      </c>
      <c r="H7" s="2">
        <v>62019021</v>
      </c>
      <c r="I7" s="20" t="s">
        <v>1343</v>
      </c>
      <c r="J7" s="2" t="s">
        <v>2730</v>
      </c>
      <c r="K7" s="20">
        <v>44431</v>
      </c>
      <c r="L7" s="2">
        <v>700</v>
      </c>
      <c r="M7" s="2">
        <v>2597</v>
      </c>
      <c r="N7" s="2">
        <v>353.02199999999999</v>
      </c>
      <c r="O7" s="189">
        <v>1309.71162</v>
      </c>
      <c r="P7" s="2">
        <v>0.51535142857142857</v>
      </c>
      <c r="Q7" s="2">
        <v>46727</v>
      </c>
    </row>
    <row r="8" spans="1:22" ht="14.1" customHeight="1">
      <c r="A8" s="2">
        <v>520042615</v>
      </c>
      <c r="B8" s="2">
        <v>9935</v>
      </c>
      <c r="C8" s="2" t="s">
        <v>494</v>
      </c>
      <c r="D8" s="2" t="s">
        <v>2749</v>
      </c>
      <c r="E8" s="2">
        <v>6589505</v>
      </c>
      <c r="F8" s="20" t="s">
        <v>330</v>
      </c>
      <c r="G8" s="2" t="s">
        <v>2750</v>
      </c>
      <c r="H8" s="2">
        <v>62021001</v>
      </c>
      <c r="I8" s="20" t="s">
        <v>1343</v>
      </c>
      <c r="J8" s="2" t="s">
        <v>2730</v>
      </c>
      <c r="K8" s="20">
        <v>44887</v>
      </c>
      <c r="L8" s="2">
        <v>1000</v>
      </c>
      <c r="M8" s="2">
        <v>3710</v>
      </c>
      <c r="N8" s="2">
        <v>547.90481000000011</v>
      </c>
      <c r="O8" s="189">
        <v>2032.7268451</v>
      </c>
      <c r="P8" s="2">
        <v>0.53223525000000005</v>
      </c>
      <c r="Q8" s="2">
        <v>46608</v>
      </c>
    </row>
    <row r="9" spans="1:22" ht="14.1" customHeight="1">
      <c r="A9" s="2">
        <v>520042615</v>
      </c>
      <c r="B9" s="2">
        <v>9935</v>
      </c>
      <c r="C9" s="2" t="s">
        <v>2745</v>
      </c>
      <c r="D9" s="2" t="s">
        <v>2751</v>
      </c>
      <c r="E9" s="2">
        <v>310223474</v>
      </c>
      <c r="F9" s="20" t="s">
        <v>330</v>
      </c>
      <c r="G9" s="2" t="s">
        <v>2752</v>
      </c>
      <c r="H9" s="2">
        <v>62019740</v>
      </c>
      <c r="I9" s="20" t="s">
        <v>1343</v>
      </c>
      <c r="J9" s="2" t="s">
        <v>2730</v>
      </c>
      <c r="K9" s="20">
        <v>44518</v>
      </c>
      <c r="L9" s="2">
        <v>1000</v>
      </c>
      <c r="M9" s="2">
        <v>3710</v>
      </c>
      <c r="N9" s="2">
        <v>44.241999999999997</v>
      </c>
      <c r="O9" s="189">
        <v>164.13782</v>
      </c>
      <c r="P9" s="2">
        <v>8.9369000000000004E-2</v>
      </c>
      <c r="Q9" s="2">
        <v>49041</v>
      </c>
    </row>
    <row r="10" spans="1:22" ht="14.1" customHeight="1">
      <c r="A10" s="2">
        <v>520042615</v>
      </c>
      <c r="B10" s="2">
        <v>9935</v>
      </c>
      <c r="C10" s="2" t="s">
        <v>2738</v>
      </c>
      <c r="D10" s="2" t="s">
        <v>2753</v>
      </c>
      <c r="E10" s="2">
        <v>540297413</v>
      </c>
      <c r="F10" s="20" t="s">
        <v>329</v>
      </c>
      <c r="G10" s="2" t="s">
        <v>2754</v>
      </c>
      <c r="H10" s="2">
        <v>62018619</v>
      </c>
      <c r="I10" s="20" t="s">
        <v>1343</v>
      </c>
      <c r="J10" s="2" t="s">
        <v>2730</v>
      </c>
      <c r="K10" s="20">
        <v>44389</v>
      </c>
      <c r="L10" s="2">
        <v>340</v>
      </c>
      <c r="M10" s="2">
        <v>1261.4000000000001</v>
      </c>
      <c r="N10" s="2">
        <v>102.238</v>
      </c>
      <c r="O10" s="189">
        <v>379.30297999999999</v>
      </c>
      <c r="P10" s="2">
        <v>0.37285000000000001</v>
      </c>
      <c r="Q10" s="2">
        <v>45549</v>
      </c>
    </row>
    <row r="11" spans="1:22" ht="14.1" customHeight="1">
      <c r="A11" s="2">
        <v>520042615</v>
      </c>
      <c r="B11" s="2">
        <v>9935</v>
      </c>
      <c r="C11" s="2" t="s">
        <v>2738</v>
      </c>
      <c r="D11" s="2" t="s">
        <v>2755</v>
      </c>
      <c r="E11" s="2" t="s">
        <v>2756</v>
      </c>
      <c r="F11" s="20" t="s">
        <v>330</v>
      </c>
      <c r="G11" s="2" t="s">
        <v>2574</v>
      </c>
      <c r="H11" s="2">
        <v>62019716</v>
      </c>
      <c r="I11" s="20" t="s">
        <v>1343</v>
      </c>
      <c r="J11" s="2" t="s">
        <v>2735</v>
      </c>
      <c r="K11" s="20">
        <v>44508</v>
      </c>
      <c r="L11" s="2">
        <v>430</v>
      </c>
      <c r="M11" s="2">
        <v>1595.3</v>
      </c>
      <c r="N11" s="2">
        <v>118.18563</v>
      </c>
      <c r="O11" s="189">
        <v>490.75401001199998</v>
      </c>
      <c r="P11" s="2">
        <v>0.27485030232558139</v>
      </c>
      <c r="Q11" s="2">
        <v>47066</v>
      </c>
    </row>
    <row r="12" spans="1:22" ht="14.1" customHeight="1">
      <c r="A12" s="2">
        <v>520042615</v>
      </c>
      <c r="B12" s="2">
        <v>9935</v>
      </c>
      <c r="C12" s="2" t="s">
        <v>2738</v>
      </c>
      <c r="D12" s="2" t="s">
        <v>2757</v>
      </c>
      <c r="E12" s="2">
        <v>107746</v>
      </c>
      <c r="F12" s="20" t="s">
        <v>330</v>
      </c>
      <c r="G12" s="2" t="s">
        <v>2758</v>
      </c>
      <c r="H12" s="2">
        <v>62018965</v>
      </c>
      <c r="I12" s="20" t="s">
        <v>1343</v>
      </c>
      <c r="J12" s="2" t="s">
        <v>2730</v>
      </c>
      <c r="K12" s="20">
        <v>44426</v>
      </c>
      <c r="L12" s="2">
        <v>700</v>
      </c>
      <c r="M12" s="2">
        <v>2597</v>
      </c>
      <c r="N12" s="2">
        <v>161</v>
      </c>
      <c r="O12" s="189">
        <v>597.30999999999995</v>
      </c>
      <c r="P12" s="2">
        <v>0.28000000000000003</v>
      </c>
      <c r="Q12" s="2">
        <v>46023</v>
      </c>
    </row>
    <row r="13" spans="1:22" ht="14.1" customHeight="1">
      <c r="A13" s="2">
        <v>520042615</v>
      </c>
      <c r="B13" s="2">
        <v>9935</v>
      </c>
      <c r="C13" s="2" t="s">
        <v>494</v>
      </c>
      <c r="D13" s="2" t="s">
        <v>2759</v>
      </c>
      <c r="E13" s="2" t="s">
        <v>2760</v>
      </c>
      <c r="F13" s="20" t="s">
        <v>328</v>
      </c>
      <c r="G13" s="2" t="s">
        <v>2761</v>
      </c>
      <c r="H13" s="2">
        <v>62020938</v>
      </c>
      <c r="I13" s="20" t="s">
        <v>1343</v>
      </c>
      <c r="J13" s="2" t="s">
        <v>2730</v>
      </c>
      <c r="K13" s="20">
        <v>44858</v>
      </c>
      <c r="L13" s="2">
        <v>315.83</v>
      </c>
      <c r="M13" s="2">
        <v>1171.7293</v>
      </c>
      <c r="N13" s="2">
        <v>218.28299999999999</v>
      </c>
      <c r="O13" s="189">
        <v>809.8299300000001</v>
      </c>
      <c r="P13" s="2">
        <v>0.67475857264984329</v>
      </c>
      <c r="Q13" s="2">
        <v>47026</v>
      </c>
    </row>
    <row r="14" spans="1:22" ht="14.1" customHeight="1">
      <c r="A14" s="2">
        <v>520042615</v>
      </c>
      <c r="B14" s="2">
        <v>9935</v>
      </c>
      <c r="C14" s="2" t="s">
        <v>494</v>
      </c>
      <c r="D14" s="2" t="s">
        <v>2762</v>
      </c>
      <c r="E14" s="2">
        <v>4926301</v>
      </c>
      <c r="F14" s="20" t="s">
        <v>330</v>
      </c>
      <c r="G14" s="2" t="s">
        <v>2762</v>
      </c>
      <c r="H14" s="2">
        <v>62018254</v>
      </c>
      <c r="I14" s="20" t="s">
        <v>1343</v>
      </c>
      <c r="J14" s="2" t="s">
        <v>2730</v>
      </c>
      <c r="K14" s="2">
        <v>44327</v>
      </c>
      <c r="L14" s="2">
        <v>340</v>
      </c>
      <c r="M14" s="2">
        <v>1261.4000000000001</v>
      </c>
      <c r="N14" s="2">
        <v>88.4</v>
      </c>
      <c r="O14" s="189">
        <v>327.964</v>
      </c>
      <c r="P14" s="2">
        <v>0</v>
      </c>
      <c r="Q14" s="2">
        <v>45410</v>
      </c>
    </row>
    <row r="15" spans="1:22" ht="14.1" customHeight="1">
      <c r="A15" s="2">
        <v>520042615</v>
      </c>
      <c r="B15" s="2">
        <v>9935</v>
      </c>
      <c r="C15" s="2" t="s">
        <v>494</v>
      </c>
      <c r="D15" s="2" t="s">
        <v>2763</v>
      </c>
      <c r="E15" s="2">
        <v>3935</v>
      </c>
      <c r="F15" s="2" t="s">
        <v>330</v>
      </c>
      <c r="G15" s="2" t="s">
        <v>2764</v>
      </c>
      <c r="H15" s="2">
        <v>62019286</v>
      </c>
      <c r="I15" s="2" t="s">
        <v>1343</v>
      </c>
      <c r="J15" s="2" t="s">
        <v>2730</v>
      </c>
      <c r="K15" s="2">
        <v>44565</v>
      </c>
      <c r="L15" s="2">
        <v>1000</v>
      </c>
      <c r="M15" s="2">
        <v>3710</v>
      </c>
      <c r="N15" s="2">
        <v>475.68710999999996</v>
      </c>
      <c r="O15" s="189">
        <v>1764.7991780999998</v>
      </c>
      <c r="P15" s="2">
        <v>0.47213471000000001</v>
      </c>
      <c r="Q15" s="2">
        <v>45987</v>
      </c>
    </row>
    <row r="16" spans="1:22" ht="14.1" customHeight="1">
      <c r="A16" s="2">
        <v>520042615</v>
      </c>
      <c r="B16" s="2">
        <v>9935</v>
      </c>
      <c r="C16" s="2" t="s">
        <v>494</v>
      </c>
      <c r="D16" s="2" t="s">
        <v>2401</v>
      </c>
      <c r="E16" s="2" t="s">
        <v>2765</v>
      </c>
      <c r="F16" s="2" t="s">
        <v>328</v>
      </c>
      <c r="G16" s="2" t="s">
        <v>2401</v>
      </c>
      <c r="H16" s="2">
        <v>62020158</v>
      </c>
      <c r="I16" s="2" t="s">
        <v>1343</v>
      </c>
      <c r="J16" s="2" t="s">
        <v>2741</v>
      </c>
      <c r="K16" s="11">
        <v>44598</v>
      </c>
      <c r="L16" s="2">
        <v>3339.3910000000001</v>
      </c>
      <c r="M16" s="2">
        <v>12389.140609999999</v>
      </c>
      <c r="N16" s="2">
        <v>1616.3869999999999</v>
      </c>
      <c r="O16" s="189">
        <v>1616.3869999999999</v>
      </c>
      <c r="P16" s="2">
        <v>0.59721667813083279</v>
      </c>
      <c r="Q16" s="2">
        <v>48245</v>
      </c>
    </row>
    <row r="17" spans="1:17" ht="14.1" customHeight="1">
      <c r="A17" s="2">
        <v>520042615</v>
      </c>
      <c r="B17" s="2">
        <v>9935</v>
      </c>
      <c r="C17" s="2" t="s">
        <v>2738</v>
      </c>
      <c r="D17" s="2" t="s">
        <v>2766</v>
      </c>
      <c r="E17" s="2">
        <v>540279544</v>
      </c>
      <c r="F17" s="2" t="s">
        <v>328</v>
      </c>
      <c r="G17" s="2" t="s">
        <v>2767</v>
      </c>
      <c r="H17" s="2">
        <v>62014386</v>
      </c>
      <c r="I17" s="2" t="s">
        <v>1343</v>
      </c>
      <c r="J17" s="2" t="s">
        <v>2730</v>
      </c>
      <c r="K17" s="2">
        <v>43720</v>
      </c>
      <c r="L17" s="2">
        <v>555</v>
      </c>
      <c r="M17" s="2">
        <v>2059.0500000000002</v>
      </c>
      <c r="N17" s="2">
        <v>61.05</v>
      </c>
      <c r="O17" s="189">
        <v>226.49549999999999</v>
      </c>
      <c r="P17" s="2">
        <v>0.11000000000000001</v>
      </c>
      <c r="Q17" s="2">
        <v>46842</v>
      </c>
    </row>
    <row r="18" spans="1:17" ht="14.1" customHeight="1">
      <c r="A18" s="2">
        <v>520042615</v>
      </c>
      <c r="B18" s="2">
        <v>9935</v>
      </c>
      <c r="C18" s="2" t="s">
        <v>501</v>
      </c>
      <c r="D18" s="2" t="s">
        <v>2768</v>
      </c>
      <c r="E18" s="2" t="s">
        <v>2463</v>
      </c>
      <c r="F18" s="2" t="s">
        <v>328</v>
      </c>
      <c r="G18" s="2" t="s">
        <v>2769</v>
      </c>
      <c r="H18" s="2">
        <v>62018890</v>
      </c>
      <c r="I18" s="2" t="s">
        <v>1343</v>
      </c>
      <c r="J18" s="2" t="s">
        <v>2735</v>
      </c>
      <c r="K18" s="2">
        <v>44421</v>
      </c>
      <c r="L18" s="2">
        <v>1300</v>
      </c>
      <c r="M18" s="2">
        <v>4823</v>
      </c>
      <c r="N18" s="2">
        <v>187.97322</v>
      </c>
      <c r="O18" s="189">
        <v>780.539998728</v>
      </c>
      <c r="P18" s="2">
        <v>0.19968466923076922</v>
      </c>
      <c r="Q18" s="2">
        <v>48061</v>
      </c>
    </row>
    <row r="19" spans="1:17" ht="14.1" customHeight="1">
      <c r="A19" s="2">
        <v>520042615</v>
      </c>
      <c r="B19" s="2">
        <v>9935</v>
      </c>
      <c r="C19" s="2" t="s">
        <v>2745</v>
      </c>
      <c r="D19" s="2" t="s">
        <v>2411</v>
      </c>
      <c r="E19" s="2" t="s">
        <v>2770</v>
      </c>
      <c r="F19" s="2" t="s">
        <v>330</v>
      </c>
      <c r="G19" s="2" t="s">
        <v>2771</v>
      </c>
      <c r="H19" s="2">
        <v>62012778</v>
      </c>
      <c r="I19" s="2" t="s">
        <v>1343</v>
      </c>
      <c r="J19" s="2" t="s">
        <v>2730</v>
      </c>
      <c r="K19" s="2">
        <v>43614</v>
      </c>
      <c r="L19" s="2">
        <v>2000</v>
      </c>
      <c r="M19" s="2">
        <v>7420</v>
      </c>
      <c r="N19" s="2">
        <v>430.24799999999999</v>
      </c>
      <c r="O19" s="189">
        <v>1596.2200800000001</v>
      </c>
      <c r="P19" s="2">
        <v>0.21690899999999999</v>
      </c>
      <c r="Q19" s="2">
        <v>46188</v>
      </c>
    </row>
    <row r="20" spans="1:17" ht="14.1" customHeight="1">
      <c r="A20" s="2">
        <v>520042615</v>
      </c>
      <c r="B20" s="2">
        <v>9935</v>
      </c>
      <c r="C20" s="2" t="s">
        <v>2745</v>
      </c>
      <c r="D20" s="2" t="s">
        <v>2772</v>
      </c>
      <c r="E20" s="2" t="s">
        <v>2773</v>
      </c>
      <c r="F20" s="2" t="s">
        <v>328</v>
      </c>
      <c r="G20" s="2" t="s">
        <v>2774</v>
      </c>
      <c r="H20" s="2">
        <v>62010103</v>
      </c>
      <c r="I20" s="2" t="s">
        <v>1343</v>
      </c>
      <c r="J20" s="2" t="s">
        <v>2730</v>
      </c>
      <c r="K20" s="2">
        <v>43458</v>
      </c>
      <c r="L20" s="2">
        <v>2000</v>
      </c>
      <c r="M20" s="2">
        <v>7420</v>
      </c>
      <c r="N20" s="2">
        <v>350</v>
      </c>
      <c r="O20" s="189">
        <v>1298.5</v>
      </c>
      <c r="P20" s="2">
        <v>0.19</v>
      </c>
      <c r="Q20" s="2">
        <v>46813</v>
      </c>
    </row>
    <row r="21" spans="1:17" ht="14.1" customHeight="1">
      <c r="A21" s="2">
        <v>520042615</v>
      </c>
      <c r="B21" s="2">
        <v>9935</v>
      </c>
      <c r="C21" s="2" t="s">
        <v>501</v>
      </c>
      <c r="D21" s="2" t="s">
        <v>2775</v>
      </c>
      <c r="E21" s="2" t="s">
        <v>2776</v>
      </c>
      <c r="F21" s="2" t="s">
        <v>328</v>
      </c>
      <c r="G21" s="2" t="s">
        <v>2777</v>
      </c>
      <c r="H21" s="2">
        <v>62017520</v>
      </c>
      <c r="I21" s="2" t="s">
        <v>1343</v>
      </c>
      <c r="J21" s="2" t="s">
        <v>2730</v>
      </c>
      <c r="K21" s="2">
        <v>44118</v>
      </c>
      <c r="L21" s="2">
        <v>2000</v>
      </c>
      <c r="M21" s="2">
        <v>7420</v>
      </c>
      <c r="N21" s="2">
        <v>340</v>
      </c>
      <c r="O21" s="189">
        <v>1261.4000000000001</v>
      </c>
      <c r="P21" s="2">
        <v>0.2</v>
      </c>
      <c r="Q21" s="2">
        <v>47757</v>
      </c>
    </row>
    <row r="22" spans="1:17" ht="14.1" customHeight="1">
      <c r="A22" s="2">
        <v>520042615</v>
      </c>
      <c r="B22" s="2">
        <v>9935</v>
      </c>
      <c r="C22" s="2" t="s">
        <v>2738</v>
      </c>
      <c r="D22" s="2" t="s">
        <v>2476</v>
      </c>
      <c r="E22" s="2" t="s">
        <v>2778</v>
      </c>
      <c r="F22" s="2" t="s">
        <v>330</v>
      </c>
      <c r="G22" s="2" t="s">
        <v>2779</v>
      </c>
      <c r="H22" s="2">
        <v>62015862</v>
      </c>
      <c r="I22" s="2" t="s">
        <v>1343</v>
      </c>
      <c r="J22" s="2" t="s">
        <v>2730</v>
      </c>
      <c r="K22" s="2">
        <v>43915</v>
      </c>
      <c r="L22" s="2">
        <v>710</v>
      </c>
      <c r="M22" s="2">
        <v>2634.1</v>
      </c>
      <c r="N22" s="2">
        <v>21.24652</v>
      </c>
      <c r="O22" s="189">
        <v>78.824589200000005</v>
      </c>
      <c r="P22" s="2">
        <v>2.9924676056338029E-2</v>
      </c>
      <c r="Q22" s="2">
        <v>47543</v>
      </c>
    </row>
    <row r="23" spans="1:17" ht="14.1" customHeight="1">
      <c r="A23" s="2">
        <v>520042615</v>
      </c>
      <c r="B23" s="2">
        <v>9935</v>
      </c>
      <c r="C23" s="2" t="s">
        <v>2745</v>
      </c>
      <c r="D23" s="2" t="s">
        <v>2746</v>
      </c>
      <c r="E23" s="2" t="s">
        <v>2747</v>
      </c>
      <c r="F23" s="2" t="s">
        <v>328</v>
      </c>
      <c r="G23" s="2" t="s">
        <v>2780</v>
      </c>
      <c r="H23" s="2">
        <v>62009311</v>
      </c>
      <c r="I23" s="2" t="s">
        <v>1343</v>
      </c>
      <c r="J23" s="2" t="s">
        <v>2730</v>
      </c>
      <c r="K23" s="2">
        <v>43354</v>
      </c>
      <c r="L23" s="2">
        <v>2000</v>
      </c>
      <c r="M23" s="2">
        <v>7420</v>
      </c>
      <c r="N23" s="2">
        <v>177.22179</v>
      </c>
      <c r="O23" s="189">
        <v>657.49284089999992</v>
      </c>
      <c r="P23" s="2">
        <v>7.9505370000000006E-2</v>
      </c>
      <c r="Q23" s="2">
        <v>46174</v>
      </c>
    </row>
    <row r="24" spans="1:17" ht="14.1" customHeight="1">
      <c r="A24" s="2">
        <v>520042615</v>
      </c>
      <c r="B24" s="2">
        <v>9935</v>
      </c>
      <c r="C24" s="2" t="s">
        <v>501</v>
      </c>
      <c r="D24" s="2" t="s">
        <v>2781</v>
      </c>
      <c r="E24" s="2" t="s">
        <v>2501</v>
      </c>
      <c r="F24" s="2" t="s">
        <v>330</v>
      </c>
      <c r="G24" s="2" t="s">
        <v>2782</v>
      </c>
      <c r="H24" s="2">
        <v>62007083</v>
      </c>
      <c r="I24" s="2" t="s">
        <v>1343</v>
      </c>
      <c r="J24" s="2" t="s">
        <v>2730</v>
      </c>
      <c r="K24" s="2">
        <v>43227</v>
      </c>
      <c r="L24" s="2">
        <v>1400</v>
      </c>
      <c r="M24" s="2">
        <v>5194</v>
      </c>
      <c r="N24" s="2">
        <v>237.3</v>
      </c>
      <c r="O24" s="189">
        <v>880.38300000000004</v>
      </c>
      <c r="P24" s="2">
        <v>0.16950000000000001</v>
      </c>
      <c r="Q24" s="2">
        <v>47969</v>
      </c>
    </row>
    <row r="25" spans="1:17" ht="14.1" customHeight="1">
      <c r="A25" s="2">
        <v>520042615</v>
      </c>
      <c r="B25" s="2">
        <v>9935</v>
      </c>
      <c r="C25" s="2" t="s">
        <v>2745</v>
      </c>
      <c r="D25" s="2" t="s">
        <v>2783</v>
      </c>
      <c r="E25" s="2">
        <v>0</v>
      </c>
      <c r="F25" s="2">
        <v>0</v>
      </c>
      <c r="G25" s="2" t="s">
        <v>2783</v>
      </c>
      <c r="H25" s="2">
        <v>62013958</v>
      </c>
      <c r="I25" s="2" t="s">
        <v>1343</v>
      </c>
      <c r="J25" s="2" t="s">
        <v>2730</v>
      </c>
      <c r="K25" s="2">
        <v>43696</v>
      </c>
      <c r="L25" s="2">
        <v>1000</v>
      </c>
      <c r="M25" s="2">
        <v>3710</v>
      </c>
      <c r="N25" s="2">
        <v>139.67699999999999</v>
      </c>
      <c r="O25" s="189">
        <v>518.20167000000004</v>
      </c>
      <c r="P25" s="2">
        <v>0.14339200000000002</v>
      </c>
      <c r="Q25" s="2">
        <v>46600</v>
      </c>
    </row>
    <row r="26" spans="1:17" ht="14.1" customHeight="1">
      <c r="A26" s="2">
        <v>520042615</v>
      </c>
      <c r="B26" s="2">
        <v>9935</v>
      </c>
      <c r="C26" s="2" t="s">
        <v>2738</v>
      </c>
      <c r="D26" s="2" t="s">
        <v>2784</v>
      </c>
      <c r="E26" s="2" t="s">
        <v>2785</v>
      </c>
      <c r="F26" s="2" t="s">
        <v>328</v>
      </c>
      <c r="G26" s="2" t="s">
        <v>2784</v>
      </c>
      <c r="H26" s="2">
        <v>62010434</v>
      </c>
      <c r="I26" s="2" t="s">
        <v>1343</v>
      </c>
      <c r="J26" s="2" t="s">
        <v>2730</v>
      </c>
      <c r="K26" s="2">
        <v>43489</v>
      </c>
      <c r="L26" s="2">
        <v>900</v>
      </c>
      <c r="M26" s="2">
        <v>3339</v>
      </c>
      <c r="N26" s="2">
        <v>67.5</v>
      </c>
      <c r="O26" s="189">
        <v>250.42500000000001</v>
      </c>
      <c r="P26" s="2">
        <v>7.4999999999999997E-2</v>
      </c>
      <c r="Q26" s="2">
        <v>46388</v>
      </c>
    </row>
    <row r="27" spans="1:17" ht="14.1" customHeight="1">
      <c r="A27" s="2">
        <v>520042615</v>
      </c>
      <c r="B27" s="2">
        <v>9935</v>
      </c>
      <c r="C27" s="2" t="s">
        <v>2745</v>
      </c>
      <c r="D27" s="2" t="s">
        <v>2786</v>
      </c>
      <c r="E27" s="2" t="s">
        <v>2787</v>
      </c>
      <c r="F27" s="2" t="s">
        <v>328</v>
      </c>
      <c r="G27" s="2" t="s">
        <v>2788</v>
      </c>
      <c r="H27" s="2">
        <v>62016084</v>
      </c>
      <c r="I27" s="2" t="s">
        <v>1343</v>
      </c>
      <c r="J27" s="2" t="s">
        <v>2730</v>
      </c>
      <c r="K27" s="2">
        <v>43937</v>
      </c>
      <c r="L27" s="2">
        <v>1540</v>
      </c>
      <c r="M27" s="2">
        <v>5713.4</v>
      </c>
      <c r="N27" s="2">
        <v>20.02</v>
      </c>
      <c r="O27" s="189">
        <v>74.274199999999993</v>
      </c>
      <c r="P27" s="2">
        <v>3.0000000000000002E-2</v>
      </c>
      <c r="Q27" s="2">
        <v>47574</v>
      </c>
    </row>
    <row r="28" spans="1:17" ht="14.1" customHeight="1">
      <c r="A28" s="2">
        <v>520042615</v>
      </c>
      <c r="B28" s="2">
        <v>9935</v>
      </c>
      <c r="C28" s="2" t="s">
        <v>2729</v>
      </c>
      <c r="D28" s="2" t="s">
        <v>2789</v>
      </c>
      <c r="E28" s="2" t="s">
        <v>2790</v>
      </c>
      <c r="F28" s="2" t="s">
        <v>328</v>
      </c>
      <c r="G28" s="2" t="s">
        <v>2789</v>
      </c>
      <c r="H28" s="2">
        <v>62019294</v>
      </c>
      <c r="I28" s="2" t="s">
        <v>1343</v>
      </c>
      <c r="J28" s="2" t="s">
        <v>2735</v>
      </c>
      <c r="K28" s="2">
        <v>42964</v>
      </c>
      <c r="L28" s="2">
        <v>750</v>
      </c>
      <c r="M28" s="2">
        <v>2782.5</v>
      </c>
      <c r="N28" s="2">
        <v>11.568</v>
      </c>
      <c r="O28" s="189">
        <v>48.0349632</v>
      </c>
      <c r="P28" s="2">
        <v>1.5423999999999998E-2</v>
      </c>
      <c r="Q28" s="2">
        <v>45814</v>
      </c>
    </row>
    <row r="29" spans="1:17" ht="14.1" customHeight="1">
      <c r="A29" s="2">
        <v>520042615</v>
      </c>
      <c r="B29" s="2">
        <v>9935</v>
      </c>
      <c r="C29" s="2" t="s">
        <v>2745</v>
      </c>
      <c r="D29" s="2" t="s">
        <v>2791</v>
      </c>
      <c r="E29" s="2" t="s">
        <v>2765</v>
      </c>
      <c r="F29" s="2" t="s">
        <v>328</v>
      </c>
      <c r="G29" s="2" t="s">
        <v>2792</v>
      </c>
      <c r="H29" s="2">
        <v>62012059</v>
      </c>
      <c r="I29" s="2" t="s">
        <v>1343</v>
      </c>
      <c r="J29" s="2" t="s">
        <v>2730</v>
      </c>
      <c r="K29" s="2">
        <v>43575</v>
      </c>
      <c r="L29" s="2">
        <v>1000</v>
      </c>
      <c r="M29" s="2">
        <v>3710</v>
      </c>
      <c r="N29" s="2">
        <v>307.36599999999999</v>
      </c>
      <c r="O29" s="189">
        <v>1140.3278600000001</v>
      </c>
      <c r="P29" s="2">
        <v>0.32895400000000002</v>
      </c>
      <c r="Q29" s="2">
        <v>47178</v>
      </c>
    </row>
    <row r="30" spans="1:17" ht="14.1" customHeight="1">
      <c r="A30" s="2">
        <v>520042615</v>
      </c>
      <c r="B30" s="2">
        <v>9935</v>
      </c>
      <c r="C30" s="2" t="s">
        <v>494</v>
      </c>
      <c r="D30" s="2" t="s">
        <v>2793</v>
      </c>
      <c r="E30" s="2" t="s">
        <v>2794</v>
      </c>
      <c r="F30" s="2" t="s">
        <v>328</v>
      </c>
      <c r="G30" s="2" t="s">
        <v>2795</v>
      </c>
      <c r="H30" s="2">
        <v>62016845</v>
      </c>
      <c r="I30" s="2" t="s">
        <v>1343</v>
      </c>
      <c r="J30" s="2" t="s">
        <v>2730</v>
      </c>
      <c r="K30" s="2">
        <v>44004</v>
      </c>
      <c r="L30" s="2">
        <v>1500</v>
      </c>
      <c r="M30" s="2">
        <v>5565</v>
      </c>
      <c r="N30" s="2">
        <v>408.15648999999996</v>
      </c>
      <c r="O30" s="189">
        <v>1514.2605778999998</v>
      </c>
      <c r="P30" s="2">
        <v>0.18275720000000001</v>
      </c>
      <c r="Q30" s="2">
        <v>47635</v>
      </c>
    </row>
    <row r="31" spans="1:17" ht="14.1" customHeight="1">
      <c r="A31" s="2">
        <v>520042615</v>
      </c>
      <c r="B31" s="2">
        <v>9935</v>
      </c>
      <c r="C31" s="2" t="s">
        <v>494</v>
      </c>
      <c r="D31" s="2" t="s">
        <v>2796</v>
      </c>
      <c r="E31" s="2" t="s">
        <v>2797</v>
      </c>
      <c r="F31" s="2" t="s">
        <v>328</v>
      </c>
      <c r="G31" s="2" t="s">
        <v>2798</v>
      </c>
      <c r="H31" s="2">
        <v>62017611</v>
      </c>
      <c r="I31" s="2" t="s">
        <v>1343</v>
      </c>
      <c r="J31" s="2" t="s">
        <v>2735</v>
      </c>
      <c r="K31" s="2">
        <v>43595</v>
      </c>
      <c r="L31" s="2">
        <v>1000</v>
      </c>
      <c r="M31" s="2">
        <v>3710</v>
      </c>
      <c r="N31" s="2">
        <v>300.69451000000004</v>
      </c>
      <c r="O31" s="189">
        <v>1248.603883324</v>
      </c>
      <c r="P31" s="2">
        <v>0.23257804000000001</v>
      </c>
      <c r="Q31" s="2">
        <v>45960</v>
      </c>
    </row>
    <row r="32" spans="1:17" ht="14.1" customHeight="1">
      <c r="A32" s="2">
        <v>520042615</v>
      </c>
      <c r="B32" s="2">
        <v>9935</v>
      </c>
      <c r="C32" s="2" t="s">
        <v>494</v>
      </c>
      <c r="D32" s="2" t="s">
        <v>2344</v>
      </c>
      <c r="E32" s="2" t="s">
        <v>2799</v>
      </c>
      <c r="F32" s="2" t="s">
        <v>328</v>
      </c>
      <c r="G32" s="2" t="s">
        <v>2800</v>
      </c>
      <c r="H32" s="2">
        <v>50001015</v>
      </c>
      <c r="I32" s="2" t="s">
        <v>1343</v>
      </c>
      <c r="J32" s="2" t="s">
        <v>2741</v>
      </c>
      <c r="K32" s="2">
        <v>43782</v>
      </c>
      <c r="L32" s="2">
        <v>5400</v>
      </c>
      <c r="M32" s="2">
        <v>20034</v>
      </c>
      <c r="N32" s="2">
        <v>1620</v>
      </c>
      <c r="O32" s="189">
        <v>1620</v>
      </c>
      <c r="P32" s="2">
        <v>0.3</v>
      </c>
      <c r="Q32" s="2">
        <v>46692</v>
      </c>
    </row>
    <row r="33" spans="1:20" ht="14.1" customHeight="1">
      <c r="A33" s="2">
        <v>520042615</v>
      </c>
      <c r="B33" s="2">
        <v>9935</v>
      </c>
      <c r="C33" s="2" t="s">
        <v>494</v>
      </c>
      <c r="D33" s="2" t="s">
        <v>2801</v>
      </c>
      <c r="E33" s="2">
        <v>530278415</v>
      </c>
      <c r="F33" s="2" t="s">
        <v>328</v>
      </c>
      <c r="G33" s="2" t="s">
        <v>2801</v>
      </c>
      <c r="H33" s="2">
        <v>62017819</v>
      </c>
      <c r="I33" s="2" t="s">
        <v>1343</v>
      </c>
      <c r="J33" s="2" t="s">
        <v>2730</v>
      </c>
      <c r="K33" s="2">
        <v>44245</v>
      </c>
      <c r="L33" s="2">
        <v>1000</v>
      </c>
      <c r="M33" s="2">
        <v>3710</v>
      </c>
      <c r="N33" s="2">
        <v>580.39099999999996</v>
      </c>
      <c r="O33" s="189">
        <v>2153.2506100000001</v>
      </c>
      <c r="P33" s="2">
        <v>0.55577500000000002</v>
      </c>
      <c r="Q33" s="2">
        <v>46054</v>
      </c>
    </row>
    <row r="34" spans="1:20" ht="14.1" customHeight="1">
      <c r="A34" s="2">
        <v>520042615</v>
      </c>
      <c r="B34" s="2">
        <v>9935</v>
      </c>
      <c r="C34" s="2" t="s">
        <v>494</v>
      </c>
      <c r="D34" s="2" t="s">
        <v>2802</v>
      </c>
      <c r="E34" s="2" t="s">
        <v>2496</v>
      </c>
      <c r="F34" s="2" t="s">
        <v>328</v>
      </c>
      <c r="G34" s="2" t="s">
        <v>2803</v>
      </c>
      <c r="H34" s="2">
        <v>62017140</v>
      </c>
      <c r="I34" s="2" t="s">
        <v>1343</v>
      </c>
      <c r="J34" s="2" t="s">
        <v>2735</v>
      </c>
      <c r="K34" s="2">
        <v>44029</v>
      </c>
      <c r="L34" s="2">
        <v>1337</v>
      </c>
      <c r="M34" s="2">
        <v>4960.2700000000004</v>
      </c>
      <c r="N34" s="2">
        <v>118.84505</v>
      </c>
      <c r="O34" s="189">
        <v>493.49218561999999</v>
      </c>
      <c r="P34" s="2">
        <v>8.8889341810022435E-2</v>
      </c>
      <c r="Q34" s="2">
        <v>46753</v>
      </c>
    </row>
    <row r="35" spans="1:20" ht="14.1" customHeight="1">
      <c r="A35" s="2">
        <v>520042615</v>
      </c>
      <c r="B35" s="2">
        <v>9935</v>
      </c>
      <c r="C35" s="2" t="s">
        <v>494</v>
      </c>
      <c r="D35" s="2" t="s">
        <v>2510</v>
      </c>
      <c r="E35" s="2">
        <v>0</v>
      </c>
      <c r="F35" s="2">
        <v>0</v>
      </c>
      <c r="G35" s="2" t="s">
        <v>2510</v>
      </c>
      <c r="H35" s="2">
        <v>62016522</v>
      </c>
      <c r="I35" s="2" t="s">
        <v>1343</v>
      </c>
      <c r="J35" s="2" t="s">
        <v>2730</v>
      </c>
      <c r="K35" s="2">
        <v>43958</v>
      </c>
      <c r="L35" s="2">
        <v>1500</v>
      </c>
      <c r="M35" s="2">
        <v>5565</v>
      </c>
      <c r="N35" s="2">
        <v>35.1738</v>
      </c>
      <c r="O35" s="189">
        <v>130.494798</v>
      </c>
      <c r="P35" s="2">
        <v>2.34492E-2</v>
      </c>
      <c r="Q35" s="2">
        <v>45778</v>
      </c>
    </row>
    <row r="36" spans="1:20" ht="14.1" customHeight="1">
      <c r="A36" s="2">
        <v>520042615</v>
      </c>
      <c r="B36" s="2">
        <v>9935</v>
      </c>
      <c r="C36" s="2" t="s">
        <v>494</v>
      </c>
      <c r="D36" s="2" t="s">
        <v>2804</v>
      </c>
      <c r="E36" s="2" t="s">
        <v>2805</v>
      </c>
      <c r="F36" s="2" t="s">
        <v>328</v>
      </c>
      <c r="G36" s="2" t="s">
        <v>2806</v>
      </c>
      <c r="H36" s="2">
        <v>50006782</v>
      </c>
      <c r="I36" s="2" t="s">
        <v>1343</v>
      </c>
      <c r="J36" s="2" t="s">
        <v>2741</v>
      </c>
      <c r="K36" s="2">
        <v>43803</v>
      </c>
      <c r="L36" s="2">
        <v>7000</v>
      </c>
      <c r="M36" s="2">
        <v>25970</v>
      </c>
      <c r="N36" s="2">
        <v>2075.9520000000002</v>
      </c>
      <c r="O36" s="189">
        <v>2075.9520000000002</v>
      </c>
      <c r="P36" s="2">
        <v>0.33093428571428574</v>
      </c>
      <c r="Q36" s="2">
        <v>46327</v>
      </c>
    </row>
    <row r="37" spans="1:20" ht="14.1" customHeight="1">
      <c r="A37" s="2">
        <v>520042615</v>
      </c>
      <c r="B37" s="2">
        <v>9935</v>
      </c>
      <c r="C37" s="2" t="s">
        <v>2738</v>
      </c>
      <c r="D37" s="2" t="s">
        <v>2476</v>
      </c>
      <c r="E37" s="2" t="s">
        <v>2778</v>
      </c>
      <c r="F37" s="2" t="s">
        <v>330</v>
      </c>
      <c r="G37" s="2" t="s">
        <v>2422</v>
      </c>
      <c r="H37" s="2">
        <v>62018577</v>
      </c>
      <c r="I37" s="2" t="s">
        <v>1343</v>
      </c>
      <c r="J37" s="2" t="s">
        <v>2730</v>
      </c>
      <c r="K37" s="2">
        <v>44392</v>
      </c>
      <c r="L37" s="2">
        <v>750</v>
      </c>
      <c r="M37" s="2">
        <v>2782.5</v>
      </c>
      <c r="N37" s="2">
        <v>98.25</v>
      </c>
      <c r="O37" s="189">
        <v>364.50749999999999</v>
      </c>
      <c r="P37" s="2">
        <v>0.185</v>
      </c>
      <c r="Q37" s="2">
        <v>48030</v>
      </c>
    </row>
    <row r="38" spans="1:20" ht="14.1" customHeight="1">
      <c r="A38" s="2">
        <v>520042615</v>
      </c>
      <c r="B38" s="2">
        <v>9935</v>
      </c>
      <c r="C38" s="2" t="s">
        <v>2729</v>
      </c>
      <c r="D38" s="2" t="s">
        <v>2807</v>
      </c>
      <c r="E38" s="2" t="s">
        <v>2808</v>
      </c>
      <c r="F38" s="2" t="s">
        <v>328</v>
      </c>
      <c r="G38" s="2" t="s">
        <v>2809</v>
      </c>
      <c r="H38" s="2">
        <v>50007145</v>
      </c>
      <c r="I38" s="2" t="s">
        <v>1343</v>
      </c>
      <c r="J38" s="2" t="s">
        <v>2741</v>
      </c>
      <c r="K38" s="2">
        <v>44545</v>
      </c>
      <c r="L38" s="2">
        <v>5000</v>
      </c>
      <c r="M38" s="2">
        <v>18550</v>
      </c>
      <c r="N38" s="2">
        <v>972.21500000000003</v>
      </c>
      <c r="O38" s="189">
        <v>972.21500000000003</v>
      </c>
      <c r="P38" s="2">
        <v>0.62786319999999995</v>
      </c>
      <c r="Q38" s="2">
        <v>47088</v>
      </c>
    </row>
    <row r="39" spans="1:20" ht="14.1" customHeight="1">
      <c r="A39" s="2">
        <v>520042615</v>
      </c>
      <c r="B39" s="2">
        <v>9935</v>
      </c>
      <c r="C39" s="2" t="s">
        <v>2745</v>
      </c>
      <c r="D39" s="2" t="s">
        <v>2786</v>
      </c>
      <c r="E39" s="2" t="s">
        <v>2787</v>
      </c>
      <c r="F39" s="2" t="s">
        <v>328</v>
      </c>
      <c r="G39" s="2" t="s">
        <v>2810</v>
      </c>
      <c r="H39" s="2">
        <v>62021399</v>
      </c>
      <c r="I39" s="2" t="s">
        <v>1343</v>
      </c>
      <c r="J39" s="2" t="s">
        <v>2730</v>
      </c>
      <c r="K39" s="2">
        <v>45224</v>
      </c>
      <c r="L39" s="2">
        <v>1200</v>
      </c>
      <c r="M39" s="2">
        <v>4452</v>
      </c>
      <c r="N39" s="2">
        <v>894</v>
      </c>
      <c r="O39" s="189">
        <v>3316.74</v>
      </c>
      <c r="P39" s="2">
        <v>0.9</v>
      </c>
      <c r="Q39" s="2">
        <v>48853</v>
      </c>
    </row>
    <row r="40" spans="1:20" ht="14.1" customHeight="1">
      <c r="A40" s="2">
        <v>520042615</v>
      </c>
      <c r="B40" s="2">
        <v>9935</v>
      </c>
      <c r="C40" s="2" t="s">
        <v>494</v>
      </c>
      <c r="D40" s="2" t="s">
        <v>2811</v>
      </c>
      <c r="E40" s="2" t="s">
        <v>2812</v>
      </c>
      <c r="F40" s="2" t="s">
        <v>328</v>
      </c>
      <c r="G40" s="2" t="s">
        <v>2408</v>
      </c>
      <c r="H40" s="2">
        <v>62020771</v>
      </c>
      <c r="I40" s="2" t="s">
        <v>1343</v>
      </c>
      <c r="J40" s="2" t="s">
        <v>2730</v>
      </c>
      <c r="K40" s="2">
        <v>44802</v>
      </c>
      <c r="L40" s="2">
        <v>1300</v>
      </c>
      <c r="M40" s="2">
        <v>4823</v>
      </c>
      <c r="N40" s="2">
        <v>498.07227</v>
      </c>
      <c r="O40" s="189">
        <v>1847.8481217000001</v>
      </c>
      <c r="P40" s="2">
        <v>0.439672976923077</v>
      </c>
      <c r="Q40" s="2">
        <v>46722</v>
      </c>
    </row>
    <row r="41" spans="1:20" ht="14.1" customHeight="1">
      <c r="A41" s="2">
        <v>520042615</v>
      </c>
      <c r="B41" s="2">
        <v>9935</v>
      </c>
      <c r="C41" s="2" t="s">
        <v>494</v>
      </c>
      <c r="D41" s="2" t="s">
        <v>2411</v>
      </c>
      <c r="E41" s="2" t="s">
        <v>2770</v>
      </c>
      <c r="F41" s="2" t="s">
        <v>330</v>
      </c>
      <c r="G41" s="2" t="s">
        <v>2813</v>
      </c>
      <c r="H41" s="2">
        <v>62018031</v>
      </c>
      <c r="I41" s="2" t="s">
        <v>1343</v>
      </c>
      <c r="J41" s="2" t="s">
        <v>2730</v>
      </c>
      <c r="K41" s="2">
        <v>44284</v>
      </c>
      <c r="L41" s="2">
        <v>1500</v>
      </c>
      <c r="M41" s="2">
        <v>5565</v>
      </c>
      <c r="N41" s="2">
        <v>140.31100000000001</v>
      </c>
      <c r="O41" s="189">
        <v>520.55381</v>
      </c>
      <c r="P41" s="2">
        <v>9.7816E-2</v>
      </c>
      <c r="Q41" s="2">
        <v>46082</v>
      </c>
    </row>
    <row r="42" spans="1:20" ht="14.1" customHeight="1">
      <c r="A42" s="2">
        <v>520042615</v>
      </c>
      <c r="B42" s="2">
        <v>9935</v>
      </c>
      <c r="C42" s="2" t="s">
        <v>494</v>
      </c>
      <c r="D42" s="2" t="s">
        <v>2411</v>
      </c>
      <c r="E42" s="2" t="s">
        <v>2770</v>
      </c>
      <c r="F42" s="2" t="s">
        <v>330</v>
      </c>
      <c r="G42" s="2" t="s">
        <v>2417</v>
      </c>
      <c r="H42" s="2">
        <v>62020599</v>
      </c>
      <c r="I42" s="2" t="s">
        <v>1343</v>
      </c>
      <c r="J42" s="2" t="s">
        <v>2730</v>
      </c>
      <c r="K42" s="2">
        <v>44736</v>
      </c>
      <c r="L42" s="2">
        <v>60</v>
      </c>
      <c r="M42" s="2">
        <v>222.6</v>
      </c>
      <c r="N42" s="2">
        <v>273.96199999999999</v>
      </c>
      <c r="O42" s="189">
        <v>1016.3990200000001</v>
      </c>
      <c r="P42" s="2">
        <v>0.19165000000000001</v>
      </c>
      <c r="Q42" s="2">
        <v>46539</v>
      </c>
    </row>
    <row r="43" spans="1:20" ht="14.1" customHeight="1">
      <c r="A43" s="2">
        <v>520042615</v>
      </c>
      <c r="B43" s="2">
        <v>9935</v>
      </c>
      <c r="C43" s="2" t="s">
        <v>494</v>
      </c>
      <c r="D43" s="2" t="s">
        <v>2814</v>
      </c>
      <c r="E43" s="2" t="s">
        <v>2815</v>
      </c>
      <c r="F43" s="2" t="s">
        <v>328</v>
      </c>
      <c r="G43" s="2" t="s">
        <v>2816</v>
      </c>
      <c r="H43" s="2">
        <v>50007954</v>
      </c>
      <c r="I43" s="2" t="s">
        <v>1343</v>
      </c>
      <c r="J43" s="2" t="s">
        <v>2741</v>
      </c>
      <c r="K43" s="2">
        <v>45046</v>
      </c>
      <c r="L43" s="2">
        <v>5400</v>
      </c>
      <c r="M43" s="2">
        <v>20034</v>
      </c>
      <c r="N43" s="2">
        <v>2790.029</v>
      </c>
      <c r="O43" s="189">
        <v>2790.029</v>
      </c>
      <c r="P43" s="2">
        <v>0.62674666666666667</v>
      </c>
      <c r="Q43" s="2">
        <v>47574</v>
      </c>
    </row>
    <row r="44" spans="1:20" ht="14.1" customHeight="1">
      <c r="A44" s="2">
        <v>520042615</v>
      </c>
      <c r="B44" s="2">
        <v>9935</v>
      </c>
      <c r="C44" s="2" t="s">
        <v>494</v>
      </c>
      <c r="D44" s="2" t="s">
        <v>2817</v>
      </c>
      <c r="E44" s="2">
        <v>0</v>
      </c>
      <c r="F44" s="2">
        <v>0</v>
      </c>
      <c r="G44" s="2" t="s">
        <v>2425</v>
      </c>
      <c r="H44" s="2">
        <v>62020649</v>
      </c>
      <c r="I44" s="2" t="s">
        <v>1343</v>
      </c>
      <c r="J44" s="2" t="s">
        <v>2730</v>
      </c>
      <c r="K44" s="2">
        <v>44757</v>
      </c>
      <c r="L44" s="2">
        <v>50</v>
      </c>
      <c r="M44" s="2">
        <v>185.5</v>
      </c>
      <c r="N44" s="2">
        <v>245.01300000000001</v>
      </c>
      <c r="O44" s="189">
        <v>908.99823000000004</v>
      </c>
      <c r="P44" s="2">
        <v>0.15504000000000001</v>
      </c>
      <c r="Q44" s="2">
        <v>46935</v>
      </c>
    </row>
    <row r="45" spans="1:20" ht="14.1" customHeight="1">
      <c r="A45" s="2">
        <v>520042615</v>
      </c>
      <c r="B45" s="2">
        <v>9935</v>
      </c>
      <c r="C45" s="2" t="s">
        <v>494</v>
      </c>
      <c r="D45" s="2" t="s">
        <v>2818</v>
      </c>
      <c r="E45" s="2" t="s">
        <v>2728</v>
      </c>
      <c r="F45" s="2" t="s">
        <v>2728</v>
      </c>
      <c r="G45" s="2" t="s">
        <v>2818</v>
      </c>
      <c r="H45" s="2">
        <v>62021886</v>
      </c>
      <c r="I45" s="2" t="s">
        <v>1343</v>
      </c>
      <c r="J45" s="2" t="s">
        <v>2730</v>
      </c>
      <c r="K45" s="2">
        <v>45527</v>
      </c>
      <c r="L45" s="2">
        <v>830</v>
      </c>
      <c r="M45" s="2">
        <v>3079.3</v>
      </c>
      <c r="N45" s="2">
        <v>456.99099999999999</v>
      </c>
      <c r="O45" s="189">
        <v>1695.4366100000002</v>
      </c>
      <c r="Q45" s="2">
        <v>47574</v>
      </c>
    </row>
    <row r="46" spans="1:20" ht="14.1" customHeight="1">
      <c r="A46" s="2">
        <v>520042615</v>
      </c>
      <c r="B46" s="2">
        <v>9935</v>
      </c>
      <c r="C46" s="2" t="s">
        <v>494</v>
      </c>
      <c r="D46" s="2" t="s">
        <v>2344</v>
      </c>
      <c r="E46" s="2" t="s">
        <v>2819</v>
      </c>
      <c r="F46" s="2" t="s">
        <v>328</v>
      </c>
      <c r="G46" s="2" t="s">
        <v>2346</v>
      </c>
      <c r="H46" s="2">
        <v>50007921</v>
      </c>
      <c r="I46" s="2" t="s">
        <v>1343</v>
      </c>
      <c r="J46" s="2" t="s">
        <v>2741</v>
      </c>
      <c r="K46" s="2">
        <v>45040</v>
      </c>
      <c r="L46" s="2">
        <v>3000</v>
      </c>
      <c r="M46" s="2">
        <v>11130</v>
      </c>
      <c r="N46" s="2">
        <v>2100</v>
      </c>
      <c r="O46" s="189">
        <v>2100</v>
      </c>
      <c r="P46" s="2">
        <v>0.7</v>
      </c>
      <c r="Q46" s="2">
        <v>47939</v>
      </c>
    </row>
    <row r="47" spans="1:20" ht="14.1" customHeight="1">
      <c r="A47" s="2">
        <v>520042615</v>
      </c>
      <c r="B47" s="2">
        <v>9937</v>
      </c>
      <c r="C47" s="2" t="s">
        <v>494</v>
      </c>
      <c r="D47" s="2" t="s">
        <v>2411</v>
      </c>
      <c r="E47" s="2" t="s">
        <v>2770</v>
      </c>
      <c r="F47" s="2" t="s">
        <v>330</v>
      </c>
      <c r="G47" s="2" t="s">
        <v>2417</v>
      </c>
      <c r="H47" s="2">
        <v>62020599</v>
      </c>
      <c r="I47" s="2" t="s">
        <v>1343</v>
      </c>
      <c r="J47" s="2" t="s">
        <v>2730</v>
      </c>
      <c r="K47" s="2">
        <v>44736</v>
      </c>
      <c r="L47" s="2">
        <v>60</v>
      </c>
      <c r="M47" s="2">
        <v>222.6</v>
      </c>
      <c r="N47" s="2">
        <v>10.952</v>
      </c>
      <c r="O47" s="189">
        <v>40.631920000000001</v>
      </c>
      <c r="P47" s="2">
        <v>0.19165000000000001</v>
      </c>
      <c r="Q47" s="2">
        <v>46539</v>
      </c>
      <c r="T47" s="190"/>
    </row>
    <row r="48" spans="1:20" ht="14.1" customHeight="1">
      <c r="A48" s="2">
        <v>520042615</v>
      </c>
      <c r="B48" s="2">
        <v>9937</v>
      </c>
      <c r="C48" s="2" t="s">
        <v>494</v>
      </c>
      <c r="D48" s="2" t="s">
        <v>2817</v>
      </c>
      <c r="E48" s="2">
        <v>0</v>
      </c>
      <c r="F48" s="2">
        <v>0</v>
      </c>
      <c r="G48" s="2" t="s">
        <v>2425</v>
      </c>
      <c r="H48" s="2">
        <v>62020649</v>
      </c>
      <c r="I48" s="2" t="s">
        <v>1343</v>
      </c>
      <c r="J48" s="2" t="s">
        <v>2730</v>
      </c>
      <c r="K48" s="2">
        <v>44757</v>
      </c>
      <c r="L48" s="2">
        <v>50</v>
      </c>
      <c r="M48" s="2">
        <v>185.5</v>
      </c>
      <c r="N48" s="2">
        <v>12.247999999999999</v>
      </c>
      <c r="O48" s="189">
        <v>45.440080000000002</v>
      </c>
      <c r="P48" s="2">
        <v>0.15504000000000001</v>
      </c>
      <c r="Q48" s="2">
        <v>46935</v>
      </c>
      <c r="T48" s="190"/>
    </row>
  </sheetData>
  <sheetProtection formatColumns="0"/>
  <dataConsolidate/>
  <dataValidations count="2">
    <dataValidation type="list" allowBlank="1" showInputMessage="1" showErrorMessage="1" sqref="F2:F14" xr:uid="{00000000-0002-0000-1E00-000000000000}">
      <formula1>Issuer_Number_Fund</formula1>
    </dataValidation>
    <dataValidation type="list" allowBlank="1" showInputMessage="1" showErrorMessage="1" sqref="I2:I14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5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1" customFormat="1" ht="45">
      <c r="A1" s="50" t="s">
        <v>221</v>
      </c>
      <c r="B1" s="50" t="s">
        <v>222</v>
      </c>
      <c r="C1" s="50" t="s">
        <v>223</v>
      </c>
      <c r="D1" s="50" t="s">
        <v>224</v>
      </c>
    </row>
    <row r="2" spans="1:5">
      <c r="A2" s="85"/>
      <c r="B2" s="85" t="s">
        <v>225</v>
      </c>
      <c r="C2" s="21" t="s">
        <v>30</v>
      </c>
      <c r="D2" s="21"/>
    </row>
    <row r="3" spans="1:5">
      <c r="A3" s="86"/>
      <c r="B3" s="86"/>
      <c r="C3" s="21" t="s">
        <v>106</v>
      </c>
      <c r="D3" s="21"/>
    </row>
    <row r="4" spans="1:5" ht="42.75">
      <c r="A4" s="78"/>
      <c r="B4" s="99" t="s">
        <v>226</v>
      </c>
      <c r="C4" s="22" t="s">
        <v>30</v>
      </c>
      <c r="D4" s="22"/>
    </row>
    <row r="5" spans="1:5">
      <c r="A5" s="79"/>
      <c r="B5" s="100"/>
      <c r="C5" s="22" t="s">
        <v>227</v>
      </c>
      <c r="D5" s="22"/>
    </row>
    <row r="6" spans="1:5">
      <c r="A6" s="79"/>
      <c r="B6" s="100"/>
      <c r="C6" s="22" t="s">
        <v>228</v>
      </c>
      <c r="D6" s="22"/>
    </row>
    <row r="7" spans="1:5">
      <c r="A7" s="79"/>
      <c r="B7" s="100"/>
      <c r="C7" s="22" t="s">
        <v>229</v>
      </c>
      <c r="D7" s="22"/>
    </row>
    <row r="8" spans="1:5">
      <c r="A8" s="79"/>
      <c r="B8" s="100"/>
      <c r="C8" s="22" t="s">
        <v>230</v>
      </c>
      <c r="D8" s="22"/>
    </row>
    <row r="9" spans="1:5">
      <c r="A9" s="79"/>
      <c r="B9" s="100"/>
      <c r="C9" s="22" t="s">
        <v>231</v>
      </c>
      <c r="D9" s="22"/>
    </row>
    <row r="10" spans="1:5">
      <c r="A10" s="79"/>
      <c r="B10" s="100"/>
      <c r="C10" s="22" t="s">
        <v>232</v>
      </c>
      <c r="D10" s="22"/>
    </row>
    <row r="11" spans="1:5">
      <c r="A11" s="79"/>
      <c r="B11" s="100"/>
      <c r="C11" s="22" t="s">
        <v>233</v>
      </c>
      <c r="D11" s="22"/>
      <c r="E11" t="s">
        <v>234</v>
      </c>
    </row>
    <row r="12" spans="1:5">
      <c r="A12" s="79"/>
      <c r="B12" s="100"/>
      <c r="C12" s="22" t="s">
        <v>235</v>
      </c>
      <c r="D12" s="22"/>
      <c r="E12" t="s">
        <v>234</v>
      </c>
    </row>
    <row r="13" spans="1:5">
      <c r="A13" s="79"/>
      <c r="B13" s="100"/>
      <c r="C13" s="22" t="s">
        <v>236</v>
      </c>
      <c r="D13" s="22"/>
    </row>
    <row r="14" spans="1:5">
      <c r="A14" s="79"/>
      <c r="B14" s="100"/>
      <c r="C14" s="22" t="s">
        <v>237</v>
      </c>
      <c r="D14" s="22"/>
    </row>
    <row r="15" spans="1:5">
      <c r="A15" s="79"/>
      <c r="B15" s="100"/>
      <c r="C15" s="22" t="s">
        <v>238</v>
      </c>
      <c r="D15" s="22"/>
    </row>
    <row r="16" spans="1:5">
      <c r="A16" s="79"/>
      <c r="B16" s="100"/>
      <c r="C16" s="22" t="s">
        <v>239</v>
      </c>
      <c r="D16" s="22"/>
    </row>
    <row r="17" spans="1:4">
      <c r="A17" s="79"/>
      <c r="B17" s="100"/>
      <c r="C17" s="22" t="s">
        <v>240</v>
      </c>
      <c r="D17" s="22"/>
    </row>
    <row r="18" spans="1:4">
      <c r="A18" s="79"/>
      <c r="B18" s="100"/>
      <c r="C18" s="22" t="s">
        <v>241</v>
      </c>
      <c r="D18" s="22"/>
    </row>
    <row r="19" spans="1:4">
      <c r="A19" s="79"/>
      <c r="B19" s="100"/>
      <c r="C19" s="22" t="s">
        <v>242</v>
      </c>
      <c r="D19" s="22"/>
    </row>
    <row r="20" spans="1:4">
      <c r="A20" s="79"/>
      <c r="B20" s="100"/>
      <c r="C20" s="22" t="s">
        <v>243</v>
      </c>
      <c r="D20" s="22"/>
    </row>
    <row r="21" spans="1:4">
      <c r="A21" s="79"/>
      <c r="B21" s="100"/>
      <c r="C21" s="22" t="s">
        <v>107</v>
      </c>
      <c r="D21" s="22"/>
    </row>
    <row r="22" spans="1:4">
      <c r="A22" s="79"/>
      <c r="B22" s="100"/>
      <c r="C22" s="22" t="s">
        <v>244</v>
      </c>
      <c r="D22" s="22"/>
    </row>
    <row r="23" spans="1:4">
      <c r="A23" s="79"/>
      <c r="B23" s="100"/>
      <c r="C23" s="22" t="s">
        <v>245</v>
      </c>
      <c r="D23" s="22"/>
    </row>
    <row r="24" spans="1:4">
      <c r="A24" s="79"/>
      <c r="B24" s="100"/>
      <c r="C24" s="22" t="s">
        <v>246</v>
      </c>
      <c r="D24" s="22"/>
    </row>
    <row r="25" spans="1:4">
      <c r="A25" s="79"/>
      <c r="B25" s="100"/>
      <c r="C25" s="22" t="s">
        <v>247</v>
      </c>
      <c r="D25" s="22"/>
    </row>
    <row r="26" spans="1:4">
      <c r="A26" s="79"/>
      <c r="B26" s="100"/>
      <c r="C26" s="22" t="s">
        <v>248</v>
      </c>
      <c r="D26" s="22"/>
    </row>
    <row r="27" spans="1:4">
      <c r="A27" s="79"/>
      <c r="B27" s="100"/>
      <c r="C27" s="22" t="s">
        <v>249</v>
      </c>
      <c r="D27" s="22"/>
    </row>
    <row r="28" spans="1:4">
      <c r="A28" s="79"/>
      <c r="B28" s="100"/>
      <c r="C28" s="22" t="s">
        <v>250</v>
      </c>
      <c r="D28" s="22"/>
    </row>
    <row r="29" spans="1:4">
      <c r="A29" s="79"/>
      <c r="B29" s="100"/>
      <c r="C29" s="22" t="s">
        <v>251</v>
      </c>
      <c r="D29" s="22"/>
    </row>
    <row r="30" spans="1:4">
      <c r="A30" s="79"/>
      <c r="B30" s="100"/>
      <c r="C30" s="22" t="s">
        <v>252</v>
      </c>
      <c r="D30" s="22"/>
    </row>
    <row r="31" spans="1:4">
      <c r="A31" s="79"/>
      <c r="B31" s="100"/>
      <c r="C31" s="22" t="s">
        <v>253</v>
      </c>
      <c r="D31" s="22"/>
    </row>
    <row r="32" spans="1:4">
      <c r="A32" s="79"/>
      <c r="B32" s="100"/>
      <c r="C32" s="22" t="s">
        <v>254</v>
      </c>
      <c r="D32" s="22"/>
    </row>
    <row r="33" spans="1:5">
      <c r="A33" s="79"/>
      <c r="B33" s="100"/>
      <c r="C33" s="22" t="s">
        <v>255</v>
      </c>
      <c r="D33" s="22"/>
    </row>
    <row r="34" spans="1:5">
      <c r="A34" s="79"/>
      <c r="B34" s="100"/>
      <c r="C34" s="22" t="s">
        <v>256</v>
      </c>
      <c r="D34" s="22"/>
    </row>
    <row r="35" spans="1:5">
      <c r="A35" s="79"/>
      <c r="B35" s="100"/>
      <c r="C35" s="22" t="s">
        <v>257</v>
      </c>
      <c r="D35" s="22"/>
    </row>
    <row r="36" spans="1:5">
      <c r="A36" s="79"/>
      <c r="B36" s="100"/>
      <c r="C36" s="22" t="s">
        <v>258</v>
      </c>
      <c r="D36" s="22"/>
      <c r="E36" t="s">
        <v>234</v>
      </c>
    </row>
    <row r="37" spans="1:5">
      <c r="A37" s="79"/>
      <c r="B37" s="100"/>
      <c r="C37" s="11" t="s">
        <v>259</v>
      </c>
      <c r="D37" s="22"/>
      <c r="E37" t="s">
        <v>234</v>
      </c>
    </row>
    <row r="38" spans="1:5">
      <c r="A38" s="79"/>
      <c r="B38" s="100"/>
      <c r="C38" s="22" t="s">
        <v>260</v>
      </c>
      <c r="D38" s="22"/>
    </row>
    <row r="39" spans="1:5">
      <c r="A39" s="79"/>
      <c r="B39" s="100"/>
      <c r="C39" s="22" t="s">
        <v>261</v>
      </c>
      <c r="D39" s="22"/>
    </row>
    <row r="40" spans="1:5">
      <c r="A40" s="79"/>
      <c r="B40" s="100"/>
      <c r="C40" s="22" t="s">
        <v>262</v>
      </c>
      <c r="D40" s="22"/>
      <c r="E40" t="s">
        <v>234</v>
      </c>
    </row>
    <row r="41" spans="1:5">
      <c r="A41" s="79"/>
      <c r="B41" s="100"/>
      <c r="C41" s="22" t="s">
        <v>263</v>
      </c>
      <c r="D41" s="22"/>
    </row>
    <row r="42" spans="1:5">
      <c r="A42" s="79"/>
      <c r="B42" s="100"/>
      <c r="C42" s="22" t="s">
        <v>264</v>
      </c>
      <c r="D42" s="22"/>
    </row>
    <row r="43" spans="1:5">
      <c r="A43" s="79"/>
      <c r="B43" s="100"/>
      <c r="C43" s="22" t="s">
        <v>265</v>
      </c>
      <c r="D43" s="22"/>
    </row>
    <row r="44" spans="1:5">
      <c r="A44" s="79"/>
      <c r="B44" s="100"/>
      <c r="C44" s="22" t="s">
        <v>266</v>
      </c>
      <c r="D44" s="22"/>
    </row>
    <row r="45" spans="1:5">
      <c r="A45" s="79"/>
      <c r="B45" s="100"/>
      <c r="C45" s="22" t="s">
        <v>267</v>
      </c>
      <c r="D45" s="22"/>
    </row>
    <row r="46" spans="1:5">
      <c r="A46" s="79"/>
      <c r="B46" s="100"/>
      <c r="C46" s="22" t="s">
        <v>268</v>
      </c>
      <c r="D46" s="22"/>
      <c r="E46" t="s">
        <v>234</v>
      </c>
    </row>
    <row r="47" spans="1:5">
      <c r="A47" s="79"/>
      <c r="B47" s="100"/>
      <c r="C47" s="22" t="s">
        <v>269</v>
      </c>
      <c r="D47" s="22"/>
    </row>
    <row r="48" spans="1:5">
      <c r="A48" s="79"/>
      <c r="B48" s="100"/>
      <c r="C48" s="22" t="s">
        <v>270</v>
      </c>
      <c r="D48" s="22"/>
    </row>
    <row r="49" spans="1:5">
      <c r="A49" s="79"/>
      <c r="B49" s="100"/>
      <c r="C49" s="22" t="s">
        <v>271</v>
      </c>
      <c r="D49" s="22"/>
    </row>
    <row r="50" spans="1:5">
      <c r="A50" s="79"/>
      <c r="B50" s="100"/>
      <c r="C50" s="22" t="s">
        <v>272</v>
      </c>
      <c r="D50" s="22"/>
    </row>
    <row r="51" spans="1:5">
      <c r="A51" s="79"/>
      <c r="B51" s="100"/>
      <c r="C51" s="22" t="s">
        <v>273</v>
      </c>
      <c r="D51" s="22"/>
    </row>
    <row r="52" spans="1:5">
      <c r="A52" s="79"/>
      <c r="B52" s="100"/>
      <c r="C52" s="22" t="s">
        <v>274</v>
      </c>
      <c r="D52" s="22"/>
    </row>
    <row r="53" spans="1:5">
      <c r="A53" s="79"/>
      <c r="B53" s="100"/>
      <c r="C53" s="22" t="s">
        <v>275</v>
      </c>
      <c r="D53" s="22"/>
    </row>
    <row r="54" spans="1:5">
      <c r="A54" s="79"/>
      <c r="B54" s="100"/>
      <c r="C54" s="22" t="s">
        <v>276</v>
      </c>
      <c r="D54" s="22"/>
    </row>
    <row r="55" spans="1:5">
      <c r="A55" s="79"/>
      <c r="B55" s="100"/>
      <c r="C55" s="22" t="s">
        <v>277</v>
      </c>
      <c r="D55" s="22"/>
    </row>
    <row r="56" spans="1:5">
      <c r="A56" s="79"/>
      <c r="B56" s="100"/>
      <c r="C56" s="22" t="s">
        <v>278</v>
      </c>
      <c r="D56" s="22"/>
    </row>
    <row r="57" spans="1:5">
      <c r="A57" s="79"/>
      <c r="B57" s="100"/>
      <c r="C57" s="22" t="s">
        <v>279</v>
      </c>
      <c r="D57" s="22"/>
    </row>
    <row r="58" spans="1:5">
      <c r="A58" s="79"/>
      <c r="B58" s="100"/>
      <c r="C58" s="22" t="s">
        <v>280</v>
      </c>
      <c r="D58" s="22"/>
    </row>
    <row r="59" spans="1:5">
      <c r="A59" s="79"/>
      <c r="B59" s="100"/>
      <c r="C59" s="22" t="s">
        <v>281</v>
      </c>
      <c r="D59" s="22"/>
    </row>
    <row r="60" spans="1:5">
      <c r="A60" s="79"/>
      <c r="B60" s="100"/>
      <c r="C60" s="22" t="s">
        <v>282</v>
      </c>
      <c r="D60" s="22"/>
    </row>
    <row r="61" spans="1:5">
      <c r="A61" s="79"/>
      <c r="B61" s="100"/>
      <c r="C61" s="22" t="s">
        <v>283</v>
      </c>
      <c r="D61" s="22"/>
    </row>
    <row r="62" spans="1:5">
      <c r="A62" s="79"/>
      <c r="B62" s="100"/>
      <c r="C62" s="22" t="s">
        <v>284</v>
      </c>
      <c r="D62" s="22"/>
    </row>
    <row r="63" spans="1:5">
      <c r="A63" s="79"/>
      <c r="B63" s="100"/>
      <c r="C63" s="22" t="s">
        <v>285</v>
      </c>
      <c r="D63" s="22"/>
      <c r="E63" t="s">
        <v>234</v>
      </c>
    </row>
    <row r="64" spans="1:5">
      <c r="A64" s="79"/>
      <c r="B64" s="100"/>
      <c r="C64" s="22" t="s">
        <v>286</v>
      </c>
      <c r="D64" s="22"/>
    </row>
    <row r="65" spans="1:4">
      <c r="A65" s="79"/>
      <c r="B65" s="100"/>
      <c r="C65" s="22" t="s">
        <v>287</v>
      </c>
      <c r="D65" s="22"/>
    </row>
    <row r="66" spans="1:4">
      <c r="A66" s="79"/>
      <c r="B66" s="100"/>
      <c r="C66" s="22" t="s">
        <v>288</v>
      </c>
      <c r="D66" s="22"/>
    </row>
    <row r="67" spans="1:4">
      <c r="A67" s="79"/>
      <c r="B67" s="100"/>
      <c r="C67" s="22" t="s">
        <v>289</v>
      </c>
      <c r="D67" s="22"/>
    </row>
    <row r="68" spans="1:4">
      <c r="A68" s="79"/>
      <c r="B68" s="100"/>
      <c r="C68" s="22" t="s">
        <v>290</v>
      </c>
      <c r="D68" s="22"/>
    </row>
    <row r="69" spans="1:4">
      <c r="A69" s="79"/>
      <c r="B69" s="100"/>
      <c r="C69" s="22" t="s">
        <v>291</v>
      </c>
      <c r="D69" s="22"/>
    </row>
    <row r="70" spans="1:4">
      <c r="A70" s="79"/>
      <c r="B70" s="100"/>
      <c r="C70" s="22" t="s">
        <v>292</v>
      </c>
      <c r="D70" s="22"/>
    </row>
    <row r="71" spans="1:4">
      <c r="A71" s="79"/>
      <c r="B71" s="100"/>
      <c r="C71" s="22" t="s">
        <v>293</v>
      </c>
      <c r="D71" s="22"/>
    </row>
    <row r="72" spans="1:4">
      <c r="A72" s="79"/>
      <c r="B72" s="100"/>
      <c r="C72" s="22" t="s">
        <v>294</v>
      </c>
      <c r="D72" s="22"/>
    </row>
    <row r="73" spans="1:4">
      <c r="A73" s="79"/>
      <c r="B73" s="100"/>
      <c r="C73" s="22" t="s">
        <v>295</v>
      </c>
      <c r="D73" s="22"/>
    </row>
    <row r="74" spans="1:4">
      <c r="A74" s="79"/>
      <c r="B74" s="100"/>
      <c r="C74" s="22" t="s">
        <v>296</v>
      </c>
      <c r="D74" s="22"/>
    </row>
    <row r="75" spans="1:4">
      <c r="A75" s="79"/>
      <c r="B75" s="100"/>
      <c r="C75" s="22" t="s">
        <v>297</v>
      </c>
      <c r="D75" s="22"/>
    </row>
    <row r="76" spans="1:4">
      <c r="A76" s="79"/>
      <c r="B76" s="100"/>
      <c r="C76" s="22" t="s">
        <v>298</v>
      </c>
      <c r="D76" s="22"/>
    </row>
    <row r="77" spans="1:4">
      <c r="A77" s="79"/>
      <c r="B77" s="100"/>
      <c r="C77" s="22" t="s">
        <v>299</v>
      </c>
      <c r="D77" s="22"/>
    </row>
    <row r="78" spans="1:4">
      <c r="A78" s="79"/>
      <c r="B78" s="100"/>
      <c r="C78" s="22" t="s">
        <v>300</v>
      </c>
      <c r="D78" s="22"/>
    </row>
    <row r="79" spans="1:4">
      <c r="A79" s="79"/>
      <c r="B79" s="100"/>
      <c r="C79" s="22" t="s">
        <v>301</v>
      </c>
      <c r="D79" s="22"/>
    </row>
    <row r="80" spans="1:4">
      <c r="A80" s="79"/>
      <c r="B80" s="100"/>
      <c r="C80" s="22" t="s">
        <v>302</v>
      </c>
      <c r="D80" s="22"/>
    </row>
    <row r="81" spans="1:5">
      <c r="A81" s="79"/>
      <c r="B81" s="100"/>
      <c r="C81" s="22" t="s">
        <v>303</v>
      </c>
      <c r="D81" s="22"/>
    </row>
    <row r="82" spans="1:5">
      <c r="A82" s="79"/>
      <c r="B82" s="100"/>
      <c r="C82" s="22" t="s">
        <v>304</v>
      </c>
      <c r="D82" s="22"/>
    </row>
    <row r="83" spans="1:5">
      <c r="A83" s="79"/>
      <c r="B83" s="100"/>
      <c r="C83" s="22" t="s">
        <v>305</v>
      </c>
      <c r="D83" s="22"/>
    </row>
    <row r="84" spans="1:5">
      <c r="A84" s="79"/>
      <c r="B84" s="100"/>
      <c r="C84" s="22" t="s">
        <v>306</v>
      </c>
      <c r="D84" s="22"/>
    </row>
    <row r="85" spans="1:5">
      <c r="A85" s="79"/>
      <c r="B85" s="100"/>
      <c r="C85" s="22" t="s">
        <v>307</v>
      </c>
      <c r="D85" s="22"/>
    </row>
    <row r="86" spans="1:5">
      <c r="A86" s="79"/>
      <c r="B86" s="100"/>
      <c r="C86" s="22" t="s">
        <v>308</v>
      </c>
      <c r="D86" s="22"/>
    </row>
    <row r="87" spans="1:5">
      <c r="A87" s="79"/>
      <c r="B87" s="100"/>
      <c r="C87" s="22" t="s">
        <v>309</v>
      </c>
      <c r="D87" s="22"/>
    </row>
    <row r="88" spans="1:5">
      <c r="A88" s="79"/>
      <c r="B88" s="100"/>
      <c r="C88" s="22" t="s">
        <v>310</v>
      </c>
      <c r="D88" s="22"/>
    </row>
    <row r="89" spans="1:5">
      <c r="A89" s="79"/>
      <c r="B89" s="100"/>
      <c r="C89" s="22" t="s">
        <v>311</v>
      </c>
      <c r="D89" s="22"/>
    </row>
    <row r="90" spans="1:5">
      <c r="A90" s="79"/>
      <c r="B90" s="100"/>
      <c r="C90" s="22" t="s">
        <v>312</v>
      </c>
      <c r="D90" s="22"/>
    </row>
    <row r="91" spans="1:5">
      <c r="A91" s="79"/>
      <c r="B91" s="100"/>
      <c r="C91" s="22" t="s">
        <v>313</v>
      </c>
      <c r="D91" s="22"/>
    </row>
    <row r="92" spans="1:5">
      <c r="A92" s="79"/>
      <c r="B92" s="100"/>
      <c r="C92" s="22" t="s">
        <v>314</v>
      </c>
      <c r="D92" s="22"/>
    </row>
    <row r="93" spans="1:5">
      <c r="A93" s="79"/>
      <c r="B93" s="100"/>
      <c r="C93" s="22" t="s">
        <v>315</v>
      </c>
      <c r="D93" s="22"/>
    </row>
    <row r="94" spans="1:5">
      <c r="A94" s="79"/>
      <c r="B94" s="100"/>
      <c r="C94" s="22" t="s">
        <v>316</v>
      </c>
      <c r="D94" s="22" t="s">
        <v>317</v>
      </c>
      <c r="E94" t="s">
        <v>234</v>
      </c>
    </row>
    <row r="95" spans="1:5">
      <c r="A95" s="79"/>
      <c r="B95" s="100"/>
      <c r="C95" s="22" t="s">
        <v>318</v>
      </c>
      <c r="D95" s="22" t="s">
        <v>319</v>
      </c>
      <c r="E95" t="s">
        <v>234</v>
      </c>
    </row>
    <row r="96" spans="1:5">
      <c r="A96" s="79"/>
      <c r="B96" s="100"/>
      <c r="C96" s="22" t="s">
        <v>320</v>
      </c>
      <c r="D96" s="22" t="s">
        <v>319</v>
      </c>
      <c r="E96" t="s">
        <v>234</v>
      </c>
    </row>
    <row r="97" spans="1:5">
      <c r="A97" s="79"/>
      <c r="B97" s="100"/>
      <c r="C97" s="22" t="s">
        <v>321</v>
      </c>
      <c r="D97" s="22" t="s">
        <v>319</v>
      </c>
      <c r="E97" t="s">
        <v>234</v>
      </c>
    </row>
    <row r="98" spans="1:5">
      <c r="A98" s="79"/>
      <c r="B98" s="100"/>
      <c r="C98" s="22" t="s">
        <v>322</v>
      </c>
      <c r="D98" s="22" t="s">
        <v>319</v>
      </c>
      <c r="E98" t="s">
        <v>234</v>
      </c>
    </row>
    <row r="99" spans="1:5">
      <c r="A99" s="79"/>
      <c r="B99" s="100"/>
      <c r="C99" s="22" t="s">
        <v>323</v>
      </c>
      <c r="D99" s="22" t="s">
        <v>319</v>
      </c>
      <c r="E99" t="s">
        <v>234</v>
      </c>
    </row>
    <row r="100" spans="1:5">
      <c r="A100" s="79"/>
      <c r="B100" s="100"/>
      <c r="C100" s="22" t="s">
        <v>324</v>
      </c>
      <c r="D100" s="22" t="s">
        <v>319</v>
      </c>
      <c r="E100" t="s">
        <v>234</v>
      </c>
    </row>
    <row r="101" spans="1:5">
      <c r="A101" s="79"/>
      <c r="B101" s="100"/>
      <c r="C101" s="22" t="s">
        <v>325</v>
      </c>
      <c r="D101" s="22" t="s">
        <v>319</v>
      </c>
      <c r="E101" t="s">
        <v>234</v>
      </c>
    </row>
    <row r="102" spans="1:5">
      <c r="A102" s="79"/>
      <c r="B102" s="100"/>
      <c r="C102" s="22" t="s">
        <v>326</v>
      </c>
      <c r="D102" s="22" t="s">
        <v>319</v>
      </c>
      <c r="E102" t="s">
        <v>234</v>
      </c>
    </row>
    <row r="103" spans="1:5">
      <c r="A103" s="79"/>
      <c r="B103" s="100"/>
      <c r="C103" s="22" t="s">
        <v>327</v>
      </c>
      <c r="D103" s="22" t="s">
        <v>319</v>
      </c>
      <c r="E103" t="s">
        <v>234</v>
      </c>
    </row>
    <row r="104" spans="1:5">
      <c r="A104" s="74"/>
      <c r="B104" s="74" t="s">
        <v>166</v>
      </c>
      <c r="C104" s="21" t="s">
        <v>328</v>
      </c>
      <c r="D104" s="21"/>
    </row>
    <row r="105" spans="1:5">
      <c r="A105" s="75"/>
      <c r="B105" s="75"/>
      <c r="C105" s="21" t="s">
        <v>165</v>
      </c>
      <c r="D105" s="21"/>
    </row>
    <row r="106" spans="1:5">
      <c r="A106" s="75"/>
      <c r="B106" s="75"/>
      <c r="C106" s="21" t="s">
        <v>329</v>
      </c>
      <c r="D106" s="21"/>
    </row>
    <row r="107" spans="1:5">
      <c r="A107" s="75"/>
      <c r="B107" s="75"/>
      <c r="C107" s="21" t="s">
        <v>330</v>
      </c>
      <c r="D107" s="21"/>
    </row>
    <row r="108" spans="1:5">
      <c r="A108" s="75"/>
      <c r="B108" s="75"/>
      <c r="C108" s="21" t="s">
        <v>43</v>
      </c>
      <c r="D108" s="21"/>
    </row>
    <row r="109" spans="1:5">
      <c r="A109" s="75"/>
      <c r="B109" s="75"/>
      <c r="C109" s="21" t="s">
        <v>331</v>
      </c>
      <c r="D109" s="21"/>
    </row>
    <row r="110" spans="1:5">
      <c r="A110" s="76"/>
      <c r="B110" s="76"/>
      <c r="C110" s="21" t="s">
        <v>31</v>
      </c>
      <c r="D110" s="21"/>
    </row>
    <row r="111" spans="1:5">
      <c r="A111" s="79"/>
      <c r="B111" s="65" t="s">
        <v>187</v>
      </c>
      <c r="C111" s="22" t="s">
        <v>328</v>
      </c>
      <c r="D111" s="22"/>
    </row>
    <row r="112" spans="1:5">
      <c r="A112" s="79"/>
      <c r="B112" s="66"/>
      <c r="C112" s="22" t="s">
        <v>332</v>
      </c>
      <c r="D112" s="22"/>
    </row>
    <row r="113" spans="1:4">
      <c r="A113" s="79"/>
      <c r="B113" s="67"/>
      <c r="C113" s="22" t="s">
        <v>333</v>
      </c>
      <c r="D113" s="22"/>
    </row>
    <row r="114" spans="1:4">
      <c r="A114" s="92"/>
      <c r="B114" s="92" t="s">
        <v>334</v>
      </c>
      <c r="C114" s="21" t="s">
        <v>328</v>
      </c>
      <c r="D114" s="21"/>
    </row>
    <row r="115" spans="1:4">
      <c r="A115" s="92"/>
      <c r="B115" s="92"/>
      <c r="C115" s="21" t="s">
        <v>329</v>
      </c>
      <c r="D115" s="21"/>
    </row>
    <row r="116" spans="1:4">
      <c r="A116" s="92"/>
      <c r="B116" s="92"/>
      <c r="C116" s="21" t="s">
        <v>330</v>
      </c>
      <c r="D116" s="21"/>
    </row>
    <row r="117" spans="1:4">
      <c r="A117" s="92"/>
      <c r="B117" s="92"/>
      <c r="C117" s="21" t="s">
        <v>331</v>
      </c>
      <c r="D117" s="21"/>
    </row>
    <row r="118" spans="1:4">
      <c r="A118" s="78"/>
      <c r="B118" s="93" t="s">
        <v>135</v>
      </c>
      <c r="C118" s="22" t="s">
        <v>328</v>
      </c>
      <c r="D118" s="22"/>
    </row>
    <row r="119" spans="1:4">
      <c r="A119" s="12"/>
      <c r="B119" s="113"/>
      <c r="C119" s="22" t="s">
        <v>335</v>
      </c>
      <c r="D119" s="22"/>
    </row>
    <row r="120" spans="1:4">
      <c r="A120" s="12"/>
      <c r="B120" s="113"/>
      <c r="C120" s="22" t="s">
        <v>330</v>
      </c>
      <c r="D120" s="22"/>
    </row>
    <row r="121" spans="1:4">
      <c r="A121" s="12"/>
      <c r="B121" s="113"/>
      <c r="C121" s="22" t="s">
        <v>43</v>
      </c>
      <c r="D121" s="22"/>
    </row>
    <row r="122" spans="1:4">
      <c r="A122" s="12"/>
      <c r="B122" s="113"/>
      <c r="C122" s="22" t="s">
        <v>329</v>
      </c>
      <c r="D122" s="22"/>
    </row>
    <row r="123" spans="1:4">
      <c r="A123" s="12"/>
      <c r="B123" s="113"/>
      <c r="C123" s="22" t="s">
        <v>336</v>
      </c>
      <c r="D123" s="22"/>
    </row>
    <row r="124" spans="1:4">
      <c r="A124" s="12"/>
      <c r="B124" s="113"/>
      <c r="C124" s="22" t="s">
        <v>337</v>
      </c>
      <c r="D124" s="22"/>
    </row>
    <row r="125" spans="1:4">
      <c r="A125" s="12"/>
      <c r="B125" s="113"/>
      <c r="C125" s="22" t="s">
        <v>331</v>
      </c>
      <c r="D125" s="22"/>
    </row>
    <row r="126" spans="1:4">
      <c r="A126" s="79"/>
      <c r="B126" s="94"/>
      <c r="C126" s="22" t="s">
        <v>31</v>
      </c>
      <c r="D126" s="22"/>
    </row>
    <row r="127" spans="1:4">
      <c r="A127" s="74"/>
      <c r="B127" s="74" t="s">
        <v>167</v>
      </c>
      <c r="C127" s="21" t="s">
        <v>338</v>
      </c>
      <c r="D127" s="21"/>
    </row>
    <row r="128" spans="1:4">
      <c r="A128" s="75"/>
      <c r="B128" s="75"/>
      <c r="C128" s="21" t="s">
        <v>339</v>
      </c>
      <c r="D128" s="21"/>
    </row>
    <row r="129" spans="1:5">
      <c r="A129" s="75"/>
      <c r="B129" s="75"/>
      <c r="C129" s="21" t="s">
        <v>340</v>
      </c>
      <c r="D129" s="21"/>
    </row>
    <row r="130" spans="1:5">
      <c r="A130" s="75"/>
      <c r="B130" s="75"/>
      <c r="C130" s="21" t="s">
        <v>341</v>
      </c>
      <c r="D130" s="21"/>
    </row>
    <row r="131" spans="1:5">
      <c r="A131" s="75"/>
      <c r="B131" s="75"/>
      <c r="C131" s="21" t="s">
        <v>43</v>
      </c>
      <c r="D131" s="21"/>
    </row>
    <row r="132" spans="1:5">
      <c r="A132" s="79"/>
      <c r="B132" s="66" t="s">
        <v>342</v>
      </c>
      <c r="C132" s="22" t="s">
        <v>338</v>
      </c>
      <c r="D132" s="22"/>
    </row>
    <row r="133" spans="1:5">
      <c r="A133" s="79"/>
      <c r="B133" s="66"/>
      <c r="C133" s="22" t="s">
        <v>43</v>
      </c>
      <c r="D133" s="22"/>
    </row>
    <row r="134" spans="1:5">
      <c r="A134" s="80"/>
      <c r="B134" s="67"/>
      <c r="C134" s="22" t="s">
        <v>31</v>
      </c>
      <c r="D134" s="22"/>
    </row>
    <row r="135" spans="1:5">
      <c r="A135" s="81"/>
      <c r="B135" s="81" t="s">
        <v>343</v>
      </c>
      <c r="C135" s="21" t="s">
        <v>344</v>
      </c>
      <c r="D135" s="21"/>
    </row>
    <row r="136" spans="1:5">
      <c r="A136" s="82"/>
      <c r="B136" s="82"/>
      <c r="C136" s="21" t="s">
        <v>345</v>
      </c>
      <c r="D136" s="21"/>
      <c r="E136" t="s">
        <v>234</v>
      </c>
    </row>
    <row r="137" spans="1:5">
      <c r="A137" s="82"/>
      <c r="B137" s="82"/>
      <c r="C137" s="21" t="s">
        <v>346</v>
      </c>
      <c r="D137" s="21" t="s">
        <v>347</v>
      </c>
    </row>
    <row r="138" spans="1:5">
      <c r="A138" s="82"/>
      <c r="B138" s="82"/>
      <c r="C138" s="21" t="s">
        <v>348</v>
      </c>
      <c r="D138" s="21" t="s">
        <v>349</v>
      </c>
    </row>
    <row r="139" spans="1:5">
      <c r="A139" s="82"/>
      <c r="B139" s="82"/>
      <c r="C139" s="21" t="s">
        <v>350</v>
      </c>
      <c r="D139" s="21"/>
    </row>
    <row r="140" spans="1:5">
      <c r="A140" s="82"/>
      <c r="B140" s="82"/>
      <c r="C140" s="21" t="s">
        <v>351</v>
      </c>
      <c r="D140" s="21"/>
    </row>
    <row r="141" spans="1:5">
      <c r="A141" s="82"/>
      <c r="B141" s="82"/>
      <c r="C141" s="21" t="s">
        <v>352</v>
      </c>
      <c r="D141" s="21"/>
    </row>
    <row r="142" spans="1:5">
      <c r="A142" s="82"/>
      <c r="B142" s="82"/>
      <c r="C142" s="21" t="s">
        <v>353</v>
      </c>
      <c r="D142" s="21"/>
    </row>
    <row r="143" spans="1:5">
      <c r="A143" s="82"/>
      <c r="B143" s="82"/>
      <c r="C143" s="21" t="s">
        <v>354</v>
      </c>
      <c r="D143" s="21"/>
    </row>
    <row r="144" spans="1:5">
      <c r="A144" s="82"/>
      <c r="B144" s="82"/>
      <c r="C144" s="21" t="s">
        <v>355</v>
      </c>
      <c r="D144" s="21"/>
    </row>
    <row r="145" spans="1:4">
      <c r="A145" s="82"/>
      <c r="B145" s="82"/>
      <c r="C145" s="21" t="s">
        <v>31</v>
      </c>
      <c r="D145" s="21"/>
    </row>
    <row r="146" spans="1:4">
      <c r="A146" s="78"/>
      <c r="B146" s="71" t="s">
        <v>356</v>
      </c>
      <c r="C146" s="22" t="s">
        <v>357</v>
      </c>
      <c r="D146" s="22"/>
    </row>
    <row r="147" spans="1:4">
      <c r="A147" s="80"/>
      <c r="B147" s="73"/>
      <c r="C147" s="22" t="s">
        <v>153</v>
      </c>
      <c r="D147" s="22"/>
    </row>
    <row r="148" spans="1:4">
      <c r="A148" s="60"/>
      <c r="B148" s="112" t="s">
        <v>8</v>
      </c>
      <c r="C148" s="21" t="s">
        <v>56</v>
      </c>
      <c r="D148" s="21" t="s">
        <v>358</v>
      </c>
    </row>
    <row r="149" spans="1:4">
      <c r="A149" s="61"/>
      <c r="B149" s="61"/>
      <c r="C149" s="21" t="s">
        <v>359</v>
      </c>
      <c r="D149" s="21" t="s">
        <v>360</v>
      </c>
    </row>
    <row r="150" spans="1:4">
      <c r="A150" s="61"/>
      <c r="B150" s="61"/>
      <c r="C150" s="21" t="s">
        <v>361</v>
      </c>
      <c r="D150" s="21" t="s">
        <v>362</v>
      </c>
    </row>
    <row r="151" spans="1:4">
      <c r="A151" s="61"/>
      <c r="B151" s="61"/>
      <c r="C151" s="21" t="s">
        <v>363</v>
      </c>
      <c r="D151" s="21" t="s">
        <v>364</v>
      </c>
    </row>
    <row r="152" spans="1:4">
      <c r="A152" s="61"/>
      <c r="B152" s="61"/>
      <c r="C152" s="21" t="s">
        <v>365</v>
      </c>
      <c r="D152" s="21" t="s">
        <v>366</v>
      </c>
    </row>
    <row r="153" spans="1:4">
      <c r="A153" s="61"/>
      <c r="B153" s="61"/>
      <c r="C153" s="21" t="s">
        <v>367</v>
      </c>
      <c r="D153" s="21" t="s">
        <v>368</v>
      </c>
    </row>
    <row r="154" spans="1:4">
      <c r="A154" s="61"/>
      <c r="B154" s="61"/>
      <c r="C154" s="21" t="s">
        <v>369</v>
      </c>
      <c r="D154" s="21" t="s">
        <v>370</v>
      </c>
    </row>
    <row r="155" spans="1:4">
      <c r="A155" s="61"/>
      <c r="B155" s="61"/>
      <c r="C155" s="21" t="s">
        <v>371</v>
      </c>
      <c r="D155" s="21" t="s">
        <v>372</v>
      </c>
    </row>
    <row r="156" spans="1:4">
      <c r="A156" s="61"/>
      <c r="B156" s="61"/>
      <c r="C156" s="21" t="s">
        <v>373</v>
      </c>
      <c r="D156" s="21" t="s">
        <v>374</v>
      </c>
    </row>
    <row r="157" spans="1:4">
      <c r="A157" s="61"/>
      <c r="B157" s="61"/>
      <c r="C157" s="21" t="s">
        <v>375</v>
      </c>
      <c r="D157" s="21" t="s">
        <v>376</v>
      </c>
    </row>
    <row r="158" spans="1:4">
      <c r="A158" s="61"/>
      <c r="B158" s="61"/>
      <c r="C158" s="21" t="s">
        <v>377</v>
      </c>
      <c r="D158" s="21" t="s">
        <v>378</v>
      </c>
    </row>
    <row r="159" spans="1:4">
      <c r="A159" s="61"/>
      <c r="B159" s="61"/>
      <c r="C159" s="21" t="s">
        <v>379</v>
      </c>
      <c r="D159" s="21" t="s">
        <v>380</v>
      </c>
    </row>
    <row r="160" spans="1:4">
      <c r="A160" s="61"/>
      <c r="B160" s="61"/>
      <c r="C160" s="21" t="s">
        <v>381</v>
      </c>
      <c r="D160" s="21" t="s">
        <v>382</v>
      </c>
    </row>
    <row r="161" spans="1:4">
      <c r="A161" s="61"/>
      <c r="B161" s="61"/>
      <c r="C161" s="21" t="s">
        <v>383</v>
      </c>
      <c r="D161" s="21" t="s">
        <v>384</v>
      </c>
    </row>
    <row r="162" spans="1:4">
      <c r="A162" s="61"/>
      <c r="B162" s="61"/>
      <c r="C162" s="21" t="s">
        <v>385</v>
      </c>
      <c r="D162" s="21" t="s">
        <v>386</v>
      </c>
    </row>
    <row r="163" spans="1:4">
      <c r="A163" s="61"/>
      <c r="B163" s="61"/>
      <c r="C163" s="21" t="s">
        <v>387</v>
      </c>
      <c r="D163" s="21" t="s">
        <v>388</v>
      </c>
    </row>
    <row r="164" spans="1:4">
      <c r="A164" s="61"/>
      <c r="B164" s="61"/>
      <c r="C164" s="21" t="s">
        <v>389</v>
      </c>
      <c r="D164" s="21" t="s">
        <v>390</v>
      </c>
    </row>
    <row r="165" spans="1:4">
      <c r="A165" s="61"/>
      <c r="B165" s="61"/>
      <c r="C165" s="21" t="s">
        <v>391</v>
      </c>
      <c r="D165" s="21" t="s">
        <v>392</v>
      </c>
    </row>
    <row r="166" spans="1:4">
      <c r="A166" s="61"/>
      <c r="B166" s="61"/>
      <c r="C166" s="21" t="s">
        <v>393</v>
      </c>
      <c r="D166" s="21" t="s">
        <v>394</v>
      </c>
    </row>
    <row r="167" spans="1:4">
      <c r="A167" s="61"/>
      <c r="B167" s="61"/>
      <c r="C167" s="21" t="s">
        <v>395</v>
      </c>
      <c r="D167" s="21" t="s">
        <v>396</v>
      </c>
    </row>
    <row r="168" spans="1:4">
      <c r="A168" s="61"/>
      <c r="B168" s="61"/>
      <c r="C168" s="21" t="s">
        <v>397</v>
      </c>
      <c r="D168" s="21" t="s">
        <v>398</v>
      </c>
    </row>
    <row r="169" spans="1:4">
      <c r="A169" s="61"/>
      <c r="B169" s="61"/>
      <c r="C169" s="21" t="s">
        <v>399</v>
      </c>
      <c r="D169" s="21" t="s">
        <v>400</v>
      </c>
    </row>
    <row r="170" spans="1:4">
      <c r="A170" s="61"/>
      <c r="B170" s="61"/>
      <c r="C170" s="21" t="s">
        <v>401</v>
      </c>
      <c r="D170" s="21" t="s">
        <v>402</v>
      </c>
    </row>
    <row r="171" spans="1:4">
      <c r="A171" s="61"/>
      <c r="B171" s="61"/>
      <c r="C171" s="21" t="s">
        <v>403</v>
      </c>
      <c r="D171" s="21" t="s">
        <v>404</v>
      </c>
    </row>
    <row r="172" spans="1:4">
      <c r="A172" s="61"/>
      <c r="B172" s="61"/>
      <c r="C172" s="21" t="s">
        <v>405</v>
      </c>
      <c r="D172" s="21" t="s">
        <v>406</v>
      </c>
    </row>
    <row r="173" spans="1:4">
      <c r="A173" s="61"/>
      <c r="B173" s="61"/>
      <c r="C173" s="21" t="s">
        <v>407</v>
      </c>
      <c r="D173" s="21" t="s">
        <v>408</v>
      </c>
    </row>
    <row r="174" spans="1:4">
      <c r="A174" s="61"/>
      <c r="B174" s="61"/>
      <c r="C174" s="21" t="s">
        <v>409</v>
      </c>
      <c r="D174" s="21" t="s">
        <v>410</v>
      </c>
    </row>
    <row r="175" spans="1:4">
      <c r="A175" s="61"/>
      <c r="B175" s="61"/>
      <c r="C175" s="21" t="s">
        <v>411</v>
      </c>
      <c r="D175" s="21" t="s">
        <v>412</v>
      </c>
    </row>
    <row r="176" spans="1:4">
      <c r="A176" s="61"/>
      <c r="B176" s="61"/>
      <c r="C176" s="21" t="s">
        <v>413</v>
      </c>
      <c r="D176" s="21" t="s">
        <v>414</v>
      </c>
    </row>
    <row r="177" spans="1:5">
      <c r="A177" s="61"/>
      <c r="B177" s="61"/>
      <c r="C177" s="21" t="s">
        <v>415</v>
      </c>
      <c r="D177" s="21" t="s">
        <v>416</v>
      </c>
    </row>
    <row r="178" spans="1:5">
      <c r="A178" s="61"/>
      <c r="B178" s="61"/>
      <c r="C178" s="21" t="s">
        <v>417</v>
      </c>
      <c r="D178" s="21" t="s">
        <v>418</v>
      </c>
    </row>
    <row r="179" spans="1:5">
      <c r="A179" s="61"/>
      <c r="B179" s="61"/>
      <c r="C179" s="21" t="s">
        <v>419</v>
      </c>
      <c r="D179" s="21" t="s">
        <v>420</v>
      </c>
    </row>
    <row r="180" spans="1:5">
      <c r="A180" s="61"/>
      <c r="B180" s="61"/>
      <c r="C180" s="21" t="s">
        <v>108</v>
      </c>
      <c r="D180" s="21" t="s">
        <v>421</v>
      </c>
      <c r="E180" t="s">
        <v>234</v>
      </c>
    </row>
    <row r="181" spans="1:5">
      <c r="A181" s="61"/>
      <c r="B181" s="61"/>
      <c r="C181" s="21" t="s">
        <v>31</v>
      </c>
      <c r="D181" s="21" t="s">
        <v>31</v>
      </c>
    </row>
    <row r="182" spans="1:5">
      <c r="A182" s="78"/>
      <c r="B182" s="71" t="s">
        <v>422</v>
      </c>
      <c r="C182" s="53" t="s">
        <v>423</v>
      </c>
      <c r="D182" s="53"/>
    </row>
    <row r="183" spans="1:5">
      <c r="A183" s="79"/>
      <c r="B183" s="72"/>
      <c r="C183" s="53" t="s">
        <v>424</v>
      </c>
      <c r="D183" s="53"/>
    </row>
    <row r="184" spans="1:5">
      <c r="A184" s="79"/>
      <c r="B184" s="72"/>
      <c r="C184" s="53" t="s">
        <v>425</v>
      </c>
      <c r="D184" s="53"/>
    </row>
    <row r="185" spans="1:5">
      <c r="A185" s="80"/>
      <c r="B185" s="73"/>
      <c r="C185" s="54" t="s">
        <v>426</v>
      </c>
      <c r="D185" s="54"/>
    </row>
    <row r="186" spans="1:5">
      <c r="A186" s="74"/>
      <c r="B186" s="74" t="s">
        <v>427</v>
      </c>
      <c r="C186" s="52" t="s">
        <v>428</v>
      </c>
      <c r="D186" s="52"/>
    </row>
    <row r="187" spans="1:5">
      <c r="A187" s="75"/>
      <c r="B187" s="75"/>
      <c r="C187" s="52" t="s">
        <v>429</v>
      </c>
      <c r="D187" s="52"/>
    </row>
    <row r="188" spans="1:5">
      <c r="A188" s="78"/>
      <c r="B188" s="71" t="s">
        <v>10</v>
      </c>
      <c r="C188" s="54" t="s">
        <v>430</v>
      </c>
      <c r="D188" s="54" t="s">
        <v>431</v>
      </c>
    </row>
    <row r="189" spans="1:5">
      <c r="A189" s="79"/>
      <c r="B189" s="72"/>
      <c r="C189" s="54" t="s">
        <v>110</v>
      </c>
      <c r="D189" s="54" t="s">
        <v>432</v>
      </c>
    </row>
    <row r="190" spans="1:5">
      <c r="A190" s="79"/>
      <c r="B190" s="72"/>
      <c r="C190" s="54" t="s">
        <v>43</v>
      </c>
      <c r="D190" s="54" t="s">
        <v>43</v>
      </c>
    </row>
    <row r="191" spans="1:5">
      <c r="A191" s="79"/>
      <c r="B191" s="72"/>
      <c r="C191" s="54" t="s">
        <v>433</v>
      </c>
      <c r="D191" s="54" t="s">
        <v>434</v>
      </c>
    </row>
    <row r="192" spans="1:5">
      <c r="A192" s="79"/>
      <c r="B192" s="72"/>
      <c r="C192" s="54" t="s">
        <v>435</v>
      </c>
      <c r="D192" s="54" t="s">
        <v>436</v>
      </c>
    </row>
    <row r="193" spans="1:4">
      <c r="A193" s="79"/>
      <c r="B193" s="72"/>
      <c r="C193" s="54" t="s">
        <v>437</v>
      </c>
      <c r="D193" s="54" t="s">
        <v>438</v>
      </c>
    </row>
    <row r="194" spans="1:4">
      <c r="A194" s="79"/>
      <c r="B194" s="72"/>
      <c r="C194" s="54" t="s">
        <v>439</v>
      </c>
      <c r="D194" s="54" t="s">
        <v>440</v>
      </c>
    </row>
    <row r="195" spans="1:4">
      <c r="A195" s="79"/>
      <c r="B195" s="72"/>
      <c r="C195" s="54" t="s">
        <v>441</v>
      </c>
      <c r="D195" s="54" t="s">
        <v>442</v>
      </c>
    </row>
    <row r="196" spans="1:4">
      <c r="A196" s="79"/>
      <c r="B196" s="72"/>
      <c r="C196" s="54" t="s">
        <v>443</v>
      </c>
      <c r="D196" s="54" t="s">
        <v>444</v>
      </c>
    </row>
    <row r="197" spans="1:4">
      <c r="A197" s="79"/>
      <c r="B197" s="72"/>
      <c r="C197" s="54" t="s">
        <v>445</v>
      </c>
      <c r="D197" s="54" t="s">
        <v>446</v>
      </c>
    </row>
    <row r="198" spans="1:4">
      <c r="A198" s="79"/>
      <c r="B198" s="72"/>
      <c r="C198" s="54" t="s">
        <v>33</v>
      </c>
      <c r="D198" s="54" t="s">
        <v>447</v>
      </c>
    </row>
    <row r="199" spans="1:4">
      <c r="A199" s="79"/>
      <c r="B199" s="72"/>
      <c r="C199" s="54" t="s">
        <v>448</v>
      </c>
      <c r="D199" s="54" t="s">
        <v>449</v>
      </c>
    </row>
    <row r="200" spans="1:4">
      <c r="A200" s="79"/>
      <c r="B200" s="72"/>
      <c r="C200" s="54" t="s">
        <v>31</v>
      </c>
      <c r="D200" s="54" t="s">
        <v>31</v>
      </c>
    </row>
    <row r="201" spans="1:4">
      <c r="A201" s="80"/>
      <c r="B201" s="73"/>
      <c r="C201" s="54" t="s">
        <v>426</v>
      </c>
      <c r="D201" s="54" t="s">
        <v>450</v>
      </c>
    </row>
    <row r="202" spans="1:4">
      <c r="A202" s="112"/>
      <c r="B202" s="112" t="s">
        <v>168</v>
      </c>
      <c r="C202" s="21" t="s">
        <v>451</v>
      </c>
      <c r="D202" s="21"/>
    </row>
    <row r="203" spans="1:4">
      <c r="A203" s="61"/>
      <c r="B203" s="61"/>
      <c r="C203" s="21" t="s">
        <v>452</v>
      </c>
      <c r="D203" s="21"/>
    </row>
    <row r="204" spans="1:4">
      <c r="A204" s="61"/>
      <c r="B204" s="61"/>
      <c r="C204" s="21" t="s">
        <v>453</v>
      </c>
      <c r="D204" s="21"/>
    </row>
    <row r="205" spans="1:4">
      <c r="A205" s="61"/>
      <c r="B205" s="61"/>
      <c r="C205" s="21" t="s">
        <v>454</v>
      </c>
      <c r="D205" s="21"/>
    </row>
    <row r="206" spans="1:4">
      <c r="A206" s="61"/>
      <c r="B206" s="61"/>
      <c r="C206" s="21" t="s">
        <v>455</v>
      </c>
      <c r="D206" s="21"/>
    </row>
    <row r="207" spans="1:4">
      <c r="A207" s="61"/>
      <c r="B207" s="61"/>
      <c r="C207" s="21" t="s">
        <v>456</v>
      </c>
      <c r="D207" s="21"/>
    </row>
    <row r="208" spans="1:4">
      <c r="A208" s="61"/>
      <c r="B208" s="61"/>
      <c r="C208" s="21" t="s">
        <v>457</v>
      </c>
      <c r="D208" s="21"/>
    </row>
    <row r="209" spans="1:5">
      <c r="A209" s="61"/>
      <c r="B209" s="61"/>
      <c r="C209" s="21" t="s">
        <v>458</v>
      </c>
      <c r="D209" s="21"/>
    </row>
    <row r="210" spans="1:5">
      <c r="A210" s="61"/>
      <c r="B210" s="61"/>
      <c r="C210" s="21" t="s">
        <v>459</v>
      </c>
      <c r="D210" s="21"/>
    </row>
    <row r="211" spans="1:5">
      <c r="A211" s="61"/>
      <c r="B211" s="61"/>
      <c r="C211" s="21" t="s">
        <v>460</v>
      </c>
      <c r="D211" s="21"/>
    </row>
    <row r="212" spans="1:5">
      <c r="A212" s="61"/>
      <c r="B212" s="61"/>
      <c r="C212" s="21" t="s">
        <v>461</v>
      </c>
      <c r="D212" s="21"/>
    </row>
    <row r="213" spans="1:5">
      <c r="A213" s="61"/>
      <c r="B213" s="61"/>
      <c r="C213" s="21" t="s">
        <v>462</v>
      </c>
      <c r="D213" s="21"/>
    </row>
    <row r="214" spans="1:5">
      <c r="A214" s="61"/>
      <c r="B214" s="61"/>
      <c r="C214" s="21" t="s">
        <v>463</v>
      </c>
      <c r="D214" s="21"/>
    </row>
    <row r="215" spans="1:5">
      <c r="A215" s="61"/>
      <c r="B215" s="61"/>
      <c r="C215" s="21" t="s">
        <v>464</v>
      </c>
      <c r="D215" s="21"/>
    </row>
    <row r="216" spans="1:5">
      <c r="A216" s="61"/>
      <c r="B216" s="61"/>
      <c r="C216" s="21" t="s">
        <v>465</v>
      </c>
      <c r="D216" s="21"/>
    </row>
    <row r="217" spans="1:5">
      <c r="A217" s="61"/>
      <c r="B217" s="61"/>
      <c r="C217" s="21" t="s">
        <v>466</v>
      </c>
      <c r="D217" s="21"/>
    </row>
    <row r="218" spans="1:5">
      <c r="A218" s="61"/>
      <c r="B218" s="61"/>
      <c r="C218" s="21" t="s">
        <v>467</v>
      </c>
      <c r="D218" s="21" t="s">
        <v>468</v>
      </c>
      <c r="E218" t="s">
        <v>234</v>
      </c>
    </row>
    <row r="219" spans="1:5">
      <c r="A219" s="61"/>
      <c r="B219" s="61"/>
      <c r="C219" s="21" t="s">
        <v>469</v>
      </c>
      <c r="D219" s="21"/>
    </row>
    <row r="220" spans="1:5">
      <c r="A220" s="61"/>
      <c r="B220" s="61"/>
      <c r="C220" s="21" t="s">
        <v>470</v>
      </c>
      <c r="D220" s="21"/>
    </row>
    <row r="221" spans="1:5">
      <c r="A221" s="61"/>
      <c r="B221" s="61"/>
      <c r="C221" s="21" t="s">
        <v>471</v>
      </c>
      <c r="D221" s="21"/>
    </row>
    <row r="222" spans="1:5">
      <c r="A222" s="61"/>
      <c r="B222" s="61"/>
      <c r="C222" s="21" t="s">
        <v>472</v>
      </c>
      <c r="D222" s="21"/>
    </row>
    <row r="223" spans="1:5">
      <c r="A223" s="61"/>
      <c r="B223" s="61"/>
      <c r="C223" s="21" t="s">
        <v>473</v>
      </c>
      <c r="D223" s="21"/>
    </row>
    <row r="224" spans="1:5">
      <c r="A224" s="61"/>
      <c r="B224" s="61"/>
      <c r="C224" s="21" t="s">
        <v>474</v>
      </c>
      <c r="D224" s="21"/>
    </row>
    <row r="225" spans="1:4">
      <c r="A225" s="61"/>
      <c r="B225" s="61"/>
      <c r="C225" s="21" t="s">
        <v>475</v>
      </c>
      <c r="D225" s="21"/>
    </row>
    <row r="226" spans="1:4">
      <c r="A226" s="61"/>
      <c r="B226" s="61"/>
      <c r="C226" s="21" t="s">
        <v>476</v>
      </c>
      <c r="D226" s="21"/>
    </row>
    <row r="227" spans="1:4">
      <c r="A227" s="61"/>
      <c r="B227" s="61"/>
      <c r="C227" s="21" t="s">
        <v>477</v>
      </c>
      <c r="D227" s="21"/>
    </row>
    <row r="228" spans="1:4">
      <c r="A228" s="61"/>
      <c r="B228" s="61"/>
      <c r="C228" s="21" t="s">
        <v>478</v>
      </c>
      <c r="D228" s="21"/>
    </row>
    <row r="229" spans="1:4">
      <c r="A229" s="61"/>
      <c r="B229" s="61"/>
      <c r="C229" s="21" t="s">
        <v>479</v>
      </c>
      <c r="D229" s="21"/>
    </row>
    <row r="230" spans="1:4">
      <c r="A230" s="61"/>
      <c r="B230" s="61"/>
      <c r="C230" s="21" t="s">
        <v>480</v>
      </c>
      <c r="D230" s="21"/>
    </row>
    <row r="231" spans="1:4">
      <c r="A231" s="61"/>
      <c r="B231" s="61"/>
      <c r="C231" s="21" t="s">
        <v>481</v>
      </c>
      <c r="D231" s="21"/>
    </row>
    <row r="232" spans="1:4">
      <c r="A232" s="61"/>
      <c r="B232" s="61"/>
      <c r="C232" s="21" t="s">
        <v>482</v>
      </c>
      <c r="D232" s="21"/>
    </row>
    <row r="233" spans="1:4">
      <c r="A233" s="61"/>
      <c r="B233" s="61"/>
      <c r="C233" s="21" t="s">
        <v>483</v>
      </c>
      <c r="D233" s="21"/>
    </row>
    <row r="234" spans="1:4">
      <c r="A234" s="61"/>
      <c r="B234" s="61"/>
      <c r="C234" s="21" t="s">
        <v>484</v>
      </c>
      <c r="D234" s="21"/>
    </row>
    <row r="235" spans="1:4">
      <c r="A235" s="61"/>
      <c r="B235" s="61"/>
      <c r="C235" s="21" t="s">
        <v>485</v>
      </c>
      <c r="D235" s="21"/>
    </row>
    <row r="236" spans="1:4">
      <c r="A236" s="61"/>
      <c r="B236" s="61"/>
      <c r="C236" s="21" t="s">
        <v>486</v>
      </c>
      <c r="D236" s="21"/>
    </row>
    <row r="237" spans="1:4">
      <c r="A237" s="61"/>
      <c r="B237" s="61"/>
      <c r="C237" s="21" t="s">
        <v>487</v>
      </c>
      <c r="D237" s="21"/>
    </row>
    <row r="238" spans="1:4">
      <c r="A238" s="61"/>
      <c r="B238" s="61"/>
      <c r="C238" s="21" t="s">
        <v>488</v>
      </c>
      <c r="D238" s="21"/>
    </row>
    <row r="239" spans="1:4">
      <c r="A239" s="61"/>
      <c r="B239" s="61"/>
      <c r="C239" s="21" t="s">
        <v>489</v>
      </c>
      <c r="D239" s="21"/>
    </row>
    <row r="240" spans="1:4">
      <c r="A240" s="61"/>
      <c r="B240" s="61"/>
      <c r="C240" s="21" t="s">
        <v>490</v>
      </c>
      <c r="D240" s="21"/>
    </row>
    <row r="241" spans="1:4">
      <c r="A241" s="61"/>
      <c r="B241" s="61"/>
      <c r="C241" s="21" t="s">
        <v>491</v>
      </c>
      <c r="D241" s="21"/>
    </row>
    <row r="242" spans="1:4">
      <c r="A242" s="61"/>
      <c r="B242" s="61"/>
      <c r="C242" s="21" t="s">
        <v>492</v>
      </c>
      <c r="D242" s="21"/>
    </row>
    <row r="243" spans="1:4">
      <c r="A243" s="61"/>
      <c r="B243" s="61"/>
      <c r="C243" s="21" t="s">
        <v>493</v>
      </c>
      <c r="D243" s="21"/>
    </row>
    <row r="244" spans="1:4">
      <c r="A244" s="61"/>
      <c r="B244" s="61"/>
      <c r="C244" s="21" t="s">
        <v>494</v>
      </c>
      <c r="D244" s="21"/>
    </row>
    <row r="245" spans="1:4">
      <c r="A245" s="61"/>
      <c r="B245" s="61"/>
      <c r="C245" s="21" t="s">
        <v>495</v>
      </c>
      <c r="D245" s="21"/>
    </row>
    <row r="246" spans="1:4">
      <c r="A246" s="61"/>
      <c r="B246" s="61"/>
      <c r="C246" s="21" t="s">
        <v>496</v>
      </c>
      <c r="D246" s="21"/>
    </row>
    <row r="247" spans="1:4">
      <c r="A247" s="61"/>
      <c r="B247" s="61"/>
      <c r="C247" s="21" t="s">
        <v>497</v>
      </c>
      <c r="D247" s="21"/>
    </row>
    <row r="248" spans="1:4">
      <c r="A248" s="61"/>
      <c r="B248" s="61"/>
      <c r="C248" s="21" t="s">
        <v>498</v>
      </c>
      <c r="D248" s="21"/>
    </row>
    <row r="249" spans="1:4">
      <c r="A249" s="61"/>
      <c r="B249" s="61"/>
      <c r="C249" s="21" t="s">
        <v>499</v>
      </c>
      <c r="D249" s="21"/>
    </row>
    <row r="250" spans="1:4">
      <c r="A250" s="61"/>
      <c r="B250" s="61"/>
      <c r="C250" s="21" t="s">
        <v>500</v>
      </c>
      <c r="D250" s="21"/>
    </row>
    <row r="251" spans="1:4">
      <c r="A251" s="61"/>
      <c r="B251" s="61"/>
      <c r="C251" s="21" t="s">
        <v>501</v>
      </c>
      <c r="D251" s="21"/>
    </row>
    <row r="252" spans="1:4">
      <c r="A252" s="61"/>
      <c r="B252" s="61"/>
      <c r="C252" s="21" t="s">
        <v>31</v>
      </c>
      <c r="D252" s="21"/>
    </row>
    <row r="253" spans="1:4">
      <c r="A253" s="61"/>
      <c r="B253" s="61"/>
      <c r="C253" s="21" t="s">
        <v>502</v>
      </c>
      <c r="D253" s="21"/>
    </row>
    <row r="254" spans="1:4">
      <c r="A254" s="61"/>
      <c r="B254" s="61"/>
      <c r="C254" s="21" t="s">
        <v>503</v>
      </c>
      <c r="D254" s="21"/>
    </row>
    <row r="255" spans="1:4">
      <c r="A255" s="61"/>
      <c r="B255" s="61"/>
      <c r="C255" s="21" t="s">
        <v>504</v>
      </c>
      <c r="D255" s="21"/>
    </row>
    <row r="256" spans="1:4">
      <c r="A256" s="61"/>
      <c r="B256" s="61"/>
      <c r="C256" s="21" t="s">
        <v>505</v>
      </c>
      <c r="D256" s="21"/>
    </row>
    <row r="257" spans="1:5">
      <c r="A257" s="61"/>
      <c r="B257" s="61"/>
      <c r="C257" s="21" t="s">
        <v>506</v>
      </c>
      <c r="D257" s="21"/>
    </row>
    <row r="258" spans="1:5">
      <c r="A258" s="61"/>
      <c r="B258" s="61"/>
      <c r="C258" s="21" t="s">
        <v>507</v>
      </c>
      <c r="D258" s="21"/>
    </row>
    <row r="259" spans="1:5">
      <c r="A259" s="61"/>
      <c r="B259" s="61"/>
      <c r="C259" s="21" t="s">
        <v>508</v>
      </c>
      <c r="D259" s="21"/>
    </row>
    <row r="260" spans="1:5">
      <c r="A260" s="61"/>
      <c r="B260" s="61"/>
      <c r="C260" s="21" t="s">
        <v>509</v>
      </c>
      <c r="D260" s="21"/>
    </row>
    <row r="261" spans="1:5">
      <c r="A261" s="61"/>
      <c r="B261" s="61"/>
      <c r="C261" s="21" t="s">
        <v>510</v>
      </c>
      <c r="D261" s="21"/>
    </row>
    <row r="262" spans="1:5">
      <c r="A262" s="61"/>
      <c r="B262" s="61"/>
      <c r="C262" s="21" t="s">
        <v>511</v>
      </c>
      <c r="D262" s="21"/>
    </row>
    <row r="263" spans="1:5">
      <c r="A263" s="61"/>
      <c r="B263" s="61"/>
      <c r="C263" s="21" t="s">
        <v>512</v>
      </c>
      <c r="D263" s="21"/>
    </row>
    <row r="264" spans="1:5">
      <c r="A264" s="61"/>
      <c r="B264" s="61"/>
      <c r="C264" s="21" t="s">
        <v>513</v>
      </c>
      <c r="D264" s="21"/>
    </row>
    <row r="265" spans="1:5">
      <c r="A265" s="61"/>
      <c r="B265" s="61"/>
      <c r="C265" s="21" t="s">
        <v>514</v>
      </c>
      <c r="D265" s="21"/>
    </row>
    <row r="266" spans="1:5">
      <c r="A266" s="61"/>
      <c r="B266" s="61"/>
      <c r="C266" s="21" t="s">
        <v>515</v>
      </c>
      <c r="D266" s="21"/>
    </row>
    <row r="267" spans="1:5">
      <c r="A267" s="61"/>
      <c r="B267" s="61"/>
      <c r="C267" s="21" t="s">
        <v>516</v>
      </c>
      <c r="D267" s="21"/>
    </row>
    <row r="268" spans="1:5">
      <c r="A268" s="61"/>
      <c r="B268" s="61"/>
      <c r="C268" s="21" t="s">
        <v>517</v>
      </c>
      <c r="D268" s="21"/>
    </row>
    <row r="269" spans="1:5">
      <c r="A269" s="61"/>
      <c r="B269" s="61"/>
      <c r="C269" s="21" t="s">
        <v>518</v>
      </c>
      <c r="D269" s="21"/>
    </row>
    <row r="270" spans="1:5">
      <c r="A270" s="61"/>
      <c r="B270" s="61"/>
      <c r="C270" s="21" t="s">
        <v>519</v>
      </c>
      <c r="D270" s="21" t="s">
        <v>520</v>
      </c>
      <c r="E270" t="s">
        <v>234</v>
      </c>
    </row>
    <row r="271" spans="1:5">
      <c r="A271" s="61"/>
      <c r="B271" s="61"/>
      <c r="C271" s="21" t="s">
        <v>521</v>
      </c>
      <c r="D271" s="21" t="s">
        <v>522</v>
      </c>
      <c r="E271" t="s">
        <v>234</v>
      </c>
    </row>
    <row r="272" spans="1:5">
      <c r="A272" s="61"/>
      <c r="B272" s="61"/>
      <c r="C272" s="21" t="s">
        <v>523</v>
      </c>
      <c r="D272" s="21" t="s">
        <v>524</v>
      </c>
      <c r="E272" t="s">
        <v>234</v>
      </c>
    </row>
    <row r="273" spans="1:5">
      <c r="A273" s="61"/>
      <c r="B273" s="61"/>
      <c r="C273" s="21" t="s">
        <v>525</v>
      </c>
      <c r="D273" s="21"/>
    </row>
    <row r="274" spans="1:5">
      <c r="A274" s="61"/>
      <c r="B274" s="61"/>
      <c r="C274" s="21" t="s">
        <v>526</v>
      </c>
      <c r="D274" s="21" t="s">
        <v>527</v>
      </c>
      <c r="E274" t="s">
        <v>234</v>
      </c>
    </row>
    <row r="275" spans="1:5">
      <c r="A275" s="61"/>
      <c r="B275" s="61"/>
      <c r="C275" s="21" t="s">
        <v>528</v>
      </c>
      <c r="D275" s="21"/>
    </row>
    <row r="276" spans="1:5">
      <c r="A276" s="61"/>
      <c r="B276" s="61"/>
      <c r="C276" s="21" t="s">
        <v>529</v>
      </c>
      <c r="D276" s="21"/>
    </row>
    <row r="277" spans="1:5">
      <c r="A277" s="61"/>
      <c r="B277" s="61"/>
      <c r="C277" s="21" t="s">
        <v>530</v>
      </c>
      <c r="D277" s="21"/>
    </row>
    <row r="278" spans="1:5">
      <c r="A278" s="61"/>
      <c r="B278" s="61"/>
      <c r="C278" s="21" t="s">
        <v>531</v>
      </c>
      <c r="D278" s="21"/>
    </row>
    <row r="279" spans="1:5">
      <c r="A279" s="61"/>
      <c r="B279" s="61"/>
      <c r="C279" s="21" t="s">
        <v>532</v>
      </c>
      <c r="D279" s="21"/>
    </row>
    <row r="280" spans="1:5">
      <c r="A280" s="61"/>
      <c r="B280" s="61"/>
      <c r="C280" s="21" t="s">
        <v>533</v>
      </c>
      <c r="D280" s="21"/>
    </row>
    <row r="281" spans="1:5">
      <c r="A281" s="61"/>
      <c r="B281" s="61"/>
      <c r="C281" s="21" t="s">
        <v>534</v>
      </c>
      <c r="D281" s="21"/>
    </row>
    <row r="282" spans="1:5">
      <c r="A282" s="61"/>
      <c r="B282" s="61"/>
      <c r="C282" s="21" t="s">
        <v>535</v>
      </c>
      <c r="D282" s="21" t="s">
        <v>536</v>
      </c>
      <c r="E282" t="s">
        <v>234</v>
      </c>
    </row>
    <row r="283" spans="1:5">
      <c r="A283" s="61"/>
      <c r="B283" s="61"/>
      <c r="C283" s="21" t="s">
        <v>537</v>
      </c>
      <c r="D283" s="21"/>
    </row>
    <row r="284" spans="1:5">
      <c r="A284" s="61"/>
      <c r="B284" s="61"/>
      <c r="C284" s="21" t="s">
        <v>538</v>
      </c>
      <c r="D284" s="21" t="s">
        <v>539</v>
      </c>
      <c r="E284" t="s">
        <v>234</v>
      </c>
    </row>
    <row r="285" spans="1:5">
      <c r="A285" s="61"/>
      <c r="B285" s="61"/>
      <c r="C285" s="21" t="s">
        <v>540</v>
      </c>
      <c r="D285" s="21"/>
    </row>
    <row r="286" spans="1:5">
      <c r="A286" s="61"/>
      <c r="B286" s="61"/>
      <c r="C286" s="21" t="s">
        <v>541</v>
      </c>
      <c r="D286" s="21"/>
    </row>
    <row r="287" spans="1:5">
      <c r="A287" s="61"/>
      <c r="B287" s="61"/>
      <c r="C287" s="21" t="s">
        <v>542</v>
      </c>
      <c r="D287" s="21"/>
    </row>
    <row r="288" spans="1:5">
      <c r="A288" s="61"/>
      <c r="B288" s="61"/>
      <c r="C288" s="21" t="s">
        <v>543</v>
      </c>
      <c r="D288" s="21"/>
    </row>
    <row r="289" spans="1:5">
      <c r="A289" s="61"/>
      <c r="B289" s="61"/>
      <c r="C289" s="21" t="s">
        <v>544</v>
      </c>
      <c r="D289" s="21" t="s">
        <v>545</v>
      </c>
      <c r="E289" t="s">
        <v>234</v>
      </c>
    </row>
    <row r="290" spans="1:5">
      <c r="A290" s="61"/>
      <c r="B290" s="61"/>
      <c r="C290" s="21" t="s">
        <v>546</v>
      </c>
      <c r="D290" s="21"/>
    </row>
    <row r="291" spans="1:5">
      <c r="A291" s="61"/>
      <c r="B291" s="61"/>
      <c r="C291" s="21" t="s">
        <v>547</v>
      </c>
      <c r="D291" s="21"/>
    </row>
    <row r="292" spans="1:5">
      <c r="A292" s="61"/>
      <c r="B292" s="61"/>
      <c r="C292" s="21" t="s">
        <v>548</v>
      </c>
      <c r="D292" s="21"/>
    </row>
    <row r="293" spans="1:5">
      <c r="A293" s="61"/>
      <c r="B293" s="61"/>
      <c r="C293" s="21" t="s">
        <v>549</v>
      </c>
      <c r="D293" s="21"/>
    </row>
    <row r="294" spans="1:5">
      <c r="A294" s="61"/>
      <c r="B294" s="61"/>
      <c r="C294" s="21" t="s">
        <v>550</v>
      </c>
      <c r="D294" s="21"/>
    </row>
    <row r="295" spans="1:5">
      <c r="A295" s="61"/>
      <c r="B295" s="61"/>
      <c r="C295" s="21" t="s">
        <v>551</v>
      </c>
      <c r="D295" s="21"/>
    </row>
    <row r="296" spans="1:5">
      <c r="A296" s="61"/>
      <c r="B296" s="61"/>
      <c r="C296" s="21" t="s">
        <v>552</v>
      </c>
      <c r="D296" s="21"/>
    </row>
    <row r="297" spans="1:5">
      <c r="A297" s="61"/>
      <c r="B297" s="61"/>
      <c r="C297" s="21" t="s">
        <v>553</v>
      </c>
      <c r="D297" s="21" t="s">
        <v>554</v>
      </c>
      <c r="E297" t="s">
        <v>234</v>
      </c>
    </row>
    <row r="298" spans="1:5">
      <c r="A298" s="61"/>
      <c r="B298" s="61"/>
      <c r="C298" s="21" t="s">
        <v>555</v>
      </c>
      <c r="D298" s="21"/>
    </row>
    <row r="299" spans="1:5">
      <c r="A299" s="61"/>
      <c r="B299" s="61"/>
      <c r="C299" s="21" t="s">
        <v>556</v>
      </c>
      <c r="D299" s="21"/>
    </row>
    <row r="300" spans="1:5">
      <c r="A300" s="61"/>
      <c r="B300" s="61"/>
      <c r="C300" s="131" t="s">
        <v>557</v>
      </c>
      <c r="D300" s="21"/>
      <c r="E300" t="s">
        <v>234</v>
      </c>
    </row>
    <row r="301" spans="1:5">
      <c r="A301" s="61"/>
      <c r="B301" s="61"/>
      <c r="C301" s="21" t="s">
        <v>558</v>
      </c>
      <c r="D301" s="21"/>
    </row>
    <row r="302" spans="1:5">
      <c r="A302" s="61"/>
      <c r="B302" s="61"/>
      <c r="C302" s="21" t="s">
        <v>559</v>
      </c>
      <c r="D302" s="21"/>
    </row>
    <row r="303" spans="1:5">
      <c r="A303" s="61"/>
      <c r="B303" s="61"/>
      <c r="C303" s="21" t="s">
        <v>560</v>
      </c>
      <c r="D303" s="21"/>
    </row>
    <row r="304" spans="1:5">
      <c r="A304" s="61"/>
      <c r="B304" s="61"/>
      <c r="C304" s="21" t="s">
        <v>561</v>
      </c>
      <c r="D304" s="21"/>
    </row>
    <row r="305" spans="1:5">
      <c r="A305" s="61"/>
      <c r="B305" s="61"/>
      <c r="C305" s="21" t="s">
        <v>562</v>
      </c>
      <c r="D305" s="21"/>
    </row>
    <row r="306" spans="1:5">
      <c r="A306" s="61"/>
      <c r="B306" s="61"/>
      <c r="C306" s="21" t="s">
        <v>563</v>
      </c>
      <c r="D306" s="21"/>
    </row>
    <row r="307" spans="1:5">
      <c r="A307" s="61"/>
      <c r="B307" s="61"/>
      <c r="C307" s="21" t="s">
        <v>564</v>
      </c>
      <c r="D307" s="21"/>
    </row>
    <row r="308" spans="1:5">
      <c r="A308" s="61"/>
      <c r="B308" s="61"/>
      <c r="C308" s="21" t="s">
        <v>565</v>
      </c>
      <c r="D308" s="21"/>
    </row>
    <row r="309" spans="1:5">
      <c r="A309" s="61"/>
      <c r="B309" s="61"/>
      <c r="C309" s="21" t="s">
        <v>566</v>
      </c>
      <c r="D309" s="21"/>
    </row>
    <row r="310" spans="1:5">
      <c r="A310" s="61"/>
      <c r="B310" s="61"/>
      <c r="C310" s="131" t="s">
        <v>567</v>
      </c>
      <c r="D310" s="21"/>
      <c r="E310" t="s">
        <v>234</v>
      </c>
    </row>
    <row r="311" spans="1:5">
      <c r="A311" s="61"/>
      <c r="B311" s="61"/>
      <c r="C311" s="131" t="s">
        <v>568</v>
      </c>
      <c r="D311" s="21"/>
      <c r="E311" t="s">
        <v>234</v>
      </c>
    </row>
    <row r="312" spans="1:5">
      <c r="A312" s="61"/>
      <c r="B312" s="61"/>
      <c r="C312" s="131" t="s">
        <v>569</v>
      </c>
      <c r="D312" s="21"/>
      <c r="E312" t="s">
        <v>234</v>
      </c>
    </row>
    <row r="313" spans="1:5">
      <c r="A313" s="61"/>
      <c r="B313" s="61"/>
      <c r="C313" s="21" t="s">
        <v>570</v>
      </c>
      <c r="D313" s="21"/>
    </row>
    <row r="314" spans="1:5">
      <c r="A314" s="61"/>
      <c r="B314" s="61"/>
      <c r="C314" s="21" t="s">
        <v>571</v>
      </c>
      <c r="D314" s="21"/>
    </row>
    <row r="315" spans="1:5">
      <c r="A315" s="61"/>
      <c r="B315" s="61"/>
      <c r="C315" s="21" t="s">
        <v>572</v>
      </c>
      <c r="D315" s="21"/>
    </row>
    <row r="316" spans="1:5">
      <c r="A316" s="61"/>
      <c r="B316" s="61"/>
      <c r="C316" s="21" t="s">
        <v>573</v>
      </c>
      <c r="D316" s="21"/>
    </row>
    <row r="317" spans="1:5">
      <c r="A317" s="61"/>
      <c r="B317" s="61"/>
      <c r="C317" s="21" t="s">
        <v>574</v>
      </c>
      <c r="D317" s="21"/>
    </row>
    <row r="318" spans="1:5">
      <c r="A318" s="61"/>
      <c r="B318" s="61"/>
      <c r="C318" s="21" t="s">
        <v>575</v>
      </c>
      <c r="D318" s="126" t="s">
        <v>576</v>
      </c>
      <c r="E318" t="s">
        <v>234</v>
      </c>
    </row>
    <row r="319" spans="1:5">
      <c r="A319" s="61"/>
      <c r="B319" s="61"/>
      <c r="C319" s="21" t="s">
        <v>577</v>
      </c>
      <c r="D319" s="21"/>
    </row>
    <row r="320" spans="1:5">
      <c r="A320" s="61"/>
      <c r="B320" s="61"/>
      <c r="C320" s="21" t="s">
        <v>578</v>
      </c>
      <c r="D320" s="21"/>
    </row>
    <row r="321" spans="1:5">
      <c r="A321" s="61"/>
      <c r="B321" s="61"/>
      <c r="C321" s="21" t="s">
        <v>579</v>
      </c>
      <c r="D321" s="21"/>
    </row>
    <row r="322" spans="1:5">
      <c r="A322" s="61"/>
      <c r="B322" s="61"/>
      <c r="C322" s="21" t="s">
        <v>580</v>
      </c>
      <c r="D322" s="21"/>
    </row>
    <row r="323" spans="1:5">
      <c r="A323" s="61"/>
      <c r="B323" s="61"/>
      <c r="C323" s="21" t="s">
        <v>581</v>
      </c>
      <c r="D323" s="21"/>
    </row>
    <row r="324" spans="1:5">
      <c r="A324" s="61"/>
      <c r="B324" s="61"/>
      <c r="C324" s="21" t="s">
        <v>582</v>
      </c>
      <c r="D324" s="21"/>
    </row>
    <row r="325" spans="1:5">
      <c r="A325" s="61"/>
      <c r="B325" s="61"/>
      <c r="C325" s="21" t="s">
        <v>583</v>
      </c>
      <c r="D325" s="21"/>
    </row>
    <row r="326" spans="1:5">
      <c r="A326" s="61"/>
      <c r="B326" s="61"/>
      <c r="C326" s="21" t="s">
        <v>584</v>
      </c>
      <c r="D326" s="21"/>
    </row>
    <row r="327" spans="1:5">
      <c r="A327" s="61"/>
      <c r="B327" s="61"/>
      <c r="C327" s="21" t="s">
        <v>585</v>
      </c>
      <c r="D327" s="21"/>
    </row>
    <row r="328" spans="1:5">
      <c r="A328" s="78"/>
      <c r="B328" s="68" t="s">
        <v>586</v>
      </c>
      <c r="C328" s="54" t="s">
        <v>587</v>
      </c>
      <c r="D328" s="54"/>
      <c r="E328" t="s">
        <v>234</v>
      </c>
    </row>
    <row r="329" spans="1:5">
      <c r="A329" s="79"/>
      <c r="B329" s="69"/>
      <c r="C329" s="54" t="s">
        <v>588</v>
      </c>
      <c r="D329" s="54"/>
      <c r="E329" t="s">
        <v>234</v>
      </c>
    </row>
    <row r="330" spans="1:5">
      <c r="A330" s="79"/>
      <c r="B330" s="69"/>
      <c r="C330" s="128" t="s">
        <v>589</v>
      </c>
      <c r="D330" s="54"/>
      <c r="E330" t="s">
        <v>234</v>
      </c>
    </row>
    <row r="331" spans="1:5">
      <c r="A331" s="79"/>
      <c r="B331" s="69"/>
      <c r="C331" s="127" t="s">
        <v>590</v>
      </c>
      <c r="D331" s="54"/>
      <c r="E331" t="s">
        <v>234</v>
      </c>
    </row>
    <row r="332" spans="1:5">
      <c r="A332" s="79"/>
      <c r="B332" s="69"/>
      <c r="C332" s="127" t="s">
        <v>591</v>
      </c>
      <c r="D332" s="54"/>
      <c r="E332" t="s">
        <v>234</v>
      </c>
    </row>
    <row r="333" spans="1:5">
      <c r="A333" s="79"/>
      <c r="B333" s="69"/>
      <c r="C333" s="127" t="s">
        <v>592</v>
      </c>
      <c r="D333" s="54"/>
      <c r="E333" t="s">
        <v>234</v>
      </c>
    </row>
    <row r="334" spans="1:5">
      <c r="A334" s="79"/>
      <c r="B334" s="69"/>
      <c r="C334" s="127" t="s">
        <v>593</v>
      </c>
      <c r="D334" s="54"/>
      <c r="E334" t="s">
        <v>234</v>
      </c>
    </row>
    <row r="335" spans="1:5">
      <c r="A335" s="79"/>
      <c r="B335" s="69"/>
      <c r="C335" s="54" t="s">
        <v>594</v>
      </c>
      <c r="D335" s="54"/>
      <c r="E335" t="s">
        <v>234</v>
      </c>
    </row>
    <row r="336" spans="1:5">
      <c r="A336" s="79"/>
      <c r="B336" s="69"/>
      <c r="C336" s="54" t="s">
        <v>595</v>
      </c>
      <c r="D336" s="54"/>
      <c r="E336" t="s">
        <v>234</v>
      </c>
    </row>
    <row r="337" spans="1:5">
      <c r="A337" s="79"/>
      <c r="B337" s="69"/>
      <c r="C337" s="54" t="s">
        <v>596</v>
      </c>
      <c r="D337" s="54"/>
      <c r="E337" t="s">
        <v>234</v>
      </c>
    </row>
    <row r="338" spans="1:5">
      <c r="A338" s="79"/>
      <c r="B338" s="69"/>
      <c r="C338" s="54" t="s">
        <v>597</v>
      </c>
      <c r="D338" s="54"/>
      <c r="E338" t="s">
        <v>234</v>
      </c>
    </row>
    <row r="339" spans="1:5">
      <c r="A339" s="79"/>
      <c r="B339" s="69"/>
      <c r="C339" s="54" t="s">
        <v>598</v>
      </c>
      <c r="D339" s="54"/>
      <c r="E339" t="s">
        <v>234</v>
      </c>
    </row>
    <row r="340" spans="1:5">
      <c r="A340" s="79"/>
      <c r="B340" s="69"/>
      <c r="C340" s="54" t="s">
        <v>599</v>
      </c>
      <c r="D340" s="54"/>
      <c r="E340" t="s">
        <v>234</v>
      </c>
    </row>
    <row r="341" spans="1:5">
      <c r="A341" s="79"/>
      <c r="B341" s="69"/>
      <c r="C341" s="54" t="s">
        <v>600</v>
      </c>
      <c r="D341" s="54"/>
      <c r="E341" t="s">
        <v>234</v>
      </c>
    </row>
    <row r="342" spans="1:5">
      <c r="A342" s="79"/>
      <c r="B342" s="69"/>
      <c r="C342" s="54" t="s">
        <v>601</v>
      </c>
      <c r="D342" s="54"/>
      <c r="E342" t="s">
        <v>234</v>
      </c>
    </row>
    <row r="343" spans="1:5">
      <c r="A343" s="79"/>
      <c r="B343" s="69"/>
      <c r="C343" s="54" t="s">
        <v>602</v>
      </c>
      <c r="D343" s="54"/>
      <c r="E343" t="s">
        <v>234</v>
      </c>
    </row>
    <row r="344" spans="1:5">
      <c r="A344" s="79"/>
      <c r="B344" s="69"/>
      <c r="C344" s="54" t="s">
        <v>603</v>
      </c>
      <c r="D344" s="54"/>
      <c r="E344" t="s">
        <v>234</v>
      </c>
    </row>
    <row r="345" spans="1:5">
      <c r="A345" s="79"/>
      <c r="B345" s="69"/>
      <c r="C345" s="54" t="s">
        <v>604</v>
      </c>
      <c r="D345" s="54"/>
      <c r="E345" t="s">
        <v>234</v>
      </c>
    </row>
    <row r="346" spans="1:5">
      <c r="A346" s="79"/>
      <c r="B346" s="69"/>
      <c r="C346" s="54" t="s">
        <v>605</v>
      </c>
      <c r="D346" s="54"/>
      <c r="E346" t="s">
        <v>234</v>
      </c>
    </row>
    <row r="347" spans="1:5">
      <c r="A347" s="79"/>
      <c r="B347" s="69"/>
      <c r="C347" s="54" t="s">
        <v>606</v>
      </c>
      <c r="D347" s="54"/>
      <c r="E347" t="s">
        <v>234</v>
      </c>
    </row>
    <row r="348" spans="1:5">
      <c r="A348" s="79"/>
      <c r="B348" s="69"/>
      <c r="C348" s="54" t="s">
        <v>607</v>
      </c>
      <c r="D348" s="54"/>
      <c r="E348" t="s">
        <v>234</v>
      </c>
    </row>
    <row r="349" spans="1:5">
      <c r="A349" s="79"/>
      <c r="B349" s="69"/>
      <c r="C349" s="54" t="s">
        <v>608</v>
      </c>
      <c r="D349" s="54"/>
      <c r="E349" t="s">
        <v>234</v>
      </c>
    </row>
    <row r="350" spans="1:5">
      <c r="A350" s="79"/>
      <c r="B350" s="69"/>
      <c r="C350" s="54" t="s">
        <v>609</v>
      </c>
      <c r="D350" s="54"/>
      <c r="E350" t="s">
        <v>234</v>
      </c>
    </row>
    <row r="351" spans="1:5">
      <c r="A351" s="79"/>
      <c r="B351" s="69"/>
      <c r="C351" s="54" t="s">
        <v>610</v>
      </c>
      <c r="D351" s="54"/>
      <c r="E351" t="s">
        <v>234</v>
      </c>
    </row>
    <row r="352" spans="1:5">
      <c r="A352" s="79"/>
      <c r="B352" s="69"/>
      <c r="C352" s="54" t="s">
        <v>611</v>
      </c>
      <c r="D352" s="54"/>
      <c r="E352" t="s">
        <v>234</v>
      </c>
    </row>
    <row r="353" spans="1:5">
      <c r="A353" s="79"/>
      <c r="B353" s="69"/>
      <c r="C353" s="54" t="s">
        <v>612</v>
      </c>
      <c r="D353" s="54"/>
      <c r="E353" t="s">
        <v>234</v>
      </c>
    </row>
    <row r="354" spans="1:5">
      <c r="A354" s="79"/>
      <c r="B354" s="69"/>
      <c r="C354" s="54" t="s">
        <v>613</v>
      </c>
      <c r="D354" s="54"/>
      <c r="E354" t="s">
        <v>234</v>
      </c>
    </row>
    <row r="355" spans="1:5">
      <c r="A355" s="79"/>
      <c r="B355" s="69"/>
      <c r="C355" s="54" t="s">
        <v>614</v>
      </c>
      <c r="D355" s="54"/>
      <c r="E355" t="s">
        <v>234</v>
      </c>
    </row>
    <row r="356" spans="1:5">
      <c r="A356" s="79"/>
      <c r="B356" s="69"/>
      <c r="C356" s="54" t="s">
        <v>615</v>
      </c>
      <c r="D356" s="54"/>
      <c r="E356" t="s">
        <v>234</v>
      </c>
    </row>
    <row r="357" spans="1:5">
      <c r="A357" s="79"/>
      <c r="B357" s="69"/>
      <c r="C357" s="54" t="s">
        <v>616</v>
      </c>
      <c r="D357" s="54"/>
      <c r="E357" t="s">
        <v>234</v>
      </c>
    </row>
    <row r="358" spans="1:5">
      <c r="A358" s="79"/>
      <c r="B358" s="69"/>
      <c r="C358" s="54" t="s">
        <v>617</v>
      </c>
      <c r="D358" s="54"/>
      <c r="E358" t="s">
        <v>234</v>
      </c>
    </row>
    <row r="359" spans="1:5">
      <c r="A359" s="79"/>
      <c r="B359" s="69"/>
      <c r="C359" s="54" t="s">
        <v>618</v>
      </c>
      <c r="D359" s="54"/>
      <c r="E359" t="s">
        <v>234</v>
      </c>
    </row>
    <row r="360" spans="1:5">
      <c r="A360" s="79"/>
      <c r="B360" s="69"/>
      <c r="C360" s="54" t="s">
        <v>619</v>
      </c>
      <c r="D360" s="54"/>
      <c r="E360" t="s">
        <v>234</v>
      </c>
    </row>
    <row r="361" spans="1:5">
      <c r="A361" s="79"/>
      <c r="B361" s="69"/>
      <c r="C361" s="54" t="s">
        <v>620</v>
      </c>
      <c r="D361" s="54"/>
      <c r="E361" t="s">
        <v>234</v>
      </c>
    </row>
    <row r="362" spans="1:5">
      <c r="A362" s="79"/>
      <c r="B362" s="69"/>
      <c r="C362" s="54" t="s">
        <v>621</v>
      </c>
      <c r="D362" s="54"/>
      <c r="E362" t="s">
        <v>234</v>
      </c>
    </row>
    <row r="363" spans="1:5">
      <c r="A363" s="79"/>
      <c r="B363" s="69"/>
      <c r="C363" s="54" t="s">
        <v>622</v>
      </c>
      <c r="D363" s="54"/>
      <c r="E363" t="s">
        <v>234</v>
      </c>
    </row>
    <row r="364" spans="1:5">
      <c r="A364" s="79"/>
      <c r="B364" s="69"/>
      <c r="C364" s="54" t="s">
        <v>623</v>
      </c>
      <c r="D364" s="54"/>
      <c r="E364" t="s">
        <v>234</v>
      </c>
    </row>
    <row r="365" spans="1:5">
      <c r="A365" s="79"/>
      <c r="B365" s="69"/>
      <c r="C365" s="54" t="s">
        <v>624</v>
      </c>
      <c r="D365" s="54"/>
      <c r="E365" t="s">
        <v>234</v>
      </c>
    </row>
    <row r="366" spans="1:5">
      <c r="A366" s="79"/>
      <c r="B366" s="69"/>
      <c r="C366" s="54" t="s">
        <v>625</v>
      </c>
      <c r="D366" s="54"/>
      <c r="E366" t="s">
        <v>234</v>
      </c>
    </row>
    <row r="367" spans="1:5">
      <c r="A367" s="79"/>
      <c r="B367" s="69"/>
      <c r="C367" s="54" t="s">
        <v>626</v>
      </c>
      <c r="D367" s="54"/>
      <c r="E367" t="s">
        <v>234</v>
      </c>
    </row>
    <row r="368" spans="1:5">
      <c r="A368" s="79"/>
      <c r="B368" s="69"/>
      <c r="C368" s="54" t="s">
        <v>627</v>
      </c>
      <c r="D368" s="54"/>
      <c r="E368" t="s">
        <v>234</v>
      </c>
    </row>
    <row r="369" spans="1:5">
      <c r="A369" s="79"/>
      <c r="B369" s="69"/>
      <c r="C369" s="54" t="s">
        <v>628</v>
      </c>
      <c r="D369" s="54"/>
      <c r="E369" t="s">
        <v>234</v>
      </c>
    </row>
    <row r="370" spans="1:5">
      <c r="A370" s="79"/>
      <c r="B370" s="69"/>
      <c r="C370" s="54" t="s">
        <v>629</v>
      </c>
      <c r="D370" s="54"/>
      <c r="E370" t="s">
        <v>234</v>
      </c>
    </row>
    <row r="371" spans="1:5">
      <c r="A371" s="79"/>
      <c r="B371" s="69"/>
      <c r="C371" s="54" t="s">
        <v>630</v>
      </c>
      <c r="D371" s="54"/>
      <c r="E371" t="s">
        <v>234</v>
      </c>
    </row>
    <row r="372" spans="1:5">
      <c r="A372" s="79"/>
      <c r="B372" s="69"/>
      <c r="C372" s="54" t="s">
        <v>631</v>
      </c>
      <c r="D372" s="54"/>
      <c r="E372" t="s">
        <v>234</v>
      </c>
    </row>
    <row r="373" spans="1:5">
      <c r="A373" s="79"/>
      <c r="B373" s="69"/>
      <c r="C373" s="54" t="s">
        <v>632</v>
      </c>
      <c r="D373" s="54"/>
      <c r="E373" t="s">
        <v>234</v>
      </c>
    </row>
    <row r="374" spans="1:5">
      <c r="A374" s="79"/>
      <c r="B374" s="69"/>
      <c r="C374" s="54" t="s">
        <v>633</v>
      </c>
      <c r="D374" s="54"/>
      <c r="E374" t="s">
        <v>234</v>
      </c>
    </row>
    <row r="375" spans="1:5">
      <c r="A375" s="79"/>
      <c r="B375" s="69"/>
      <c r="C375" s="54" t="s">
        <v>634</v>
      </c>
      <c r="D375" s="54"/>
      <c r="E375" t="s">
        <v>234</v>
      </c>
    </row>
    <row r="376" spans="1:5">
      <c r="A376" s="79"/>
      <c r="B376" s="69"/>
      <c r="C376" s="54" t="s">
        <v>635</v>
      </c>
      <c r="D376" s="54"/>
      <c r="E376" t="s">
        <v>234</v>
      </c>
    </row>
    <row r="377" spans="1:5">
      <c r="A377" s="79"/>
      <c r="B377" s="69"/>
      <c r="C377" s="54" t="s">
        <v>636</v>
      </c>
      <c r="D377" s="54"/>
      <c r="E377" t="s">
        <v>234</v>
      </c>
    </row>
    <row r="378" spans="1:5">
      <c r="A378" s="79"/>
      <c r="B378" s="69"/>
      <c r="C378" s="54" t="s">
        <v>637</v>
      </c>
      <c r="D378" s="54"/>
      <c r="E378" t="s">
        <v>234</v>
      </c>
    </row>
    <row r="379" spans="1:5">
      <c r="A379" s="79"/>
      <c r="B379" s="69"/>
      <c r="C379" s="54" t="s">
        <v>638</v>
      </c>
      <c r="D379" s="54"/>
      <c r="E379" t="s">
        <v>234</v>
      </c>
    </row>
    <row r="380" spans="1:5">
      <c r="A380" s="79"/>
      <c r="B380" s="69"/>
      <c r="C380" s="54" t="s">
        <v>639</v>
      </c>
      <c r="D380" s="54"/>
      <c r="E380" t="s">
        <v>234</v>
      </c>
    </row>
    <row r="381" spans="1:5">
      <c r="A381" s="79"/>
      <c r="B381" s="69"/>
      <c r="C381" s="54" t="s">
        <v>640</v>
      </c>
      <c r="D381" s="54"/>
      <c r="E381" t="s">
        <v>234</v>
      </c>
    </row>
    <row r="382" spans="1:5">
      <c r="A382" s="79"/>
      <c r="B382" s="69"/>
      <c r="C382" s="54" t="s">
        <v>641</v>
      </c>
      <c r="D382" s="54"/>
      <c r="E382" t="s">
        <v>234</v>
      </c>
    </row>
    <row r="383" spans="1:5">
      <c r="A383" s="79"/>
      <c r="B383" s="69"/>
      <c r="C383" s="54" t="s">
        <v>642</v>
      </c>
      <c r="D383" s="54"/>
      <c r="E383" t="s">
        <v>234</v>
      </c>
    </row>
    <row r="384" spans="1:5">
      <c r="A384" s="79"/>
      <c r="B384" s="69"/>
      <c r="C384" s="54" t="s">
        <v>643</v>
      </c>
      <c r="D384" s="54"/>
      <c r="E384" t="s">
        <v>234</v>
      </c>
    </row>
    <row r="385" spans="1:5">
      <c r="A385" s="79"/>
      <c r="B385" s="69"/>
      <c r="C385" s="54" t="s">
        <v>644</v>
      </c>
      <c r="D385" s="54"/>
      <c r="E385" t="s">
        <v>234</v>
      </c>
    </row>
    <row r="386" spans="1:5">
      <c r="A386" s="79"/>
      <c r="B386" s="69"/>
      <c r="C386" s="54" t="s">
        <v>645</v>
      </c>
      <c r="D386" s="54"/>
      <c r="E386" t="s">
        <v>234</v>
      </c>
    </row>
    <row r="387" spans="1:5">
      <c r="A387" s="79"/>
      <c r="B387" s="69"/>
      <c r="C387" s="54" t="s">
        <v>646</v>
      </c>
      <c r="D387" s="54"/>
      <c r="E387" t="s">
        <v>234</v>
      </c>
    </row>
    <row r="388" spans="1:5">
      <c r="A388" s="79"/>
      <c r="B388" s="69"/>
      <c r="C388" s="54" t="s">
        <v>647</v>
      </c>
      <c r="D388" s="54"/>
      <c r="E388" t="s">
        <v>234</v>
      </c>
    </row>
    <row r="389" spans="1:5">
      <c r="A389" s="79"/>
      <c r="B389" s="69"/>
      <c r="C389" s="54" t="s">
        <v>648</v>
      </c>
      <c r="D389" s="54"/>
      <c r="E389" t="s">
        <v>234</v>
      </c>
    </row>
    <row r="390" spans="1:5">
      <c r="A390" s="79"/>
      <c r="B390" s="69"/>
      <c r="C390" s="54" t="s">
        <v>649</v>
      </c>
      <c r="D390" s="54"/>
      <c r="E390" t="s">
        <v>234</v>
      </c>
    </row>
    <row r="391" spans="1:5">
      <c r="A391" s="79"/>
      <c r="B391" s="69"/>
      <c r="C391" s="54" t="s">
        <v>650</v>
      </c>
      <c r="D391" s="54"/>
      <c r="E391" t="s">
        <v>234</v>
      </c>
    </row>
    <row r="392" spans="1:5">
      <c r="A392" s="79"/>
      <c r="B392" s="69"/>
      <c r="C392" s="54" t="s">
        <v>651</v>
      </c>
      <c r="D392" s="54"/>
      <c r="E392" t="s">
        <v>234</v>
      </c>
    </row>
    <row r="393" spans="1:5">
      <c r="A393" s="79"/>
      <c r="B393" s="69"/>
      <c r="C393" s="54" t="s">
        <v>652</v>
      </c>
      <c r="D393" s="54"/>
      <c r="E393" t="s">
        <v>234</v>
      </c>
    </row>
    <row r="394" spans="1:5">
      <c r="A394" s="79"/>
      <c r="B394" s="69"/>
      <c r="C394" s="54" t="s">
        <v>653</v>
      </c>
      <c r="D394" s="54"/>
      <c r="E394" t="s">
        <v>234</v>
      </c>
    </row>
    <row r="395" spans="1:5">
      <c r="A395" s="79"/>
      <c r="B395" s="69"/>
      <c r="C395" s="54" t="s">
        <v>654</v>
      </c>
      <c r="D395" s="54"/>
      <c r="E395" t="s">
        <v>234</v>
      </c>
    </row>
    <row r="396" spans="1:5">
      <c r="A396" s="79"/>
      <c r="B396" s="69"/>
      <c r="C396" s="54" t="s">
        <v>655</v>
      </c>
      <c r="D396" s="54"/>
      <c r="E396" t="s">
        <v>234</v>
      </c>
    </row>
    <row r="397" spans="1:5">
      <c r="A397" s="79"/>
      <c r="B397" s="69"/>
      <c r="C397" s="54" t="s">
        <v>656</v>
      </c>
      <c r="D397" s="54"/>
      <c r="E397" t="s">
        <v>234</v>
      </c>
    </row>
    <row r="398" spans="1:5">
      <c r="A398" s="79"/>
      <c r="B398" s="69"/>
      <c r="C398" s="54" t="s">
        <v>657</v>
      </c>
      <c r="D398" s="54"/>
      <c r="E398" t="s">
        <v>234</v>
      </c>
    </row>
    <row r="399" spans="1:5">
      <c r="A399" s="79"/>
      <c r="B399" s="69"/>
      <c r="C399" s="54" t="s">
        <v>658</v>
      </c>
      <c r="D399" s="54"/>
      <c r="E399" t="s">
        <v>234</v>
      </c>
    </row>
    <row r="400" spans="1:5">
      <c r="A400" s="79"/>
      <c r="B400" s="69"/>
      <c r="C400" s="54" t="s">
        <v>659</v>
      </c>
      <c r="D400" s="54"/>
      <c r="E400" t="s">
        <v>234</v>
      </c>
    </row>
    <row r="401" spans="1:5">
      <c r="A401" s="79"/>
      <c r="B401" s="69"/>
      <c r="C401" s="54" t="s">
        <v>660</v>
      </c>
      <c r="D401" s="54"/>
      <c r="E401" t="s">
        <v>234</v>
      </c>
    </row>
    <row r="402" spans="1:5">
      <c r="A402" s="79"/>
      <c r="B402" s="69"/>
      <c r="C402" s="54" t="s">
        <v>661</v>
      </c>
      <c r="D402" s="54"/>
      <c r="E402" t="s">
        <v>234</v>
      </c>
    </row>
    <row r="403" spans="1:5">
      <c r="A403" s="79"/>
      <c r="B403" s="69"/>
      <c r="C403" s="54" t="s">
        <v>662</v>
      </c>
      <c r="D403" s="54"/>
      <c r="E403" t="s">
        <v>234</v>
      </c>
    </row>
    <row r="404" spans="1:5">
      <c r="A404" s="79"/>
      <c r="B404" s="69"/>
      <c r="C404" s="54" t="s">
        <v>663</v>
      </c>
      <c r="D404" s="54"/>
      <c r="E404" t="s">
        <v>234</v>
      </c>
    </row>
    <row r="405" spans="1:5">
      <c r="A405" s="79"/>
      <c r="B405" s="69"/>
      <c r="C405" s="54" t="s">
        <v>664</v>
      </c>
      <c r="D405" s="54"/>
      <c r="E405" t="s">
        <v>234</v>
      </c>
    </row>
    <row r="406" spans="1:5">
      <c r="A406" s="79"/>
      <c r="B406" s="69"/>
      <c r="C406" s="54" t="s">
        <v>665</v>
      </c>
      <c r="D406" s="54"/>
      <c r="E406" t="s">
        <v>234</v>
      </c>
    </row>
    <row r="407" spans="1:5">
      <c r="A407" s="79"/>
      <c r="B407" s="69"/>
      <c r="C407" s="54" t="s">
        <v>666</v>
      </c>
      <c r="D407" s="54"/>
      <c r="E407" t="s">
        <v>234</v>
      </c>
    </row>
    <row r="408" spans="1:5">
      <c r="A408" s="79"/>
      <c r="B408" s="69"/>
      <c r="C408" s="54" t="s">
        <v>667</v>
      </c>
      <c r="D408" s="54"/>
      <c r="E408" t="s">
        <v>234</v>
      </c>
    </row>
    <row r="409" spans="1:5">
      <c r="A409" s="79"/>
      <c r="B409" s="69"/>
      <c r="C409" s="54" t="s">
        <v>668</v>
      </c>
      <c r="D409" s="54"/>
      <c r="E409" t="s">
        <v>234</v>
      </c>
    </row>
    <row r="410" spans="1:5">
      <c r="A410" s="79"/>
      <c r="B410" s="69"/>
      <c r="C410" s="54" t="s">
        <v>669</v>
      </c>
      <c r="D410" s="54"/>
      <c r="E410" t="s">
        <v>234</v>
      </c>
    </row>
    <row r="411" spans="1:5">
      <c r="A411" s="79"/>
      <c r="B411" s="69"/>
      <c r="C411" s="54" t="s">
        <v>670</v>
      </c>
      <c r="D411" s="54"/>
      <c r="E411" t="s">
        <v>234</v>
      </c>
    </row>
    <row r="412" spans="1:5">
      <c r="A412" s="79"/>
      <c r="B412" s="69"/>
      <c r="C412" s="54" t="s">
        <v>671</v>
      </c>
      <c r="D412" s="54"/>
      <c r="E412" t="s">
        <v>234</v>
      </c>
    </row>
    <row r="413" spans="1:5">
      <c r="A413" s="79"/>
      <c r="B413" s="69"/>
      <c r="C413" s="54" t="s">
        <v>672</v>
      </c>
      <c r="D413" s="54"/>
      <c r="E413" t="s">
        <v>234</v>
      </c>
    </row>
    <row r="414" spans="1:5">
      <c r="A414" s="79"/>
      <c r="B414" s="69"/>
      <c r="C414" s="54" t="s">
        <v>673</v>
      </c>
      <c r="D414" s="54"/>
      <c r="E414" t="s">
        <v>234</v>
      </c>
    </row>
    <row r="415" spans="1:5">
      <c r="A415" s="79"/>
      <c r="B415" s="69"/>
      <c r="C415" s="54" t="s">
        <v>674</v>
      </c>
      <c r="D415" s="54"/>
      <c r="E415" t="s">
        <v>234</v>
      </c>
    </row>
    <row r="416" spans="1:5">
      <c r="A416" s="79"/>
      <c r="B416" s="69"/>
      <c r="C416" s="54" t="s">
        <v>675</v>
      </c>
      <c r="D416" s="54"/>
      <c r="E416" t="s">
        <v>234</v>
      </c>
    </row>
    <row r="417" spans="1:5">
      <c r="A417" s="79"/>
      <c r="B417" s="69"/>
      <c r="C417" s="54" t="s">
        <v>676</v>
      </c>
      <c r="D417" s="54"/>
      <c r="E417" t="s">
        <v>234</v>
      </c>
    </row>
    <row r="418" spans="1:5">
      <c r="A418" s="79"/>
      <c r="B418" s="69"/>
      <c r="C418" s="54" t="s">
        <v>677</v>
      </c>
      <c r="D418" s="54"/>
      <c r="E418" t="s">
        <v>234</v>
      </c>
    </row>
    <row r="419" spans="1:5">
      <c r="A419" s="79"/>
      <c r="B419" s="69"/>
      <c r="C419" s="54" t="s">
        <v>678</v>
      </c>
      <c r="D419" s="54"/>
      <c r="E419" t="s">
        <v>234</v>
      </c>
    </row>
    <row r="420" spans="1:5">
      <c r="A420" s="79"/>
      <c r="B420" s="69"/>
      <c r="C420" s="54" t="s">
        <v>679</v>
      </c>
      <c r="D420" s="54"/>
      <c r="E420" t="s">
        <v>234</v>
      </c>
    </row>
    <row r="421" spans="1:5">
      <c r="A421" s="79"/>
      <c r="B421" s="69"/>
      <c r="C421" s="54" t="s">
        <v>680</v>
      </c>
      <c r="D421" s="54"/>
      <c r="E421" t="s">
        <v>234</v>
      </c>
    </row>
    <row r="422" spans="1:5">
      <c r="A422" s="79"/>
      <c r="B422" s="69"/>
      <c r="C422" s="54" t="s">
        <v>681</v>
      </c>
      <c r="D422" s="54"/>
      <c r="E422" t="s">
        <v>234</v>
      </c>
    </row>
    <row r="423" spans="1:5">
      <c r="A423" s="79"/>
      <c r="B423" s="69"/>
      <c r="C423" s="54" t="s">
        <v>682</v>
      </c>
      <c r="D423" s="54"/>
      <c r="E423" t="s">
        <v>234</v>
      </c>
    </row>
    <row r="424" spans="1:5">
      <c r="A424" s="79"/>
      <c r="B424" s="69"/>
      <c r="C424" s="54" t="s">
        <v>683</v>
      </c>
      <c r="D424" s="54"/>
      <c r="E424" t="s">
        <v>234</v>
      </c>
    </row>
    <row r="425" spans="1:5">
      <c r="A425" s="79"/>
      <c r="B425" s="69"/>
      <c r="C425" s="54" t="s">
        <v>684</v>
      </c>
      <c r="D425" s="54"/>
      <c r="E425" t="s">
        <v>234</v>
      </c>
    </row>
    <row r="426" spans="1:5">
      <c r="A426" s="79"/>
      <c r="B426" s="69"/>
      <c r="C426" s="54" t="s">
        <v>685</v>
      </c>
      <c r="D426" s="54"/>
      <c r="E426" t="s">
        <v>234</v>
      </c>
    </row>
    <row r="427" spans="1:5">
      <c r="A427" s="79"/>
      <c r="B427" s="69"/>
      <c r="C427" s="54" t="s">
        <v>686</v>
      </c>
      <c r="D427" s="54"/>
      <c r="E427" t="s">
        <v>234</v>
      </c>
    </row>
    <row r="428" spans="1:5">
      <c r="A428" s="79"/>
      <c r="B428" s="69"/>
      <c r="C428" s="54" t="s">
        <v>687</v>
      </c>
      <c r="D428" s="54"/>
      <c r="E428" t="s">
        <v>234</v>
      </c>
    </row>
    <row r="429" spans="1:5">
      <c r="A429" s="79"/>
      <c r="B429" s="69"/>
      <c r="C429" s="54" t="s">
        <v>688</v>
      </c>
      <c r="D429" s="54"/>
      <c r="E429" t="s">
        <v>234</v>
      </c>
    </row>
    <row r="430" spans="1:5">
      <c r="A430" s="79"/>
      <c r="B430" s="69"/>
      <c r="C430" s="54" t="s">
        <v>689</v>
      </c>
      <c r="D430" s="54"/>
      <c r="E430" t="s">
        <v>234</v>
      </c>
    </row>
    <row r="431" spans="1:5">
      <c r="A431" s="79"/>
      <c r="B431" s="69"/>
      <c r="C431" s="54" t="s">
        <v>690</v>
      </c>
      <c r="D431" s="54"/>
      <c r="E431" t="s">
        <v>234</v>
      </c>
    </row>
    <row r="432" spans="1:5">
      <c r="A432" s="79"/>
      <c r="B432" s="69"/>
      <c r="C432" s="54" t="s">
        <v>691</v>
      </c>
      <c r="D432" s="54"/>
      <c r="E432" t="s">
        <v>234</v>
      </c>
    </row>
    <row r="433" spans="1:5">
      <c r="A433" s="79"/>
      <c r="B433" s="69"/>
      <c r="C433" s="54" t="s">
        <v>692</v>
      </c>
      <c r="D433" s="54"/>
      <c r="E433" t="s">
        <v>234</v>
      </c>
    </row>
    <row r="434" spans="1:5">
      <c r="A434" s="79"/>
      <c r="B434" s="69"/>
      <c r="C434" s="54" t="s">
        <v>693</v>
      </c>
      <c r="D434" s="54"/>
      <c r="E434" t="s">
        <v>234</v>
      </c>
    </row>
    <row r="435" spans="1:5">
      <c r="A435" s="79"/>
      <c r="B435" s="69"/>
      <c r="C435" s="54" t="s">
        <v>694</v>
      </c>
      <c r="D435" s="54"/>
      <c r="E435" t="s">
        <v>234</v>
      </c>
    </row>
    <row r="436" spans="1:5">
      <c r="A436" s="79"/>
      <c r="B436" s="69"/>
      <c r="C436" s="54" t="s">
        <v>695</v>
      </c>
      <c r="D436" s="54"/>
      <c r="E436" t="s">
        <v>234</v>
      </c>
    </row>
    <row r="437" spans="1:5">
      <c r="A437" s="79"/>
      <c r="B437" s="69"/>
      <c r="C437" s="54" t="s">
        <v>696</v>
      </c>
      <c r="D437" s="54"/>
      <c r="E437" t="s">
        <v>234</v>
      </c>
    </row>
    <row r="438" spans="1:5">
      <c r="A438" s="79"/>
      <c r="B438" s="69"/>
      <c r="C438" s="54" t="s">
        <v>697</v>
      </c>
      <c r="D438" s="54"/>
      <c r="E438" t="s">
        <v>234</v>
      </c>
    </row>
    <row r="439" spans="1:5">
      <c r="A439" s="79"/>
      <c r="B439" s="69"/>
      <c r="C439" s="54" t="s">
        <v>698</v>
      </c>
      <c r="D439" s="54"/>
      <c r="E439" t="s">
        <v>234</v>
      </c>
    </row>
    <row r="440" spans="1:5">
      <c r="A440" s="79"/>
      <c r="B440" s="69"/>
      <c r="C440" s="54" t="s">
        <v>699</v>
      </c>
      <c r="D440" s="54"/>
      <c r="E440" t="s">
        <v>234</v>
      </c>
    </row>
    <row r="441" spans="1:5">
      <c r="A441" s="79"/>
      <c r="B441" s="69"/>
      <c r="C441" s="54" t="s">
        <v>700</v>
      </c>
      <c r="D441" s="54"/>
      <c r="E441" t="s">
        <v>234</v>
      </c>
    </row>
    <row r="442" spans="1:5">
      <c r="A442" s="79"/>
      <c r="B442" s="69"/>
      <c r="C442" s="54" t="s">
        <v>701</v>
      </c>
      <c r="D442" s="54"/>
      <c r="E442" t="s">
        <v>234</v>
      </c>
    </row>
    <row r="443" spans="1:5">
      <c r="A443" s="79"/>
      <c r="B443" s="69"/>
      <c r="C443" s="54" t="s">
        <v>702</v>
      </c>
      <c r="D443" s="54"/>
      <c r="E443" t="s">
        <v>234</v>
      </c>
    </row>
    <row r="444" spans="1:5">
      <c r="A444" s="79"/>
      <c r="B444" s="69"/>
      <c r="C444" s="54" t="s">
        <v>703</v>
      </c>
      <c r="D444" s="54"/>
      <c r="E444" t="s">
        <v>234</v>
      </c>
    </row>
    <row r="445" spans="1:5">
      <c r="A445" s="79"/>
      <c r="B445" s="69"/>
      <c r="C445" s="54" t="s">
        <v>704</v>
      </c>
      <c r="D445" s="54"/>
      <c r="E445" t="s">
        <v>234</v>
      </c>
    </row>
    <row r="446" spans="1:5">
      <c r="A446" s="79"/>
      <c r="B446" s="69"/>
      <c r="C446" s="54" t="s">
        <v>705</v>
      </c>
      <c r="D446" s="54"/>
      <c r="E446" t="s">
        <v>234</v>
      </c>
    </row>
    <row r="447" spans="1:5">
      <c r="A447" s="79"/>
      <c r="B447" s="69"/>
      <c r="C447" s="54" t="s">
        <v>706</v>
      </c>
      <c r="D447" s="54"/>
      <c r="E447" t="s">
        <v>234</v>
      </c>
    </row>
    <row r="448" spans="1:5">
      <c r="A448" s="79"/>
      <c r="B448" s="69"/>
      <c r="C448" s="54" t="s">
        <v>707</v>
      </c>
      <c r="D448" s="54"/>
      <c r="E448" t="s">
        <v>234</v>
      </c>
    </row>
    <row r="449" spans="1:5">
      <c r="A449" s="79"/>
      <c r="B449" s="69"/>
      <c r="C449" s="54" t="s">
        <v>708</v>
      </c>
      <c r="D449" s="54"/>
      <c r="E449" t="s">
        <v>234</v>
      </c>
    </row>
    <row r="450" spans="1:5">
      <c r="A450" s="79"/>
      <c r="B450" s="69"/>
      <c r="C450" s="54" t="s">
        <v>709</v>
      </c>
      <c r="D450" s="54"/>
      <c r="E450" t="s">
        <v>234</v>
      </c>
    </row>
    <row r="451" spans="1:5">
      <c r="A451" s="79"/>
      <c r="B451" s="69"/>
      <c r="C451" s="54" t="s">
        <v>710</v>
      </c>
      <c r="D451" s="54"/>
      <c r="E451" t="s">
        <v>234</v>
      </c>
    </row>
    <row r="452" spans="1:5">
      <c r="A452" s="79"/>
      <c r="B452" s="69"/>
      <c r="C452" s="54" t="s">
        <v>711</v>
      </c>
      <c r="D452" s="54"/>
      <c r="E452" t="s">
        <v>234</v>
      </c>
    </row>
    <row r="453" spans="1:5">
      <c r="A453" s="79"/>
      <c r="B453" s="69"/>
      <c r="C453" s="54" t="s">
        <v>712</v>
      </c>
      <c r="D453" s="54"/>
      <c r="E453" t="s">
        <v>234</v>
      </c>
    </row>
    <row r="454" spans="1:5">
      <c r="A454" s="79"/>
      <c r="B454" s="69"/>
      <c r="C454" s="54" t="s">
        <v>713</v>
      </c>
      <c r="D454" s="54"/>
      <c r="E454" t="s">
        <v>234</v>
      </c>
    </row>
    <row r="455" spans="1:5">
      <c r="A455" s="79"/>
      <c r="B455" s="69"/>
      <c r="C455" s="54" t="s">
        <v>714</v>
      </c>
      <c r="D455" s="54"/>
      <c r="E455" t="s">
        <v>234</v>
      </c>
    </row>
    <row r="456" spans="1:5">
      <c r="A456" s="79"/>
      <c r="B456" s="69"/>
      <c r="C456" s="54" t="s">
        <v>715</v>
      </c>
      <c r="D456" s="54"/>
      <c r="E456" t="s">
        <v>234</v>
      </c>
    </row>
    <row r="457" spans="1:5">
      <c r="A457" s="79"/>
      <c r="B457" s="69"/>
      <c r="C457" s="54" t="s">
        <v>716</v>
      </c>
      <c r="D457" s="54"/>
      <c r="E457" t="s">
        <v>234</v>
      </c>
    </row>
    <row r="458" spans="1:5">
      <c r="A458" s="79"/>
      <c r="B458" s="69"/>
      <c r="C458" s="54" t="s">
        <v>717</v>
      </c>
      <c r="D458" s="54"/>
      <c r="E458" t="s">
        <v>234</v>
      </c>
    </row>
    <row r="459" spans="1:5">
      <c r="A459" s="79"/>
      <c r="B459" s="69"/>
      <c r="C459" s="54" t="s">
        <v>718</v>
      </c>
      <c r="D459" s="54"/>
      <c r="E459" t="s">
        <v>234</v>
      </c>
    </row>
    <row r="460" spans="1:5">
      <c r="A460" s="79"/>
      <c r="B460" s="69"/>
      <c r="C460" s="54" t="s">
        <v>719</v>
      </c>
      <c r="D460" s="54"/>
      <c r="E460" t="s">
        <v>234</v>
      </c>
    </row>
    <row r="461" spans="1:5">
      <c r="A461" s="79"/>
      <c r="B461" s="69"/>
      <c r="C461" s="54" t="s">
        <v>720</v>
      </c>
      <c r="D461" s="54"/>
      <c r="E461" t="s">
        <v>234</v>
      </c>
    </row>
    <row r="462" spans="1:5">
      <c r="A462" s="79"/>
      <c r="B462" s="69"/>
      <c r="C462" s="54" t="s">
        <v>721</v>
      </c>
      <c r="D462" s="54"/>
      <c r="E462" t="s">
        <v>234</v>
      </c>
    </row>
    <row r="463" spans="1:5">
      <c r="A463" s="79"/>
      <c r="B463" s="69"/>
      <c r="C463" s="54" t="s">
        <v>722</v>
      </c>
      <c r="D463" s="54"/>
      <c r="E463" t="s">
        <v>234</v>
      </c>
    </row>
    <row r="464" spans="1:5">
      <c r="A464" s="79"/>
      <c r="B464" s="69"/>
      <c r="C464" s="54" t="s">
        <v>723</v>
      </c>
      <c r="D464" s="54"/>
      <c r="E464" t="s">
        <v>234</v>
      </c>
    </row>
    <row r="465" spans="1:5">
      <c r="A465" s="79"/>
      <c r="B465" s="69"/>
      <c r="C465" s="54" t="s">
        <v>724</v>
      </c>
      <c r="D465" s="54"/>
      <c r="E465" t="s">
        <v>234</v>
      </c>
    </row>
    <row r="466" spans="1:5">
      <c r="A466" s="79"/>
      <c r="B466" s="69"/>
      <c r="C466" s="54" t="s">
        <v>725</v>
      </c>
      <c r="D466" s="54"/>
      <c r="E466" t="s">
        <v>234</v>
      </c>
    </row>
    <row r="467" spans="1:5">
      <c r="A467" s="79"/>
      <c r="B467" s="69"/>
      <c r="C467" s="54" t="s">
        <v>726</v>
      </c>
      <c r="D467" s="54"/>
      <c r="E467" t="s">
        <v>234</v>
      </c>
    </row>
    <row r="468" spans="1:5">
      <c r="A468" s="79"/>
      <c r="B468" s="69"/>
      <c r="C468" s="54" t="s">
        <v>727</v>
      </c>
      <c r="D468" s="54"/>
      <c r="E468" t="s">
        <v>234</v>
      </c>
    </row>
    <row r="469" spans="1:5">
      <c r="A469" s="79"/>
      <c r="B469" s="69"/>
      <c r="C469" s="54" t="s">
        <v>728</v>
      </c>
      <c r="D469" s="54"/>
      <c r="E469" t="s">
        <v>234</v>
      </c>
    </row>
    <row r="470" spans="1:5">
      <c r="A470" s="79"/>
      <c r="B470" s="69"/>
      <c r="C470" s="54" t="s">
        <v>729</v>
      </c>
      <c r="D470" s="54"/>
      <c r="E470" t="s">
        <v>234</v>
      </c>
    </row>
    <row r="471" spans="1:5">
      <c r="A471" s="79"/>
      <c r="B471" s="69"/>
      <c r="C471" s="54" t="s">
        <v>730</v>
      </c>
      <c r="D471" s="54"/>
      <c r="E471" t="s">
        <v>234</v>
      </c>
    </row>
    <row r="472" spans="1:5">
      <c r="A472" s="79"/>
      <c r="B472" s="69"/>
      <c r="C472" s="54" t="s">
        <v>731</v>
      </c>
      <c r="D472" s="54"/>
      <c r="E472" t="s">
        <v>234</v>
      </c>
    </row>
    <row r="473" spans="1:5">
      <c r="A473" s="79"/>
      <c r="B473" s="69"/>
      <c r="C473" s="54" t="s">
        <v>732</v>
      </c>
      <c r="D473" s="54"/>
      <c r="E473" t="s">
        <v>234</v>
      </c>
    </row>
    <row r="474" spans="1:5">
      <c r="A474" s="79"/>
      <c r="B474" s="69"/>
      <c r="C474" s="54" t="s">
        <v>733</v>
      </c>
      <c r="D474" s="54"/>
      <c r="E474" t="s">
        <v>234</v>
      </c>
    </row>
    <row r="475" spans="1:5">
      <c r="A475" s="79"/>
      <c r="B475" s="69"/>
      <c r="C475" s="54" t="s">
        <v>734</v>
      </c>
      <c r="D475" s="54"/>
      <c r="E475" t="s">
        <v>234</v>
      </c>
    </row>
    <row r="476" spans="1:5">
      <c r="A476" s="79"/>
      <c r="B476" s="69"/>
      <c r="C476" s="54" t="s">
        <v>735</v>
      </c>
      <c r="D476" s="54"/>
      <c r="E476" t="s">
        <v>234</v>
      </c>
    </row>
    <row r="477" spans="1:5">
      <c r="A477" s="79"/>
      <c r="B477" s="69"/>
      <c r="C477" s="54" t="s">
        <v>736</v>
      </c>
      <c r="D477" s="54"/>
      <c r="E477" t="s">
        <v>234</v>
      </c>
    </row>
    <row r="478" spans="1:5">
      <c r="A478" s="79"/>
      <c r="B478" s="69"/>
      <c r="C478" s="54" t="s">
        <v>737</v>
      </c>
      <c r="D478" s="54"/>
      <c r="E478" t="s">
        <v>234</v>
      </c>
    </row>
    <row r="479" spans="1:5">
      <c r="A479" s="79"/>
      <c r="B479" s="69"/>
      <c r="C479" s="54" t="s">
        <v>738</v>
      </c>
      <c r="D479" s="54"/>
      <c r="E479" t="s">
        <v>234</v>
      </c>
    </row>
    <row r="480" spans="1:5">
      <c r="A480" s="79"/>
      <c r="B480" s="69"/>
      <c r="C480" s="54" t="s">
        <v>739</v>
      </c>
      <c r="D480" s="54"/>
      <c r="E480" t="s">
        <v>234</v>
      </c>
    </row>
    <row r="481" spans="1:5">
      <c r="A481" s="79"/>
      <c r="B481" s="69"/>
      <c r="C481" s="54" t="s">
        <v>740</v>
      </c>
      <c r="D481" s="54"/>
      <c r="E481" t="s">
        <v>234</v>
      </c>
    </row>
    <row r="482" spans="1:5">
      <c r="A482" s="79"/>
      <c r="B482" s="69"/>
      <c r="C482" s="54" t="s">
        <v>741</v>
      </c>
      <c r="D482" s="54"/>
      <c r="E482" t="s">
        <v>234</v>
      </c>
    </row>
    <row r="483" spans="1:5">
      <c r="A483" s="79"/>
      <c r="B483" s="69"/>
      <c r="C483" s="54" t="s">
        <v>742</v>
      </c>
      <c r="D483" s="54"/>
      <c r="E483" t="s">
        <v>234</v>
      </c>
    </row>
    <row r="484" spans="1:5">
      <c r="A484" s="79"/>
      <c r="B484" s="69"/>
      <c r="C484" s="54" t="s">
        <v>743</v>
      </c>
      <c r="D484" s="54"/>
      <c r="E484" t="s">
        <v>234</v>
      </c>
    </row>
    <row r="485" spans="1:5">
      <c r="A485" s="79"/>
      <c r="B485" s="69"/>
      <c r="C485" s="54" t="s">
        <v>744</v>
      </c>
      <c r="D485" s="54"/>
      <c r="E485" t="s">
        <v>234</v>
      </c>
    </row>
    <row r="486" spans="1:5">
      <c r="A486" s="79"/>
      <c r="B486" s="69"/>
      <c r="C486" s="54" t="s">
        <v>745</v>
      </c>
      <c r="D486" s="54"/>
      <c r="E486" t="s">
        <v>234</v>
      </c>
    </row>
    <row r="487" spans="1:5">
      <c r="A487" s="79"/>
      <c r="B487" s="69"/>
      <c r="C487" s="54" t="s">
        <v>746</v>
      </c>
      <c r="D487" s="54"/>
      <c r="E487" t="s">
        <v>234</v>
      </c>
    </row>
    <row r="488" spans="1:5">
      <c r="A488" s="79"/>
      <c r="B488" s="69"/>
      <c r="C488" s="54" t="s">
        <v>747</v>
      </c>
      <c r="D488" s="54"/>
      <c r="E488" t="s">
        <v>234</v>
      </c>
    </row>
    <row r="489" spans="1:5">
      <c r="A489" s="79"/>
      <c r="B489" s="69"/>
      <c r="C489" s="54" t="s">
        <v>31</v>
      </c>
      <c r="D489" s="54"/>
    </row>
    <row r="490" spans="1:5">
      <c r="A490" s="79"/>
      <c r="B490" s="69"/>
      <c r="C490" s="54" t="s">
        <v>748</v>
      </c>
      <c r="D490" s="54"/>
    </row>
    <row r="491" spans="1:5">
      <c r="A491" s="79"/>
      <c r="B491" s="69"/>
      <c r="C491" s="54" t="s">
        <v>749</v>
      </c>
      <c r="D491" s="54"/>
    </row>
    <row r="492" spans="1:5">
      <c r="A492" s="79"/>
      <c r="B492" s="69"/>
      <c r="C492" s="54" t="s">
        <v>750</v>
      </c>
      <c r="D492" s="54"/>
    </row>
    <row r="493" spans="1:5">
      <c r="A493" s="79"/>
      <c r="B493" s="69"/>
      <c r="C493" s="54" t="s">
        <v>751</v>
      </c>
      <c r="D493" s="54"/>
    </row>
    <row r="494" spans="1:5">
      <c r="A494" s="79"/>
      <c r="B494" s="69"/>
      <c r="C494" s="54" t="s">
        <v>752</v>
      </c>
      <c r="D494" s="54"/>
    </row>
    <row r="495" spans="1:5">
      <c r="A495" s="79"/>
      <c r="B495" s="69"/>
      <c r="C495" s="54" t="s">
        <v>753</v>
      </c>
      <c r="D495" s="54"/>
    </row>
    <row r="496" spans="1:5">
      <c r="A496" s="79"/>
      <c r="B496" s="69"/>
      <c r="C496" s="54" t="s">
        <v>754</v>
      </c>
      <c r="D496" s="54"/>
    </row>
    <row r="497" spans="1:4">
      <c r="A497" s="79"/>
      <c r="B497" s="69"/>
      <c r="C497" s="54" t="s">
        <v>755</v>
      </c>
      <c r="D497" s="54"/>
    </row>
    <row r="498" spans="1:4">
      <c r="A498" s="80"/>
      <c r="B498" s="70"/>
      <c r="C498" s="54" t="s">
        <v>585</v>
      </c>
      <c r="D498" s="54"/>
    </row>
    <row r="499" spans="1:4">
      <c r="A499" s="112"/>
      <c r="B499" s="116" t="s">
        <v>756</v>
      </c>
      <c r="C499" s="52" t="s">
        <v>455</v>
      </c>
      <c r="D499" s="52"/>
    </row>
    <row r="500" spans="1:4">
      <c r="A500" s="61"/>
      <c r="B500" s="116"/>
      <c r="C500" s="52" t="s">
        <v>757</v>
      </c>
      <c r="D500" s="52"/>
    </row>
    <row r="501" spans="1:4">
      <c r="A501" s="61"/>
      <c r="B501" s="116"/>
      <c r="C501" s="52" t="s">
        <v>758</v>
      </c>
      <c r="D501" s="52"/>
    </row>
    <row r="502" spans="1:4">
      <c r="A502" s="61"/>
      <c r="B502" s="116"/>
      <c r="C502" s="52" t="s">
        <v>759</v>
      </c>
      <c r="D502" s="52"/>
    </row>
    <row r="503" spans="1:4">
      <c r="A503" s="61"/>
      <c r="B503" s="116"/>
      <c r="C503" s="52" t="s">
        <v>760</v>
      </c>
      <c r="D503" s="52"/>
    </row>
    <row r="504" spans="1:4">
      <c r="A504" s="61"/>
      <c r="B504" s="116"/>
      <c r="C504" s="52" t="s">
        <v>761</v>
      </c>
      <c r="D504" s="52"/>
    </row>
    <row r="505" spans="1:4">
      <c r="A505" s="61"/>
      <c r="B505" s="116"/>
      <c r="C505" s="52" t="s">
        <v>762</v>
      </c>
      <c r="D505" s="52"/>
    </row>
    <row r="506" spans="1:4">
      <c r="A506" s="61"/>
      <c r="B506" s="116"/>
      <c r="C506" s="52" t="s">
        <v>763</v>
      </c>
      <c r="D506" s="52"/>
    </row>
    <row r="507" spans="1:4">
      <c r="A507" s="61"/>
      <c r="B507" s="116"/>
      <c r="C507" s="52" t="s">
        <v>764</v>
      </c>
      <c r="D507" s="52"/>
    </row>
    <row r="508" spans="1:4">
      <c r="A508" s="61"/>
      <c r="B508" s="116"/>
      <c r="C508" s="52" t="s">
        <v>765</v>
      </c>
      <c r="D508" s="52"/>
    </row>
    <row r="509" spans="1:4">
      <c r="A509" s="61"/>
      <c r="B509" s="116"/>
      <c r="C509" s="52" t="s">
        <v>766</v>
      </c>
      <c r="D509" s="52"/>
    </row>
    <row r="510" spans="1:4">
      <c r="A510" s="61"/>
      <c r="B510" s="116"/>
      <c r="C510" s="52" t="s">
        <v>767</v>
      </c>
      <c r="D510" s="52"/>
    </row>
    <row r="511" spans="1:4">
      <c r="A511" s="61"/>
      <c r="B511" s="116"/>
      <c r="C511" s="52" t="s">
        <v>768</v>
      </c>
      <c r="D511" s="52"/>
    </row>
    <row r="512" spans="1:4">
      <c r="A512" s="61"/>
      <c r="B512" s="116"/>
      <c r="C512" s="52" t="s">
        <v>501</v>
      </c>
      <c r="D512" s="52"/>
    </row>
    <row r="513" spans="1:4">
      <c r="A513" s="61"/>
      <c r="B513" s="116"/>
      <c r="C513" s="52" t="s">
        <v>31</v>
      </c>
      <c r="D513" s="52"/>
    </row>
    <row r="514" spans="1:4">
      <c r="A514" s="79"/>
      <c r="B514" s="65" t="s">
        <v>769</v>
      </c>
      <c r="C514" s="54" t="s">
        <v>357</v>
      </c>
      <c r="D514" s="54"/>
    </row>
    <row r="515" spans="1:4">
      <c r="A515" s="80"/>
      <c r="B515" s="67"/>
      <c r="C515" s="54" t="s">
        <v>153</v>
      </c>
      <c r="D515" s="54"/>
    </row>
    <row r="516" spans="1:4">
      <c r="A516" s="61"/>
      <c r="B516" s="116" t="s">
        <v>770</v>
      </c>
      <c r="C516" s="52" t="s">
        <v>771</v>
      </c>
      <c r="D516" s="52"/>
    </row>
    <row r="517" spans="1:4">
      <c r="A517" s="61"/>
      <c r="B517" s="116"/>
      <c r="C517" s="52" t="s">
        <v>772</v>
      </c>
      <c r="D517" s="52"/>
    </row>
    <row r="518" spans="1:4">
      <c r="A518" s="61"/>
      <c r="B518" s="116"/>
      <c r="C518" s="52" t="s">
        <v>773</v>
      </c>
      <c r="D518" s="52"/>
    </row>
    <row r="519" spans="1:4">
      <c r="A519" s="61"/>
      <c r="B519" s="116"/>
      <c r="C519" s="52" t="s">
        <v>774</v>
      </c>
      <c r="D519" s="52"/>
    </row>
    <row r="520" spans="1:4">
      <c r="A520" s="114"/>
      <c r="B520" s="65" t="s">
        <v>775</v>
      </c>
      <c r="C520" s="54" t="s">
        <v>776</v>
      </c>
      <c r="D520" s="54"/>
    </row>
    <row r="521" spans="1:4">
      <c r="A521" s="77"/>
      <c r="B521" s="66"/>
      <c r="C521" s="54" t="s">
        <v>777</v>
      </c>
      <c r="D521" s="54"/>
    </row>
    <row r="522" spans="1:4">
      <c r="A522" s="77"/>
      <c r="B522" s="66"/>
      <c r="C522" s="54" t="s">
        <v>778</v>
      </c>
      <c r="D522" s="54"/>
    </row>
    <row r="523" spans="1:4">
      <c r="A523" s="77"/>
      <c r="B523" s="66"/>
      <c r="C523" s="54" t="s">
        <v>779</v>
      </c>
      <c r="D523" s="54"/>
    </row>
    <row r="524" spans="1:4">
      <c r="A524" s="77"/>
      <c r="B524" s="66"/>
      <c r="C524" s="54" t="s">
        <v>780</v>
      </c>
      <c r="D524" s="54"/>
    </row>
    <row r="525" spans="1:4">
      <c r="A525" s="77"/>
      <c r="B525" s="66"/>
      <c r="C525" s="54" t="s">
        <v>781</v>
      </c>
      <c r="D525" s="54"/>
    </row>
    <row r="526" spans="1:4">
      <c r="A526" s="77"/>
      <c r="B526" s="66"/>
      <c r="C526" s="54" t="s">
        <v>782</v>
      </c>
      <c r="D526" s="54"/>
    </row>
    <row r="527" spans="1:4">
      <c r="A527" s="77"/>
      <c r="B527" s="66"/>
      <c r="C527" s="54" t="s">
        <v>783</v>
      </c>
      <c r="D527" s="54"/>
    </row>
    <row r="528" spans="1:4">
      <c r="A528" s="77"/>
      <c r="B528" s="66"/>
      <c r="C528" s="54" t="s">
        <v>784</v>
      </c>
      <c r="D528" s="54"/>
    </row>
    <row r="529" spans="1:4">
      <c r="A529" s="77"/>
      <c r="B529" s="66"/>
      <c r="C529" s="54" t="s">
        <v>765</v>
      </c>
      <c r="D529" s="54"/>
    </row>
    <row r="530" spans="1:4">
      <c r="B530" s="66"/>
      <c r="C530" s="54" t="s">
        <v>785</v>
      </c>
      <c r="D530" s="54"/>
    </row>
    <row r="531" spans="1:4" ht="15">
      <c r="A531" s="77"/>
      <c r="B531" s="66"/>
      <c r="C531" s="54" t="s">
        <v>786</v>
      </c>
      <c r="D531" s="54" t="s">
        <v>787</v>
      </c>
    </row>
    <row r="532" spans="1:4" ht="15">
      <c r="A532" s="77"/>
      <c r="B532" s="66"/>
      <c r="C532" s="54" t="s">
        <v>788</v>
      </c>
      <c r="D532" s="54" t="s">
        <v>787</v>
      </c>
    </row>
    <row r="533" spans="1:4" ht="15">
      <c r="A533" s="77"/>
      <c r="B533" s="66"/>
      <c r="C533" s="54" t="s">
        <v>789</v>
      </c>
      <c r="D533" s="54" t="s">
        <v>787</v>
      </c>
    </row>
    <row r="534" spans="1:4">
      <c r="A534" s="77"/>
      <c r="B534" s="66"/>
      <c r="C534" s="54" t="s">
        <v>790</v>
      </c>
      <c r="D534" s="54"/>
    </row>
    <row r="535" spans="1:4">
      <c r="A535" s="77"/>
      <c r="B535" s="66"/>
      <c r="C535" s="54" t="s">
        <v>791</v>
      </c>
      <c r="D535" s="54"/>
    </row>
    <row r="536" spans="1:4">
      <c r="A536" s="77"/>
      <c r="B536" s="66"/>
      <c r="C536" s="54" t="s">
        <v>792</v>
      </c>
      <c r="D536" s="54"/>
    </row>
    <row r="537" spans="1:4">
      <c r="A537" s="77"/>
      <c r="B537" s="66"/>
      <c r="C537" s="54" t="s">
        <v>793</v>
      </c>
      <c r="D537" s="54"/>
    </row>
    <row r="538" spans="1:4">
      <c r="A538" s="77"/>
      <c r="B538" s="66"/>
      <c r="C538" s="54" t="s">
        <v>794</v>
      </c>
      <c r="D538" s="54"/>
    </row>
    <row r="539" spans="1:4">
      <c r="A539" s="77"/>
      <c r="B539" s="66"/>
      <c r="C539" s="54" t="s">
        <v>795</v>
      </c>
      <c r="D539" s="54"/>
    </row>
    <row r="540" spans="1:4">
      <c r="A540" s="77"/>
      <c r="B540" s="66"/>
      <c r="C540" s="54" t="s">
        <v>796</v>
      </c>
      <c r="D540" s="54"/>
    </row>
    <row r="541" spans="1:4">
      <c r="A541" s="77"/>
      <c r="B541" s="66"/>
      <c r="C541" s="54" t="s">
        <v>797</v>
      </c>
      <c r="D541" s="54"/>
    </row>
    <row r="542" spans="1:4">
      <c r="A542" s="77"/>
      <c r="B542" s="66"/>
      <c r="C542" s="54" t="s">
        <v>501</v>
      </c>
      <c r="D542" s="54"/>
    </row>
    <row r="543" spans="1:4">
      <c r="A543" s="77"/>
      <c r="B543" s="66"/>
      <c r="C543" s="54" t="s">
        <v>31</v>
      </c>
      <c r="D543" s="55"/>
    </row>
    <row r="544" spans="1:4">
      <c r="A544" s="83"/>
      <c r="B544" s="56" t="s">
        <v>798</v>
      </c>
      <c r="C544" s="52" t="s">
        <v>357</v>
      </c>
      <c r="D544" s="52"/>
    </row>
    <row r="545" spans="1:4">
      <c r="A545" s="84"/>
      <c r="B545" s="115"/>
      <c r="C545" s="52" t="s">
        <v>153</v>
      </c>
      <c r="D545" s="52"/>
    </row>
    <row r="546" spans="1:4">
      <c r="A546" s="77"/>
      <c r="B546" s="65" t="s">
        <v>799</v>
      </c>
      <c r="C546" s="54" t="s">
        <v>800</v>
      </c>
      <c r="D546" s="54"/>
    </row>
    <row r="547" spans="1:4">
      <c r="A547" s="77"/>
      <c r="B547" s="66"/>
      <c r="C547" s="54" t="s">
        <v>801</v>
      </c>
      <c r="D547" s="54"/>
    </row>
    <row r="548" spans="1:4">
      <c r="A548" s="77"/>
      <c r="B548" s="66"/>
      <c r="C548" s="54" t="s">
        <v>802</v>
      </c>
      <c r="D548" s="54"/>
    </row>
    <row r="549" spans="1:4">
      <c r="A549" s="77"/>
      <c r="B549" s="66"/>
      <c r="C549" s="54" t="s">
        <v>803</v>
      </c>
      <c r="D549" s="54"/>
    </row>
    <row r="550" spans="1:4">
      <c r="A550" s="77"/>
      <c r="B550" s="66"/>
      <c r="C550" s="54" t="s">
        <v>804</v>
      </c>
      <c r="D550" s="54"/>
    </row>
    <row r="551" spans="1:4">
      <c r="A551" s="83"/>
      <c r="B551" s="56" t="s">
        <v>805</v>
      </c>
      <c r="C551" s="52" t="s">
        <v>357</v>
      </c>
      <c r="D551" s="52"/>
    </row>
    <row r="552" spans="1:4">
      <c r="A552" s="84"/>
      <c r="B552" s="115"/>
      <c r="C552" s="52" t="s">
        <v>153</v>
      </c>
      <c r="D552" s="52"/>
    </row>
    <row r="553" spans="1:4">
      <c r="A553" s="62"/>
      <c r="B553" s="65" t="s">
        <v>806</v>
      </c>
      <c r="C553" s="54" t="s">
        <v>807</v>
      </c>
      <c r="D553" s="54"/>
    </row>
    <row r="554" spans="1:4">
      <c r="A554" s="63"/>
      <c r="B554" s="63"/>
      <c r="C554" s="54" t="s">
        <v>808</v>
      </c>
      <c r="D554" s="54"/>
    </row>
    <row r="555" spans="1:4">
      <c r="A555" s="63"/>
      <c r="B555" s="63"/>
      <c r="C555" s="54" t="s">
        <v>809</v>
      </c>
      <c r="D555" s="54"/>
    </row>
    <row r="556" spans="1:4">
      <c r="A556" s="63"/>
      <c r="B556" s="63"/>
      <c r="C556" s="54" t="s">
        <v>810</v>
      </c>
      <c r="D556" s="54"/>
    </row>
    <row r="557" spans="1:4">
      <c r="A557" s="63"/>
      <c r="B557" s="63"/>
      <c r="C557" s="54" t="s">
        <v>811</v>
      </c>
      <c r="D557" s="54"/>
    </row>
    <row r="558" spans="1:4">
      <c r="A558" s="63"/>
      <c r="B558" s="63"/>
      <c r="C558" s="54" t="s">
        <v>812</v>
      </c>
      <c r="D558" s="54"/>
    </row>
    <row r="559" spans="1:4">
      <c r="A559" s="63"/>
      <c r="B559" s="63"/>
      <c r="C559" s="54" t="s">
        <v>813</v>
      </c>
      <c r="D559" s="54"/>
    </row>
    <row r="560" spans="1:4">
      <c r="A560" s="63"/>
      <c r="B560" s="63"/>
      <c r="C560" s="54" t="s">
        <v>814</v>
      </c>
      <c r="D560" s="54"/>
    </row>
    <row r="561" spans="1:4">
      <c r="A561" s="63"/>
      <c r="B561" s="63"/>
      <c r="C561" s="54" t="s">
        <v>815</v>
      </c>
      <c r="D561" s="54"/>
    </row>
    <row r="562" spans="1:4">
      <c r="A562" s="63"/>
      <c r="B562" s="63"/>
      <c r="C562" s="54" t="s">
        <v>816</v>
      </c>
      <c r="D562" s="54"/>
    </row>
    <row r="563" spans="1:4">
      <c r="A563" s="63"/>
      <c r="B563" s="63"/>
      <c r="C563" s="54" t="s">
        <v>817</v>
      </c>
      <c r="D563" s="54"/>
    </row>
    <row r="564" spans="1:4">
      <c r="A564" s="63"/>
      <c r="B564" s="63"/>
      <c r="C564" s="54" t="s">
        <v>818</v>
      </c>
      <c r="D564" s="54"/>
    </row>
    <row r="565" spans="1:4">
      <c r="A565" s="63"/>
      <c r="B565" s="63"/>
      <c r="C565" s="54" t="s">
        <v>819</v>
      </c>
      <c r="D565" s="54"/>
    </row>
    <row r="566" spans="1:4">
      <c r="A566" s="63"/>
      <c r="B566" s="63"/>
      <c r="C566" s="54" t="s">
        <v>820</v>
      </c>
      <c r="D566" s="54"/>
    </row>
    <row r="567" spans="1:4">
      <c r="A567" s="63"/>
      <c r="B567" s="63"/>
      <c r="C567" s="54" t="s">
        <v>821</v>
      </c>
      <c r="D567" s="54"/>
    </row>
    <row r="568" spans="1:4">
      <c r="A568" s="63"/>
      <c r="B568" s="63"/>
      <c r="C568" s="54" t="s">
        <v>822</v>
      </c>
      <c r="D568" s="54"/>
    </row>
    <row r="569" spans="1:4">
      <c r="A569" s="63"/>
      <c r="B569" s="63"/>
      <c r="C569" s="54" t="s">
        <v>823</v>
      </c>
      <c r="D569" s="54"/>
    </row>
    <row r="570" spans="1:4">
      <c r="A570" s="63"/>
      <c r="B570" s="63"/>
      <c r="C570" s="54" t="s">
        <v>824</v>
      </c>
      <c r="D570" s="54"/>
    </row>
    <row r="571" spans="1:4">
      <c r="A571" s="63"/>
      <c r="B571" s="63"/>
      <c r="C571" s="54" t="s">
        <v>825</v>
      </c>
      <c r="D571" s="54"/>
    </row>
    <row r="572" spans="1:4">
      <c r="A572" s="63"/>
      <c r="B572" s="63"/>
      <c r="C572" s="54" t="s">
        <v>826</v>
      </c>
      <c r="D572" s="54"/>
    </row>
    <row r="573" spans="1:4">
      <c r="A573" s="63"/>
      <c r="B573" s="63"/>
      <c r="C573" s="54" t="s">
        <v>827</v>
      </c>
      <c r="D573" s="54"/>
    </row>
    <row r="574" spans="1:4">
      <c r="A574" s="63"/>
      <c r="B574" s="63"/>
      <c r="C574" s="54" t="s">
        <v>828</v>
      </c>
      <c r="D574" s="54"/>
    </row>
    <row r="575" spans="1:4">
      <c r="A575" s="63"/>
      <c r="B575" s="63"/>
      <c r="C575" s="54" t="s">
        <v>829</v>
      </c>
      <c r="D575" s="54"/>
    </row>
    <row r="576" spans="1:4">
      <c r="A576" s="63"/>
      <c r="B576" s="63"/>
      <c r="C576" s="54" t="s">
        <v>830</v>
      </c>
      <c r="D576" s="54"/>
    </row>
    <row r="577" spans="1:5">
      <c r="A577" s="63"/>
      <c r="B577" s="63"/>
      <c r="C577" s="54" t="s">
        <v>831</v>
      </c>
      <c r="D577" s="54"/>
    </row>
    <row r="578" spans="1:5">
      <c r="A578" s="63"/>
      <c r="B578" s="63"/>
      <c r="C578" s="54" t="s">
        <v>832</v>
      </c>
      <c r="D578" s="54"/>
    </row>
    <row r="579" spans="1:5">
      <c r="A579" s="63"/>
      <c r="B579" s="63"/>
      <c r="C579" s="54" t="s">
        <v>833</v>
      </c>
      <c r="D579" s="54"/>
    </row>
    <row r="580" spans="1:5">
      <c r="A580" s="63"/>
      <c r="B580" s="63"/>
      <c r="C580" s="54" t="s">
        <v>834</v>
      </c>
      <c r="D580" s="54"/>
      <c r="E580" t="s">
        <v>234</v>
      </c>
    </row>
    <row r="581" spans="1:5">
      <c r="A581" s="63"/>
      <c r="B581" s="63"/>
      <c r="C581" s="54" t="s">
        <v>835</v>
      </c>
      <c r="D581" s="54"/>
      <c r="E581" t="s">
        <v>234</v>
      </c>
    </row>
    <row r="582" spans="1:5">
      <c r="A582" s="63"/>
      <c r="B582" s="63"/>
      <c r="C582" s="54" t="s">
        <v>836</v>
      </c>
      <c r="D582" s="54"/>
    </row>
    <row r="583" spans="1:5">
      <c r="A583" s="63"/>
      <c r="B583" s="63"/>
      <c r="C583" s="54" t="s">
        <v>837</v>
      </c>
      <c r="D583" s="54"/>
    </row>
    <row r="584" spans="1:5">
      <c r="A584" s="63"/>
      <c r="B584" s="63"/>
      <c r="C584" s="54" t="s">
        <v>838</v>
      </c>
      <c r="D584" s="54"/>
    </row>
    <row r="585" spans="1:5">
      <c r="A585" s="63"/>
      <c r="B585" s="63"/>
      <c r="C585" s="54" t="s">
        <v>839</v>
      </c>
      <c r="D585" s="54"/>
    </row>
    <row r="586" spans="1:5">
      <c r="A586" s="63"/>
      <c r="B586" s="63"/>
      <c r="C586" s="54" t="s">
        <v>840</v>
      </c>
      <c r="D586" s="54"/>
    </row>
    <row r="587" spans="1:5">
      <c r="A587" s="63"/>
      <c r="B587" s="63"/>
      <c r="C587" s="54" t="s">
        <v>841</v>
      </c>
      <c r="D587" s="54"/>
    </row>
    <row r="588" spans="1:5">
      <c r="A588" s="63"/>
      <c r="B588" s="63"/>
      <c r="C588" s="54" t="s">
        <v>842</v>
      </c>
      <c r="D588" s="54"/>
    </row>
    <row r="589" spans="1:5">
      <c r="A589" s="63"/>
      <c r="B589" s="63"/>
      <c r="C589" s="54" t="s">
        <v>843</v>
      </c>
      <c r="D589" s="54"/>
    </row>
    <row r="590" spans="1:5">
      <c r="A590" s="63"/>
      <c r="B590" s="63"/>
      <c r="C590" s="54" t="s">
        <v>844</v>
      </c>
      <c r="D590" s="54"/>
    </row>
    <row r="591" spans="1:5">
      <c r="A591" s="64"/>
      <c r="B591" s="64"/>
      <c r="C591" s="54" t="s">
        <v>845</v>
      </c>
      <c r="D591" s="54"/>
    </row>
    <row r="592" spans="1:5">
      <c r="A592" s="61"/>
      <c r="B592" s="116" t="s">
        <v>141</v>
      </c>
      <c r="C592" s="52" t="s">
        <v>846</v>
      </c>
      <c r="D592" s="52"/>
    </row>
    <row r="593" spans="1:4">
      <c r="A593" s="61"/>
      <c r="B593" s="116"/>
      <c r="C593" s="52" t="s">
        <v>847</v>
      </c>
      <c r="D593" s="52"/>
    </row>
    <row r="594" spans="1:4">
      <c r="A594" s="61"/>
      <c r="B594" s="116"/>
      <c r="C594" s="52" t="s">
        <v>31</v>
      </c>
      <c r="D594" s="52"/>
    </row>
    <row r="595" spans="1:4">
      <c r="A595" s="65"/>
      <c r="B595" s="71" t="s">
        <v>848</v>
      </c>
      <c r="C595" s="54" t="s">
        <v>357</v>
      </c>
      <c r="D595" s="54"/>
    </row>
    <row r="596" spans="1:4">
      <c r="A596" s="117"/>
      <c r="B596" s="119"/>
      <c r="C596" s="118" t="s">
        <v>153</v>
      </c>
      <c r="D596" s="54"/>
    </row>
    <row r="597" spans="1:4">
      <c r="A597" s="112"/>
      <c r="B597" s="112" t="s">
        <v>849</v>
      </c>
      <c r="C597" s="52" t="s">
        <v>850</v>
      </c>
      <c r="D597" s="52"/>
    </row>
    <row r="598" spans="1:4">
      <c r="A598" s="61"/>
      <c r="B598" s="61"/>
      <c r="C598" s="52" t="s">
        <v>851</v>
      </c>
      <c r="D598" s="52"/>
    </row>
    <row r="599" spans="1:4">
      <c r="A599" s="61"/>
      <c r="B599" s="61"/>
      <c r="C599" s="52" t="s">
        <v>852</v>
      </c>
      <c r="D599" s="52"/>
    </row>
    <row r="600" spans="1:4">
      <c r="A600" s="61"/>
      <c r="B600" s="61"/>
      <c r="C600" s="52" t="s">
        <v>853</v>
      </c>
      <c r="D600" s="52"/>
    </row>
    <row r="601" spans="1:4">
      <c r="A601" s="61"/>
      <c r="B601" s="61"/>
      <c r="C601" s="52" t="s">
        <v>854</v>
      </c>
      <c r="D601" s="52"/>
    </row>
    <row r="602" spans="1:4">
      <c r="A602" s="61"/>
      <c r="B602" s="61"/>
      <c r="C602" s="52" t="s">
        <v>855</v>
      </c>
      <c r="D602" s="52"/>
    </row>
    <row r="603" spans="1:4">
      <c r="A603" s="61"/>
      <c r="B603" s="61"/>
      <c r="C603" s="52" t="s">
        <v>856</v>
      </c>
      <c r="D603" s="52"/>
    </row>
    <row r="604" spans="1:4">
      <c r="A604" s="61"/>
      <c r="B604" s="61"/>
      <c r="C604" s="52" t="s">
        <v>857</v>
      </c>
      <c r="D604" s="52"/>
    </row>
    <row r="605" spans="1:4">
      <c r="A605" s="61"/>
      <c r="B605" s="61"/>
      <c r="C605" s="52" t="s">
        <v>858</v>
      </c>
      <c r="D605" s="52"/>
    </row>
    <row r="606" spans="1:4">
      <c r="A606" s="61"/>
      <c r="B606" s="61"/>
      <c r="C606" s="52" t="s">
        <v>859</v>
      </c>
      <c r="D606" s="52"/>
    </row>
    <row r="607" spans="1:4">
      <c r="A607" s="61"/>
      <c r="B607" s="61"/>
      <c r="C607" s="52" t="s">
        <v>860</v>
      </c>
      <c r="D607" s="52"/>
    </row>
    <row r="608" spans="1:4">
      <c r="A608" s="61"/>
      <c r="B608" s="61"/>
      <c r="C608" s="52" t="s">
        <v>861</v>
      </c>
      <c r="D608" s="52"/>
    </row>
    <row r="609" spans="1:5">
      <c r="A609" s="61"/>
      <c r="B609" s="61"/>
      <c r="C609" s="52" t="s">
        <v>862</v>
      </c>
      <c r="D609" s="52"/>
    </row>
    <row r="610" spans="1:5">
      <c r="A610" s="61"/>
      <c r="B610" s="61"/>
      <c r="C610" s="52" t="s">
        <v>863</v>
      </c>
      <c r="D610" s="52"/>
    </row>
    <row r="611" spans="1:5">
      <c r="A611" s="61"/>
      <c r="B611" s="61"/>
      <c r="C611" s="52" t="s">
        <v>864</v>
      </c>
      <c r="D611" s="52"/>
    </row>
    <row r="612" spans="1:5">
      <c r="A612" s="61"/>
      <c r="B612" s="61"/>
      <c r="C612" s="52" t="s">
        <v>865</v>
      </c>
      <c r="D612" s="52"/>
    </row>
    <row r="613" spans="1:5">
      <c r="A613" s="61"/>
      <c r="B613" s="61"/>
      <c r="C613" s="52" t="s">
        <v>866</v>
      </c>
      <c r="D613" s="52"/>
    </row>
    <row r="614" spans="1:5">
      <c r="A614" s="61"/>
      <c r="B614" s="61"/>
      <c r="C614" s="52" t="s">
        <v>867</v>
      </c>
      <c r="D614" s="52"/>
    </row>
    <row r="615" spans="1:5">
      <c r="A615" s="61"/>
      <c r="B615" s="61"/>
      <c r="C615" s="52" t="s">
        <v>868</v>
      </c>
      <c r="D615" s="52"/>
    </row>
    <row r="616" spans="1:5">
      <c r="A616" s="61"/>
      <c r="B616" s="61"/>
      <c r="C616" s="52" t="s">
        <v>869</v>
      </c>
      <c r="D616" s="52"/>
    </row>
    <row r="617" spans="1:5">
      <c r="A617" s="61"/>
      <c r="B617" s="61"/>
      <c r="C617" s="52" t="s">
        <v>870</v>
      </c>
      <c r="D617" s="52"/>
    </row>
    <row r="618" spans="1:5">
      <c r="A618" s="61"/>
      <c r="B618" s="61"/>
      <c r="C618" s="52" t="s">
        <v>871</v>
      </c>
      <c r="D618" s="52"/>
    </row>
    <row r="619" spans="1:5">
      <c r="A619" s="61"/>
      <c r="B619" s="61"/>
      <c r="C619" s="52" t="s">
        <v>872</v>
      </c>
      <c r="D619" s="52"/>
    </row>
    <row r="620" spans="1:5">
      <c r="A620" s="61"/>
      <c r="B620" s="61"/>
      <c r="C620" s="52" t="s">
        <v>585</v>
      </c>
      <c r="D620" s="52"/>
    </row>
    <row r="621" spans="1:5">
      <c r="A621" s="61"/>
      <c r="B621" s="61"/>
      <c r="C621" s="52" t="s">
        <v>873</v>
      </c>
      <c r="D621" s="52"/>
      <c r="E621" t="s">
        <v>234</v>
      </c>
    </row>
    <row r="622" spans="1:5">
      <c r="A622" s="65"/>
      <c r="B622" s="65" t="s">
        <v>177</v>
      </c>
      <c r="C622" s="54" t="s">
        <v>874</v>
      </c>
      <c r="D622" s="54"/>
    </row>
    <row r="623" spans="1:5">
      <c r="A623" s="66"/>
      <c r="B623" s="66"/>
      <c r="C623" s="54" t="s">
        <v>875</v>
      </c>
      <c r="D623" s="54"/>
    </row>
    <row r="624" spans="1:5">
      <c r="A624" s="66"/>
      <c r="B624" s="66"/>
      <c r="C624" s="54" t="s">
        <v>876</v>
      </c>
      <c r="D624" s="54"/>
    </row>
    <row r="625" spans="1:5">
      <c r="A625" s="66"/>
      <c r="B625" s="66"/>
      <c r="C625" s="54" t="s">
        <v>877</v>
      </c>
      <c r="D625" s="54"/>
    </row>
    <row r="626" spans="1:5">
      <c r="A626" s="66"/>
      <c r="B626" s="66"/>
      <c r="C626" s="54" t="s">
        <v>878</v>
      </c>
      <c r="D626" s="54"/>
      <c r="E626" t="s">
        <v>234</v>
      </c>
    </row>
    <row r="627" spans="1:5">
      <c r="A627" s="66"/>
      <c r="B627" s="66"/>
      <c r="C627" s="54" t="s">
        <v>879</v>
      </c>
      <c r="D627" s="54"/>
    </row>
    <row r="628" spans="1:5">
      <c r="A628" s="66"/>
      <c r="B628" s="66"/>
      <c r="C628" s="54" t="s">
        <v>880</v>
      </c>
      <c r="D628" s="54"/>
    </row>
    <row r="629" spans="1:5">
      <c r="A629" s="66"/>
      <c r="B629" s="66"/>
      <c r="C629" s="54" t="s">
        <v>477</v>
      </c>
      <c r="D629" s="54"/>
    </row>
    <row r="630" spans="1:5">
      <c r="A630" s="66"/>
      <c r="B630" s="66"/>
      <c r="C630" s="54" t="s">
        <v>881</v>
      </c>
      <c r="D630" s="54"/>
    </row>
    <row r="631" spans="1:5">
      <c r="A631" s="66"/>
      <c r="B631" s="66"/>
      <c r="C631" s="54" t="s">
        <v>882</v>
      </c>
      <c r="D631" s="54"/>
    </row>
    <row r="632" spans="1:5">
      <c r="A632" s="66"/>
      <c r="B632" s="66"/>
      <c r="C632" s="54" t="s">
        <v>883</v>
      </c>
      <c r="D632" s="54"/>
    </row>
    <row r="633" spans="1:5">
      <c r="A633" s="67"/>
      <c r="B633" s="67"/>
      <c r="C633" s="54" t="s">
        <v>31</v>
      </c>
      <c r="D633" s="54"/>
    </row>
    <row r="634" spans="1:5">
      <c r="A634" s="61"/>
      <c r="B634" s="116" t="s">
        <v>178</v>
      </c>
      <c r="C634" s="52" t="s">
        <v>884</v>
      </c>
      <c r="D634" s="52" t="s">
        <v>885</v>
      </c>
    </row>
    <row r="635" spans="1:5">
      <c r="A635" s="61"/>
      <c r="B635" s="116"/>
      <c r="C635" s="52" t="s">
        <v>886</v>
      </c>
      <c r="D635" s="52" t="s">
        <v>887</v>
      </c>
    </row>
    <row r="636" spans="1:5">
      <c r="A636" s="61"/>
      <c r="B636" s="116"/>
      <c r="C636" s="52" t="s">
        <v>888</v>
      </c>
      <c r="D636" s="52" t="s">
        <v>889</v>
      </c>
    </row>
    <row r="637" spans="1:5">
      <c r="A637" s="61"/>
      <c r="B637" s="116"/>
      <c r="C637" s="52" t="s">
        <v>890</v>
      </c>
      <c r="D637" s="52" t="s">
        <v>891</v>
      </c>
    </row>
    <row r="638" spans="1:5">
      <c r="A638" s="61"/>
      <c r="B638" s="116"/>
      <c r="C638" s="52" t="s">
        <v>892</v>
      </c>
      <c r="D638" s="52" t="s">
        <v>893</v>
      </c>
    </row>
    <row r="639" spans="1:5">
      <c r="A639" s="61"/>
      <c r="B639" s="116"/>
      <c r="C639" s="52" t="s">
        <v>894</v>
      </c>
      <c r="D639" s="52" t="s">
        <v>895</v>
      </c>
    </row>
    <row r="640" spans="1:5">
      <c r="A640" s="61"/>
      <c r="B640" s="116"/>
      <c r="C640" s="52" t="s">
        <v>896</v>
      </c>
      <c r="D640" s="52" t="s">
        <v>897</v>
      </c>
    </row>
    <row r="641" spans="1:4">
      <c r="A641" s="61"/>
      <c r="B641" s="116"/>
      <c r="C641" s="52" t="s">
        <v>898</v>
      </c>
      <c r="D641" s="52" t="s">
        <v>898</v>
      </c>
    </row>
    <row r="642" spans="1:4">
      <c r="A642" s="61"/>
      <c r="B642" s="116"/>
      <c r="C642" s="52" t="s">
        <v>31</v>
      </c>
      <c r="D642" s="52"/>
    </row>
    <row r="643" spans="1:4">
      <c r="A643" s="68"/>
      <c r="B643" s="68" t="s">
        <v>899</v>
      </c>
      <c r="C643" s="54" t="s">
        <v>900</v>
      </c>
      <c r="D643" s="54" t="s">
        <v>901</v>
      </c>
    </row>
    <row r="644" spans="1:4">
      <c r="A644" s="69"/>
      <c r="B644" s="69"/>
      <c r="C644" s="54" t="s">
        <v>902</v>
      </c>
      <c r="D644" s="54" t="s">
        <v>903</v>
      </c>
    </row>
    <row r="645" spans="1:4">
      <c r="A645" s="69"/>
      <c r="B645" s="69"/>
      <c r="C645" s="54" t="s">
        <v>904</v>
      </c>
      <c r="D645" s="54" t="s">
        <v>905</v>
      </c>
    </row>
    <row r="646" spans="1:4">
      <c r="A646" s="69"/>
      <c r="B646" s="69"/>
      <c r="C646" s="54" t="s">
        <v>906</v>
      </c>
      <c r="D646" s="54" t="s">
        <v>907</v>
      </c>
    </row>
    <row r="647" spans="1:4">
      <c r="A647" s="69"/>
      <c r="B647" s="69"/>
      <c r="C647" s="54" t="s">
        <v>908</v>
      </c>
      <c r="D647" s="54"/>
    </row>
    <row r="648" spans="1:4">
      <c r="A648" s="70"/>
      <c r="B648" s="70"/>
      <c r="C648" s="54" t="s">
        <v>31</v>
      </c>
      <c r="D648" s="54"/>
    </row>
    <row r="649" spans="1:4">
      <c r="A649" s="61"/>
      <c r="B649" s="116" t="s">
        <v>169</v>
      </c>
      <c r="C649" s="52" t="s">
        <v>909</v>
      </c>
      <c r="D649" s="52"/>
    </row>
    <row r="650" spans="1:4">
      <c r="A650" s="61"/>
      <c r="B650" s="116"/>
      <c r="C650" s="52" t="s">
        <v>910</v>
      </c>
      <c r="D650" s="52"/>
    </row>
    <row r="651" spans="1:4">
      <c r="A651" s="61"/>
      <c r="B651" s="116"/>
      <c r="C651" s="52" t="s">
        <v>911</v>
      </c>
      <c r="D651" s="52"/>
    </row>
    <row r="652" spans="1:4">
      <c r="A652" s="61"/>
      <c r="B652" s="116"/>
      <c r="C652" s="52" t="s">
        <v>912</v>
      </c>
      <c r="D652" s="52"/>
    </row>
    <row r="653" spans="1:4">
      <c r="A653" s="61"/>
      <c r="B653" s="116"/>
      <c r="C653" s="52" t="s">
        <v>31</v>
      </c>
      <c r="D653" s="52"/>
    </row>
    <row r="654" spans="1:4">
      <c r="A654" s="68"/>
      <c r="B654" s="68" t="s">
        <v>170</v>
      </c>
      <c r="C654" s="54" t="s">
        <v>913</v>
      </c>
      <c r="D654" s="54"/>
    </row>
    <row r="655" spans="1:4">
      <c r="A655" s="69"/>
      <c r="B655" s="69"/>
      <c r="C655" s="54" t="s">
        <v>914</v>
      </c>
      <c r="D655" s="54"/>
    </row>
    <row r="656" spans="1:4">
      <c r="A656" s="61"/>
      <c r="B656" s="116" t="s">
        <v>22</v>
      </c>
      <c r="C656" s="52" t="s">
        <v>36</v>
      </c>
      <c r="D656" s="52"/>
    </row>
    <row r="657" spans="1:6">
      <c r="A657" s="61"/>
      <c r="B657" s="116"/>
      <c r="C657" s="52" t="s">
        <v>915</v>
      </c>
      <c r="D657" s="52"/>
    </row>
    <row r="658" spans="1:6">
      <c r="A658" s="68"/>
      <c r="B658" s="68" t="s">
        <v>916</v>
      </c>
      <c r="C658" s="54" t="s">
        <v>917</v>
      </c>
      <c r="D658" s="54"/>
    </row>
    <row r="659" spans="1:6">
      <c r="A659" s="69"/>
      <c r="B659" s="69"/>
      <c r="C659" s="54" t="s">
        <v>918</v>
      </c>
      <c r="D659" s="54"/>
    </row>
    <row r="660" spans="1:6">
      <c r="A660" s="69"/>
      <c r="B660" s="69"/>
      <c r="C660" s="54" t="s">
        <v>919</v>
      </c>
      <c r="D660" s="54"/>
    </row>
    <row r="661" spans="1:6">
      <c r="A661" s="69"/>
      <c r="B661" s="69"/>
      <c r="C661" s="54" t="s">
        <v>920</v>
      </c>
      <c r="D661" s="54"/>
    </row>
    <row r="662" spans="1:6">
      <c r="A662" s="69"/>
      <c r="B662" s="69"/>
      <c r="C662" s="54" t="s">
        <v>921</v>
      </c>
      <c r="D662" s="54"/>
    </row>
    <row r="663" spans="1:6">
      <c r="A663" s="69"/>
      <c r="B663" s="69"/>
      <c r="C663" s="54" t="s">
        <v>922</v>
      </c>
      <c r="D663" s="54"/>
    </row>
    <row r="664" spans="1:6">
      <c r="A664" s="69"/>
      <c r="B664" s="69"/>
      <c r="C664" s="54" t="s">
        <v>31</v>
      </c>
      <c r="D664" s="54"/>
    </row>
    <row r="665" spans="1:6">
      <c r="A665" s="70"/>
      <c r="B665" s="70"/>
      <c r="C665" s="54" t="s">
        <v>923</v>
      </c>
      <c r="D665" s="54"/>
    </row>
    <row r="666" spans="1:6">
      <c r="A666" s="61"/>
      <c r="B666" s="116" t="s">
        <v>924</v>
      </c>
      <c r="C666" s="52" t="s">
        <v>925</v>
      </c>
      <c r="D666" s="52"/>
    </row>
    <row r="667" spans="1:6">
      <c r="A667" s="61"/>
      <c r="B667" s="116"/>
      <c r="C667" s="52" t="s">
        <v>926</v>
      </c>
      <c r="D667" s="52"/>
      <c r="F667" s="8"/>
    </row>
    <row r="668" spans="1:6">
      <c r="A668" s="68"/>
      <c r="B668" s="68" t="s">
        <v>927</v>
      </c>
      <c r="C668" s="54" t="s">
        <v>928</v>
      </c>
      <c r="D668" s="54"/>
    </row>
    <row r="669" spans="1:6">
      <c r="A669" s="69"/>
      <c r="B669" s="69"/>
      <c r="C669" s="54" t="s">
        <v>929</v>
      </c>
      <c r="D669" s="54"/>
    </row>
    <row r="670" spans="1:6">
      <c r="A670" s="69"/>
      <c r="B670" s="69"/>
      <c r="C670" s="54" t="s">
        <v>930</v>
      </c>
      <c r="D670" s="54"/>
    </row>
    <row r="671" spans="1:6">
      <c r="A671" s="69"/>
      <c r="B671" s="69"/>
      <c r="C671" s="54" t="s">
        <v>931</v>
      </c>
      <c r="D671" s="54"/>
    </row>
    <row r="672" spans="1:6">
      <c r="A672" s="69"/>
      <c r="B672" s="69"/>
      <c r="C672" s="54" t="s">
        <v>932</v>
      </c>
      <c r="D672" s="54"/>
    </row>
    <row r="673" spans="1:4">
      <c r="A673" s="69"/>
      <c r="B673" s="69"/>
      <c r="C673" s="54" t="s">
        <v>933</v>
      </c>
      <c r="D673" s="54"/>
    </row>
    <row r="674" spans="1:4">
      <c r="A674" s="69"/>
      <c r="B674" s="69"/>
      <c r="C674" s="54" t="s">
        <v>934</v>
      </c>
      <c r="D674" s="54"/>
    </row>
    <row r="675" spans="1:4">
      <c r="A675" s="69"/>
      <c r="B675" s="69"/>
      <c r="C675" s="54" t="s">
        <v>935</v>
      </c>
      <c r="D675" s="54"/>
    </row>
    <row r="676" spans="1:4">
      <c r="A676" s="69"/>
      <c r="B676" s="69"/>
      <c r="C676" s="54" t="s">
        <v>936</v>
      </c>
      <c r="D676" s="54"/>
    </row>
    <row r="677" spans="1:4">
      <c r="A677" s="69"/>
      <c r="B677" s="69"/>
      <c r="C677" s="54" t="s">
        <v>937</v>
      </c>
      <c r="D677" s="54"/>
    </row>
    <row r="678" spans="1:4">
      <c r="A678" s="69"/>
      <c r="B678" s="69"/>
      <c r="C678" s="54" t="s">
        <v>585</v>
      </c>
      <c r="D678" s="54"/>
    </row>
    <row r="679" spans="1:4">
      <c r="A679" s="70"/>
      <c r="B679" s="70"/>
      <c r="C679" s="54" t="s">
        <v>923</v>
      </c>
      <c r="D679" s="54"/>
    </row>
    <row r="680" spans="1:4">
      <c r="A680" s="90"/>
      <c r="B680" s="90" t="s">
        <v>938</v>
      </c>
      <c r="C680" s="52" t="s">
        <v>917</v>
      </c>
      <c r="D680" s="52"/>
    </row>
    <row r="681" spans="1:4">
      <c r="A681" s="92"/>
      <c r="B681" s="92"/>
      <c r="C681" s="52" t="s">
        <v>918</v>
      </c>
      <c r="D681" s="52"/>
    </row>
    <row r="682" spans="1:4">
      <c r="A682" s="92"/>
      <c r="B682" s="92"/>
      <c r="C682" s="52" t="s">
        <v>919</v>
      </c>
      <c r="D682" s="52"/>
    </row>
    <row r="683" spans="1:4">
      <c r="A683" s="92"/>
      <c r="B683" s="92"/>
      <c r="C683" s="52" t="s">
        <v>920</v>
      </c>
      <c r="D683" s="52"/>
    </row>
    <row r="684" spans="1:4">
      <c r="A684" s="92"/>
      <c r="B684" s="92"/>
      <c r="C684" s="52" t="s">
        <v>921</v>
      </c>
      <c r="D684" s="52"/>
    </row>
    <row r="685" spans="1:4">
      <c r="A685" s="92"/>
      <c r="B685" s="92"/>
      <c r="C685" s="52" t="s">
        <v>922</v>
      </c>
      <c r="D685" s="52"/>
    </row>
    <row r="686" spans="1:4">
      <c r="A686" s="92"/>
      <c r="B686" s="92"/>
      <c r="C686" s="52" t="s">
        <v>31</v>
      </c>
      <c r="D686" s="52"/>
    </row>
    <row r="687" spans="1:4">
      <c r="A687" s="92"/>
      <c r="B687" s="92"/>
      <c r="C687" s="52" t="s">
        <v>923</v>
      </c>
      <c r="D687" s="52"/>
    </row>
    <row r="688" spans="1:4">
      <c r="A688" s="68"/>
      <c r="B688" s="65" t="s">
        <v>939</v>
      </c>
      <c r="C688" s="54" t="s">
        <v>940</v>
      </c>
      <c r="D688" s="54"/>
    </row>
    <row r="689" spans="1:4">
      <c r="A689" s="69"/>
      <c r="B689" s="67"/>
      <c r="C689" s="54" t="s">
        <v>941</v>
      </c>
      <c r="D689" s="54"/>
    </row>
    <row r="690" spans="1:4">
      <c r="A690" s="90"/>
      <c r="B690" s="90" t="s">
        <v>942</v>
      </c>
      <c r="C690" s="52" t="s">
        <v>943</v>
      </c>
      <c r="D690" s="52"/>
    </row>
    <row r="691" spans="1:4">
      <c r="A691" s="92"/>
      <c r="B691" s="92"/>
      <c r="C691" s="52" t="s">
        <v>944</v>
      </c>
      <c r="D691" s="52"/>
    </row>
    <row r="692" spans="1:4">
      <c r="A692" s="68"/>
      <c r="B692" s="68" t="s">
        <v>945</v>
      </c>
      <c r="C692" s="54" t="s">
        <v>946</v>
      </c>
      <c r="D692" s="54"/>
    </row>
    <row r="693" spans="1:4">
      <c r="A693" s="69"/>
      <c r="B693" s="69"/>
      <c r="C693" s="54" t="s">
        <v>762</v>
      </c>
      <c r="D693" s="54"/>
    </row>
    <row r="694" spans="1:4">
      <c r="A694" s="69"/>
      <c r="B694" s="69"/>
      <c r="C694" s="54" t="s">
        <v>947</v>
      </c>
      <c r="D694" s="54"/>
    </row>
    <row r="695" spans="1:4">
      <c r="A695" s="69"/>
      <c r="B695" s="69"/>
      <c r="C695" s="54" t="s">
        <v>948</v>
      </c>
      <c r="D695" s="54"/>
    </row>
    <row r="696" spans="1:4">
      <c r="A696" s="69"/>
      <c r="B696" s="69"/>
      <c r="C696" s="54" t="s">
        <v>949</v>
      </c>
      <c r="D696" s="54"/>
    </row>
    <row r="697" spans="1:4">
      <c r="A697" s="69"/>
      <c r="B697" s="69"/>
      <c r="C697" s="54" t="s">
        <v>168</v>
      </c>
      <c r="D697" s="54"/>
    </row>
    <row r="698" spans="1:4">
      <c r="A698" s="69"/>
      <c r="B698" s="69"/>
      <c r="C698" s="54" t="s">
        <v>950</v>
      </c>
      <c r="D698" s="54"/>
    </row>
    <row r="699" spans="1:4">
      <c r="A699" s="69"/>
      <c r="B699" s="69"/>
      <c r="C699" s="54" t="s">
        <v>951</v>
      </c>
      <c r="D699" s="54"/>
    </row>
    <row r="700" spans="1:4">
      <c r="A700" s="69"/>
      <c r="B700" s="69"/>
      <c r="C700" s="54" t="s">
        <v>31</v>
      </c>
      <c r="D700" s="54"/>
    </row>
    <row r="701" spans="1:4">
      <c r="A701" s="90"/>
      <c r="B701" s="90" t="s">
        <v>952</v>
      </c>
      <c r="C701" s="52" t="s">
        <v>451</v>
      </c>
      <c r="D701" s="52"/>
    </row>
    <row r="702" spans="1:4">
      <c r="A702" s="92"/>
      <c r="B702" s="92"/>
      <c r="C702" s="52" t="s">
        <v>452</v>
      </c>
      <c r="D702" s="52"/>
    </row>
    <row r="703" spans="1:4">
      <c r="A703" s="92"/>
      <c r="B703" s="92"/>
      <c r="C703" s="52" t="s">
        <v>453</v>
      </c>
      <c r="D703" s="52"/>
    </row>
    <row r="704" spans="1:4">
      <c r="A704" s="92"/>
      <c r="B704" s="92"/>
      <c r="C704" s="52" t="s">
        <v>454</v>
      </c>
      <c r="D704" s="52"/>
    </row>
    <row r="705" spans="1:5">
      <c r="A705" s="92"/>
      <c r="B705" s="92"/>
      <c r="C705" s="52" t="s">
        <v>455</v>
      </c>
      <c r="D705" s="52"/>
    </row>
    <row r="706" spans="1:5">
      <c r="A706" s="92"/>
      <c r="B706" s="92"/>
      <c r="C706" s="52" t="s">
        <v>456</v>
      </c>
      <c r="D706" s="52"/>
    </row>
    <row r="707" spans="1:5">
      <c r="A707" s="92"/>
      <c r="B707" s="92"/>
      <c r="C707" s="52" t="s">
        <v>458</v>
      </c>
      <c r="D707" s="52"/>
    </row>
    <row r="708" spans="1:5">
      <c r="A708" s="92"/>
      <c r="B708" s="92"/>
      <c r="C708" s="52" t="s">
        <v>459</v>
      </c>
      <c r="D708" s="52"/>
    </row>
    <row r="709" spans="1:5">
      <c r="A709" s="92"/>
      <c r="B709" s="92"/>
      <c r="C709" s="52" t="s">
        <v>460</v>
      </c>
      <c r="D709" s="52"/>
    </row>
    <row r="710" spans="1:5">
      <c r="A710" s="92"/>
      <c r="B710" s="92"/>
      <c r="C710" s="52" t="s">
        <v>461</v>
      </c>
      <c r="D710" s="52"/>
    </row>
    <row r="711" spans="1:5">
      <c r="A711" s="92"/>
      <c r="B711" s="92"/>
      <c r="C711" s="52" t="s">
        <v>462</v>
      </c>
      <c r="D711" s="52"/>
    </row>
    <row r="712" spans="1:5">
      <c r="A712" s="92"/>
      <c r="B712" s="92"/>
      <c r="C712" s="52" t="s">
        <v>463</v>
      </c>
      <c r="D712" s="52"/>
    </row>
    <row r="713" spans="1:5">
      <c r="A713" s="92"/>
      <c r="B713" s="92"/>
      <c r="C713" s="52" t="s">
        <v>464</v>
      </c>
      <c r="D713" s="52"/>
    </row>
    <row r="714" spans="1:5">
      <c r="A714" s="92"/>
      <c r="B714" s="92"/>
      <c r="C714" s="52" t="s">
        <v>465</v>
      </c>
      <c r="D714" s="52"/>
    </row>
    <row r="715" spans="1:5">
      <c r="A715" s="92"/>
      <c r="B715" s="92"/>
      <c r="C715" s="52" t="s">
        <v>466</v>
      </c>
      <c r="D715" s="52"/>
    </row>
    <row r="716" spans="1:5">
      <c r="A716" s="92"/>
      <c r="B716" s="92"/>
      <c r="C716" s="52" t="s">
        <v>467</v>
      </c>
      <c r="D716" s="52" t="s">
        <v>468</v>
      </c>
      <c r="E716" t="s">
        <v>234</v>
      </c>
    </row>
    <row r="717" spans="1:5">
      <c r="A717" s="92"/>
      <c r="B717" s="92"/>
      <c r="C717" s="52" t="s">
        <v>469</v>
      </c>
      <c r="D717" s="52"/>
    </row>
    <row r="718" spans="1:5">
      <c r="A718" s="92"/>
      <c r="B718" s="92"/>
      <c r="C718" s="52" t="s">
        <v>470</v>
      </c>
      <c r="D718" s="52"/>
    </row>
    <row r="719" spans="1:5">
      <c r="A719" s="92"/>
      <c r="B719" s="92"/>
      <c r="C719" s="52" t="s">
        <v>471</v>
      </c>
      <c r="D719" s="52"/>
    </row>
    <row r="720" spans="1:5">
      <c r="A720" s="92"/>
      <c r="B720" s="92"/>
      <c r="C720" s="52" t="s">
        <v>472</v>
      </c>
      <c r="D720" s="52"/>
    </row>
    <row r="721" spans="1:4">
      <c r="A721" s="92"/>
      <c r="B721" s="92"/>
      <c r="C721" s="52" t="s">
        <v>473</v>
      </c>
      <c r="D721" s="52"/>
    </row>
    <row r="722" spans="1:4">
      <c r="A722" s="92"/>
      <c r="B722" s="92"/>
      <c r="C722" s="52" t="s">
        <v>474</v>
      </c>
      <c r="D722" s="52"/>
    </row>
    <row r="723" spans="1:4">
      <c r="A723" s="92"/>
      <c r="B723" s="92"/>
      <c r="C723" s="52" t="s">
        <v>475</v>
      </c>
      <c r="D723" s="52"/>
    </row>
    <row r="724" spans="1:4">
      <c r="A724" s="92"/>
      <c r="B724" s="92"/>
      <c r="C724" s="52" t="s">
        <v>476</v>
      </c>
      <c r="D724" s="52"/>
    </row>
    <row r="725" spans="1:4">
      <c r="A725" s="92"/>
      <c r="B725" s="92"/>
      <c r="C725" s="52" t="s">
        <v>477</v>
      </c>
      <c r="D725" s="52"/>
    </row>
    <row r="726" spans="1:4">
      <c r="A726" s="92"/>
      <c r="B726" s="92"/>
      <c r="C726" s="52" t="s">
        <v>478</v>
      </c>
      <c r="D726" s="52"/>
    </row>
    <row r="727" spans="1:4">
      <c r="A727" s="92"/>
      <c r="B727" s="92"/>
      <c r="C727" s="52" t="s">
        <v>479</v>
      </c>
      <c r="D727" s="52"/>
    </row>
    <row r="728" spans="1:4">
      <c r="A728" s="92"/>
      <c r="B728" s="92"/>
      <c r="C728" s="52" t="s">
        <v>480</v>
      </c>
      <c r="D728" s="52"/>
    </row>
    <row r="729" spans="1:4">
      <c r="A729" s="92"/>
      <c r="B729" s="92"/>
      <c r="C729" s="52" t="s">
        <v>481</v>
      </c>
      <c r="D729" s="52"/>
    </row>
    <row r="730" spans="1:4">
      <c r="A730" s="92"/>
      <c r="B730" s="92"/>
      <c r="C730" s="52" t="s">
        <v>482</v>
      </c>
      <c r="D730" s="52"/>
    </row>
    <row r="731" spans="1:4">
      <c r="A731" s="92"/>
      <c r="B731" s="92"/>
      <c r="C731" s="52" t="s">
        <v>483</v>
      </c>
      <c r="D731" s="52"/>
    </row>
    <row r="732" spans="1:4">
      <c r="A732" s="92"/>
      <c r="B732" s="92"/>
      <c r="C732" s="52" t="s">
        <v>484</v>
      </c>
      <c r="D732" s="52"/>
    </row>
    <row r="733" spans="1:4">
      <c r="A733" s="92"/>
      <c r="B733" s="92"/>
      <c r="C733" s="52" t="s">
        <v>485</v>
      </c>
      <c r="D733" s="52"/>
    </row>
    <row r="734" spans="1:4">
      <c r="A734" s="92"/>
      <c r="B734" s="92"/>
      <c r="C734" s="52" t="s">
        <v>486</v>
      </c>
      <c r="D734" s="52"/>
    </row>
    <row r="735" spans="1:4">
      <c r="A735" s="92"/>
      <c r="B735" s="92"/>
      <c r="C735" s="52" t="s">
        <v>487</v>
      </c>
      <c r="D735" s="52"/>
    </row>
    <row r="736" spans="1:4">
      <c r="A736" s="92"/>
      <c r="B736" s="92"/>
      <c r="C736" s="52" t="s">
        <v>488</v>
      </c>
      <c r="D736" s="52"/>
    </row>
    <row r="737" spans="1:4">
      <c r="A737" s="92"/>
      <c r="B737" s="92"/>
      <c r="C737" s="52" t="s">
        <v>489</v>
      </c>
      <c r="D737" s="52"/>
    </row>
    <row r="738" spans="1:4">
      <c r="A738" s="92"/>
      <c r="B738" s="92"/>
      <c r="C738" s="52" t="s">
        <v>490</v>
      </c>
      <c r="D738" s="52"/>
    </row>
    <row r="739" spans="1:4">
      <c r="A739" s="92"/>
      <c r="B739" s="92"/>
      <c r="C739" s="52" t="s">
        <v>491</v>
      </c>
      <c r="D739" s="52"/>
    </row>
    <row r="740" spans="1:4">
      <c r="A740" s="92"/>
      <c r="B740" s="92"/>
      <c r="C740" s="52" t="s">
        <v>492</v>
      </c>
      <c r="D740" s="52"/>
    </row>
    <row r="741" spans="1:4">
      <c r="A741" s="92"/>
      <c r="B741" s="92"/>
      <c r="C741" s="52" t="s">
        <v>493</v>
      </c>
      <c r="D741" s="52"/>
    </row>
    <row r="742" spans="1:4">
      <c r="A742" s="92"/>
      <c r="B742" s="92"/>
      <c r="C742" s="52" t="s">
        <v>494</v>
      </c>
      <c r="D742" s="52"/>
    </row>
    <row r="743" spans="1:4">
      <c r="A743" s="92"/>
      <c r="B743" s="92"/>
      <c r="C743" s="52" t="s">
        <v>495</v>
      </c>
      <c r="D743" s="52"/>
    </row>
    <row r="744" spans="1:4">
      <c r="A744" s="92"/>
      <c r="B744" s="92"/>
      <c r="C744" s="52" t="s">
        <v>496</v>
      </c>
      <c r="D744" s="52"/>
    </row>
    <row r="745" spans="1:4">
      <c r="A745" s="92"/>
      <c r="B745" s="92"/>
      <c r="C745" s="52" t="s">
        <v>497</v>
      </c>
      <c r="D745" s="52"/>
    </row>
    <row r="746" spans="1:4">
      <c r="A746" s="92"/>
      <c r="B746" s="92"/>
      <c r="C746" s="52" t="s">
        <v>498</v>
      </c>
      <c r="D746" s="52"/>
    </row>
    <row r="747" spans="1:4">
      <c r="A747" s="92"/>
      <c r="B747" s="92"/>
      <c r="C747" s="52" t="s">
        <v>499</v>
      </c>
      <c r="D747" s="52"/>
    </row>
    <row r="748" spans="1:4">
      <c r="A748" s="92"/>
      <c r="B748" s="92"/>
      <c r="C748" s="52" t="s">
        <v>500</v>
      </c>
      <c r="D748" s="52"/>
    </row>
    <row r="749" spans="1:4">
      <c r="A749" s="92"/>
      <c r="B749" s="92"/>
      <c r="C749" s="52" t="s">
        <v>501</v>
      </c>
      <c r="D749" s="52"/>
    </row>
    <row r="750" spans="1:4">
      <c r="A750" s="92"/>
      <c r="B750" s="92"/>
      <c r="C750" s="52" t="s">
        <v>30</v>
      </c>
      <c r="D750" s="52"/>
    </row>
    <row r="751" spans="1:4">
      <c r="A751" s="92"/>
      <c r="B751" s="92"/>
      <c r="C751" s="52" t="s">
        <v>227</v>
      </c>
      <c r="D751" s="52"/>
    </row>
    <row r="752" spans="1:4">
      <c r="A752" s="92"/>
      <c r="B752" s="92"/>
      <c r="C752" s="52" t="s">
        <v>228</v>
      </c>
      <c r="D752" s="52"/>
    </row>
    <row r="753" spans="1:4">
      <c r="A753" s="92"/>
      <c r="B753" s="92"/>
      <c r="C753" s="52" t="s">
        <v>229</v>
      </c>
      <c r="D753" s="52"/>
    </row>
    <row r="754" spans="1:4">
      <c r="A754" s="92"/>
      <c r="B754" s="92"/>
      <c r="C754" s="52" t="s">
        <v>230</v>
      </c>
      <c r="D754" s="52"/>
    </row>
    <row r="755" spans="1:4">
      <c r="A755" s="92"/>
      <c r="B755" s="92"/>
      <c r="C755" s="52" t="s">
        <v>231</v>
      </c>
      <c r="D755" s="52"/>
    </row>
    <row r="756" spans="1:4">
      <c r="A756" s="92"/>
      <c r="B756" s="92"/>
      <c r="C756" s="52" t="s">
        <v>232</v>
      </c>
      <c r="D756" s="52"/>
    </row>
    <row r="757" spans="1:4">
      <c r="A757" s="92"/>
      <c r="B757" s="92"/>
      <c r="C757" s="52" t="s">
        <v>233</v>
      </c>
      <c r="D757" s="52"/>
    </row>
    <row r="758" spans="1:4">
      <c r="A758" s="92"/>
      <c r="B758" s="92"/>
      <c r="C758" s="52" t="s">
        <v>235</v>
      </c>
      <c r="D758" s="52"/>
    </row>
    <row r="759" spans="1:4">
      <c r="A759" s="92"/>
      <c r="B759" s="92"/>
      <c r="C759" s="52" t="s">
        <v>236</v>
      </c>
      <c r="D759" s="52"/>
    </row>
    <row r="760" spans="1:4">
      <c r="A760" s="92"/>
      <c r="B760" s="92"/>
      <c r="C760" s="52" t="s">
        <v>237</v>
      </c>
      <c r="D760" s="52"/>
    </row>
    <row r="761" spans="1:4">
      <c r="A761" s="92"/>
      <c r="B761" s="92"/>
      <c r="C761" s="52" t="s">
        <v>238</v>
      </c>
      <c r="D761" s="52"/>
    </row>
    <row r="762" spans="1:4">
      <c r="A762" s="92"/>
      <c r="B762" s="92"/>
      <c r="C762" s="52" t="s">
        <v>239</v>
      </c>
      <c r="D762" s="52"/>
    </row>
    <row r="763" spans="1:4">
      <c r="A763" s="92"/>
      <c r="B763" s="92"/>
      <c r="C763" s="52" t="s">
        <v>240</v>
      </c>
      <c r="D763" s="52"/>
    </row>
    <row r="764" spans="1:4">
      <c r="A764" s="92"/>
      <c r="B764" s="92"/>
      <c r="C764" s="52" t="s">
        <v>241</v>
      </c>
      <c r="D764" s="52"/>
    </row>
    <row r="765" spans="1:4">
      <c r="A765" s="92"/>
      <c r="B765" s="92"/>
      <c r="C765" s="52" t="s">
        <v>242</v>
      </c>
      <c r="D765" s="52"/>
    </row>
    <row r="766" spans="1:4">
      <c r="A766" s="92"/>
      <c r="B766" s="92"/>
      <c r="C766" s="52" t="s">
        <v>243</v>
      </c>
      <c r="D766" s="52"/>
    </row>
    <row r="767" spans="1:4">
      <c r="A767" s="92"/>
      <c r="B767" s="92"/>
      <c r="C767" s="52" t="s">
        <v>107</v>
      </c>
      <c r="D767" s="52"/>
    </row>
    <row r="768" spans="1:4">
      <c r="A768" s="92"/>
      <c r="B768" s="92"/>
      <c r="C768" s="52" t="s">
        <v>244</v>
      </c>
      <c r="D768" s="52"/>
    </row>
    <row r="769" spans="1:5">
      <c r="A769" s="92"/>
      <c r="B769" s="92"/>
      <c r="C769" s="52" t="s">
        <v>245</v>
      </c>
      <c r="D769" s="52"/>
    </row>
    <row r="770" spans="1:5">
      <c r="A770" s="92"/>
      <c r="B770" s="92"/>
      <c r="C770" s="52" t="s">
        <v>246</v>
      </c>
      <c r="D770" s="52"/>
    </row>
    <row r="771" spans="1:5">
      <c r="A771" s="92"/>
      <c r="B771" s="92"/>
      <c r="C771" s="52" t="s">
        <v>247</v>
      </c>
      <c r="D771" s="52"/>
    </row>
    <row r="772" spans="1:5">
      <c r="A772" s="92"/>
      <c r="B772" s="92"/>
      <c r="C772" s="52" t="s">
        <v>248</v>
      </c>
      <c r="D772" s="52"/>
    </row>
    <row r="773" spans="1:5">
      <c r="A773" s="92"/>
      <c r="B773" s="92"/>
      <c r="C773" s="52" t="s">
        <v>249</v>
      </c>
      <c r="D773" s="52"/>
    </row>
    <row r="774" spans="1:5">
      <c r="A774" s="92"/>
      <c r="B774" s="92"/>
      <c r="C774" s="52" t="s">
        <v>250</v>
      </c>
      <c r="D774" s="52"/>
    </row>
    <row r="775" spans="1:5">
      <c r="A775" s="92"/>
      <c r="B775" s="92"/>
      <c r="C775" s="52" t="s">
        <v>251</v>
      </c>
      <c r="D775" s="52"/>
    </row>
    <row r="776" spans="1:5">
      <c r="A776" s="92"/>
      <c r="B776" s="92"/>
      <c r="C776" s="52" t="s">
        <v>252</v>
      </c>
      <c r="D776" s="52"/>
    </row>
    <row r="777" spans="1:5">
      <c r="A777" s="92"/>
      <c r="B777" s="92"/>
      <c r="C777" s="52" t="s">
        <v>253</v>
      </c>
      <c r="D777" s="52"/>
    </row>
    <row r="778" spans="1:5">
      <c r="A778" s="92"/>
      <c r="B778" s="92"/>
      <c r="C778" s="52" t="s">
        <v>254</v>
      </c>
      <c r="D778" s="52"/>
    </row>
    <row r="779" spans="1:5">
      <c r="A779" s="92"/>
      <c r="B779" s="92"/>
      <c r="C779" s="52" t="s">
        <v>255</v>
      </c>
      <c r="D779" s="52"/>
    </row>
    <row r="780" spans="1:5">
      <c r="A780" s="92"/>
      <c r="B780" s="92"/>
      <c r="C780" s="52" t="s">
        <v>256</v>
      </c>
      <c r="D780" s="52"/>
    </row>
    <row r="781" spans="1:5">
      <c r="A781" s="92"/>
      <c r="B781" s="92"/>
      <c r="C781" s="52" t="s">
        <v>257</v>
      </c>
      <c r="D781" s="52"/>
    </row>
    <row r="782" spans="1:5">
      <c r="A782" s="92"/>
      <c r="B782" s="92"/>
      <c r="C782" s="52" t="s">
        <v>258</v>
      </c>
      <c r="D782" s="52"/>
      <c r="E782" t="s">
        <v>234</v>
      </c>
    </row>
    <row r="783" spans="1:5">
      <c r="A783" s="92"/>
      <c r="B783" s="92"/>
      <c r="C783" s="52" t="s">
        <v>259</v>
      </c>
      <c r="D783" s="52"/>
      <c r="E783" t="s">
        <v>234</v>
      </c>
    </row>
    <row r="784" spans="1:5">
      <c r="A784" s="92"/>
      <c r="B784" s="92"/>
      <c r="C784" s="52" t="s">
        <v>262</v>
      </c>
      <c r="D784" s="52"/>
      <c r="E784" t="s">
        <v>234</v>
      </c>
    </row>
    <row r="785" spans="1:5">
      <c r="A785" s="92"/>
      <c r="B785" s="92"/>
      <c r="C785" s="52" t="s">
        <v>263</v>
      </c>
      <c r="D785" s="52"/>
    </row>
    <row r="786" spans="1:5">
      <c r="A786" s="92"/>
      <c r="B786" s="92"/>
      <c r="C786" s="52" t="s">
        <v>264</v>
      </c>
      <c r="D786" s="52"/>
    </row>
    <row r="787" spans="1:5">
      <c r="A787" s="92"/>
      <c r="B787" s="92"/>
      <c r="C787" s="52" t="s">
        <v>265</v>
      </c>
      <c r="D787" s="52"/>
    </row>
    <row r="788" spans="1:5">
      <c r="A788" s="92"/>
      <c r="B788" s="92"/>
      <c r="C788" s="52" t="s">
        <v>266</v>
      </c>
      <c r="D788" s="52"/>
    </row>
    <row r="789" spans="1:5">
      <c r="A789" s="92"/>
      <c r="B789" s="92"/>
      <c r="C789" s="52" t="s">
        <v>267</v>
      </c>
      <c r="D789" s="52"/>
    </row>
    <row r="790" spans="1:5">
      <c r="A790" s="92"/>
      <c r="B790" s="92"/>
      <c r="C790" s="52" t="s">
        <v>268</v>
      </c>
      <c r="D790" s="52"/>
      <c r="E790" t="s">
        <v>234</v>
      </c>
    </row>
    <row r="791" spans="1:5">
      <c r="A791" s="92"/>
      <c r="B791" s="92"/>
      <c r="C791" s="52" t="s">
        <v>269</v>
      </c>
      <c r="D791" s="52"/>
    </row>
    <row r="792" spans="1:5">
      <c r="A792" s="92"/>
      <c r="B792" s="92"/>
      <c r="C792" s="52" t="s">
        <v>270</v>
      </c>
      <c r="D792" s="52"/>
    </row>
    <row r="793" spans="1:5">
      <c r="A793" s="92"/>
      <c r="B793" s="92"/>
      <c r="C793" s="52" t="s">
        <v>271</v>
      </c>
      <c r="D793" s="52"/>
    </row>
    <row r="794" spans="1:5">
      <c r="A794" s="92"/>
      <c r="B794" s="92"/>
      <c r="C794" s="52" t="s">
        <v>953</v>
      </c>
      <c r="D794" s="52"/>
    </row>
    <row r="795" spans="1:5">
      <c r="A795" s="92"/>
      <c r="B795" s="92"/>
      <c r="C795" s="52" t="s">
        <v>272</v>
      </c>
      <c r="D795" s="52"/>
    </row>
    <row r="796" spans="1:5">
      <c r="A796" s="92"/>
      <c r="B796" s="92"/>
      <c r="C796" s="52" t="s">
        <v>273</v>
      </c>
      <c r="D796" s="52"/>
    </row>
    <row r="797" spans="1:5">
      <c r="A797" s="92"/>
      <c r="B797" s="92"/>
      <c r="C797" s="52" t="s">
        <v>274</v>
      </c>
      <c r="D797" s="52"/>
    </row>
    <row r="798" spans="1:5">
      <c r="A798" s="92"/>
      <c r="B798" s="92"/>
      <c r="C798" s="52" t="s">
        <v>275</v>
      </c>
      <c r="D798" s="52"/>
    </row>
    <row r="799" spans="1:5">
      <c r="A799" s="92"/>
      <c r="B799" s="92"/>
      <c r="C799" s="52" t="s">
        <v>276</v>
      </c>
      <c r="D799" s="52"/>
    </row>
    <row r="800" spans="1:5">
      <c r="A800" s="92"/>
      <c r="B800" s="92"/>
      <c r="C800" s="52" t="s">
        <v>277</v>
      </c>
      <c r="D800" s="52"/>
    </row>
    <row r="801" spans="1:5">
      <c r="A801" s="92"/>
      <c r="B801" s="92"/>
      <c r="C801" s="52" t="s">
        <v>278</v>
      </c>
      <c r="D801" s="52"/>
    </row>
    <row r="802" spans="1:5">
      <c r="A802" s="92"/>
      <c r="B802" s="92"/>
      <c r="C802" s="52" t="s">
        <v>279</v>
      </c>
      <c r="D802" s="52"/>
    </row>
    <row r="803" spans="1:5">
      <c r="A803" s="92"/>
      <c r="B803" s="92"/>
      <c r="C803" s="52" t="s">
        <v>280</v>
      </c>
      <c r="D803" s="52"/>
    </row>
    <row r="804" spans="1:5">
      <c r="A804" s="92"/>
      <c r="B804" s="92"/>
      <c r="C804" s="52" t="s">
        <v>281</v>
      </c>
      <c r="D804" s="52"/>
    </row>
    <row r="805" spans="1:5">
      <c r="A805" s="92"/>
      <c r="B805" s="92"/>
      <c r="C805" s="52" t="s">
        <v>282</v>
      </c>
      <c r="D805" s="52"/>
    </row>
    <row r="806" spans="1:5">
      <c r="A806" s="92"/>
      <c r="B806" s="92"/>
      <c r="C806" s="52" t="s">
        <v>283</v>
      </c>
      <c r="D806" s="52"/>
    </row>
    <row r="807" spans="1:5">
      <c r="A807" s="92"/>
      <c r="B807" s="92"/>
      <c r="C807" s="52" t="s">
        <v>284</v>
      </c>
      <c r="D807" s="52"/>
    </row>
    <row r="808" spans="1:5">
      <c r="A808" s="92"/>
      <c r="B808" s="92"/>
      <c r="C808" s="52" t="s">
        <v>286</v>
      </c>
      <c r="D808" s="52"/>
    </row>
    <row r="809" spans="1:5">
      <c r="A809" s="92"/>
      <c r="B809" s="92"/>
      <c r="C809" s="52" t="s">
        <v>285</v>
      </c>
      <c r="D809" s="52"/>
      <c r="E809" t="s">
        <v>234</v>
      </c>
    </row>
    <row r="810" spans="1:5">
      <c r="A810" s="92"/>
      <c r="B810" s="92"/>
      <c r="C810" s="52" t="s">
        <v>287</v>
      </c>
      <c r="D810" s="52"/>
    </row>
    <row r="811" spans="1:5">
      <c r="A811" s="92"/>
      <c r="B811" s="92"/>
      <c r="C811" s="52" t="s">
        <v>288</v>
      </c>
      <c r="D811" s="52"/>
    </row>
    <row r="812" spans="1:5">
      <c r="A812" s="92"/>
      <c r="B812" s="92"/>
      <c r="C812" s="52" t="s">
        <v>289</v>
      </c>
      <c r="D812" s="52"/>
    </row>
    <row r="813" spans="1:5">
      <c r="A813" s="92"/>
      <c r="B813" s="92"/>
      <c r="C813" s="52" t="s">
        <v>290</v>
      </c>
      <c r="D813" s="52"/>
    </row>
    <row r="814" spans="1:5">
      <c r="A814" s="92"/>
      <c r="B814" s="92"/>
      <c r="C814" s="52" t="s">
        <v>291</v>
      </c>
      <c r="D814" s="52"/>
    </row>
    <row r="815" spans="1:5">
      <c r="A815" s="92"/>
      <c r="B815" s="92"/>
      <c r="C815" s="52" t="s">
        <v>292</v>
      </c>
      <c r="D815" s="52"/>
    </row>
    <row r="816" spans="1:5">
      <c r="A816" s="92"/>
      <c r="B816" s="92"/>
      <c r="C816" s="52" t="s">
        <v>293</v>
      </c>
      <c r="D816" s="52"/>
    </row>
    <row r="817" spans="1:4">
      <c r="A817" s="92"/>
      <c r="B817" s="92"/>
      <c r="C817" s="52" t="s">
        <v>294</v>
      </c>
      <c r="D817" s="52"/>
    </row>
    <row r="818" spans="1:4">
      <c r="A818" s="92"/>
      <c r="B818" s="92"/>
      <c r="C818" s="52" t="s">
        <v>295</v>
      </c>
      <c r="D818" s="52"/>
    </row>
    <row r="819" spans="1:4">
      <c r="A819" s="92"/>
      <c r="B819" s="92"/>
      <c r="C819" s="52" t="s">
        <v>296</v>
      </c>
      <c r="D819" s="52"/>
    </row>
    <row r="820" spans="1:4">
      <c r="A820" s="92"/>
      <c r="B820" s="92"/>
      <c r="C820" s="52" t="s">
        <v>297</v>
      </c>
      <c r="D820" s="52"/>
    </row>
    <row r="821" spans="1:4">
      <c r="A821" s="92"/>
      <c r="B821" s="92"/>
      <c r="C821" s="52" t="s">
        <v>298</v>
      </c>
      <c r="D821" s="52"/>
    </row>
    <row r="822" spans="1:4">
      <c r="A822" s="92"/>
      <c r="B822" s="92"/>
      <c r="C822" s="52" t="s">
        <v>299</v>
      </c>
      <c r="D822" s="52"/>
    </row>
    <row r="823" spans="1:4">
      <c r="A823" s="92"/>
      <c r="B823" s="92"/>
      <c r="C823" s="52" t="s">
        <v>300</v>
      </c>
      <c r="D823" s="52"/>
    </row>
    <row r="824" spans="1:4">
      <c r="A824" s="92"/>
      <c r="B824" s="92"/>
      <c r="C824" s="52" t="s">
        <v>301</v>
      </c>
      <c r="D824" s="52"/>
    </row>
    <row r="825" spans="1:4">
      <c r="A825" s="92"/>
      <c r="B825" s="92"/>
      <c r="C825" s="52" t="s">
        <v>302</v>
      </c>
      <c r="D825" s="52"/>
    </row>
    <row r="826" spans="1:4">
      <c r="A826" s="92"/>
      <c r="B826" s="92"/>
      <c r="C826" s="52" t="s">
        <v>303</v>
      </c>
      <c r="D826" s="52"/>
    </row>
    <row r="827" spans="1:4">
      <c r="A827" s="92"/>
      <c r="B827" s="92"/>
      <c r="C827" s="52" t="s">
        <v>304</v>
      </c>
      <c r="D827" s="52"/>
    </row>
    <row r="828" spans="1:4">
      <c r="A828" s="92"/>
      <c r="B828" s="92"/>
      <c r="C828" s="52" t="s">
        <v>305</v>
      </c>
      <c r="D828" s="52"/>
    </row>
    <row r="829" spans="1:4">
      <c r="A829" s="92"/>
      <c r="B829" s="92"/>
      <c r="C829" s="52" t="s">
        <v>306</v>
      </c>
      <c r="D829" s="52"/>
    </row>
    <row r="830" spans="1:4">
      <c r="A830" s="92"/>
      <c r="B830" s="92"/>
      <c r="C830" s="52" t="s">
        <v>307</v>
      </c>
      <c r="D830" s="52"/>
    </row>
    <row r="831" spans="1:4">
      <c r="A831" s="92"/>
      <c r="B831" s="92"/>
      <c r="C831" s="52" t="s">
        <v>954</v>
      </c>
      <c r="D831" s="124" t="s">
        <v>955</v>
      </c>
    </row>
    <row r="832" spans="1:4">
      <c r="A832" s="92"/>
      <c r="B832" s="92"/>
      <c r="C832" s="52" t="s">
        <v>956</v>
      </c>
      <c r="D832" s="124" t="s">
        <v>319</v>
      </c>
    </row>
    <row r="833" spans="1:4">
      <c r="A833" s="92"/>
      <c r="B833" s="92"/>
      <c r="C833" s="52" t="s">
        <v>957</v>
      </c>
      <c r="D833" s="124" t="s">
        <v>319</v>
      </c>
    </row>
    <row r="834" spans="1:4" ht="15">
      <c r="A834" s="92"/>
      <c r="B834" s="92"/>
      <c r="C834" s="52" t="s">
        <v>958</v>
      </c>
      <c r="D834" s="122"/>
    </row>
    <row r="835" spans="1:4">
      <c r="A835" s="92"/>
      <c r="B835" s="92"/>
      <c r="C835" s="52" t="s">
        <v>315</v>
      </c>
      <c r="D835" s="52"/>
    </row>
    <row r="836" spans="1:4">
      <c r="A836" s="92"/>
      <c r="B836" s="92"/>
      <c r="C836" s="52" t="s">
        <v>310</v>
      </c>
      <c r="D836" s="52"/>
    </row>
    <row r="837" spans="1:4">
      <c r="A837" s="92"/>
      <c r="B837" s="92"/>
      <c r="C837" s="52" t="s">
        <v>311</v>
      </c>
      <c r="D837" s="52"/>
    </row>
    <row r="838" spans="1:4">
      <c r="A838" s="92"/>
      <c r="B838" s="92"/>
      <c r="C838" s="52" t="s">
        <v>308</v>
      </c>
      <c r="D838" s="52"/>
    </row>
    <row r="839" spans="1:4">
      <c r="A839" s="92"/>
      <c r="B839" s="92"/>
      <c r="C839" s="52" t="s">
        <v>312</v>
      </c>
      <c r="D839" s="52"/>
    </row>
    <row r="840" spans="1:4">
      <c r="A840" s="92"/>
      <c r="B840" s="92"/>
      <c r="C840" s="52" t="s">
        <v>309</v>
      </c>
      <c r="D840" s="52"/>
    </row>
    <row r="841" spans="1:4">
      <c r="A841" s="92"/>
      <c r="B841" s="92"/>
      <c r="C841" s="52" t="s">
        <v>313</v>
      </c>
      <c r="D841" s="52"/>
    </row>
    <row r="842" spans="1:4">
      <c r="A842" s="92"/>
      <c r="B842" s="92"/>
      <c r="C842" s="52" t="s">
        <v>959</v>
      </c>
      <c r="D842" s="52"/>
    </row>
    <row r="843" spans="1:4">
      <c r="A843" s="92"/>
      <c r="B843" s="92"/>
      <c r="C843" s="52" t="s">
        <v>960</v>
      </c>
      <c r="D843" s="52"/>
    </row>
    <row r="844" spans="1:4">
      <c r="A844" s="92"/>
      <c r="B844" s="92"/>
      <c r="C844" s="52" t="s">
        <v>961</v>
      </c>
      <c r="D844" s="52"/>
    </row>
    <row r="845" spans="1:4">
      <c r="A845" s="92"/>
      <c r="B845" s="92"/>
      <c r="C845" s="52" t="s">
        <v>962</v>
      </c>
      <c r="D845" s="52"/>
    </row>
    <row r="846" spans="1:4">
      <c r="A846" s="92"/>
      <c r="B846" s="92"/>
      <c r="C846" s="52" t="s">
        <v>963</v>
      </c>
      <c r="D846" s="52"/>
    </row>
    <row r="847" spans="1:4">
      <c r="A847" s="92"/>
      <c r="B847" s="92"/>
      <c r="C847" s="52" t="s">
        <v>964</v>
      </c>
      <c r="D847" s="52"/>
    </row>
    <row r="848" spans="1:4">
      <c r="A848" s="92"/>
      <c r="B848" s="92"/>
      <c r="C848" s="52" t="s">
        <v>965</v>
      </c>
      <c r="D848" s="52"/>
    </row>
    <row r="849" spans="1:4">
      <c r="A849" s="92"/>
      <c r="B849" s="92"/>
      <c r="C849" s="52" t="s">
        <v>966</v>
      </c>
      <c r="D849" s="52"/>
    </row>
    <row r="850" spans="1:4">
      <c r="A850" s="92"/>
      <c r="B850" s="92"/>
      <c r="C850" s="52" t="s">
        <v>31</v>
      </c>
      <c r="D850" s="52"/>
    </row>
    <row r="851" spans="1:4">
      <c r="A851" s="65" t="s">
        <v>967</v>
      </c>
      <c r="B851" s="65"/>
      <c r="C851" s="54" t="s">
        <v>357</v>
      </c>
      <c r="D851" s="54"/>
    </row>
    <row r="852" spans="1:4">
      <c r="A852" s="66"/>
      <c r="B852" s="66"/>
      <c r="C852" s="54" t="s">
        <v>153</v>
      </c>
      <c r="D852" s="54"/>
    </row>
    <row r="853" spans="1:4">
      <c r="A853" s="92" t="s">
        <v>968</v>
      </c>
      <c r="B853" s="92" t="s">
        <v>5</v>
      </c>
      <c r="C853" s="52" t="s">
        <v>969</v>
      </c>
      <c r="D853" s="52"/>
    </row>
    <row r="854" spans="1:4">
      <c r="A854" s="92"/>
      <c r="B854" s="92"/>
      <c r="C854" s="52" t="s">
        <v>970</v>
      </c>
      <c r="D854" s="52"/>
    </row>
    <row r="855" spans="1:4">
      <c r="A855" s="92"/>
      <c r="B855" s="92"/>
      <c r="C855" s="52" t="s">
        <v>971</v>
      </c>
      <c r="D855" s="52"/>
    </row>
    <row r="856" spans="1:4">
      <c r="A856" s="92"/>
      <c r="B856" s="92"/>
      <c r="C856" s="52" t="s">
        <v>972</v>
      </c>
      <c r="D856" s="52"/>
    </row>
    <row r="857" spans="1:4">
      <c r="A857" s="92"/>
      <c r="B857" s="92"/>
      <c r="C857" s="52" t="s">
        <v>973</v>
      </c>
      <c r="D857" s="52"/>
    </row>
    <row r="858" spans="1:4">
      <c r="A858" s="92"/>
      <c r="B858" s="92"/>
      <c r="C858" s="52" t="s">
        <v>974</v>
      </c>
      <c r="D858" s="52"/>
    </row>
    <row r="859" spans="1:4">
      <c r="A859" s="92"/>
      <c r="B859" s="92"/>
      <c r="C859" s="52" t="s">
        <v>975</v>
      </c>
      <c r="D859" s="52"/>
    </row>
    <row r="860" spans="1:4">
      <c r="A860" s="92"/>
      <c r="B860" s="92"/>
      <c r="C860" s="52" t="s">
        <v>976</v>
      </c>
      <c r="D860" s="52"/>
    </row>
    <row r="861" spans="1:4">
      <c r="A861" s="92"/>
      <c r="B861" s="92"/>
      <c r="C861" s="52" t="s">
        <v>977</v>
      </c>
      <c r="D861" s="52"/>
    </row>
    <row r="862" spans="1:4">
      <c r="A862" s="65" t="s">
        <v>978</v>
      </c>
      <c r="B862" s="65" t="s">
        <v>5</v>
      </c>
      <c r="C862" s="54" t="s">
        <v>55</v>
      </c>
      <c r="D862" s="54"/>
    </row>
    <row r="863" spans="1:4">
      <c r="A863" s="66"/>
      <c r="B863" s="66"/>
      <c r="C863" s="54" t="s">
        <v>979</v>
      </c>
      <c r="D863" s="54"/>
    </row>
    <row r="864" spans="1:4">
      <c r="A864" s="66"/>
      <c r="B864" s="66"/>
      <c r="C864" s="54" t="s">
        <v>67</v>
      </c>
      <c r="D864" s="54"/>
    </row>
    <row r="865" spans="1:4">
      <c r="A865" s="66"/>
      <c r="B865" s="66"/>
      <c r="C865" s="54" t="s">
        <v>980</v>
      </c>
      <c r="D865" s="54"/>
    </row>
    <row r="866" spans="1:4">
      <c r="A866" s="66"/>
      <c r="B866" s="66"/>
      <c r="C866" s="54" t="s">
        <v>29</v>
      </c>
      <c r="D866" s="54"/>
    </row>
    <row r="867" spans="1:4">
      <c r="A867" s="66"/>
      <c r="B867" s="66"/>
      <c r="C867" s="54" t="s">
        <v>981</v>
      </c>
      <c r="D867" s="54"/>
    </row>
    <row r="868" spans="1:4">
      <c r="A868" s="66"/>
      <c r="B868" s="66"/>
      <c r="C868" s="54" t="s">
        <v>40</v>
      </c>
      <c r="D868" s="54"/>
    </row>
    <row r="869" spans="1:4">
      <c r="A869" s="66"/>
      <c r="B869" s="66"/>
      <c r="C869" s="54" t="s">
        <v>982</v>
      </c>
      <c r="D869" s="54"/>
    </row>
    <row r="870" spans="1:4">
      <c r="A870" s="92" t="s">
        <v>983</v>
      </c>
      <c r="B870" s="92" t="s">
        <v>5</v>
      </c>
      <c r="C870" s="52" t="s">
        <v>55</v>
      </c>
      <c r="D870" s="52"/>
    </row>
    <row r="871" spans="1:4">
      <c r="A871" s="92"/>
      <c r="B871" s="92"/>
      <c r="C871" s="52" t="s">
        <v>67</v>
      </c>
      <c r="D871" s="52"/>
    </row>
    <row r="872" spans="1:4">
      <c r="A872" s="92"/>
      <c r="B872" s="92"/>
      <c r="C872" s="52" t="s">
        <v>29</v>
      </c>
      <c r="D872" s="52"/>
    </row>
    <row r="873" spans="1:4">
      <c r="A873" s="92"/>
      <c r="B873" s="92"/>
      <c r="C873" s="52" t="s">
        <v>31</v>
      </c>
      <c r="D873" s="52"/>
    </row>
    <row r="874" spans="1:4">
      <c r="A874" s="65" t="s">
        <v>984</v>
      </c>
      <c r="B874" s="65" t="s">
        <v>5</v>
      </c>
      <c r="C874" s="54" t="s">
        <v>985</v>
      </c>
      <c r="D874" s="54"/>
    </row>
    <row r="875" spans="1:4">
      <c r="A875" s="66"/>
      <c r="B875" s="66"/>
      <c r="C875" s="54" t="s">
        <v>772</v>
      </c>
      <c r="D875" s="54"/>
    </row>
    <row r="876" spans="1:4">
      <c r="A876" s="66"/>
      <c r="B876" s="66"/>
      <c r="C876" s="54" t="s">
        <v>773</v>
      </c>
      <c r="D876" s="54"/>
    </row>
    <row r="877" spans="1:4">
      <c r="A877" s="66"/>
      <c r="B877" s="66"/>
      <c r="C877" s="54" t="s">
        <v>774</v>
      </c>
      <c r="D877" s="54"/>
    </row>
    <row r="878" spans="1:4">
      <c r="A878" s="66"/>
      <c r="B878" s="66"/>
      <c r="C878" s="54" t="s">
        <v>986</v>
      </c>
      <c r="D878" s="54"/>
    </row>
    <row r="879" spans="1:4">
      <c r="A879" s="66"/>
      <c r="B879" s="66"/>
      <c r="C879" s="54" t="s">
        <v>987</v>
      </c>
      <c r="D879" s="54"/>
    </row>
    <row r="880" spans="1:4">
      <c r="A880" s="66"/>
      <c r="B880" s="66"/>
      <c r="C880" s="54" t="s">
        <v>988</v>
      </c>
      <c r="D880" s="54"/>
    </row>
    <row r="881" spans="1:5">
      <c r="A881" s="66"/>
      <c r="B881" s="66"/>
      <c r="C881" s="54" t="s">
        <v>989</v>
      </c>
      <c r="D881" s="54"/>
    </row>
    <row r="882" spans="1:5">
      <c r="A882" s="66"/>
      <c r="B882" s="66"/>
      <c r="C882" s="54" t="s">
        <v>990</v>
      </c>
      <c r="D882" s="54" t="s">
        <v>990</v>
      </c>
      <c r="E882" t="s">
        <v>234</v>
      </c>
    </row>
    <row r="883" spans="1:5">
      <c r="A883" s="67"/>
      <c r="B883" s="67"/>
      <c r="C883" s="54" t="s">
        <v>31</v>
      </c>
      <c r="D883" s="54"/>
    </row>
    <row r="884" spans="1:5">
      <c r="A884" s="81" t="s">
        <v>991</v>
      </c>
      <c r="B884" s="81" t="s">
        <v>5</v>
      </c>
      <c r="C884" s="52" t="s">
        <v>949</v>
      </c>
      <c r="D884" s="52"/>
    </row>
    <row r="885" spans="1:5">
      <c r="A885" s="82"/>
      <c r="B885" s="82"/>
      <c r="C885" s="52" t="s">
        <v>992</v>
      </c>
      <c r="D885" s="52"/>
    </row>
    <row r="886" spans="1:5">
      <c r="A886" s="82"/>
      <c r="B886" s="82"/>
      <c r="C886" s="52" t="s">
        <v>993</v>
      </c>
      <c r="D886" s="52"/>
    </row>
    <row r="887" spans="1:5">
      <c r="A887" s="82"/>
      <c r="B887" s="82"/>
      <c r="C887" s="52" t="s">
        <v>994</v>
      </c>
      <c r="D887" s="52"/>
    </row>
    <row r="888" spans="1:5">
      <c r="A888" s="82"/>
      <c r="B888" s="82"/>
      <c r="C888" s="52" t="s">
        <v>995</v>
      </c>
      <c r="D888" s="52"/>
    </row>
    <row r="889" spans="1:5">
      <c r="A889" s="82"/>
      <c r="B889" s="82"/>
      <c r="C889" s="52" t="s">
        <v>996</v>
      </c>
      <c r="D889" s="52" t="s">
        <v>997</v>
      </c>
    </row>
    <row r="890" spans="1:5">
      <c r="A890" s="82"/>
      <c r="B890" s="82"/>
      <c r="C890" s="52" t="s">
        <v>998</v>
      </c>
      <c r="D890" s="52"/>
    </row>
    <row r="891" spans="1:5">
      <c r="A891" s="65" t="s">
        <v>488</v>
      </c>
      <c r="B891" s="65" t="s">
        <v>5</v>
      </c>
      <c r="C891" s="54" t="s">
        <v>999</v>
      </c>
      <c r="D891" s="54"/>
    </row>
    <row r="892" spans="1:5">
      <c r="A892" s="66"/>
      <c r="B892" s="66"/>
      <c r="C892" s="54" t="s">
        <v>1000</v>
      </c>
      <c r="D892" s="54"/>
    </row>
    <row r="893" spans="1:5">
      <c r="A893" s="66"/>
      <c r="B893" s="66"/>
      <c r="C893" s="54" t="s">
        <v>1001</v>
      </c>
      <c r="D893" s="54"/>
    </row>
    <row r="894" spans="1:5">
      <c r="A894" s="66"/>
      <c r="B894" s="66"/>
      <c r="C894" s="54" t="s">
        <v>1002</v>
      </c>
      <c r="D894" s="54"/>
    </row>
    <row r="895" spans="1:5">
      <c r="A895" s="66"/>
      <c r="B895" s="66"/>
      <c r="C895" s="54" t="s">
        <v>1003</v>
      </c>
      <c r="D895" s="54"/>
    </row>
    <row r="896" spans="1:5">
      <c r="A896" s="66"/>
      <c r="B896" s="66"/>
      <c r="C896" s="54" t="s">
        <v>31</v>
      </c>
      <c r="D896" s="54"/>
    </row>
    <row r="897" spans="1:4">
      <c r="A897" s="81" t="s">
        <v>1004</v>
      </c>
      <c r="B897" s="81" t="s">
        <v>5</v>
      </c>
      <c r="C897" s="52" t="s">
        <v>1005</v>
      </c>
      <c r="D897" s="52"/>
    </row>
    <row r="898" spans="1:4">
      <c r="A898" s="82"/>
      <c r="B898" s="82"/>
      <c r="C898" s="52" t="s">
        <v>1006</v>
      </c>
      <c r="D898" s="52"/>
    </row>
    <row r="899" spans="1:4">
      <c r="A899" s="82"/>
      <c r="B899" s="82"/>
      <c r="C899" s="52" t="s">
        <v>949</v>
      </c>
      <c r="D899" s="52"/>
    </row>
    <row r="900" spans="1:4">
      <c r="A900" s="82"/>
      <c r="B900" s="82"/>
      <c r="C900" s="52" t="s">
        <v>31</v>
      </c>
      <c r="D900" s="52"/>
    </row>
    <row r="901" spans="1:4">
      <c r="A901" s="65" t="s">
        <v>1007</v>
      </c>
      <c r="B901" s="65" t="s">
        <v>5</v>
      </c>
      <c r="C901" s="54" t="s">
        <v>1008</v>
      </c>
      <c r="D901" s="54"/>
    </row>
    <row r="902" spans="1:4">
      <c r="A902" s="66"/>
      <c r="B902" s="66"/>
      <c r="C902" s="54" t="s">
        <v>1009</v>
      </c>
      <c r="D902" s="54"/>
    </row>
    <row r="903" spans="1:4">
      <c r="A903" s="66"/>
      <c r="B903" s="66"/>
      <c r="C903" s="54" t="s">
        <v>763</v>
      </c>
      <c r="D903" s="54"/>
    </row>
    <row r="904" spans="1:4">
      <c r="A904" s="66"/>
      <c r="B904" s="66"/>
      <c r="C904" s="54" t="s">
        <v>1010</v>
      </c>
      <c r="D904" s="54"/>
    </row>
    <row r="905" spans="1:4">
      <c r="A905" s="66"/>
      <c r="B905" s="66"/>
      <c r="C905" s="54" t="s">
        <v>1011</v>
      </c>
      <c r="D905" s="54"/>
    </row>
    <row r="906" spans="1:4">
      <c r="A906" s="91" t="s">
        <v>1012</v>
      </c>
      <c r="B906" s="91" t="s">
        <v>5</v>
      </c>
      <c r="C906" s="57" t="s">
        <v>1013</v>
      </c>
      <c r="D906" s="57"/>
    </row>
    <row r="907" spans="1:4">
      <c r="A907" s="92"/>
      <c r="B907" s="92"/>
      <c r="C907" s="57" t="s">
        <v>1014</v>
      </c>
      <c r="D907" s="57"/>
    </row>
    <row r="908" spans="1:4">
      <c r="A908" s="92"/>
      <c r="B908" s="92"/>
      <c r="C908" s="52" t="s">
        <v>1015</v>
      </c>
      <c r="D908" s="52"/>
    </row>
    <row r="909" spans="1:4">
      <c r="A909" s="92"/>
      <c r="B909" s="92"/>
      <c r="C909" s="52" t="s">
        <v>1016</v>
      </c>
      <c r="D909" s="52"/>
    </row>
    <row r="910" spans="1:4">
      <c r="A910" s="92"/>
      <c r="B910" s="92"/>
      <c r="C910" s="52" t="s">
        <v>1017</v>
      </c>
      <c r="D910" s="52"/>
    </row>
    <row r="911" spans="1:4">
      <c r="A911" s="92"/>
      <c r="B911" s="92"/>
      <c r="C911" s="52" t="s">
        <v>1018</v>
      </c>
      <c r="D911" s="52"/>
    </row>
    <row r="912" spans="1:4">
      <c r="A912" s="87" t="s">
        <v>1019</v>
      </c>
      <c r="B912" s="87" t="s">
        <v>5</v>
      </c>
      <c r="C912" s="59" t="s">
        <v>55</v>
      </c>
      <c r="D912" s="59"/>
    </row>
    <row r="913" spans="1:5">
      <c r="A913" s="69"/>
      <c r="B913" s="69"/>
      <c r="C913" s="59" t="s">
        <v>979</v>
      </c>
      <c r="D913" s="59"/>
    </row>
    <row r="914" spans="1:5">
      <c r="A914" s="69"/>
      <c r="B914" s="69"/>
      <c r="C914" s="54" t="s">
        <v>67</v>
      </c>
      <c r="D914" s="54"/>
    </row>
    <row r="915" spans="1:5">
      <c r="A915" s="69"/>
      <c r="B915" s="69"/>
      <c r="C915" s="54" t="s">
        <v>980</v>
      </c>
      <c r="D915" s="54"/>
    </row>
    <row r="916" spans="1:5">
      <c r="A916" s="69"/>
      <c r="B916" s="69"/>
      <c r="C916" s="54" t="s">
        <v>29</v>
      </c>
      <c r="D916" s="54"/>
    </row>
    <row r="917" spans="1:5">
      <c r="A917" s="69"/>
      <c r="B917" s="69"/>
      <c r="C917" s="54" t="s">
        <v>981</v>
      </c>
      <c r="D917" s="54"/>
    </row>
    <row r="918" spans="1:5">
      <c r="A918" s="69"/>
      <c r="B918" s="69"/>
      <c r="C918" s="59" t="s">
        <v>40</v>
      </c>
      <c r="D918" s="59"/>
    </row>
    <row r="919" spans="1:5">
      <c r="A919" s="69"/>
      <c r="B919" s="69"/>
      <c r="C919" s="59" t="s">
        <v>982</v>
      </c>
      <c r="D919" s="59"/>
    </row>
    <row r="920" spans="1:5" ht="15">
      <c r="A920" s="91" t="s">
        <v>1020</v>
      </c>
      <c r="B920" s="91" t="s">
        <v>5</v>
      </c>
      <c r="C920" s="57" t="s">
        <v>1021</v>
      </c>
      <c r="D920" s="57"/>
      <c r="E920" s="58"/>
    </row>
    <row r="921" spans="1:5" ht="15">
      <c r="A921" s="92"/>
      <c r="B921" s="92"/>
      <c r="C921" s="57" t="s">
        <v>1022</v>
      </c>
      <c r="D921" s="57"/>
      <c r="E921" s="58"/>
    </row>
    <row r="922" spans="1:5" ht="15">
      <c r="A922" s="92"/>
      <c r="B922" s="92"/>
      <c r="C922" s="52" t="s">
        <v>1023</v>
      </c>
      <c r="D922" s="52"/>
      <c r="E922" s="58"/>
    </row>
    <row r="923" spans="1:5" ht="15">
      <c r="A923" s="92"/>
      <c r="B923" s="92"/>
      <c r="C923" s="52" t="s">
        <v>1024</v>
      </c>
      <c r="D923" s="52"/>
      <c r="E923" s="58"/>
    </row>
    <row r="924" spans="1:5" ht="15">
      <c r="A924" s="92"/>
      <c r="B924" s="92"/>
      <c r="C924" s="52" t="s">
        <v>1025</v>
      </c>
      <c r="D924" s="52"/>
      <c r="E924" s="58"/>
    </row>
    <row r="925" spans="1:5">
      <c r="A925" s="92"/>
      <c r="B925" s="92"/>
      <c r="C925" s="52" t="s">
        <v>31</v>
      </c>
      <c r="D925" s="52"/>
    </row>
    <row r="926" spans="1:5">
      <c r="A926" s="87" t="s">
        <v>1026</v>
      </c>
      <c r="B926" s="87" t="s">
        <v>5</v>
      </c>
      <c r="C926" s="54" t="s">
        <v>1027</v>
      </c>
      <c r="D926" s="54"/>
    </row>
    <row r="927" spans="1:5">
      <c r="A927" s="69"/>
      <c r="B927" s="69"/>
      <c r="C927" s="54" t="s">
        <v>1028</v>
      </c>
      <c r="D927" s="54"/>
    </row>
    <row r="928" spans="1:5">
      <c r="A928" s="69"/>
      <c r="B928" s="69"/>
      <c r="C928" s="54" t="s">
        <v>1029</v>
      </c>
      <c r="D928" s="54"/>
    </row>
    <row r="929" spans="1:5">
      <c r="A929" s="88" t="s">
        <v>1030</v>
      </c>
      <c r="B929" s="88" t="s">
        <v>5</v>
      </c>
      <c r="C929" s="57" t="s">
        <v>1031</v>
      </c>
      <c r="D929" s="57"/>
    </row>
    <row r="930" spans="1:5">
      <c r="A930" s="89"/>
      <c r="B930" s="89"/>
      <c r="C930" s="57" t="s">
        <v>772</v>
      </c>
      <c r="D930" s="57"/>
    </row>
    <row r="931" spans="1:5">
      <c r="A931" s="89"/>
      <c r="B931" s="89"/>
      <c r="C931" s="52" t="s">
        <v>985</v>
      </c>
      <c r="D931" s="52"/>
    </row>
    <row r="932" spans="1:5">
      <c r="A932" s="89"/>
      <c r="B932" s="89"/>
      <c r="C932" s="52" t="s">
        <v>773</v>
      </c>
      <c r="D932" s="52"/>
    </row>
    <row r="933" spans="1:5">
      <c r="A933" s="89"/>
      <c r="B933" s="89"/>
      <c r="C933" s="52" t="s">
        <v>31</v>
      </c>
      <c r="D933" s="52"/>
    </row>
    <row r="934" spans="1:5">
      <c r="A934" s="95" t="s">
        <v>1032</v>
      </c>
      <c r="B934" s="95" t="s">
        <v>5</v>
      </c>
      <c r="C934" s="59" t="s">
        <v>985</v>
      </c>
      <c r="D934" s="59"/>
    </row>
    <row r="935" spans="1:5">
      <c r="A935" s="96"/>
      <c r="B935" s="96"/>
      <c r="C935" s="59" t="s">
        <v>772</v>
      </c>
      <c r="D935" s="59"/>
    </row>
    <row r="936" spans="1:5">
      <c r="A936" s="96"/>
      <c r="B936" s="96"/>
      <c r="C936" s="54" t="s">
        <v>773</v>
      </c>
      <c r="D936" s="54"/>
    </row>
    <row r="937" spans="1:5">
      <c r="A937" s="96"/>
      <c r="B937" s="96"/>
      <c r="C937" s="54" t="s">
        <v>774</v>
      </c>
      <c r="D937" s="54"/>
    </row>
    <row r="938" spans="1:5">
      <c r="A938" s="96"/>
      <c r="B938" s="96"/>
      <c r="C938" s="54" t="s">
        <v>1033</v>
      </c>
      <c r="D938" s="54"/>
    </row>
    <row r="939" spans="1:5">
      <c r="A939" s="96"/>
      <c r="B939" s="96"/>
      <c r="C939" s="59" t="s">
        <v>1033</v>
      </c>
      <c r="D939" s="59"/>
    </row>
    <row r="940" spans="1:5">
      <c r="A940" s="96"/>
      <c r="B940" s="96"/>
      <c r="C940" s="59" t="s">
        <v>987</v>
      </c>
      <c r="D940" s="59"/>
    </row>
    <row r="941" spans="1:5">
      <c r="A941" s="96"/>
      <c r="B941" s="96"/>
      <c r="C941" s="54" t="s">
        <v>988</v>
      </c>
      <c r="D941" s="54"/>
    </row>
    <row r="942" spans="1:5">
      <c r="A942" s="96"/>
      <c r="B942" s="96"/>
      <c r="C942" s="59" t="s">
        <v>989</v>
      </c>
      <c r="D942" s="59"/>
    </row>
    <row r="943" spans="1:5">
      <c r="A943" s="96"/>
      <c r="B943" s="96"/>
      <c r="C943" s="59" t="s">
        <v>1031</v>
      </c>
      <c r="D943" s="59"/>
    </row>
    <row r="944" spans="1:5">
      <c r="A944" s="96"/>
      <c r="B944" s="96"/>
      <c r="C944" s="54" t="s">
        <v>1034</v>
      </c>
      <c r="D944" s="54" t="s">
        <v>1034</v>
      </c>
      <c r="E944" t="s">
        <v>234</v>
      </c>
    </row>
    <row r="945" spans="1:4">
      <c r="A945" s="120"/>
      <c r="B945" s="120"/>
      <c r="C945" s="54" t="s">
        <v>31</v>
      </c>
      <c r="D945" s="54"/>
    </row>
    <row r="946" spans="1:4" ht="14.25" customHeight="1">
      <c r="A946" s="88" t="s">
        <v>1035</v>
      </c>
      <c r="B946" s="88" t="s">
        <v>5</v>
      </c>
      <c r="C946" s="57" t="s">
        <v>1036</v>
      </c>
      <c r="D946" s="57"/>
    </row>
    <row r="947" spans="1:4">
      <c r="A947" s="89"/>
      <c r="B947" s="89"/>
      <c r="C947" s="57" t="s">
        <v>1037</v>
      </c>
      <c r="D947" s="57"/>
    </row>
    <row r="948" spans="1:4">
      <c r="A948" s="89"/>
      <c r="B948" s="89"/>
      <c r="C948" s="52" t="s">
        <v>1038</v>
      </c>
      <c r="D948" s="52"/>
    </row>
    <row r="949" spans="1:4">
      <c r="A949" s="89"/>
      <c r="B949" s="89"/>
      <c r="C949" s="52" t="s">
        <v>1039</v>
      </c>
      <c r="D949" s="52"/>
    </row>
    <row r="950" spans="1:4">
      <c r="A950" s="89"/>
      <c r="B950" s="89"/>
      <c r="C950" s="52" t="s">
        <v>1040</v>
      </c>
      <c r="D950" s="52"/>
    </row>
    <row r="951" spans="1:4">
      <c r="A951" s="89"/>
      <c r="B951" s="89"/>
      <c r="C951" s="57" t="s">
        <v>784</v>
      </c>
      <c r="D951" s="57"/>
    </row>
    <row r="952" spans="1:4">
      <c r="A952" s="89"/>
      <c r="B952" s="89"/>
      <c r="C952" s="57" t="s">
        <v>1031</v>
      </c>
      <c r="D952" s="57"/>
    </row>
    <row r="953" spans="1:4">
      <c r="A953" s="89"/>
      <c r="B953" s="89"/>
      <c r="C953" s="52" t="s">
        <v>1041</v>
      </c>
      <c r="D953" s="52" t="s">
        <v>1042</v>
      </c>
    </row>
    <row r="954" spans="1:4">
      <c r="A954" s="89"/>
      <c r="B954" s="89"/>
      <c r="C954" s="52" t="s">
        <v>996</v>
      </c>
      <c r="D954" s="52" t="s">
        <v>997</v>
      </c>
    </row>
    <row r="955" spans="1:4">
      <c r="A955" s="89"/>
      <c r="B955" s="89"/>
      <c r="C955" s="52" t="s">
        <v>31</v>
      </c>
      <c r="D955" s="52"/>
    </row>
    <row r="956" spans="1:4">
      <c r="A956" s="95" t="s">
        <v>792</v>
      </c>
      <c r="B956" s="95" t="s">
        <v>5</v>
      </c>
      <c r="C956" s="54" t="s">
        <v>1043</v>
      </c>
      <c r="D956" s="54"/>
    </row>
    <row r="957" spans="1:4">
      <c r="A957" s="96"/>
      <c r="B957" s="96"/>
      <c r="C957" s="54" t="s">
        <v>1044</v>
      </c>
      <c r="D957" s="54"/>
    </row>
    <row r="958" spans="1:4">
      <c r="A958" s="96"/>
      <c r="B958" s="96"/>
      <c r="C958" s="54" t="s">
        <v>1045</v>
      </c>
      <c r="D958" s="54"/>
    </row>
    <row r="959" spans="1:4">
      <c r="A959" s="96"/>
      <c r="B959" s="96"/>
      <c r="C959" s="54" t="s">
        <v>1046</v>
      </c>
      <c r="D959" s="54"/>
    </row>
    <row r="960" spans="1:4">
      <c r="A960" s="96"/>
      <c r="B960" s="96"/>
      <c r="C960" s="54" t="s">
        <v>1047</v>
      </c>
      <c r="D960" s="54"/>
    </row>
    <row r="961" spans="1:5">
      <c r="A961" s="96"/>
      <c r="B961" s="96"/>
      <c r="C961" s="54" t="s">
        <v>1048</v>
      </c>
      <c r="D961" s="54"/>
    </row>
    <row r="962" spans="1:5">
      <c r="A962" s="96"/>
      <c r="B962" s="96"/>
      <c r="C962" s="54" t="s">
        <v>1049</v>
      </c>
      <c r="D962" s="54"/>
    </row>
    <row r="963" spans="1:5">
      <c r="A963" s="96"/>
      <c r="B963" s="96"/>
      <c r="C963" s="54" t="s">
        <v>873</v>
      </c>
      <c r="D963" s="54"/>
      <c r="E963" t="s">
        <v>234</v>
      </c>
    </row>
    <row r="964" spans="1:5">
      <c r="A964" s="97" t="s">
        <v>1050</v>
      </c>
      <c r="B964" s="88" t="s">
        <v>5</v>
      </c>
      <c r="C964" s="52" t="s">
        <v>1008</v>
      </c>
      <c r="D964" s="52"/>
    </row>
    <row r="965" spans="1:5">
      <c r="A965" s="98"/>
      <c r="B965" s="89"/>
      <c r="C965" s="52" t="s">
        <v>1009</v>
      </c>
      <c r="D965" s="52"/>
    </row>
    <row r="966" spans="1:5">
      <c r="A966" s="98"/>
      <c r="B966" s="89"/>
      <c r="C966" s="52" t="s">
        <v>763</v>
      </c>
      <c r="D966" s="52"/>
    </row>
    <row r="967" spans="1:5">
      <c r="A967" s="98"/>
      <c r="B967" s="89"/>
      <c r="C967" s="52" t="s">
        <v>1010</v>
      </c>
      <c r="D967" s="52"/>
    </row>
    <row r="968" spans="1:5">
      <c r="A968" s="98"/>
      <c r="B968" s="89"/>
      <c r="C968" s="52" t="s">
        <v>1011</v>
      </c>
      <c r="D968" s="52"/>
    </row>
    <row r="969" spans="1:5">
      <c r="A969" s="98"/>
      <c r="B969" s="89"/>
      <c r="C969" s="52" t="s">
        <v>1051</v>
      </c>
      <c r="D969" s="52"/>
      <c r="E969" t="s">
        <v>234</v>
      </c>
    </row>
    <row r="970" spans="1:5">
      <c r="A970" s="99" t="s">
        <v>1052</v>
      </c>
      <c r="B970" s="95" t="s">
        <v>5</v>
      </c>
      <c r="C970" s="54" t="s">
        <v>1053</v>
      </c>
      <c r="D970" s="54"/>
    </row>
    <row r="971" spans="1:5">
      <c r="A971" s="100"/>
      <c r="B971" s="96"/>
      <c r="C971" s="54" t="s">
        <v>1054</v>
      </c>
      <c r="D971" s="54"/>
    </row>
    <row r="972" spans="1:5">
      <c r="A972" s="100"/>
      <c r="B972" s="96"/>
      <c r="C972" s="54" t="s">
        <v>1055</v>
      </c>
      <c r="D972" s="54"/>
    </row>
    <row r="973" spans="1:5">
      <c r="A973" s="100"/>
      <c r="B973" s="96"/>
      <c r="C973" s="54" t="s">
        <v>1056</v>
      </c>
      <c r="D973" s="54"/>
    </row>
    <row r="974" spans="1:5">
      <c r="A974" s="100"/>
      <c r="B974" s="96"/>
      <c r="C974" s="54" t="s">
        <v>1057</v>
      </c>
      <c r="D974" s="54"/>
    </row>
    <row r="975" spans="1:5">
      <c r="A975" s="100"/>
      <c r="B975" s="96"/>
      <c r="C975" s="54" t="s">
        <v>1058</v>
      </c>
      <c r="D975" s="54"/>
    </row>
    <row r="976" spans="1:5">
      <c r="A976" s="121"/>
      <c r="B976" s="120"/>
      <c r="C976" s="54" t="s">
        <v>31</v>
      </c>
      <c r="D976" s="54"/>
    </row>
    <row r="977" spans="1:5">
      <c r="A977" s="88" t="s">
        <v>1059</v>
      </c>
      <c r="B977" s="88" t="s">
        <v>5</v>
      </c>
      <c r="C977" s="52" t="s">
        <v>1060</v>
      </c>
      <c r="D977" s="52"/>
      <c r="E977" t="s">
        <v>1061</v>
      </c>
    </row>
    <row r="978" spans="1:5">
      <c r="A978" s="89"/>
      <c r="B978" s="89"/>
      <c r="C978" s="52" t="s">
        <v>1062</v>
      </c>
      <c r="D978" s="52"/>
    </row>
    <row r="979" spans="1:5">
      <c r="A979" s="89"/>
      <c r="B979" s="89"/>
      <c r="C979" s="52" t="s">
        <v>1063</v>
      </c>
      <c r="D979" s="52"/>
    </row>
    <row r="980" spans="1:5">
      <c r="A980" s="89"/>
      <c r="B980" s="89"/>
      <c r="C980" s="52" t="s">
        <v>1064</v>
      </c>
      <c r="D980" s="52"/>
    </row>
    <row r="981" spans="1:5">
      <c r="A981" s="89"/>
      <c r="B981" s="89"/>
      <c r="C981" s="52" t="s">
        <v>1065</v>
      </c>
      <c r="D981" s="52"/>
    </row>
    <row r="982" spans="1:5">
      <c r="A982" s="89"/>
      <c r="B982" s="89"/>
      <c r="C982" s="52" t="s">
        <v>1066</v>
      </c>
      <c r="D982" s="52"/>
    </row>
    <row r="983" spans="1:5">
      <c r="A983" s="89"/>
      <c r="B983" s="89"/>
      <c r="C983" s="52" t="s">
        <v>1067</v>
      </c>
      <c r="D983" s="52"/>
    </row>
    <row r="984" spans="1:5">
      <c r="A984" s="89"/>
      <c r="B984" s="89"/>
      <c r="C984" s="52" t="s">
        <v>1068</v>
      </c>
      <c r="D984" s="52"/>
    </row>
    <row r="985" spans="1:5">
      <c r="A985" s="89"/>
      <c r="B985" s="89"/>
      <c r="C985" s="52" t="s">
        <v>1069</v>
      </c>
      <c r="D985" s="52" t="s">
        <v>1070</v>
      </c>
      <c r="E985" t="s">
        <v>234</v>
      </c>
    </row>
    <row r="986" spans="1:5">
      <c r="A986" s="99" t="s">
        <v>1071</v>
      </c>
      <c r="B986" s="95" t="s">
        <v>5</v>
      </c>
      <c r="C986" s="54" t="s">
        <v>1013</v>
      </c>
      <c r="D986" s="54"/>
    </row>
    <row r="987" spans="1:5">
      <c r="A987" s="100"/>
      <c r="B987" s="96"/>
      <c r="C987" s="54" t="s">
        <v>1014</v>
      </c>
      <c r="D987" s="54"/>
    </row>
    <row r="988" spans="1:5">
      <c r="A988" s="100"/>
      <c r="B988" s="96"/>
      <c r="C988" s="54" t="s">
        <v>1072</v>
      </c>
      <c r="D988" s="54"/>
    </row>
    <row r="989" spans="1:5">
      <c r="A989" s="100"/>
      <c r="B989" s="96"/>
      <c r="C989" s="54" t="s">
        <v>1073</v>
      </c>
      <c r="D989" s="54"/>
    </row>
    <row r="990" spans="1:5">
      <c r="A990" s="100"/>
      <c r="B990" s="96"/>
      <c r="C990" s="54" t="s">
        <v>1074</v>
      </c>
      <c r="D990" s="54"/>
    </row>
    <row r="991" spans="1:5">
      <c r="A991" s="100"/>
      <c r="B991" s="96"/>
      <c r="C991" s="54" t="s">
        <v>1075</v>
      </c>
      <c r="D991" s="54"/>
    </row>
    <row r="992" spans="1:5">
      <c r="A992" s="88" t="s">
        <v>1076</v>
      </c>
      <c r="B992" s="88" t="s">
        <v>5</v>
      </c>
      <c r="C992" s="52" t="s">
        <v>772</v>
      </c>
      <c r="D992" s="52"/>
    </row>
    <row r="993" spans="1:5">
      <c r="A993" s="89"/>
      <c r="B993" s="89"/>
      <c r="C993" s="52" t="s">
        <v>985</v>
      </c>
      <c r="D993" s="52"/>
    </row>
    <row r="994" spans="1:5">
      <c r="A994" s="89"/>
      <c r="B994" s="89"/>
      <c r="C994" s="52" t="s">
        <v>982</v>
      </c>
      <c r="D994" s="52"/>
    </row>
    <row r="995" spans="1:5">
      <c r="A995" s="89"/>
      <c r="B995" s="89"/>
      <c r="C995" s="52" t="s">
        <v>773</v>
      </c>
      <c r="D995" s="52"/>
    </row>
    <row r="996" spans="1:5">
      <c r="A996" s="89"/>
      <c r="B996" s="89"/>
      <c r="C996" s="52" t="s">
        <v>1077</v>
      </c>
      <c r="D996" s="52" t="s">
        <v>1078</v>
      </c>
    </row>
    <row r="997" spans="1:5">
      <c r="A997" s="89"/>
      <c r="B997" s="89"/>
      <c r="C997" s="52" t="s">
        <v>31</v>
      </c>
      <c r="D997" s="52"/>
    </row>
    <row r="998" spans="1:5">
      <c r="A998" s="95" t="s">
        <v>1079</v>
      </c>
      <c r="B998" s="95" t="s">
        <v>5</v>
      </c>
      <c r="C998" s="54" t="s">
        <v>1080</v>
      </c>
      <c r="D998" s="54"/>
      <c r="E998" t="s">
        <v>1061</v>
      </c>
    </row>
    <row r="999" spans="1:5">
      <c r="A999" s="96"/>
      <c r="B999" s="96"/>
      <c r="C999" s="54" t="s">
        <v>1081</v>
      </c>
      <c r="D999" s="54"/>
    </row>
    <row r="1000" spans="1:5">
      <c r="A1000" s="88" t="s">
        <v>1082</v>
      </c>
      <c r="B1000" s="88" t="s">
        <v>5</v>
      </c>
      <c r="C1000" s="52" t="s">
        <v>1083</v>
      </c>
      <c r="D1000" s="52"/>
    </row>
    <row r="1001" spans="1:5">
      <c r="A1001" s="89"/>
      <c r="B1001" s="89"/>
      <c r="C1001" s="52" t="s">
        <v>1084</v>
      </c>
      <c r="D1001" s="52"/>
    </row>
    <row r="1002" spans="1:5">
      <c r="A1002" s="89"/>
      <c r="B1002" s="89"/>
      <c r="C1002" s="52" t="s">
        <v>1085</v>
      </c>
      <c r="D1002" s="52"/>
    </row>
    <row r="1003" spans="1:5">
      <c r="A1003" s="89"/>
      <c r="B1003" s="89"/>
      <c r="C1003" s="52" t="s">
        <v>1086</v>
      </c>
      <c r="D1003" s="52"/>
      <c r="E1003" t="s">
        <v>234</v>
      </c>
    </row>
    <row r="1004" spans="1:5">
      <c r="A1004" s="89"/>
      <c r="B1004" s="89"/>
      <c r="C1004" s="52" t="s">
        <v>1087</v>
      </c>
      <c r="D1004" s="52"/>
    </row>
    <row r="1005" spans="1:5">
      <c r="A1005" s="89"/>
      <c r="B1005" s="89"/>
      <c r="C1005" s="52" t="s">
        <v>1088</v>
      </c>
      <c r="D1005" s="52"/>
    </row>
    <row r="1006" spans="1:5">
      <c r="A1006" s="89"/>
      <c r="B1006" s="89"/>
      <c r="C1006" s="52" t="s">
        <v>1089</v>
      </c>
      <c r="D1006" s="52"/>
      <c r="E1006" t="s">
        <v>234</v>
      </c>
    </row>
    <row r="1007" spans="1:5">
      <c r="A1007" s="89"/>
      <c r="B1007" s="89"/>
      <c r="C1007" s="52" t="s">
        <v>1090</v>
      </c>
      <c r="D1007" s="52"/>
    </row>
    <row r="1008" spans="1:5">
      <c r="A1008" s="89"/>
      <c r="B1008" s="89"/>
      <c r="C1008" s="52" t="s">
        <v>1091</v>
      </c>
      <c r="D1008" s="52"/>
    </row>
    <row r="1009" spans="1:4">
      <c r="A1009" s="89"/>
      <c r="B1009" s="89"/>
      <c r="C1009" s="52" t="s">
        <v>1092</v>
      </c>
      <c r="D1009" s="52"/>
    </row>
    <row r="1010" spans="1:4">
      <c r="A1010" s="89"/>
      <c r="B1010" s="89"/>
      <c r="C1010" s="52" t="s">
        <v>163</v>
      </c>
      <c r="D1010" s="52"/>
    </row>
    <row r="1011" spans="1:4">
      <c r="A1011" s="89"/>
      <c r="B1011" s="89"/>
      <c r="C1011" s="52" t="s">
        <v>1093</v>
      </c>
      <c r="D1011" s="52"/>
    </row>
    <row r="1012" spans="1:4">
      <c r="A1012" s="89"/>
      <c r="B1012" s="89"/>
      <c r="C1012" s="52" t="s">
        <v>1094</v>
      </c>
      <c r="D1012" s="52"/>
    </row>
    <row r="1013" spans="1:4">
      <c r="A1013" s="89"/>
      <c r="B1013" s="89"/>
      <c r="C1013" s="52" t="s">
        <v>1095</v>
      </c>
      <c r="D1013" s="52"/>
    </row>
    <row r="1014" spans="1:4">
      <c r="A1014" s="89"/>
      <c r="B1014" s="89"/>
      <c r="C1014" s="52" t="s">
        <v>1096</v>
      </c>
      <c r="D1014" s="52"/>
    </row>
    <row r="1015" spans="1:4">
      <c r="A1015" s="89"/>
      <c r="B1015" s="89"/>
      <c r="C1015" s="52" t="s">
        <v>152</v>
      </c>
      <c r="D1015" s="52"/>
    </row>
    <row r="1016" spans="1:4">
      <c r="A1016" s="89"/>
      <c r="B1016" s="89"/>
      <c r="C1016" s="52" t="s">
        <v>1097</v>
      </c>
      <c r="D1016" s="52"/>
    </row>
    <row r="1017" spans="1:4">
      <c r="A1017" s="89"/>
      <c r="B1017" s="89"/>
      <c r="C1017" s="52" t="s">
        <v>158</v>
      </c>
      <c r="D1017" s="52"/>
    </row>
    <row r="1018" spans="1:4">
      <c r="A1018" s="89"/>
      <c r="B1018" s="89"/>
      <c r="C1018" s="52" t="s">
        <v>1098</v>
      </c>
      <c r="D1018" s="52"/>
    </row>
    <row r="1019" spans="1:4">
      <c r="A1019" s="89"/>
      <c r="B1019" s="89"/>
      <c r="C1019" s="52" t="s">
        <v>1099</v>
      </c>
      <c r="D1019" s="52"/>
    </row>
    <row r="1020" spans="1:4">
      <c r="A1020" s="89"/>
      <c r="B1020" s="89"/>
      <c r="C1020" s="52" t="s">
        <v>1100</v>
      </c>
      <c r="D1020" s="52"/>
    </row>
    <row r="1021" spans="1:4">
      <c r="A1021" s="89"/>
      <c r="B1021" s="89"/>
      <c r="C1021" s="52" t="s">
        <v>1101</v>
      </c>
      <c r="D1021" s="52"/>
    </row>
    <row r="1022" spans="1:4">
      <c r="A1022" s="89"/>
      <c r="B1022" s="89"/>
      <c r="C1022" s="52" t="s">
        <v>1102</v>
      </c>
      <c r="D1022" s="52"/>
    </row>
    <row r="1023" spans="1:4">
      <c r="A1023" s="89"/>
      <c r="B1023" s="89"/>
      <c r="C1023" s="52" t="s">
        <v>1103</v>
      </c>
      <c r="D1023" s="52"/>
    </row>
    <row r="1024" spans="1:4">
      <c r="A1024" s="89"/>
      <c r="B1024" s="89"/>
      <c r="C1024" s="52" t="s">
        <v>1104</v>
      </c>
      <c r="D1024" s="52"/>
    </row>
    <row r="1025" spans="1:5">
      <c r="A1025" s="89"/>
      <c r="B1025" s="89"/>
      <c r="C1025" s="52" t="s">
        <v>1105</v>
      </c>
      <c r="D1025" s="52"/>
    </row>
    <row r="1026" spans="1:5">
      <c r="A1026" s="89"/>
      <c r="B1026" s="89"/>
      <c r="C1026" s="52" t="s">
        <v>1106</v>
      </c>
      <c r="D1026" s="52"/>
    </row>
    <row r="1027" spans="1:5">
      <c r="A1027" s="89"/>
      <c r="B1027" s="89"/>
      <c r="C1027" s="52" t="s">
        <v>1107</v>
      </c>
      <c r="D1027" s="52"/>
    </row>
    <row r="1028" spans="1:5">
      <c r="A1028" s="89"/>
      <c r="B1028" s="89"/>
      <c r="C1028" s="52" t="s">
        <v>1108</v>
      </c>
      <c r="D1028" s="52"/>
    </row>
    <row r="1029" spans="1:5">
      <c r="A1029" s="89"/>
      <c r="B1029" s="89"/>
      <c r="C1029" s="52" t="s">
        <v>1109</v>
      </c>
      <c r="D1029" s="52"/>
    </row>
    <row r="1030" spans="1:5">
      <c r="A1030" s="89"/>
      <c r="B1030" s="89"/>
      <c r="C1030" s="52" t="s">
        <v>1110</v>
      </c>
      <c r="D1030" s="52"/>
    </row>
    <row r="1031" spans="1:5">
      <c r="A1031" s="89"/>
      <c r="B1031" s="89"/>
      <c r="C1031" s="130" t="s">
        <v>1111</v>
      </c>
      <c r="D1031" s="52"/>
      <c r="E1031" t="s">
        <v>234</v>
      </c>
    </row>
    <row r="1032" spans="1:5">
      <c r="A1032" s="89"/>
      <c r="B1032" s="89"/>
      <c r="C1032" s="52" t="s">
        <v>1112</v>
      </c>
      <c r="D1032" s="52"/>
    </row>
    <row r="1033" spans="1:5">
      <c r="A1033" s="89"/>
      <c r="B1033" s="89"/>
      <c r="C1033" s="52" t="s">
        <v>31</v>
      </c>
      <c r="D1033" s="52"/>
    </row>
    <row r="1034" spans="1:5">
      <c r="A1034" s="65" t="s">
        <v>1113</v>
      </c>
      <c r="B1034" s="65" t="s">
        <v>5</v>
      </c>
      <c r="C1034" s="54" t="s">
        <v>1114</v>
      </c>
      <c r="D1034" s="54"/>
      <c r="E1034" t="s">
        <v>1061</v>
      </c>
    </row>
    <row r="1035" spans="1:5">
      <c r="A1035" s="66"/>
      <c r="B1035" s="66"/>
      <c r="C1035" s="54" t="s">
        <v>1115</v>
      </c>
      <c r="D1035" s="54"/>
    </row>
    <row r="1036" spans="1:5">
      <c r="A1036" s="66"/>
      <c r="B1036" s="66"/>
      <c r="C1036" s="54" t="s">
        <v>31</v>
      </c>
      <c r="D1036" s="54"/>
    </row>
    <row r="1037" spans="1:5">
      <c r="A1037" s="88" t="s">
        <v>1116</v>
      </c>
      <c r="B1037" s="88" t="s">
        <v>5</v>
      </c>
      <c r="C1037" s="52" t="s">
        <v>1117</v>
      </c>
      <c r="D1037" s="52"/>
    </row>
    <row r="1038" spans="1:5">
      <c r="A1038" s="89"/>
      <c r="B1038" s="89"/>
      <c r="C1038" s="52" t="s">
        <v>1118</v>
      </c>
      <c r="D1038" s="52" t="s">
        <v>1119</v>
      </c>
    </row>
    <row r="1039" spans="1:5">
      <c r="A1039" s="89"/>
      <c r="B1039" s="89"/>
      <c r="C1039" s="52" t="s">
        <v>1120</v>
      </c>
      <c r="D1039" s="52" t="s">
        <v>1121</v>
      </c>
    </row>
    <row r="1040" spans="1:5">
      <c r="A1040" s="89"/>
      <c r="B1040" s="89"/>
      <c r="C1040" s="52" t="s">
        <v>1122</v>
      </c>
      <c r="D1040" s="52" t="s">
        <v>1123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41"/>
    </row>
    <row r="1075" spans="1:3" s="11" customFormat="1">
      <c r="C1075" s="15"/>
    </row>
    <row r="1076" spans="1:3" s="11" customFormat="1">
      <c r="C1076" s="15" t="s">
        <v>328</v>
      </c>
    </row>
    <row r="1077" spans="1:3" s="11" customFormat="1">
      <c r="C1077" s="15" t="s">
        <v>165</v>
      </c>
    </row>
    <row r="1078" spans="1:3" s="11" customFormat="1">
      <c r="C1078" s="15" t="s">
        <v>329</v>
      </c>
    </row>
    <row r="1079" spans="1:3" s="11" customFormat="1">
      <c r="C1079" s="15" t="s">
        <v>331</v>
      </c>
    </row>
    <row r="1080" spans="1:3" s="11" customFormat="1">
      <c r="C1080" s="15"/>
    </row>
    <row r="1081" spans="1:3" s="11" customFormat="1">
      <c r="C1081" s="15" t="s">
        <v>328</v>
      </c>
    </row>
    <row r="1082" spans="1:3" s="11" customFormat="1">
      <c r="C1082" s="15" t="s">
        <v>165</v>
      </c>
    </row>
    <row r="1083" spans="1:3" s="11" customFormat="1">
      <c r="C1083" s="15" t="s">
        <v>329</v>
      </c>
    </row>
    <row r="1084" spans="1:3" s="11" customFormat="1">
      <c r="C1084" s="15" t="s">
        <v>331</v>
      </c>
    </row>
    <row r="1085" spans="1:3" s="11" customFormat="1">
      <c r="C1085" s="15" t="s">
        <v>330</v>
      </c>
    </row>
    <row r="1086" spans="1:3" s="11" customFormat="1">
      <c r="C1086" s="15"/>
    </row>
    <row r="1087" spans="1:3" s="11" customFormat="1">
      <c r="C1087" s="15" t="s">
        <v>328</v>
      </c>
    </row>
    <row r="1088" spans="1:3" s="11" customFormat="1">
      <c r="C1088" s="15" t="s">
        <v>165</v>
      </c>
    </row>
    <row r="1089" spans="3:3" s="11" customFormat="1">
      <c r="C1089" s="15" t="s">
        <v>331</v>
      </c>
    </row>
    <row r="1090" spans="3:3" s="11" customFormat="1">
      <c r="C1090" s="15"/>
    </row>
    <row r="1091" spans="3:3" s="11" customFormat="1">
      <c r="C1091" s="15" t="s">
        <v>911</v>
      </c>
    </row>
    <row r="1092" spans="3:3" s="11" customFormat="1">
      <c r="C1092" s="15" t="s">
        <v>31</v>
      </c>
    </row>
    <row r="1093" spans="3:3" s="11" customFormat="1">
      <c r="C1093" s="15"/>
    </row>
    <row r="1094" spans="3:3" s="11" customFormat="1">
      <c r="C1094" s="15" t="s">
        <v>455</v>
      </c>
    </row>
    <row r="1095" spans="3:3" s="11" customFormat="1">
      <c r="C1095" s="15" t="s">
        <v>757</v>
      </c>
    </row>
    <row r="1096" spans="3:3" s="11" customFormat="1">
      <c r="C1096" s="15" t="s">
        <v>758</v>
      </c>
    </row>
    <row r="1097" spans="3:3" s="11" customFormat="1">
      <c r="C1097" s="15" t="s">
        <v>761</v>
      </c>
    </row>
    <row r="1098" spans="3:3" s="11" customFormat="1">
      <c r="C1098" s="15" t="s">
        <v>762</v>
      </c>
    </row>
    <row r="1099" spans="3:3" s="11" customFormat="1">
      <c r="C1099" s="15" t="s">
        <v>763</v>
      </c>
    </row>
    <row r="1100" spans="3:3" s="11" customFormat="1">
      <c r="C1100" s="15" t="s">
        <v>764</v>
      </c>
    </row>
    <row r="1101" spans="3:3" s="11" customFormat="1">
      <c r="C1101" s="15" t="s">
        <v>765</v>
      </c>
    </row>
    <row r="1102" spans="3:3" s="11" customFormat="1">
      <c r="C1102" s="15" t="s">
        <v>766</v>
      </c>
    </row>
    <row r="1103" spans="3:3" s="11" customFormat="1">
      <c r="C1103" s="15" t="s">
        <v>768</v>
      </c>
    </row>
    <row r="1104" spans="3:3" s="11" customFormat="1">
      <c r="C1104" s="15" t="s">
        <v>501</v>
      </c>
    </row>
    <row r="1105" spans="3:3" s="11" customFormat="1">
      <c r="C1105" s="15" t="s">
        <v>31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909</v>
      </c>
    </row>
    <row r="1109" spans="3:3" s="11" customFormat="1">
      <c r="C1109" s="15" t="s">
        <v>910</v>
      </c>
    </row>
    <row r="1110" spans="3:3" s="11" customFormat="1">
      <c r="C1110" s="15" t="s">
        <v>912</v>
      </c>
    </row>
    <row r="1111" spans="3:3" s="11" customFormat="1">
      <c r="C1111" s="15" t="s">
        <v>31</v>
      </c>
    </row>
    <row r="1112" spans="3:3" s="11" customFormat="1">
      <c r="C1112" s="15"/>
    </row>
    <row r="1113" spans="3:3" s="11" customFormat="1">
      <c r="C1113" s="15" t="s">
        <v>338</v>
      </c>
    </row>
    <row r="1114" spans="3:3" s="11" customFormat="1">
      <c r="C1114" s="15" t="s">
        <v>339</v>
      </c>
    </row>
    <row r="1115" spans="3:3" s="11" customFormat="1">
      <c r="C1115" s="15" t="s">
        <v>43</v>
      </c>
    </row>
    <row r="1116" spans="3:3" s="11" customFormat="1">
      <c r="C1116" s="15" t="s">
        <v>31</v>
      </c>
    </row>
    <row r="1117" spans="3:3" s="11" customFormat="1">
      <c r="C1117" s="15"/>
    </row>
    <row r="1118" spans="3:3" s="11" customFormat="1">
      <c r="C1118" s="15" t="s">
        <v>344</v>
      </c>
    </row>
    <row r="1119" spans="3:3" s="11" customFormat="1">
      <c r="C1119" s="15" t="s">
        <v>1124</v>
      </c>
    </row>
    <row r="1120" spans="3:3" s="11" customFormat="1">
      <c r="C1120" s="15"/>
    </row>
    <row r="1121" spans="3:3">
      <c r="C1121" s="15" t="s">
        <v>344</v>
      </c>
    </row>
    <row r="1122" spans="3:3" s="11" customFormat="1">
      <c r="C1122" s="15" t="s">
        <v>346</v>
      </c>
    </row>
    <row r="1123" spans="3:3" s="11" customFormat="1">
      <c r="C1123" s="15" t="s">
        <v>348</v>
      </c>
    </row>
    <row r="1124" spans="3:3" s="11" customFormat="1">
      <c r="C1124" s="15" t="s">
        <v>350</v>
      </c>
    </row>
    <row r="1125" spans="3:3">
      <c r="C1125" s="15" t="s">
        <v>355</v>
      </c>
    </row>
    <row r="1126" spans="3:3">
      <c r="C1126" s="15" t="s">
        <v>31</v>
      </c>
    </row>
    <row r="1129" spans="3:3">
      <c r="C1129" s="15" t="s">
        <v>451</v>
      </c>
    </row>
    <row r="1130" spans="3:3">
      <c r="C1130" s="15" t="s">
        <v>452</v>
      </c>
    </row>
    <row r="1131" spans="3:3">
      <c r="C1131" s="15" t="s">
        <v>454</v>
      </c>
    </row>
    <row r="1132" spans="3:3">
      <c r="C1132" s="15" t="s">
        <v>455</v>
      </c>
    </row>
    <row r="1133" spans="3:3">
      <c r="C1133" s="15" t="s">
        <v>456</v>
      </c>
    </row>
    <row r="1134" spans="3:3">
      <c r="C1134" s="15" t="s">
        <v>458</v>
      </c>
    </row>
    <row r="1135" spans="3:3">
      <c r="C1135" s="15" t="s">
        <v>459</v>
      </c>
    </row>
    <row r="1136" spans="3:3">
      <c r="C1136" s="15" t="s">
        <v>460</v>
      </c>
    </row>
    <row r="1137" spans="3:3">
      <c r="C1137" s="15" t="s">
        <v>461</v>
      </c>
    </row>
    <row r="1138" spans="3:3">
      <c r="C1138" s="15" t="s">
        <v>462</v>
      </c>
    </row>
    <row r="1139" spans="3:3">
      <c r="C1139" s="15" t="s">
        <v>463</v>
      </c>
    </row>
    <row r="1140" spans="3:3">
      <c r="C1140" s="15" t="s">
        <v>464</v>
      </c>
    </row>
    <row r="1141" spans="3:3">
      <c r="C1141" s="15" t="s">
        <v>465</v>
      </c>
    </row>
    <row r="1142" spans="3:3">
      <c r="C1142" s="15" t="s">
        <v>466</v>
      </c>
    </row>
    <row r="1143" spans="3:3">
      <c r="C1143" s="15" t="s">
        <v>467</v>
      </c>
    </row>
    <row r="1144" spans="3:3">
      <c r="C1144" s="15" t="s">
        <v>469</v>
      </c>
    </row>
    <row r="1145" spans="3:3">
      <c r="C1145" s="15" t="s">
        <v>470</v>
      </c>
    </row>
    <row r="1146" spans="3:3">
      <c r="C1146" s="15" t="s">
        <v>471</v>
      </c>
    </row>
    <row r="1147" spans="3:3">
      <c r="C1147" s="15" t="s">
        <v>473</v>
      </c>
    </row>
    <row r="1148" spans="3:3">
      <c r="C1148" s="15" t="s">
        <v>474</v>
      </c>
    </row>
    <row r="1149" spans="3:3">
      <c r="C1149" s="15" t="s">
        <v>475</v>
      </c>
    </row>
    <row r="1150" spans="3:3">
      <c r="C1150" s="15" t="s">
        <v>476</v>
      </c>
    </row>
    <row r="1151" spans="3:3">
      <c r="C1151" s="15" t="s">
        <v>477</v>
      </c>
    </row>
    <row r="1152" spans="3:3">
      <c r="C1152" s="15" t="s">
        <v>478</v>
      </c>
    </row>
    <row r="1153" spans="3:3">
      <c r="C1153" s="15" t="s">
        <v>479</v>
      </c>
    </row>
    <row r="1154" spans="3:3">
      <c r="C1154" s="15" t="s">
        <v>480</v>
      </c>
    </row>
    <row r="1155" spans="3:3">
      <c r="C1155" s="15" t="s">
        <v>481</v>
      </c>
    </row>
    <row r="1156" spans="3:3">
      <c r="C1156" s="15" t="s">
        <v>482</v>
      </c>
    </row>
    <row r="1157" spans="3:3">
      <c r="C1157" s="15" t="s">
        <v>483</v>
      </c>
    </row>
    <row r="1158" spans="3:3">
      <c r="C1158" s="15" t="s">
        <v>484</v>
      </c>
    </row>
    <row r="1159" spans="3:3">
      <c r="C1159" s="15" t="s">
        <v>485</v>
      </c>
    </row>
    <row r="1160" spans="3:3">
      <c r="C1160" s="15" t="s">
        <v>486</v>
      </c>
    </row>
    <row r="1161" spans="3:3">
      <c r="C1161" s="15" t="s">
        <v>487</v>
      </c>
    </row>
    <row r="1162" spans="3:3">
      <c r="C1162" s="15" t="s">
        <v>488</v>
      </c>
    </row>
    <row r="1163" spans="3:3" ht="14.45" customHeight="1">
      <c r="C1163" s="15" t="s">
        <v>489</v>
      </c>
    </row>
    <row r="1164" spans="3:3">
      <c r="C1164" s="15" t="s">
        <v>491</v>
      </c>
    </row>
    <row r="1165" spans="3:3">
      <c r="C1165" s="15" t="s">
        <v>492</v>
      </c>
    </row>
    <row r="1166" spans="3:3">
      <c r="C1166" s="15" t="s">
        <v>493</v>
      </c>
    </row>
    <row r="1167" spans="3:3">
      <c r="C1167" s="15" t="s">
        <v>494</v>
      </c>
    </row>
    <row r="1168" spans="3:3">
      <c r="C1168" s="15" t="s">
        <v>496</v>
      </c>
    </row>
    <row r="1169" spans="3:3">
      <c r="C1169" s="15" t="s">
        <v>500</v>
      </c>
    </row>
    <row r="1170" spans="3:3">
      <c r="C1170" s="15" t="s">
        <v>31</v>
      </c>
    </row>
    <row r="1171" spans="3:3">
      <c r="C1171" s="15" t="s">
        <v>502</v>
      </c>
    </row>
    <row r="1172" spans="3:3">
      <c r="C1172" s="15" t="s">
        <v>503</v>
      </c>
    </row>
    <row r="1173" spans="3:3">
      <c r="C1173" s="15" t="s">
        <v>504</v>
      </c>
    </row>
    <row r="1174" spans="3:3">
      <c r="C1174" s="15" t="s">
        <v>505</v>
      </c>
    </row>
    <row r="1175" spans="3:3">
      <c r="C1175" s="15" t="s">
        <v>506</v>
      </c>
    </row>
    <row r="1176" spans="3:3">
      <c r="C1176" s="15" t="s">
        <v>507</v>
      </c>
    </row>
    <row r="1177" spans="3:3">
      <c r="C1177" s="15" t="s">
        <v>508</v>
      </c>
    </row>
    <row r="1178" spans="3:3">
      <c r="C1178" s="15" t="s">
        <v>509</v>
      </c>
    </row>
    <row r="1179" spans="3:3">
      <c r="C1179" s="15" t="s">
        <v>510</v>
      </c>
    </row>
    <row r="1180" spans="3:3">
      <c r="C1180" s="15" t="s">
        <v>511</v>
      </c>
    </row>
    <row r="1181" spans="3:3">
      <c r="C1181" s="15" t="s">
        <v>512</v>
      </c>
    </row>
    <row r="1182" spans="3:3">
      <c r="C1182" s="15" t="s">
        <v>513</v>
      </c>
    </row>
    <row r="1183" spans="3:3">
      <c r="C1183" s="15" t="s">
        <v>514</v>
      </c>
    </row>
    <row r="1184" spans="3:3">
      <c r="C1184" s="15" t="s">
        <v>515</v>
      </c>
    </row>
    <row r="1185" spans="3:3">
      <c r="C1185" s="15" t="s">
        <v>516</v>
      </c>
    </row>
    <row r="1186" spans="3:3">
      <c r="C1186" s="15" t="s">
        <v>517</v>
      </c>
    </row>
    <row r="1187" spans="3:3">
      <c r="C1187" s="15" t="s">
        <v>518</v>
      </c>
    </row>
    <row r="1188" spans="3:3">
      <c r="C1188" s="15" t="s">
        <v>519</v>
      </c>
    </row>
    <row r="1189" spans="3:3">
      <c r="C1189" s="15" t="s">
        <v>521</v>
      </c>
    </row>
    <row r="1190" spans="3:3">
      <c r="C1190" s="15" t="s">
        <v>523</v>
      </c>
    </row>
    <row r="1191" spans="3:3">
      <c r="C1191" s="15" t="s">
        <v>525</v>
      </c>
    </row>
    <row r="1192" spans="3:3">
      <c r="C1192" s="129" t="s">
        <v>526</v>
      </c>
    </row>
    <row r="1193" spans="3:3">
      <c r="C1193" s="15" t="s">
        <v>528</v>
      </c>
    </row>
    <row r="1194" spans="3:3">
      <c r="C1194" s="15" t="s">
        <v>529</v>
      </c>
    </row>
    <row r="1195" spans="3:3">
      <c r="C1195" s="15" t="s">
        <v>530</v>
      </c>
    </row>
    <row r="1196" spans="3:3">
      <c r="C1196" s="15" t="s">
        <v>531</v>
      </c>
    </row>
    <row r="1197" spans="3:3">
      <c r="C1197" s="15" t="s">
        <v>532</v>
      </c>
    </row>
    <row r="1198" spans="3:3">
      <c r="C1198" s="15" t="s">
        <v>533</v>
      </c>
    </row>
    <row r="1199" spans="3:3">
      <c r="C1199" s="15" t="s">
        <v>534</v>
      </c>
    </row>
    <row r="1200" spans="3:3">
      <c r="C1200" s="15" t="s">
        <v>535</v>
      </c>
    </row>
    <row r="1201" spans="3:3">
      <c r="C1201" s="15" t="s">
        <v>537</v>
      </c>
    </row>
    <row r="1202" spans="3:3">
      <c r="C1202" s="15" t="s">
        <v>538</v>
      </c>
    </row>
    <row r="1203" spans="3:3">
      <c r="C1203" s="15" t="s">
        <v>540</v>
      </c>
    </row>
    <row r="1204" spans="3:3">
      <c r="C1204" s="15" t="s">
        <v>541</v>
      </c>
    </row>
    <row r="1205" spans="3:3">
      <c r="C1205" s="15" t="s">
        <v>542</v>
      </c>
    </row>
    <row r="1206" spans="3:3">
      <c r="C1206" s="15" t="s">
        <v>543</v>
      </c>
    </row>
    <row r="1207" spans="3:3">
      <c r="C1207" s="15" t="s">
        <v>544</v>
      </c>
    </row>
    <row r="1208" spans="3:3">
      <c r="C1208" s="15" t="s">
        <v>546</v>
      </c>
    </row>
    <row r="1209" spans="3:3">
      <c r="C1209" s="15" t="s">
        <v>547</v>
      </c>
    </row>
    <row r="1210" spans="3:3">
      <c r="C1210" s="15" t="s">
        <v>548</v>
      </c>
    </row>
    <row r="1211" spans="3:3">
      <c r="C1211" s="15" t="s">
        <v>549</v>
      </c>
    </row>
    <row r="1212" spans="3:3">
      <c r="C1212" s="15" t="s">
        <v>550</v>
      </c>
    </row>
    <row r="1213" spans="3:3">
      <c r="C1213" s="15" t="s">
        <v>551</v>
      </c>
    </row>
    <row r="1214" spans="3:3">
      <c r="C1214" s="15" t="s">
        <v>552</v>
      </c>
    </row>
    <row r="1215" spans="3:3">
      <c r="C1215" s="15" t="s">
        <v>553</v>
      </c>
    </row>
    <row r="1216" spans="3:3">
      <c r="C1216" s="15" t="s">
        <v>555</v>
      </c>
    </row>
    <row r="1217" spans="3:3">
      <c r="C1217" s="15" t="s">
        <v>556</v>
      </c>
    </row>
    <row r="1218" spans="3:3">
      <c r="C1218" s="15" t="s">
        <v>557</v>
      </c>
    </row>
    <row r="1219" spans="3:3">
      <c r="C1219" s="15" t="s">
        <v>558</v>
      </c>
    </row>
    <row r="1220" spans="3:3">
      <c r="C1220" s="15" t="s">
        <v>559</v>
      </c>
    </row>
    <row r="1221" spans="3:3">
      <c r="C1221" s="15" t="s">
        <v>560</v>
      </c>
    </row>
    <row r="1222" spans="3:3">
      <c r="C1222" s="15" t="s">
        <v>561</v>
      </c>
    </row>
    <row r="1223" spans="3:3">
      <c r="C1223" s="15" t="s">
        <v>562</v>
      </c>
    </row>
    <row r="1224" spans="3:3">
      <c r="C1224" s="15" t="s">
        <v>563</v>
      </c>
    </row>
    <row r="1225" spans="3:3">
      <c r="C1225" s="15" t="s">
        <v>564</v>
      </c>
    </row>
    <row r="1226" spans="3:3">
      <c r="C1226" s="15" t="s">
        <v>565</v>
      </c>
    </row>
    <row r="1227" spans="3:3">
      <c r="C1227" s="15" t="s">
        <v>566</v>
      </c>
    </row>
    <row r="1228" spans="3:3">
      <c r="C1228" s="15" t="s">
        <v>567</v>
      </c>
    </row>
    <row r="1229" spans="3:3">
      <c r="C1229" s="15" t="s">
        <v>568</v>
      </c>
    </row>
    <row r="1230" spans="3:3">
      <c r="C1230" s="15" t="s">
        <v>569</v>
      </c>
    </row>
    <row r="1231" spans="3:3">
      <c r="C1231" s="15" t="s">
        <v>570</v>
      </c>
    </row>
    <row r="1232" spans="3:3">
      <c r="C1232" s="15" t="s">
        <v>571</v>
      </c>
    </row>
    <row r="1233" spans="3:3">
      <c r="C1233" s="15" t="s">
        <v>572</v>
      </c>
    </row>
    <row r="1234" spans="3:3">
      <c r="C1234" s="15" t="s">
        <v>573</v>
      </c>
    </row>
    <row r="1235" spans="3:3">
      <c r="C1235" s="15" t="s">
        <v>574</v>
      </c>
    </row>
    <row r="1236" spans="3:3">
      <c r="C1236" s="15" t="s">
        <v>575</v>
      </c>
    </row>
    <row r="1237" spans="3:3">
      <c r="C1237" s="15" t="s">
        <v>577</v>
      </c>
    </row>
    <row r="1238" spans="3:3">
      <c r="C1238" s="15" t="s">
        <v>578</v>
      </c>
    </row>
    <row r="1239" spans="3:3">
      <c r="C1239" s="15" t="s">
        <v>579</v>
      </c>
    </row>
    <row r="1240" spans="3:3">
      <c r="C1240" s="15" t="s">
        <v>580</v>
      </c>
    </row>
    <row r="1241" spans="3:3">
      <c r="C1241" s="15" t="s">
        <v>581</v>
      </c>
    </row>
    <row r="1242" spans="3:3">
      <c r="C1242" s="15" t="s">
        <v>582</v>
      </c>
    </row>
    <row r="1243" spans="3:3">
      <c r="C1243" s="15" t="s">
        <v>583</v>
      </c>
    </row>
    <row r="1244" spans="3:3">
      <c r="C1244" s="15" t="s">
        <v>584</v>
      </c>
    </row>
    <row r="1245" spans="3:3">
      <c r="C1245" s="15" t="s">
        <v>585</v>
      </c>
    </row>
    <row r="1248" spans="3:3">
      <c r="C1248" s="15" t="s">
        <v>345</v>
      </c>
    </row>
    <row r="1249" spans="3:3">
      <c r="C1249" s="15" t="s">
        <v>346</v>
      </c>
    </row>
    <row r="1250" spans="3:3">
      <c r="C1250" s="15" t="s">
        <v>348</v>
      </c>
    </row>
    <row r="1251" spans="3:3">
      <c r="C1251" s="15" t="s">
        <v>351</v>
      </c>
    </row>
    <row r="1252" spans="3:3">
      <c r="C1252" s="15" t="s">
        <v>353</v>
      </c>
    </row>
    <row r="1253" spans="3:3">
      <c r="C1253" s="15" t="s">
        <v>31</v>
      </c>
    </row>
    <row r="1255" spans="3:3">
      <c r="C1255" s="15" t="s">
        <v>345</v>
      </c>
    </row>
    <row r="1256" spans="3:3">
      <c r="C1256" s="15" t="s">
        <v>350</v>
      </c>
    </row>
    <row r="1257" spans="3:3">
      <c r="C1257" s="15" t="s">
        <v>355</v>
      </c>
    </row>
    <row r="1258" spans="3:3">
      <c r="C1258" s="15" t="s">
        <v>346</v>
      </c>
    </row>
    <row r="1259" spans="3:3">
      <c r="C1259" s="15" t="s">
        <v>31</v>
      </c>
    </row>
    <row r="1261" spans="3:3">
      <c r="C1261" s="15" t="s">
        <v>344</v>
      </c>
    </row>
    <row r="1262" spans="3:3">
      <c r="C1262" s="15" t="s">
        <v>346</v>
      </c>
    </row>
    <row r="1263" spans="3:3">
      <c r="C1263" s="15" t="s">
        <v>353</v>
      </c>
    </row>
    <row r="1264" spans="3:3">
      <c r="C1264" s="15" t="s">
        <v>351</v>
      </c>
    </row>
    <row r="1265" spans="3:3">
      <c r="C1265" s="15" t="s">
        <v>31</v>
      </c>
    </row>
    <row r="1267" spans="3:3">
      <c r="C1267" s="15" t="s">
        <v>345</v>
      </c>
    </row>
    <row r="1268" spans="3:3">
      <c r="C1268" s="15" t="s">
        <v>346</v>
      </c>
    </row>
    <row r="1269" spans="3:3">
      <c r="C1269" s="15" t="s">
        <v>31</v>
      </c>
    </row>
    <row r="1272" spans="3:3">
      <c r="C1272" s="15" t="s">
        <v>344</v>
      </c>
    </row>
    <row r="1273" spans="3:3">
      <c r="C1273" s="15" t="s">
        <v>346</v>
      </c>
    </row>
    <row r="1274" spans="3:3">
      <c r="C1274" s="15" t="s">
        <v>348</v>
      </c>
    </row>
    <row r="1275" spans="3:3">
      <c r="C1275" s="15" t="s">
        <v>350</v>
      </c>
    </row>
    <row r="1276" spans="3:3">
      <c r="C1276" s="15" t="s">
        <v>351</v>
      </c>
    </row>
    <row r="1277" spans="3:3">
      <c r="C1277" s="15" t="s">
        <v>352</v>
      </c>
    </row>
    <row r="1278" spans="3:3">
      <c r="C1278" s="15" t="s">
        <v>353</v>
      </c>
    </row>
    <row r="1279" spans="3:3">
      <c r="C1279" s="15" t="s">
        <v>354</v>
      </c>
    </row>
    <row r="1280" spans="3:3">
      <c r="C1280" s="15" t="s">
        <v>355</v>
      </c>
    </row>
    <row r="1281" spans="3:3">
      <c r="C1281" s="15" t="s">
        <v>31</v>
      </c>
    </row>
    <row r="1283" spans="3:3">
      <c r="C1283" s="15" t="s">
        <v>56</v>
      </c>
    </row>
    <row r="1284" spans="3:3">
      <c r="C1284" s="15" t="s">
        <v>359</v>
      </c>
    </row>
    <row r="1285" spans="3:3">
      <c r="C1285" s="15" t="s">
        <v>361</v>
      </c>
    </row>
    <row r="1286" spans="3:3">
      <c r="C1286" s="15" t="s">
        <v>363</v>
      </c>
    </row>
    <row r="1287" spans="3:3">
      <c r="C1287" s="15" t="s">
        <v>365</v>
      </c>
    </row>
    <row r="1288" spans="3:3">
      <c r="C1288" s="15" t="s">
        <v>367</v>
      </c>
    </row>
    <row r="1289" spans="3:3">
      <c r="C1289" s="15" t="s">
        <v>369</v>
      </c>
    </row>
    <row r="1290" spans="3:3">
      <c r="C1290" s="15" t="s">
        <v>371</v>
      </c>
    </row>
    <row r="1291" spans="3:3">
      <c r="C1291" s="15" t="s">
        <v>373</v>
      </c>
    </row>
    <row r="1292" spans="3:3">
      <c r="C1292" s="15" t="s">
        <v>375</v>
      </c>
    </row>
    <row r="1293" spans="3:3">
      <c r="C1293" s="15" t="s">
        <v>377</v>
      </c>
    </row>
    <row r="1294" spans="3:3">
      <c r="C1294" s="15" t="s">
        <v>379</v>
      </c>
    </row>
    <row r="1295" spans="3:3">
      <c r="C1295" s="15" t="s">
        <v>381</v>
      </c>
    </row>
    <row r="1296" spans="3:3">
      <c r="C1296" s="15" t="s">
        <v>383</v>
      </c>
    </row>
    <row r="1297" spans="3:3">
      <c r="C1297" s="15" t="s">
        <v>385</v>
      </c>
    </row>
    <row r="1298" spans="3:3">
      <c r="C1298" s="15" t="s">
        <v>387</v>
      </c>
    </row>
    <row r="1299" spans="3:3">
      <c r="C1299" s="15" t="s">
        <v>389</v>
      </c>
    </row>
    <row r="1300" spans="3:3">
      <c r="C1300" s="15" t="s">
        <v>391</v>
      </c>
    </row>
    <row r="1301" spans="3:3">
      <c r="C1301" s="15" t="s">
        <v>393</v>
      </c>
    </row>
    <row r="1302" spans="3:3">
      <c r="C1302" s="15" t="s">
        <v>395</v>
      </c>
    </row>
    <row r="1303" spans="3:3">
      <c r="C1303" s="15" t="s">
        <v>397</v>
      </c>
    </row>
    <row r="1304" spans="3:3">
      <c r="C1304" s="15" t="s">
        <v>399</v>
      </c>
    </row>
    <row r="1305" spans="3:3">
      <c r="C1305" s="15" t="s">
        <v>401</v>
      </c>
    </row>
    <row r="1306" spans="3:3">
      <c r="C1306" s="15" t="s">
        <v>403</v>
      </c>
    </row>
    <row r="1307" spans="3:3">
      <c r="C1307" s="15" t="s">
        <v>405</v>
      </c>
    </row>
    <row r="1308" spans="3:3">
      <c r="C1308" s="15" t="s">
        <v>407</v>
      </c>
    </row>
    <row r="1309" spans="3:3">
      <c r="C1309" s="15" t="s">
        <v>409</v>
      </c>
    </row>
    <row r="1310" spans="3:3">
      <c r="C1310" s="15" t="s">
        <v>411</v>
      </c>
    </row>
    <row r="1311" spans="3:3">
      <c r="C1311" s="15" t="s">
        <v>413</v>
      </c>
    </row>
    <row r="1312" spans="3:3">
      <c r="C1312" s="15" t="s">
        <v>415</v>
      </c>
    </row>
    <row r="1313" spans="3:3">
      <c r="C1313" s="15" t="s">
        <v>417</v>
      </c>
    </row>
    <row r="1314" spans="3:3">
      <c r="C1314" s="15" t="s">
        <v>419</v>
      </c>
    </row>
    <row r="1315" spans="3:3">
      <c r="C1315" s="15" t="s">
        <v>31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8" customWidth="1"/>
    <col min="2" max="2" width="48.75" style="58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7" t="s">
        <v>1125</v>
      </c>
      <c r="B1" s="108" t="s">
        <v>1126</v>
      </c>
      <c r="C1" s="108" t="s">
        <v>1127</v>
      </c>
      <c r="D1" s="109" t="s">
        <v>1128</v>
      </c>
      <c r="E1" s="123"/>
    </row>
    <row r="2" spans="1:5" ht="15.75" outlineLevel="1">
      <c r="A2" s="37" t="s">
        <v>968</v>
      </c>
      <c r="B2" s="38" t="s">
        <v>0</v>
      </c>
      <c r="C2" s="37">
        <v>5.0999999999999996</v>
      </c>
      <c r="D2" s="111"/>
    </row>
    <row r="3" spans="1:5" ht="15.75" outlineLevel="1">
      <c r="A3" s="37" t="s">
        <v>968</v>
      </c>
      <c r="B3" s="38" t="s">
        <v>1</v>
      </c>
      <c r="C3" s="37">
        <v>5.2</v>
      </c>
      <c r="D3" s="111"/>
    </row>
    <row r="4" spans="1:5" ht="15.75" outlineLevel="1">
      <c r="A4" s="37" t="s">
        <v>968</v>
      </c>
      <c r="B4" s="38" t="s">
        <v>185</v>
      </c>
      <c r="C4" s="37">
        <v>5.4</v>
      </c>
      <c r="D4" s="111"/>
    </row>
    <row r="5" spans="1:5" ht="15.75" outlineLevel="1">
      <c r="A5" s="37" t="s">
        <v>968</v>
      </c>
      <c r="B5" s="38" t="s">
        <v>186</v>
      </c>
      <c r="C5" s="37">
        <v>5.7</v>
      </c>
      <c r="D5" s="111"/>
    </row>
    <row r="6" spans="1:5" ht="15.75" outlineLevel="1">
      <c r="A6" s="37" t="s">
        <v>968</v>
      </c>
      <c r="B6" s="38" t="s">
        <v>187</v>
      </c>
      <c r="C6" s="37">
        <v>5.1100000000000003</v>
      </c>
      <c r="D6" s="111"/>
    </row>
    <row r="7" spans="1:5" ht="15.75" outlineLevel="1">
      <c r="A7" s="37" t="s">
        <v>968</v>
      </c>
      <c r="B7" s="38" t="s">
        <v>5</v>
      </c>
      <c r="C7" s="37">
        <v>5.26</v>
      </c>
      <c r="D7" s="111"/>
    </row>
    <row r="8" spans="1:5" ht="15.75" outlineLevel="1">
      <c r="A8" s="37" t="s">
        <v>968</v>
      </c>
      <c r="B8" s="38" t="s">
        <v>6</v>
      </c>
      <c r="C8" s="37">
        <v>5.27</v>
      </c>
      <c r="D8" s="111"/>
    </row>
    <row r="9" spans="1:5" ht="15.75" outlineLevel="1">
      <c r="A9" s="37" t="s">
        <v>968</v>
      </c>
      <c r="B9" s="38" t="s">
        <v>139</v>
      </c>
      <c r="C9" s="37">
        <v>5.36</v>
      </c>
      <c r="D9" s="111"/>
    </row>
    <row r="10" spans="1:5" ht="15.75" outlineLevel="1">
      <c r="A10" s="37" t="s">
        <v>968</v>
      </c>
      <c r="B10" s="38" t="s">
        <v>189</v>
      </c>
      <c r="C10" s="39">
        <v>5.5</v>
      </c>
      <c r="D10" s="111"/>
    </row>
    <row r="11" spans="1:5" ht="15.75" outlineLevel="1">
      <c r="A11" s="37" t="s">
        <v>968</v>
      </c>
      <c r="B11" s="38" t="s">
        <v>10</v>
      </c>
      <c r="C11" s="37">
        <v>5.51</v>
      </c>
      <c r="D11" s="111"/>
    </row>
    <row r="12" spans="1:5" ht="15.75" outlineLevel="1">
      <c r="A12" s="37" t="s">
        <v>968</v>
      </c>
      <c r="B12" s="38" t="s">
        <v>11</v>
      </c>
      <c r="C12" s="37">
        <v>5.53</v>
      </c>
      <c r="D12" s="111"/>
    </row>
    <row r="13" spans="1:5" ht="15.75" outlineLevel="1">
      <c r="A13" s="37" t="s">
        <v>968</v>
      </c>
      <c r="B13" s="38" t="s">
        <v>149</v>
      </c>
      <c r="C13" s="37">
        <v>5.59</v>
      </c>
      <c r="D13" s="111"/>
    </row>
    <row r="14" spans="1:5" ht="15.75" outlineLevel="1">
      <c r="A14" s="37" t="s">
        <v>968</v>
      </c>
      <c r="B14" s="38" t="s">
        <v>18</v>
      </c>
      <c r="C14" s="37">
        <v>5.54</v>
      </c>
      <c r="D14" s="111"/>
    </row>
    <row r="15" spans="1:5" ht="15.75" outlineLevel="1">
      <c r="A15" s="37" t="s">
        <v>968</v>
      </c>
      <c r="B15" s="38" t="s">
        <v>14</v>
      </c>
      <c r="C15" s="39">
        <v>5.7</v>
      </c>
      <c r="D15" s="110" t="s">
        <v>1129</v>
      </c>
    </row>
    <row r="16" spans="1:5" ht="15.75" outlineLevel="1">
      <c r="A16" s="37" t="s">
        <v>968</v>
      </c>
      <c r="B16" s="38" t="s">
        <v>20</v>
      </c>
      <c r="C16" s="37">
        <v>5.63</v>
      </c>
      <c r="D16" s="111"/>
    </row>
    <row r="17" spans="1:4" ht="15.75" outlineLevel="1">
      <c r="A17" s="37" t="s">
        <v>968</v>
      </c>
      <c r="B17" s="38" t="s">
        <v>24</v>
      </c>
      <c r="C17" s="37">
        <v>5.47</v>
      </c>
      <c r="D17" s="111"/>
    </row>
    <row r="18" spans="1:4" ht="15.75" outlineLevel="1">
      <c r="A18" s="37" t="s">
        <v>968</v>
      </c>
      <c r="B18" s="38" t="s">
        <v>25</v>
      </c>
      <c r="C18" s="37">
        <v>5.48</v>
      </c>
      <c r="D18" s="111"/>
    </row>
    <row r="19" spans="1:4" ht="15.75">
      <c r="A19" s="43" t="s">
        <v>968</v>
      </c>
      <c r="B19" s="38"/>
      <c r="C19" s="37"/>
      <c r="D19" s="111"/>
    </row>
    <row r="20" spans="1:4" ht="15.75" outlineLevel="1">
      <c r="A20" s="37" t="s">
        <v>978</v>
      </c>
      <c r="B20" s="38" t="s">
        <v>0</v>
      </c>
      <c r="C20" s="37">
        <v>5.0999999999999996</v>
      </c>
      <c r="D20" s="111"/>
    </row>
    <row r="21" spans="1:4" ht="15.75" outlineLevel="1">
      <c r="A21" s="37" t="s">
        <v>978</v>
      </c>
      <c r="B21" s="38" t="s">
        <v>1</v>
      </c>
      <c r="C21" s="37">
        <v>5.2</v>
      </c>
      <c r="D21" s="111"/>
    </row>
    <row r="22" spans="1:4" ht="15.75" outlineLevel="1">
      <c r="A22" s="37" t="s">
        <v>978</v>
      </c>
      <c r="B22" s="38" t="s">
        <v>2</v>
      </c>
      <c r="C22" s="37">
        <v>5.3</v>
      </c>
      <c r="D22" s="111"/>
    </row>
    <row r="23" spans="1:4" ht="15.75" outlineLevel="1">
      <c r="A23" s="37" t="s">
        <v>978</v>
      </c>
      <c r="B23" s="38" t="s">
        <v>1130</v>
      </c>
      <c r="C23" s="37">
        <v>5.14</v>
      </c>
      <c r="D23" s="111"/>
    </row>
    <row r="24" spans="1:4" ht="15.75" outlineLevel="1">
      <c r="A24" s="37" t="s">
        <v>978</v>
      </c>
      <c r="B24" s="38" t="s">
        <v>4</v>
      </c>
      <c r="C24" s="37">
        <v>5.19</v>
      </c>
      <c r="D24" s="111"/>
    </row>
    <row r="25" spans="1:4" ht="15.75" outlineLevel="1">
      <c r="A25" s="37" t="s">
        <v>978</v>
      </c>
      <c r="B25" s="38" t="s">
        <v>5</v>
      </c>
      <c r="C25" s="37">
        <v>5.26</v>
      </c>
      <c r="D25" s="111"/>
    </row>
    <row r="26" spans="1:4" ht="15.75" outlineLevel="1">
      <c r="A26" s="37" t="s">
        <v>978</v>
      </c>
      <c r="B26" s="38" t="s">
        <v>6</v>
      </c>
      <c r="C26" s="37">
        <v>5.27</v>
      </c>
      <c r="D26" s="111"/>
    </row>
    <row r="27" spans="1:4" ht="15.75" outlineLevel="1">
      <c r="A27" s="37" t="s">
        <v>978</v>
      </c>
      <c r="B27" s="38" t="s">
        <v>7</v>
      </c>
      <c r="C27" s="37">
        <v>5.28</v>
      </c>
      <c r="D27" s="111"/>
    </row>
    <row r="28" spans="1:4" ht="15.75" outlineLevel="1">
      <c r="A28" s="37" t="s">
        <v>978</v>
      </c>
      <c r="B28" s="38" t="s">
        <v>8</v>
      </c>
      <c r="C28" s="39">
        <v>5.3</v>
      </c>
      <c r="D28" s="111"/>
    </row>
    <row r="29" spans="1:4" ht="15.75" outlineLevel="1">
      <c r="A29" s="37" t="s">
        <v>978</v>
      </c>
      <c r="B29" s="38" t="s">
        <v>9</v>
      </c>
      <c r="C29" s="37">
        <v>5.49</v>
      </c>
      <c r="D29" s="111"/>
    </row>
    <row r="30" spans="1:4" ht="15.75" outlineLevel="1">
      <c r="A30" s="37" t="s">
        <v>978</v>
      </c>
      <c r="B30" s="38" t="s">
        <v>10</v>
      </c>
      <c r="C30" s="37">
        <v>5.51</v>
      </c>
      <c r="D30" s="111"/>
    </row>
    <row r="31" spans="1:4" ht="15.75" outlineLevel="1">
      <c r="A31" s="37" t="s">
        <v>978</v>
      </c>
      <c r="B31" s="38" t="s">
        <v>11</v>
      </c>
      <c r="C31" s="37">
        <v>5.53</v>
      </c>
      <c r="D31" s="111"/>
    </row>
    <row r="32" spans="1:4" ht="15.75" outlineLevel="1">
      <c r="A32" s="37" t="s">
        <v>978</v>
      </c>
      <c r="B32" s="38" t="s">
        <v>12</v>
      </c>
      <c r="C32" s="37">
        <v>5.69</v>
      </c>
      <c r="D32" s="111"/>
    </row>
    <row r="33" spans="1:4" ht="15.75" outlineLevel="1">
      <c r="A33" s="37" t="s">
        <v>978</v>
      </c>
      <c r="B33" s="38" t="s">
        <v>13</v>
      </c>
      <c r="C33" s="37">
        <v>5.75</v>
      </c>
      <c r="D33" s="111"/>
    </row>
    <row r="34" spans="1:4" ht="15.75" outlineLevel="1">
      <c r="A34" s="37" t="s">
        <v>978</v>
      </c>
      <c r="B34" s="38" t="s">
        <v>14</v>
      </c>
      <c r="C34" s="39">
        <v>5.7</v>
      </c>
      <c r="D34" s="111"/>
    </row>
    <row r="35" spans="1:4" ht="15.75" outlineLevel="1">
      <c r="A35" s="37" t="s">
        <v>978</v>
      </c>
      <c r="B35" s="38" t="s">
        <v>15</v>
      </c>
      <c r="C35" s="37">
        <v>5.74</v>
      </c>
      <c r="D35" s="111"/>
    </row>
    <row r="36" spans="1:4" ht="15.75" outlineLevel="1">
      <c r="A36" s="37" t="s">
        <v>978</v>
      </c>
      <c r="B36" s="38" t="s">
        <v>16</v>
      </c>
      <c r="C36" s="37">
        <v>5.62</v>
      </c>
      <c r="D36" s="111"/>
    </row>
    <row r="37" spans="1:4" ht="15.75" outlineLevel="1">
      <c r="A37" s="37" t="s">
        <v>978</v>
      </c>
      <c r="B37" s="38" t="s">
        <v>17</v>
      </c>
      <c r="C37" s="37">
        <v>5.58</v>
      </c>
      <c r="D37" s="111"/>
    </row>
    <row r="38" spans="1:4" ht="15.75" outlineLevel="1">
      <c r="A38" s="37" t="s">
        <v>978</v>
      </c>
      <c r="B38" s="38" t="s">
        <v>18</v>
      </c>
      <c r="C38" s="37">
        <v>5.54</v>
      </c>
      <c r="D38" s="111"/>
    </row>
    <row r="39" spans="1:4" ht="15.75" outlineLevel="1">
      <c r="A39" s="37" t="s">
        <v>978</v>
      </c>
      <c r="B39" s="38" t="s">
        <v>19</v>
      </c>
      <c r="C39" s="37">
        <v>5.55</v>
      </c>
      <c r="D39" s="111"/>
    </row>
    <row r="40" spans="1:4" ht="15.75" outlineLevel="1">
      <c r="A40" s="37" t="s">
        <v>978</v>
      </c>
      <c r="B40" s="38" t="s">
        <v>20</v>
      </c>
      <c r="C40" s="37">
        <v>5.63</v>
      </c>
      <c r="D40" s="111"/>
    </row>
    <row r="41" spans="1:4" ht="15.75" outlineLevel="1">
      <c r="A41" s="37" t="s">
        <v>978</v>
      </c>
      <c r="B41" s="38" t="s">
        <v>21</v>
      </c>
      <c r="C41" s="37">
        <v>5.65</v>
      </c>
      <c r="D41" s="111"/>
    </row>
    <row r="42" spans="1:4" ht="15.75" outlineLevel="1">
      <c r="A42" s="37" t="s">
        <v>978</v>
      </c>
      <c r="B42" s="38" t="s">
        <v>22</v>
      </c>
      <c r="C42" s="37">
        <v>5.68</v>
      </c>
      <c r="D42" s="111"/>
    </row>
    <row r="43" spans="1:4" ht="15.75" outlineLevel="1">
      <c r="A43" s="37" t="s">
        <v>978</v>
      </c>
      <c r="B43" s="38" t="s">
        <v>23</v>
      </c>
      <c r="C43" s="37">
        <v>5.45</v>
      </c>
      <c r="D43" s="111"/>
    </row>
    <row r="44" spans="1:4" ht="15.75" outlineLevel="1">
      <c r="A44" s="37" t="s">
        <v>978</v>
      </c>
      <c r="B44" s="38" t="s">
        <v>24</v>
      </c>
      <c r="C44" s="37">
        <v>5.47</v>
      </c>
      <c r="D44" s="111"/>
    </row>
    <row r="45" spans="1:4" ht="15.75" outlineLevel="1">
      <c r="A45" s="37" t="s">
        <v>978</v>
      </c>
      <c r="B45" s="38" t="s">
        <v>25</v>
      </c>
      <c r="C45" s="37">
        <v>5.48</v>
      </c>
      <c r="D45" s="111"/>
    </row>
    <row r="46" spans="1:4" ht="15.75">
      <c r="A46" s="43" t="s">
        <v>978</v>
      </c>
      <c r="B46" s="38"/>
      <c r="C46" s="37"/>
      <c r="D46" s="111"/>
    </row>
    <row r="47" spans="1:4" ht="15.75" outlineLevel="1">
      <c r="A47" s="37" t="s">
        <v>983</v>
      </c>
      <c r="B47" s="38" t="s">
        <v>0</v>
      </c>
      <c r="C47" s="37">
        <v>5.0999999999999996</v>
      </c>
      <c r="D47" s="111"/>
    </row>
    <row r="48" spans="1:4" ht="15.75" outlineLevel="1">
      <c r="A48" s="37" t="s">
        <v>983</v>
      </c>
      <c r="B48" s="38" t="s">
        <v>1</v>
      </c>
      <c r="C48" s="37">
        <v>5.2</v>
      </c>
      <c r="D48" s="111"/>
    </row>
    <row r="49" spans="1:4" ht="15.75" outlineLevel="1">
      <c r="A49" s="37" t="s">
        <v>983</v>
      </c>
      <c r="B49" s="38" t="s">
        <v>2</v>
      </c>
      <c r="C49" s="37">
        <v>5.3</v>
      </c>
      <c r="D49" s="111"/>
    </row>
    <row r="50" spans="1:4" ht="15.75" outlineLevel="1">
      <c r="A50" s="37" t="s">
        <v>983</v>
      </c>
      <c r="B50" s="38" t="s">
        <v>165</v>
      </c>
      <c r="C50" s="37">
        <v>5.6</v>
      </c>
      <c r="D50" s="111"/>
    </row>
    <row r="51" spans="1:4" ht="15.75" outlineLevel="1">
      <c r="A51" s="37" t="s">
        <v>983</v>
      </c>
      <c r="B51" s="38" t="s">
        <v>1131</v>
      </c>
      <c r="C51" s="39">
        <v>5.0999999999999996</v>
      </c>
      <c r="D51" s="111"/>
    </row>
    <row r="52" spans="1:4" ht="15.75" outlineLevel="1">
      <c r="A52" s="37" t="s">
        <v>983</v>
      </c>
      <c r="B52" s="38" t="s">
        <v>1130</v>
      </c>
      <c r="C52" s="37">
        <v>5.14</v>
      </c>
      <c r="D52" s="111"/>
    </row>
    <row r="53" spans="1:4" ht="15.75" outlineLevel="1">
      <c r="A53" s="37" t="s">
        <v>983</v>
      </c>
      <c r="B53" s="38" t="s">
        <v>4</v>
      </c>
      <c r="C53" s="37">
        <v>5.19</v>
      </c>
      <c r="D53" s="111"/>
    </row>
    <row r="54" spans="1:4" ht="15.75" outlineLevel="1">
      <c r="A54" s="37" t="s">
        <v>983</v>
      </c>
      <c r="B54" s="38" t="s">
        <v>167</v>
      </c>
      <c r="C54" s="37">
        <v>5.24</v>
      </c>
      <c r="D54" s="111"/>
    </row>
    <row r="55" spans="1:4" ht="15.75" outlineLevel="1">
      <c r="A55" s="37" t="s">
        <v>983</v>
      </c>
      <c r="B55" s="38" t="s">
        <v>5</v>
      </c>
      <c r="C55" s="37">
        <v>5.26</v>
      </c>
      <c r="D55" s="111"/>
    </row>
    <row r="56" spans="1:4" ht="15.75" outlineLevel="1">
      <c r="A56" s="37" t="s">
        <v>983</v>
      </c>
      <c r="B56" s="38" t="s">
        <v>6</v>
      </c>
      <c r="C56" s="37">
        <v>5.27</v>
      </c>
      <c r="D56" s="111"/>
    </row>
    <row r="57" spans="1:4" ht="15.75" outlineLevel="1">
      <c r="A57" s="37" t="s">
        <v>983</v>
      </c>
      <c r="B57" s="38" t="s">
        <v>7</v>
      </c>
      <c r="C57" s="37">
        <v>5.28</v>
      </c>
      <c r="D57" s="111"/>
    </row>
    <row r="58" spans="1:4" ht="15.75" outlineLevel="1">
      <c r="A58" s="37" t="s">
        <v>983</v>
      </c>
      <c r="B58" s="38" t="s">
        <v>8</v>
      </c>
      <c r="C58" s="39">
        <v>5.3</v>
      </c>
      <c r="D58" s="111"/>
    </row>
    <row r="59" spans="1:4" ht="15.75" outlineLevel="1">
      <c r="A59" s="37" t="s">
        <v>983</v>
      </c>
      <c r="B59" s="38" t="s">
        <v>168</v>
      </c>
      <c r="C59" s="37">
        <v>5.31</v>
      </c>
      <c r="D59" s="111"/>
    </row>
    <row r="60" spans="1:4" ht="15.75" outlineLevel="1">
      <c r="A60" s="37" t="s">
        <v>983</v>
      </c>
      <c r="B60" s="38" t="s">
        <v>139</v>
      </c>
      <c r="C60" s="37">
        <v>5.36</v>
      </c>
      <c r="D60" s="111"/>
    </row>
    <row r="61" spans="1:4" ht="15.75" outlineLevel="1">
      <c r="A61" s="37" t="s">
        <v>983</v>
      </c>
      <c r="B61" s="38" t="s">
        <v>9</v>
      </c>
      <c r="C61" s="37">
        <v>5.49</v>
      </c>
      <c r="D61" s="111"/>
    </row>
    <row r="62" spans="1:4" ht="15.75" outlineLevel="1">
      <c r="A62" s="37" t="s">
        <v>983</v>
      </c>
      <c r="B62" s="38" t="s">
        <v>10</v>
      </c>
      <c r="C62" s="37">
        <v>5.51</v>
      </c>
      <c r="D62" s="111"/>
    </row>
    <row r="63" spans="1:4" ht="15.75" outlineLevel="1">
      <c r="A63" s="37" t="s">
        <v>983</v>
      </c>
      <c r="B63" s="38" t="s">
        <v>1132</v>
      </c>
      <c r="C63" s="37">
        <v>5.52</v>
      </c>
      <c r="D63" s="111"/>
    </row>
    <row r="64" spans="1:4" ht="15.75" outlineLevel="1">
      <c r="A64" s="37" t="s">
        <v>983</v>
      </c>
      <c r="B64" s="38" t="s">
        <v>11</v>
      </c>
      <c r="C64" s="37">
        <v>5.53</v>
      </c>
      <c r="D64" s="111"/>
    </row>
    <row r="65" spans="1:4" ht="15.75" outlineLevel="1">
      <c r="A65" s="37" t="s">
        <v>983</v>
      </c>
      <c r="B65" s="38" t="s">
        <v>12</v>
      </c>
      <c r="C65" s="37">
        <v>5.69</v>
      </c>
      <c r="D65" s="111"/>
    </row>
    <row r="66" spans="1:4" ht="15.75" outlineLevel="1">
      <c r="A66" s="37" t="s">
        <v>983</v>
      </c>
      <c r="B66" s="38" t="s">
        <v>927</v>
      </c>
      <c r="C66" s="39">
        <v>5.72</v>
      </c>
      <c r="D66" s="111"/>
    </row>
    <row r="67" spans="1:4" ht="15.75" outlineLevel="1">
      <c r="A67" s="37" t="s">
        <v>983</v>
      </c>
      <c r="B67" s="38" t="s">
        <v>13</v>
      </c>
      <c r="C67" s="37">
        <v>5.75</v>
      </c>
      <c r="D67" s="111"/>
    </row>
    <row r="68" spans="1:4" ht="15.75" outlineLevel="1">
      <c r="A68" s="37" t="s">
        <v>983</v>
      </c>
      <c r="B68" s="38" t="s">
        <v>14</v>
      </c>
      <c r="C68" s="39">
        <v>5.7</v>
      </c>
      <c r="D68" s="111"/>
    </row>
    <row r="69" spans="1:4" ht="15.75" outlineLevel="1">
      <c r="A69" s="37" t="s">
        <v>983</v>
      </c>
      <c r="B69" s="38" t="s">
        <v>15</v>
      </c>
      <c r="C69" s="37">
        <v>5.74</v>
      </c>
      <c r="D69" s="111"/>
    </row>
    <row r="70" spans="1:4" ht="15.75" outlineLevel="1">
      <c r="A70" s="37" t="s">
        <v>983</v>
      </c>
      <c r="B70" s="38" t="s">
        <v>427</v>
      </c>
      <c r="C70" s="37">
        <v>5.76</v>
      </c>
      <c r="D70" s="111"/>
    </row>
    <row r="71" spans="1:4" ht="15.75" outlineLevel="1">
      <c r="A71" s="37" t="s">
        <v>983</v>
      </c>
      <c r="B71" s="38" t="s">
        <v>848</v>
      </c>
      <c r="C71" s="37">
        <v>5.89</v>
      </c>
      <c r="D71" s="110" t="s">
        <v>1129</v>
      </c>
    </row>
    <row r="72" spans="1:4" ht="15.75" outlineLevel="1">
      <c r="A72" s="37" t="s">
        <v>983</v>
      </c>
      <c r="B72" s="38" t="s">
        <v>17</v>
      </c>
      <c r="C72" s="37">
        <v>5.58</v>
      </c>
      <c r="D72" s="111"/>
    </row>
    <row r="73" spans="1:4" ht="15.75" outlineLevel="1">
      <c r="A73" s="37" t="s">
        <v>983</v>
      </c>
      <c r="B73" s="38" t="s">
        <v>16</v>
      </c>
      <c r="C73" s="37">
        <v>5.62</v>
      </c>
      <c r="D73" s="111"/>
    </row>
    <row r="74" spans="1:4" ht="15.75" outlineLevel="1">
      <c r="A74" s="37" t="s">
        <v>983</v>
      </c>
      <c r="B74" s="38" t="s">
        <v>18</v>
      </c>
      <c r="C74" s="37">
        <v>5.54</v>
      </c>
      <c r="D74" s="111"/>
    </row>
    <row r="75" spans="1:4" ht="15.75" outlineLevel="1">
      <c r="A75" s="37" t="s">
        <v>983</v>
      </c>
      <c r="B75" s="38" t="s">
        <v>19</v>
      </c>
      <c r="C75" s="37">
        <v>5.55</v>
      </c>
      <c r="D75" s="111"/>
    </row>
    <row r="76" spans="1:4" ht="15.75" outlineLevel="1">
      <c r="A76" s="37" t="s">
        <v>983</v>
      </c>
      <c r="B76" s="38" t="s">
        <v>20</v>
      </c>
      <c r="C76" s="37">
        <v>5.63</v>
      </c>
      <c r="D76" s="111"/>
    </row>
    <row r="77" spans="1:4" ht="15.75" outlineLevel="1">
      <c r="A77" s="37" t="s">
        <v>983</v>
      </c>
      <c r="B77" s="38" t="s">
        <v>21</v>
      </c>
      <c r="C77" s="37">
        <v>5.65</v>
      </c>
      <c r="D77" s="111"/>
    </row>
    <row r="78" spans="1:4" ht="15.75" outlineLevel="1">
      <c r="A78" s="37" t="s">
        <v>983</v>
      </c>
      <c r="B78" s="38" t="s">
        <v>184</v>
      </c>
      <c r="C78" s="37">
        <v>5.66</v>
      </c>
      <c r="D78" s="111"/>
    </row>
    <row r="79" spans="1:4" ht="15.75" outlineLevel="1">
      <c r="A79" s="37" t="s">
        <v>983</v>
      </c>
      <c r="B79" s="38" t="s">
        <v>22</v>
      </c>
      <c r="C79" s="37">
        <v>5.68</v>
      </c>
      <c r="D79" s="111"/>
    </row>
    <row r="80" spans="1:4" ht="15.75" outlineLevel="1">
      <c r="A80" s="37" t="s">
        <v>983</v>
      </c>
      <c r="B80" s="38" t="s">
        <v>23</v>
      </c>
      <c r="C80" s="37">
        <v>5.45</v>
      </c>
      <c r="D80" s="111"/>
    </row>
    <row r="81" spans="1:4" ht="15.75" outlineLevel="1">
      <c r="A81" s="37" t="s">
        <v>983</v>
      </c>
      <c r="B81" s="38" t="s">
        <v>24</v>
      </c>
      <c r="C81" s="37">
        <v>5.47</v>
      </c>
      <c r="D81" s="111"/>
    </row>
    <row r="82" spans="1:4" ht="15.75" outlineLevel="1">
      <c r="A82" s="37" t="s">
        <v>983</v>
      </c>
      <c r="B82" s="38" t="s">
        <v>25</v>
      </c>
      <c r="C82" s="37">
        <v>5.48</v>
      </c>
      <c r="D82" s="111"/>
    </row>
    <row r="83" spans="1:4" ht="15.75">
      <c r="A83" s="43" t="s">
        <v>983</v>
      </c>
      <c r="B83" s="38"/>
      <c r="C83" s="37"/>
      <c r="D83" s="111"/>
    </row>
    <row r="84" spans="1:4" ht="15.75" outlineLevel="1">
      <c r="A84" s="37" t="s">
        <v>984</v>
      </c>
      <c r="B84" s="38" t="s">
        <v>0</v>
      </c>
      <c r="C84" s="37">
        <v>5.0999999999999996</v>
      </c>
      <c r="D84" s="111"/>
    </row>
    <row r="85" spans="1:4" ht="15.75" outlineLevel="1">
      <c r="A85" s="37" t="s">
        <v>984</v>
      </c>
      <c r="B85" s="38" t="s">
        <v>1</v>
      </c>
      <c r="C85" s="37">
        <v>5.2</v>
      </c>
      <c r="D85" s="111"/>
    </row>
    <row r="86" spans="1:4" ht="15.75" outlineLevel="1">
      <c r="A86" s="37" t="s">
        <v>984</v>
      </c>
      <c r="B86" s="38" t="s">
        <v>2</v>
      </c>
      <c r="C86" s="37">
        <v>5.3</v>
      </c>
      <c r="D86" s="111"/>
    </row>
    <row r="87" spans="1:4" ht="15.75" outlineLevel="1">
      <c r="A87" s="37" t="s">
        <v>984</v>
      </c>
      <c r="B87" s="38" t="s">
        <v>165</v>
      </c>
      <c r="C87" s="37">
        <v>5.6</v>
      </c>
      <c r="D87" s="111"/>
    </row>
    <row r="88" spans="1:4" ht="15.75" outlineLevel="1">
      <c r="A88" s="37" t="s">
        <v>984</v>
      </c>
      <c r="B88" s="38" t="s">
        <v>1131</v>
      </c>
      <c r="C88" s="39">
        <v>5.0999999999999996</v>
      </c>
      <c r="D88" s="111"/>
    </row>
    <row r="89" spans="1:4" ht="15.75" outlineLevel="1">
      <c r="A89" s="37" t="s">
        <v>984</v>
      </c>
      <c r="B89" s="38" t="s">
        <v>1130</v>
      </c>
      <c r="C89" s="37">
        <v>5.14</v>
      </c>
      <c r="D89" s="111"/>
    </row>
    <row r="90" spans="1:4" ht="15.75" outlineLevel="1">
      <c r="A90" s="37" t="s">
        <v>984</v>
      </c>
      <c r="B90" s="38" t="s">
        <v>4</v>
      </c>
      <c r="C90" s="37">
        <v>5.19</v>
      </c>
      <c r="D90" s="111"/>
    </row>
    <row r="91" spans="1:4" ht="15.75" outlineLevel="1">
      <c r="A91" s="37" t="s">
        <v>984</v>
      </c>
      <c r="B91" s="38" t="s">
        <v>167</v>
      </c>
      <c r="C91" s="37">
        <v>5.24</v>
      </c>
      <c r="D91" s="111"/>
    </row>
    <row r="92" spans="1:4" ht="15.75" outlineLevel="1">
      <c r="A92" s="37" t="s">
        <v>984</v>
      </c>
      <c r="B92" s="38" t="s">
        <v>5</v>
      </c>
      <c r="C92" s="37">
        <v>5.26</v>
      </c>
      <c r="D92" s="111"/>
    </row>
    <row r="93" spans="1:4" ht="15.75" outlineLevel="1">
      <c r="A93" s="37" t="s">
        <v>984</v>
      </c>
      <c r="B93" s="38" t="s">
        <v>6</v>
      </c>
      <c r="C93" s="37">
        <v>5.27</v>
      </c>
      <c r="D93" s="111"/>
    </row>
    <row r="94" spans="1:4" ht="15.75" outlineLevel="1">
      <c r="A94" s="37" t="s">
        <v>984</v>
      </c>
      <c r="B94" s="38" t="s">
        <v>7</v>
      </c>
      <c r="C94" s="37">
        <v>5.28</v>
      </c>
      <c r="D94" s="111"/>
    </row>
    <row r="95" spans="1:4" ht="15.75" outlineLevel="1">
      <c r="A95" s="37" t="s">
        <v>984</v>
      </c>
      <c r="B95" s="38" t="s">
        <v>343</v>
      </c>
      <c r="C95" s="37">
        <v>5.29</v>
      </c>
      <c r="D95" s="111"/>
    </row>
    <row r="96" spans="1:4" ht="15.75" outlineLevel="1">
      <c r="A96" s="37" t="s">
        <v>984</v>
      </c>
      <c r="B96" s="38" t="s">
        <v>8</v>
      </c>
      <c r="C96" s="39">
        <v>5.3</v>
      </c>
      <c r="D96" s="111"/>
    </row>
    <row r="97" spans="1:4" ht="15.75" outlineLevel="1">
      <c r="A97" s="37" t="s">
        <v>984</v>
      </c>
      <c r="B97" s="38" t="s">
        <v>168</v>
      </c>
      <c r="C97" s="37">
        <v>5.31</v>
      </c>
      <c r="D97" s="111"/>
    </row>
    <row r="98" spans="1:4" ht="15.75" outlineLevel="1">
      <c r="A98" s="37" t="s">
        <v>984</v>
      </c>
      <c r="B98" s="38" t="s">
        <v>139</v>
      </c>
      <c r="C98" s="37">
        <v>5.36</v>
      </c>
      <c r="D98" s="111"/>
    </row>
    <row r="99" spans="1:4" ht="15.75" outlineLevel="1">
      <c r="A99" s="37" t="s">
        <v>984</v>
      </c>
      <c r="B99" s="38" t="s">
        <v>9</v>
      </c>
      <c r="C99" s="37">
        <v>5.49</v>
      </c>
      <c r="D99" s="111"/>
    </row>
    <row r="100" spans="1:4" ht="15.75" outlineLevel="1">
      <c r="A100" s="37" t="s">
        <v>984</v>
      </c>
      <c r="B100" s="38" t="s">
        <v>10</v>
      </c>
      <c r="C100" s="37">
        <v>5.51</v>
      </c>
      <c r="D100" s="111"/>
    </row>
    <row r="101" spans="1:4" ht="15.75" outlineLevel="1">
      <c r="A101" s="37" t="s">
        <v>984</v>
      </c>
      <c r="B101" s="38" t="s">
        <v>1132</v>
      </c>
      <c r="C101" s="37">
        <v>5.52</v>
      </c>
      <c r="D101" s="111"/>
    </row>
    <row r="102" spans="1:4" ht="15.75" outlineLevel="1">
      <c r="A102" s="37" t="s">
        <v>984</v>
      </c>
      <c r="B102" s="38" t="s">
        <v>11</v>
      </c>
      <c r="C102" s="37">
        <v>5.53</v>
      </c>
      <c r="D102" s="111"/>
    </row>
    <row r="103" spans="1:4" ht="15.75" outlineLevel="1">
      <c r="A103" s="37" t="s">
        <v>984</v>
      </c>
      <c r="B103" s="38" t="s">
        <v>12</v>
      </c>
      <c r="C103" s="37">
        <v>5.69</v>
      </c>
      <c r="D103" s="111"/>
    </row>
    <row r="104" spans="1:4" ht="15.75" outlineLevel="1">
      <c r="A104" s="37" t="s">
        <v>984</v>
      </c>
      <c r="B104" s="38" t="s">
        <v>13</v>
      </c>
      <c r="C104" s="37">
        <v>5.75</v>
      </c>
      <c r="D104" s="111"/>
    </row>
    <row r="105" spans="1:4" ht="15.75" outlineLevel="1">
      <c r="A105" s="37" t="s">
        <v>984</v>
      </c>
      <c r="B105" s="38" t="s">
        <v>14</v>
      </c>
      <c r="C105" s="39">
        <v>5.7</v>
      </c>
      <c r="D105" s="111"/>
    </row>
    <row r="106" spans="1:4" ht="15.75" outlineLevel="1">
      <c r="A106" s="37" t="s">
        <v>984</v>
      </c>
      <c r="B106" s="38" t="s">
        <v>15</v>
      </c>
      <c r="C106" s="37">
        <v>5.74</v>
      </c>
      <c r="D106" s="111"/>
    </row>
    <row r="107" spans="1:4" ht="15.75" outlineLevel="1">
      <c r="A107" s="37" t="s">
        <v>984</v>
      </c>
      <c r="B107" s="38" t="s">
        <v>427</v>
      </c>
      <c r="C107" s="37">
        <v>5.76</v>
      </c>
      <c r="D107" s="111"/>
    </row>
    <row r="108" spans="1:4" ht="15.75" outlineLevel="1">
      <c r="A108" s="37" t="s">
        <v>984</v>
      </c>
      <c r="B108" s="38" t="s">
        <v>848</v>
      </c>
      <c r="C108" s="37">
        <v>5.89</v>
      </c>
      <c r="D108" s="110" t="s">
        <v>1129</v>
      </c>
    </row>
    <row r="109" spans="1:4" ht="15.75" outlineLevel="1">
      <c r="A109" s="37" t="s">
        <v>984</v>
      </c>
      <c r="B109" s="38" t="s">
        <v>17</v>
      </c>
      <c r="C109" s="37">
        <v>5.58</v>
      </c>
      <c r="D109" s="111"/>
    </row>
    <row r="110" spans="1:4" ht="15.75" outlineLevel="1">
      <c r="A110" s="37" t="s">
        <v>984</v>
      </c>
      <c r="B110" s="38" t="s">
        <v>16</v>
      </c>
      <c r="C110" s="37">
        <v>5.62</v>
      </c>
      <c r="D110" s="111"/>
    </row>
    <row r="111" spans="1:4" ht="15.75" outlineLevel="1">
      <c r="A111" s="37" t="s">
        <v>984</v>
      </c>
      <c r="B111" s="38" t="s">
        <v>18</v>
      </c>
      <c r="C111" s="37">
        <v>5.54</v>
      </c>
      <c r="D111" s="111"/>
    </row>
    <row r="112" spans="1:4" ht="15.75" outlineLevel="1">
      <c r="A112" s="37" t="s">
        <v>984</v>
      </c>
      <c r="B112" s="38" t="s">
        <v>19</v>
      </c>
      <c r="C112" s="37">
        <v>5.55</v>
      </c>
      <c r="D112" s="111"/>
    </row>
    <row r="113" spans="1:4" ht="15.75" outlineLevel="1">
      <c r="A113" s="37" t="s">
        <v>984</v>
      </c>
      <c r="B113" s="38" t="s">
        <v>21</v>
      </c>
      <c r="C113" s="37">
        <v>5.65</v>
      </c>
      <c r="D113" s="111"/>
    </row>
    <row r="114" spans="1:4" ht="15.75" outlineLevel="1">
      <c r="A114" s="37" t="s">
        <v>984</v>
      </c>
      <c r="B114" s="38" t="s">
        <v>184</v>
      </c>
      <c r="C114" s="37">
        <v>5.66</v>
      </c>
      <c r="D114" s="111"/>
    </row>
    <row r="115" spans="1:4" ht="15.75" outlineLevel="1">
      <c r="A115" s="37" t="s">
        <v>984</v>
      </c>
      <c r="B115" s="38" t="s">
        <v>22</v>
      </c>
      <c r="C115" s="37">
        <v>5.68</v>
      </c>
      <c r="D115" s="111"/>
    </row>
    <row r="116" spans="1:4" ht="15.75" outlineLevel="1">
      <c r="A116" s="37" t="s">
        <v>984</v>
      </c>
      <c r="B116" s="38" t="s">
        <v>23</v>
      </c>
      <c r="C116" s="37">
        <v>5.45</v>
      </c>
      <c r="D116" s="111"/>
    </row>
    <row r="117" spans="1:4" ht="15.75" outlineLevel="1">
      <c r="A117" s="37" t="s">
        <v>984</v>
      </c>
      <c r="B117" s="38" t="s">
        <v>24</v>
      </c>
      <c r="C117" s="37">
        <v>5.47</v>
      </c>
      <c r="D117" s="111"/>
    </row>
    <row r="118" spans="1:4" ht="15.75" outlineLevel="1">
      <c r="A118" s="37" t="s">
        <v>984</v>
      </c>
      <c r="B118" s="38" t="s">
        <v>25</v>
      </c>
      <c r="C118" s="37">
        <v>5.48</v>
      </c>
      <c r="D118" s="111"/>
    </row>
    <row r="119" spans="1:4" ht="15.75">
      <c r="A119" s="43" t="s">
        <v>984</v>
      </c>
      <c r="B119" s="38"/>
      <c r="C119" s="37"/>
      <c r="D119" s="111"/>
    </row>
    <row r="120" spans="1:4" ht="15.75" outlineLevel="1">
      <c r="A120" s="37" t="s">
        <v>1133</v>
      </c>
      <c r="B120" s="38" t="s">
        <v>0</v>
      </c>
      <c r="C120" s="37">
        <v>5.0999999999999996</v>
      </c>
      <c r="D120" s="111"/>
    </row>
    <row r="121" spans="1:4" ht="15.75" outlineLevel="1">
      <c r="A121" s="37" t="s">
        <v>1133</v>
      </c>
      <c r="B121" s="38" t="s">
        <v>1</v>
      </c>
      <c r="C121" s="37">
        <v>5.2</v>
      </c>
      <c r="D121" s="111"/>
    </row>
    <row r="122" spans="1:4" ht="15.75" outlineLevel="1">
      <c r="A122" s="37" t="s">
        <v>1133</v>
      </c>
      <c r="B122" s="38" t="s">
        <v>2</v>
      </c>
      <c r="C122" s="37">
        <v>5.3</v>
      </c>
      <c r="D122" s="111"/>
    </row>
    <row r="123" spans="1:4" ht="15.75" outlineLevel="1">
      <c r="A123" s="37" t="s">
        <v>1133</v>
      </c>
      <c r="B123" s="38" t="s">
        <v>165</v>
      </c>
      <c r="C123" s="37">
        <v>5.6</v>
      </c>
      <c r="D123" s="111"/>
    </row>
    <row r="124" spans="1:4" ht="15.75" outlineLevel="1">
      <c r="A124" s="37" t="s">
        <v>1133</v>
      </c>
      <c r="B124" s="38" t="s">
        <v>1131</v>
      </c>
      <c r="C124" s="39">
        <v>5.0999999999999996</v>
      </c>
      <c r="D124" s="111"/>
    </row>
    <row r="125" spans="1:4" ht="15.75" outlineLevel="1">
      <c r="A125" s="37" t="s">
        <v>1133</v>
      </c>
      <c r="B125" s="38" t="s">
        <v>1130</v>
      </c>
      <c r="C125" s="37">
        <v>5.14</v>
      </c>
      <c r="D125" s="111"/>
    </row>
    <row r="126" spans="1:4" ht="15.75" outlineLevel="1">
      <c r="A126" s="37" t="s">
        <v>1133</v>
      </c>
      <c r="B126" s="38" t="s">
        <v>4</v>
      </c>
      <c r="C126" s="37">
        <v>5.19</v>
      </c>
      <c r="D126" s="111"/>
    </row>
    <row r="127" spans="1:4" ht="15.75" outlineLevel="1">
      <c r="A127" s="37" t="s">
        <v>1133</v>
      </c>
      <c r="B127" s="38" t="s">
        <v>167</v>
      </c>
      <c r="C127" s="37">
        <v>5.24</v>
      </c>
      <c r="D127" s="111"/>
    </row>
    <row r="128" spans="1:4" ht="15.75" outlineLevel="1">
      <c r="A128" s="37" t="s">
        <v>1133</v>
      </c>
      <c r="B128" s="38" t="s">
        <v>5</v>
      </c>
      <c r="C128" s="37">
        <v>5.26</v>
      </c>
      <c r="D128" s="111"/>
    </row>
    <row r="129" spans="1:4" ht="15.75" outlineLevel="1">
      <c r="A129" s="37" t="s">
        <v>1133</v>
      </c>
      <c r="B129" s="38" t="s">
        <v>6</v>
      </c>
      <c r="C129" s="37">
        <v>5.27</v>
      </c>
      <c r="D129" s="111"/>
    </row>
    <row r="130" spans="1:4" ht="15.75" outlineLevel="1">
      <c r="A130" s="37" t="s">
        <v>1133</v>
      </c>
      <c r="B130" s="38" t="s">
        <v>7</v>
      </c>
      <c r="C130" s="37">
        <v>5.28</v>
      </c>
      <c r="D130" s="111"/>
    </row>
    <row r="131" spans="1:4" ht="15.75" outlineLevel="1">
      <c r="A131" s="37" t="s">
        <v>1133</v>
      </c>
      <c r="B131" s="38" t="s">
        <v>343</v>
      </c>
      <c r="C131" s="37">
        <v>5.29</v>
      </c>
      <c r="D131" s="111"/>
    </row>
    <row r="132" spans="1:4" ht="15.75" outlineLevel="1">
      <c r="A132" s="37" t="s">
        <v>1133</v>
      </c>
      <c r="B132" s="38" t="s">
        <v>8</v>
      </c>
      <c r="C132" s="39">
        <v>5.3</v>
      </c>
      <c r="D132" s="111"/>
    </row>
    <row r="133" spans="1:4" ht="15.75" outlineLevel="1">
      <c r="A133" s="37" t="s">
        <v>1133</v>
      </c>
      <c r="B133" s="38" t="s">
        <v>168</v>
      </c>
      <c r="C133" s="37">
        <v>5.31</v>
      </c>
      <c r="D133" s="111"/>
    </row>
    <row r="134" spans="1:4" ht="15.75" outlineLevel="1">
      <c r="A134" s="37" t="s">
        <v>1133</v>
      </c>
      <c r="B134" s="38" t="s">
        <v>139</v>
      </c>
      <c r="C134" s="37">
        <v>5.36</v>
      </c>
      <c r="D134" s="111"/>
    </row>
    <row r="135" spans="1:4" ht="15.75" outlineLevel="1">
      <c r="A135" s="37" t="s">
        <v>1133</v>
      </c>
      <c r="B135" s="38" t="s">
        <v>11</v>
      </c>
      <c r="C135" s="37">
        <v>5.53</v>
      </c>
      <c r="D135" s="111"/>
    </row>
    <row r="136" spans="1:4" ht="15.75" outlineLevel="1">
      <c r="A136" s="37" t="s">
        <v>1133</v>
      </c>
      <c r="B136" s="38" t="s">
        <v>17</v>
      </c>
      <c r="C136" s="37">
        <v>5.58</v>
      </c>
      <c r="D136" s="111"/>
    </row>
    <row r="137" spans="1:4" ht="15.75" outlineLevel="1">
      <c r="A137" s="37" t="s">
        <v>1133</v>
      </c>
      <c r="B137" s="38" t="s">
        <v>16</v>
      </c>
      <c r="C137" s="37">
        <v>5.62</v>
      </c>
      <c r="D137" s="111"/>
    </row>
    <row r="138" spans="1:4" ht="15.75" outlineLevel="1">
      <c r="A138" s="37" t="s">
        <v>1133</v>
      </c>
      <c r="B138" s="38" t="s">
        <v>18</v>
      </c>
      <c r="C138" s="37">
        <v>5.54</v>
      </c>
      <c r="D138" s="111"/>
    </row>
    <row r="139" spans="1:4" ht="15.75" outlineLevel="1">
      <c r="A139" s="37" t="s">
        <v>1133</v>
      </c>
      <c r="B139" s="38" t="s">
        <v>19</v>
      </c>
      <c r="C139" s="37">
        <v>5.55</v>
      </c>
      <c r="D139" s="111"/>
    </row>
    <row r="140" spans="1:4" ht="15.75" outlineLevel="1">
      <c r="A140" s="37" t="s">
        <v>1133</v>
      </c>
      <c r="B140" s="38" t="s">
        <v>20</v>
      </c>
      <c r="C140" s="37">
        <v>5.63</v>
      </c>
      <c r="D140" s="111"/>
    </row>
    <row r="141" spans="1:4" ht="15.75" outlineLevel="1">
      <c r="A141" s="37" t="s">
        <v>1133</v>
      </c>
      <c r="B141" s="38" t="s">
        <v>23</v>
      </c>
      <c r="C141" s="37">
        <v>5.45</v>
      </c>
      <c r="D141" s="111"/>
    </row>
    <row r="142" spans="1:4" ht="15.75" outlineLevel="1">
      <c r="A142" s="37" t="s">
        <v>1133</v>
      </c>
      <c r="B142" s="38" t="s">
        <v>24</v>
      </c>
      <c r="C142" s="37">
        <v>5.47</v>
      </c>
      <c r="D142" s="111"/>
    </row>
    <row r="143" spans="1:4" ht="15.75" outlineLevel="1">
      <c r="A143" s="37" t="s">
        <v>1133</v>
      </c>
      <c r="B143" s="38" t="s">
        <v>25</v>
      </c>
      <c r="C143" s="37">
        <v>5.48</v>
      </c>
      <c r="D143" s="111"/>
    </row>
    <row r="144" spans="1:4" ht="15.75">
      <c r="A144" s="43" t="s">
        <v>1133</v>
      </c>
      <c r="B144" s="38"/>
      <c r="C144" s="37"/>
      <c r="D144" s="111"/>
    </row>
    <row r="145" spans="1:4" ht="15.75" outlineLevel="1">
      <c r="A145" s="37" t="s">
        <v>488</v>
      </c>
      <c r="B145" s="38" t="s">
        <v>0</v>
      </c>
      <c r="C145" s="37">
        <v>5.0999999999999996</v>
      </c>
      <c r="D145" s="111"/>
    </row>
    <row r="146" spans="1:4" ht="15.75" outlineLevel="1">
      <c r="A146" s="37" t="s">
        <v>488</v>
      </c>
      <c r="B146" s="38" t="s">
        <v>1</v>
      </c>
      <c r="C146" s="37">
        <v>5.2</v>
      </c>
      <c r="D146" s="111"/>
    </row>
    <row r="147" spans="1:4" ht="15.75" outlineLevel="1">
      <c r="A147" s="37" t="s">
        <v>488</v>
      </c>
      <c r="B147" s="38" t="s">
        <v>2</v>
      </c>
      <c r="C147" s="37">
        <v>5.3</v>
      </c>
      <c r="D147" s="111"/>
    </row>
    <row r="148" spans="1:4" ht="15.75" outlineLevel="1">
      <c r="A148" s="37" t="s">
        <v>488</v>
      </c>
      <c r="B148" s="38" t="s">
        <v>165</v>
      </c>
      <c r="C148" s="37">
        <v>5.6</v>
      </c>
      <c r="D148" s="111"/>
    </row>
    <row r="149" spans="1:4" ht="15.75" outlineLevel="1">
      <c r="A149" s="37" t="s">
        <v>488</v>
      </c>
      <c r="B149" s="38" t="s">
        <v>1131</v>
      </c>
      <c r="C149" s="39">
        <v>5.0999999999999996</v>
      </c>
      <c r="D149" s="111"/>
    </row>
    <row r="150" spans="1:4" ht="15.75" outlineLevel="1">
      <c r="A150" s="37" t="s">
        <v>488</v>
      </c>
      <c r="B150" s="38" t="s">
        <v>1130</v>
      </c>
      <c r="C150" s="37">
        <v>5.14</v>
      </c>
      <c r="D150" s="111"/>
    </row>
    <row r="151" spans="1:4" ht="15.75" outlineLevel="1">
      <c r="A151" s="37" t="s">
        <v>488</v>
      </c>
      <c r="B151" s="38" t="s">
        <v>4</v>
      </c>
      <c r="C151" s="37">
        <v>5.19</v>
      </c>
      <c r="D151" s="111"/>
    </row>
    <row r="152" spans="1:4" ht="15.75" outlineLevel="1">
      <c r="A152" s="37" t="s">
        <v>488</v>
      </c>
      <c r="B152" s="38" t="s">
        <v>167</v>
      </c>
      <c r="C152" s="37">
        <v>5.24</v>
      </c>
      <c r="D152" s="111"/>
    </row>
    <row r="153" spans="1:4" ht="15.75" outlineLevel="1">
      <c r="A153" s="37" t="s">
        <v>488</v>
      </c>
      <c r="B153" s="38" t="s">
        <v>5</v>
      </c>
      <c r="C153" s="37">
        <v>5.26</v>
      </c>
      <c r="D153" s="111"/>
    </row>
    <row r="154" spans="1:4" ht="15.75" outlineLevel="1">
      <c r="A154" s="37" t="s">
        <v>488</v>
      </c>
      <c r="B154" s="38" t="s">
        <v>6</v>
      </c>
      <c r="C154" s="37">
        <v>5.27</v>
      </c>
      <c r="D154" s="111"/>
    </row>
    <row r="155" spans="1:4" ht="15.75" outlineLevel="1">
      <c r="A155" s="37" t="s">
        <v>488</v>
      </c>
      <c r="B155" s="38" t="s">
        <v>7</v>
      </c>
      <c r="C155" s="37">
        <v>5.28</v>
      </c>
      <c r="D155" s="111"/>
    </row>
    <row r="156" spans="1:4" ht="15.75" outlineLevel="1">
      <c r="A156" s="37" t="s">
        <v>488</v>
      </c>
      <c r="B156" s="38" t="s">
        <v>8</v>
      </c>
      <c r="C156" s="39">
        <v>5.3</v>
      </c>
      <c r="D156" s="111"/>
    </row>
    <row r="157" spans="1:4" ht="15.75" outlineLevel="1">
      <c r="A157" s="37" t="s">
        <v>488</v>
      </c>
      <c r="B157" s="38" t="s">
        <v>586</v>
      </c>
      <c r="C157" s="37">
        <v>5.32</v>
      </c>
      <c r="D157" s="111"/>
    </row>
    <row r="158" spans="1:4" ht="15.75" outlineLevel="1">
      <c r="A158" s="37" t="s">
        <v>488</v>
      </c>
      <c r="B158" s="38" t="s">
        <v>139</v>
      </c>
      <c r="C158" s="37">
        <v>5.36</v>
      </c>
      <c r="D158" s="111"/>
    </row>
    <row r="159" spans="1:4" ht="15.75" outlineLevel="1">
      <c r="A159" s="37" t="s">
        <v>488</v>
      </c>
      <c r="B159" s="38" t="s">
        <v>11</v>
      </c>
      <c r="C159" s="37">
        <v>5.53</v>
      </c>
      <c r="D159" s="111"/>
    </row>
    <row r="160" spans="1:4" ht="15.75" outlineLevel="1">
      <c r="A160" s="37" t="s">
        <v>488</v>
      </c>
      <c r="B160" s="38" t="s">
        <v>17</v>
      </c>
      <c r="C160" s="37">
        <v>5.58</v>
      </c>
      <c r="D160" s="111"/>
    </row>
    <row r="161" spans="1:5" ht="15.75" outlineLevel="1">
      <c r="A161" s="37" t="s">
        <v>488</v>
      </c>
      <c r="B161" s="38" t="s">
        <v>18</v>
      </c>
      <c r="C161" s="37">
        <v>5.54</v>
      </c>
      <c r="D161" s="111"/>
    </row>
    <row r="162" spans="1:5" ht="15.75" outlineLevel="1">
      <c r="A162" s="37" t="s">
        <v>488</v>
      </c>
      <c r="B162" s="38" t="s">
        <v>19</v>
      </c>
      <c r="C162" s="37">
        <v>5.55</v>
      </c>
      <c r="D162" s="111"/>
    </row>
    <row r="163" spans="1:5" ht="15.75" outlineLevel="1">
      <c r="A163" s="37" t="s">
        <v>488</v>
      </c>
      <c r="B163" s="38" t="s">
        <v>16</v>
      </c>
      <c r="C163" s="37">
        <v>5.62</v>
      </c>
      <c r="D163" s="111"/>
      <c r="E163" t="s">
        <v>1134</v>
      </c>
    </row>
    <row r="164" spans="1:5" ht="15.75" outlineLevel="1">
      <c r="A164" s="37" t="s">
        <v>488</v>
      </c>
      <c r="B164" s="38" t="s">
        <v>20</v>
      </c>
      <c r="C164" s="37">
        <v>5.63</v>
      </c>
      <c r="D164" s="111"/>
    </row>
    <row r="165" spans="1:5" ht="15.75" outlineLevel="1">
      <c r="A165" s="37" t="s">
        <v>488</v>
      </c>
      <c r="B165" s="38" t="s">
        <v>23</v>
      </c>
      <c r="C165" s="37">
        <v>5.45</v>
      </c>
      <c r="D165" s="111"/>
    </row>
    <row r="166" spans="1:5" ht="15.75" outlineLevel="1">
      <c r="A166" s="37" t="s">
        <v>488</v>
      </c>
      <c r="B166" s="38" t="s">
        <v>24</v>
      </c>
      <c r="C166" s="37">
        <v>5.47</v>
      </c>
      <c r="D166" s="111"/>
    </row>
    <row r="167" spans="1:5" ht="15.75" outlineLevel="1">
      <c r="A167" s="37" t="s">
        <v>488</v>
      </c>
      <c r="B167" s="38" t="s">
        <v>25</v>
      </c>
      <c r="C167" s="37">
        <v>5.48</v>
      </c>
      <c r="D167" s="111"/>
    </row>
    <row r="168" spans="1:5" ht="15.75">
      <c r="A168" s="43" t="s">
        <v>488</v>
      </c>
      <c r="B168" s="38"/>
      <c r="C168" s="37"/>
      <c r="D168" s="111"/>
    </row>
    <row r="169" spans="1:5" ht="15.75" outlineLevel="1">
      <c r="A169" s="37" t="s">
        <v>1004</v>
      </c>
      <c r="B169" s="38" t="s">
        <v>0</v>
      </c>
      <c r="C169" s="37">
        <v>5.0999999999999996</v>
      </c>
      <c r="D169" s="111"/>
    </row>
    <row r="170" spans="1:5" ht="15.75" outlineLevel="1">
      <c r="A170" s="37" t="s">
        <v>1004</v>
      </c>
      <c r="B170" s="38" t="s">
        <v>1</v>
      </c>
      <c r="C170" s="37">
        <v>5.2</v>
      </c>
      <c r="D170" s="111"/>
    </row>
    <row r="171" spans="1:5" ht="15.75" outlineLevel="1">
      <c r="A171" s="37" t="s">
        <v>1004</v>
      </c>
      <c r="B171" s="38" t="s">
        <v>2</v>
      </c>
      <c r="C171" s="37">
        <v>5.3</v>
      </c>
      <c r="D171" s="111"/>
    </row>
    <row r="172" spans="1:5" ht="15.75" outlineLevel="1">
      <c r="A172" s="37" t="s">
        <v>1004</v>
      </c>
      <c r="B172" s="38" t="s">
        <v>165</v>
      </c>
      <c r="C172" s="37">
        <v>5.6</v>
      </c>
      <c r="D172" s="111"/>
    </row>
    <row r="173" spans="1:5" ht="15.75" outlineLevel="1">
      <c r="A173" s="37" t="s">
        <v>1004</v>
      </c>
      <c r="B173" s="38" t="s">
        <v>1131</v>
      </c>
      <c r="C173" s="39">
        <v>5.0999999999999996</v>
      </c>
      <c r="D173" s="111"/>
    </row>
    <row r="174" spans="1:5" ht="15.75" outlineLevel="1">
      <c r="A174" s="37" t="s">
        <v>1004</v>
      </c>
      <c r="B174" s="38" t="s">
        <v>1130</v>
      </c>
      <c r="C174" s="37">
        <v>5.14</v>
      </c>
      <c r="D174" s="111"/>
    </row>
    <row r="175" spans="1:5" ht="15.75" outlineLevel="1">
      <c r="A175" s="37" t="s">
        <v>1004</v>
      </c>
      <c r="B175" s="38" t="s">
        <v>4</v>
      </c>
      <c r="C175" s="37">
        <v>5.19</v>
      </c>
      <c r="D175" s="111"/>
    </row>
    <row r="176" spans="1:5" ht="15.75" outlineLevel="1">
      <c r="A176" s="37" t="s">
        <v>1004</v>
      </c>
      <c r="B176" s="38" t="s">
        <v>167</v>
      </c>
      <c r="C176" s="37">
        <v>5.24</v>
      </c>
      <c r="D176" s="111"/>
    </row>
    <row r="177" spans="1:4" ht="15.75" outlineLevel="1">
      <c r="A177" s="37" t="s">
        <v>1004</v>
      </c>
      <c r="B177" s="38" t="s">
        <v>5</v>
      </c>
      <c r="C177" s="37">
        <v>5.26</v>
      </c>
      <c r="D177" s="111"/>
    </row>
    <row r="178" spans="1:4" ht="15.75" outlineLevel="1">
      <c r="A178" s="37" t="s">
        <v>1004</v>
      </c>
      <c r="B178" s="38" t="s">
        <v>6</v>
      </c>
      <c r="C178" s="37">
        <v>5.27</v>
      </c>
      <c r="D178" s="111"/>
    </row>
    <row r="179" spans="1:4" ht="15.75" outlineLevel="1">
      <c r="A179" s="37" t="s">
        <v>1004</v>
      </c>
      <c r="B179" s="38" t="s">
        <v>7</v>
      </c>
      <c r="C179" s="37">
        <v>5.28</v>
      </c>
      <c r="D179" s="111"/>
    </row>
    <row r="180" spans="1:4" ht="15.75" outlineLevel="1">
      <c r="A180" s="37" t="s">
        <v>1004</v>
      </c>
      <c r="B180" s="38" t="s">
        <v>343</v>
      </c>
      <c r="C180" s="37">
        <v>5.29</v>
      </c>
      <c r="D180" s="111"/>
    </row>
    <row r="181" spans="1:4" ht="15.75" outlineLevel="1">
      <c r="A181" s="37" t="s">
        <v>1004</v>
      </c>
      <c r="B181" s="38" t="s">
        <v>8</v>
      </c>
      <c r="C181" s="39">
        <v>5.3</v>
      </c>
      <c r="D181" s="111"/>
    </row>
    <row r="182" spans="1:4" ht="15.75" outlineLevel="1">
      <c r="A182" s="37" t="s">
        <v>1004</v>
      </c>
      <c r="B182" s="38" t="s">
        <v>586</v>
      </c>
      <c r="C182" s="37">
        <v>5.32</v>
      </c>
      <c r="D182" s="111"/>
    </row>
    <row r="183" spans="1:4" ht="15.75" outlineLevel="1">
      <c r="A183" s="37" t="s">
        <v>1004</v>
      </c>
      <c r="B183" s="38" t="s">
        <v>139</v>
      </c>
      <c r="C183" s="37">
        <v>5.36</v>
      </c>
      <c r="D183" s="111"/>
    </row>
    <row r="184" spans="1:4" ht="15.75" outlineLevel="1">
      <c r="A184" s="37" t="s">
        <v>1004</v>
      </c>
      <c r="B184" s="38" t="s">
        <v>11</v>
      </c>
      <c r="C184" s="37">
        <v>5.53</v>
      </c>
      <c r="D184" s="111"/>
    </row>
    <row r="185" spans="1:4" ht="15.75" outlineLevel="1">
      <c r="A185" s="37" t="s">
        <v>1004</v>
      </c>
      <c r="B185" s="38" t="s">
        <v>17</v>
      </c>
      <c r="C185" s="37">
        <v>5.58</v>
      </c>
      <c r="D185" s="111"/>
    </row>
    <row r="186" spans="1:4" ht="15.75" outlineLevel="1">
      <c r="A186" s="37" t="s">
        <v>1004</v>
      </c>
      <c r="B186" s="38" t="s">
        <v>18</v>
      </c>
      <c r="C186" s="37">
        <v>5.54</v>
      </c>
      <c r="D186" s="111"/>
    </row>
    <row r="187" spans="1:4" ht="15.75" outlineLevel="1">
      <c r="A187" s="37" t="s">
        <v>1004</v>
      </c>
      <c r="B187" s="38" t="s">
        <v>19</v>
      </c>
      <c r="C187" s="37">
        <v>5.55</v>
      </c>
      <c r="D187" s="111"/>
    </row>
    <row r="188" spans="1:4" ht="15.75" outlineLevel="1">
      <c r="A188" s="37" t="s">
        <v>1004</v>
      </c>
      <c r="B188" s="38" t="s">
        <v>20</v>
      </c>
      <c r="C188" s="37">
        <v>5.63</v>
      </c>
      <c r="D188" s="111"/>
    </row>
    <row r="189" spans="1:4" ht="15.75" outlineLevel="1">
      <c r="A189" s="37" t="s">
        <v>1004</v>
      </c>
      <c r="B189" s="38" t="s">
        <v>23</v>
      </c>
      <c r="C189" s="37">
        <v>5.45</v>
      </c>
      <c r="D189" s="111"/>
    </row>
    <row r="190" spans="1:4" ht="15.75" outlineLevel="1">
      <c r="A190" s="37" t="s">
        <v>1004</v>
      </c>
      <c r="B190" s="38" t="s">
        <v>24</v>
      </c>
      <c r="C190" s="37">
        <v>5.47</v>
      </c>
      <c r="D190" s="111"/>
    </row>
    <row r="191" spans="1:4" ht="15.75" outlineLevel="1">
      <c r="A191" s="37" t="s">
        <v>1004</v>
      </c>
      <c r="B191" s="38" t="s">
        <v>25</v>
      </c>
      <c r="C191" s="37">
        <v>5.48</v>
      </c>
      <c r="D191" s="111"/>
    </row>
    <row r="192" spans="1:4" ht="15.75">
      <c r="A192" s="43" t="s">
        <v>1004</v>
      </c>
      <c r="B192" s="38"/>
      <c r="C192" s="37"/>
      <c r="D192" s="111"/>
    </row>
    <row r="193" spans="1:4" ht="15.75" outlineLevel="1">
      <c r="A193" s="37" t="s">
        <v>1135</v>
      </c>
      <c r="B193" s="38" t="s">
        <v>0</v>
      </c>
      <c r="C193" s="37">
        <v>5.0999999999999996</v>
      </c>
      <c r="D193" s="111"/>
    </row>
    <row r="194" spans="1:4" ht="15.75" outlineLevel="1">
      <c r="A194" s="37" t="s">
        <v>1135</v>
      </c>
      <c r="B194" s="38" t="s">
        <v>1</v>
      </c>
      <c r="C194" s="37">
        <v>5.2</v>
      </c>
      <c r="D194" s="111"/>
    </row>
    <row r="195" spans="1:4" ht="15.75" outlineLevel="1">
      <c r="A195" s="37" t="s">
        <v>1135</v>
      </c>
      <c r="B195" s="38" t="s">
        <v>2</v>
      </c>
      <c r="C195" s="37">
        <v>5.3</v>
      </c>
      <c r="D195" s="111"/>
    </row>
    <row r="196" spans="1:4" ht="15.75" outlineLevel="1">
      <c r="A196" s="37" t="s">
        <v>1135</v>
      </c>
      <c r="B196" s="38" t="s">
        <v>165</v>
      </c>
      <c r="C196" s="37">
        <v>5.6</v>
      </c>
      <c r="D196" s="111"/>
    </row>
    <row r="197" spans="1:4" ht="15.75" outlineLevel="1">
      <c r="A197" s="37" t="s">
        <v>1135</v>
      </c>
      <c r="B197" s="38" t="s">
        <v>1131</v>
      </c>
      <c r="C197" s="39">
        <v>5.0999999999999996</v>
      </c>
      <c r="D197" s="111"/>
    </row>
    <row r="198" spans="1:4" ht="15.75" outlineLevel="1">
      <c r="A198" s="37" t="s">
        <v>1135</v>
      </c>
      <c r="B198" s="38" t="s">
        <v>1130</v>
      </c>
      <c r="C198" s="37">
        <v>5.14</v>
      </c>
      <c r="D198" s="111"/>
    </row>
    <row r="199" spans="1:4" ht="15.75" outlineLevel="1">
      <c r="A199" s="37" t="s">
        <v>1135</v>
      </c>
      <c r="B199" s="38" t="s">
        <v>4</v>
      </c>
      <c r="C199" s="37">
        <v>5.19</v>
      </c>
      <c r="D199" s="111"/>
    </row>
    <row r="200" spans="1:4" ht="15.75" outlineLevel="1">
      <c r="A200" s="37" t="s">
        <v>1135</v>
      </c>
      <c r="B200" s="38" t="s">
        <v>167</v>
      </c>
      <c r="C200" s="37">
        <v>5.24</v>
      </c>
      <c r="D200" s="111"/>
    </row>
    <row r="201" spans="1:4" ht="15.75" outlineLevel="1">
      <c r="A201" s="37" t="s">
        <v>1135</v>
      </c>
      <c r="B201" s="38" t="s">
        <v>6</v>
      </c>
      <c r="C201" s="37">
        <v>5.27</v>
      </c>
      <c r="D201" s="111"/>
    </row>
    <row r="202" spans="1:4" ht="15.75" outlineLevel="1">
      <c r="A202" s="37" t="s">
        <v>1135</v>
      </c>
      <c r="B202" s="38" t="s">
        <v>7</v>
      </c>
      <c r="C202" s="37">
        <v>5.28</v>
      </c>
      <c r="D202" s="111"/>
    </row>
    <row r="203" spans="1:4" ht="15.75" outlineLevel="1">
      <c r="A203" s="37" t="s">
        <v>1135</v>
      </c>
      <c r="B203" s="38" t="s">
        <v>343</v>
      </c>
      <c r="C203" s="37">
        <v>5.29</v>
      </c>
      <c r="D203" s="111"/>
    </row>
    <row r="204" spans="1:4" ht="15.75" outlineLevel="1">
      <c r="A204" s="37" t="s">
        <v>1135</v>
      </c>
      <c r="B204" s="38" t="s">
        <v>8</v>
      </c>
      <c r="C204" s="39">
        <v>5.3</v>
      </c>
      <c r="D204" s="111"/>
    </row>
    <row r="205" spans="1:4" ht="15.75" outlineLevel="1">
      <c r="A205" s="37" t="s">
        <v>1135</v>
      </c>
      <c r="B205" s="38" t="s">
        <v>1136</v>
      </c>
      <c r="C205" s="37">
        <v>5.34</v>
      </c>
      <c r="D205" s="111"/>
    </row>
    <row r="206" spans="1:4" ht="15.75" outlineLevel="1">
      <c r="A206" s="37" t="s">
        <v>1135</v>
      </c>
      <c r="B206" s="38" t="s">
        <v>168</v>
      </c>
      <c r="C206" s="37">
        <v>5.31</v>
      </c>
      <c r="D206" s="111"/>
    </row>
    <row r="207" spans="1:4" ht="15.75" outlineLevel="1">
      <c r="A207" s="37" t="s">
        <v>1135</v>
      </c>
      <c r="B207" s="38" t="s">
        <v>1137</v>
      </c>
      <c r="C207" s="37">
        <v>5.101</v>
      </c>
      <c r="D207" s="111"/>
    </row>
    <row r="208" spans="1:4" ht="15.75" outlineLevel="1">
      <c r="A208" s="37" t="s">
        <v>1135</v>
      </c>
      <c r="B208" s="38" t="s">
        <v>139</v>
      </c>
      <c r="C208" s="37">
        <v>5.36</v>
      </c>
      <c r="D208" s="111"/>
    </row>
    <row r="209" spans="1:4" ht="15.75" outlineLevel="1">
      <c r="A209" s="37" t="s">
        <v>1135</v>
      </c>
      <c r="B209" s="38" t="s">
        <v>11</v>
      </c>
      <c r="C209" s="37">
        <v>5.53</v>
      </c>
      <c r="D209" s="111"/>
    </row>
    <row r="210" spans="1:4" ht="15.75" outlineLevel="1">
      <c r="A210" s="37" t="s">
        <v>1135</v>
      </c>
      <c r="B210" s="38" t="s">
        <v>1138</v>
      </c>
      <c r="C210" s="37">
        <v>5.1020000000000003</v>
      </c>
      <c r="D210" s="111"/>
    </row>
    <row r="211" spans="1:4" ht="15.75" outlineLevel="1">
      <c r="A211" s="37" t="s">
        <v>1135</v>
      </c>
      <c r="B211" s="38" t="s">
        <v>1139</v>
      </c>
      <c r="C211" s="40">
        <v>5.0999999999999996</v>
      </c>
      <c r="D211" s="111"/>
    </row>
    <row r="212" spans="1:4" ht="15.75" outlineLevel="1">
      <c r="A212" s="37" t="s">
        <v>1135</v>
      </c>
      <c r="B212" s="38" t="s">
        <v>17</v>
      </c>
      <c r="C212" s="37">
        <v>5.58</v>
      </c>
      <c r="D212" s="111"/>
    </row>
    <row r="213" spans="1:4" ht="15.75" outlineLevel="1">
      <c r="A213" s="37" t="s">
        <v>1135</v>
      </c>
      <c r="B213" s="38" t="s">
        <v>18</v>
      </c>
      <c r="C213" s="37">
        <v>5.54</v>
      </c>
      <c r="D213" s="111"/>
    </row>
    <row r="214" spans="1:4" ht="15.75" outlineLevel="1">
      <c r="A214" s="37" t="s">
        <v>1135</v>
      </c>
      <c r="B214" s="38" t="s">
        <v>19</v>
      </c>
      <c r="C214" s="37">
        <v>5.55</v>
      </c>
      <c r="D214" s="111"/>
    </row>
    <row r="215" spans="1:4" ht="15.75" outlineLevel="1">
      <c r="A215" s="37" t="s">
        <v>1135</v>
      </c>
      <c r="B215" s="38" t="s">
        <v>20</v>
      </c>
      <c r="C215" s="37">
        <v>5.63</v>
      </c>
      <c r="D215" s="111"/>
    </row>
    <row r="216" spans="1:4" ht="15.75" outlineLevel="1">
      <c r="A216" s="37" t="s">
        <v>1135</v>
      </c>
      <c r="B216" s="38" t="s">
        <v>24</v>
      </c>
      <c r="C216" s="37">
        <v>5.47</v>
      </c>
      <c r="D216" s="111"/>
    </row>
    <row r="217" spans="1:4" ht="15.75" outlineLevel="1">
      <c r="A217" s="37" t="s">
        <v>1135</v>
      </c>
      <c r="B217" s="38" t="s">
        <v>25</v>
      </c>
      <c r="C217" s="37">
        <v>5.48</v>
      </c>
      <c r="D217" s="111"/>
    </row>
    <row r="218" spans="1:4" ht="15.75">
      <c r="A218" s="43" t="s">
        <v>1135</v>
      </c>
      <c r="B218" s="38"/>
      <c r="C218" s="37"/>
      <c r="D218" s="111"/>
    </row>
    <row r="219" spans="1:4" ht="15.75" outlineLevel="1">
      <c r="A219" s="37" t="s">
        <v>1007</v>
      </c>
      <c r="B219" s="38" t="s">
        <v>0</v>
      </c>
      <c r="C219" s="37">
        <v>5.0999999999999996</v>
      </c>
      <c r="D219" s="111"/>
    </row>
    <row r="220" spans="1:4" ht="15.75" outlineLevel="1">
      <c r="A220" s="37" t="s">
        <v>1007</v>
      </c>
      <c r="B220" s="38" t="s">
        <v>1</v>
      </c>
      <c r="C220" s="37">
        <v>5.2</v>
      </c>
      <c r="D220" s="111"/>
    </row>
    <row r="221" spans="1:4" ht="15.75" outlineLevel="1">
      <c r="A221" s="37" t="s">
        <v>1007</v>
      </c>
      <c r="B221" s="38" t="s">
        <v>2</v>
      </c>
      <c r="C221" s="37">
        <v>5.3</v>
      </c>
      <c r="D221" s="111"/>
    </row>
    <row r="222" spans="1:4" ht="15.75" outlineLevel="1">
      <c r="A222" s="37" t="s">
        <v>1007</v>
      </c>
      <c r="B222" s="38" t="s">
        <v>165</v>
      </c>
      <c r="C222" s="37">
        <v>5.6</v>
      </c>
      <c r="D222" s="111"/>
    </row>
    <row r="223" spans="1:4" ht="15.75" outlineLevel="1">
      <c r="A223" s="37" t="s">
        <v>1007</v>
      </c>
      <c r="B223" s="38" t="s">
        <v>1131</v>
      </c>
      <c r="C223" s="39">
        <v>5.0999999999999996</v>
      </c>
      <c r="D223" s="111"/>
    </row>
    <row r="224" spans="1:4" ht="15.75" outlineLevel="1">
      <c r="A224" s="37" t="s">
        <v>1007</v>
      </c>
      <c r="B224" s="38" t="s">
        <v>1130</v>
      </c>
      <c r="C224" s="37">
        <v>5.14</v>
      </c>
      <c r="D224" s="111"/>
    </row>
    <row r="225" spans="1:4" ht="15.75" outlineLevel="1">
      <c r="A225" s="37" t="s">
        <v>1007</v>
      </c>
      <c r="B225" s="38" t="s">
        <v>4</v>
      </c>
      <c r="C225" s="37">
        <v>5.19</v>
      </c>
      <c r="D225" s="111"/>
    </row>
    <row r="226" spans="1:4" ht="15.75" outlineLevel="1">
      <c r="A226" s="37" t="s">
        <v>1007</v>
      </c>
      <c r="B226" s="38" t="s">
        <v>167</v>
      </c>
      <c r="C226" s="37">
        <v>5.24</v>
      </c>
      <c r="D226" s="111"/>
    </row>
    <row r="227" spans="1:4" ht="15.75" outlineLevel="1">
      <c r="A227" s="37" t="s">
        <v>1007</v>
      </c>
      <c r="B227" s="38" t="s">
        <v>5</v>
      </c>
      <c r="C227" s="37">
        <v>5.26</v>
      </c>
      <c r="D227" s="111"/>
    </row>
    <row r="228" spans="1:4" ht="15.75" outlineLevel="1">
      <c r="A228" s="37" t="s">
        <v>1007</v>
      </c>
      <c r="B228" s="38" t="s">
        <v>6</v>
      </c>
      <c r="C228" s="37">
        <v>5.27</v>
      </c>
      <c r="D228" s="111"/>
    </row>
    <row r="229" spans="1:4" ht="15.75" outlineLevel="1">
      <c r="A229" s="37" t="s">
        <v>1007</v>
      </c>
      <c r="B229" s="38" t="s">
        <v>7</v>
      </c>
      <c r="C229" s="37">
        <v>5.28</v>
      </c>
      <c r="D229" s="111"/>
    </row>
    <row r="230" spans="1:4" ht="15.75" outlineLevel="1">
      <c r="A230" s="37" t="s">
        <v>1007</v>
      </c>
      <c r="B230" s="38" t="s">
        <v>343</v>
      </c>
      <c r="C230" s="37">
        <v>5.29</v>
      </c>
      <c r="D230" s="111"/>
    </row>
    <row r="231" spans="1:4" ht="15.75" outlineLevel="1">
      <c r="A231" s="37" t="s">
        <v>1007</v>
      </c>
      <c r="B231" s="38" t="s">
        <v>8</v>
      </c>
      <c r="C231" s="39">
        <v>5.3</v>
      </c>
      <c r="D231" s="111"/>
    </row>
    <row r="232" spans="1:4" ht="15.75" outlineLevel="1">
      <c r="A232" s="37" t="s">
        <v>1007</v>
      </c>
      <c r="B232" s="38" t="s">
        <v>168</v>
      </c>
      <c r="C232" s="37">
        <v>5.31</v>
      </c>
      <c r="D232" s="111"/>
    </row>
    <row r="233" spans="1:4" ht="15.75" outlineLevel="1">
      <c r="A233" s="37" t="s">
        <v>1007</v>
      </c>
      <c r="B233" s="38" t="s">
        <v>191</v>
      </c>
      <c r="C233" s="37">
        <v>5.33</v>
      </c>
      <c r="D233" s="111"/>
    </row>
    <row r="234" spans="1:4" ht="15.75" outlineLevel="1">
      <c r="A234" s="37" t="s">
        <v>1007</v>
      </c>
      <c r="B234" s="38" t="s">
        <v>1137</v>
      </c>
      <c r="C234" s="37">
        <v>5.101</v>
      </c>
      <c r="D234" s="111"/>
    </row>
    <row r="235" spans="1:4" ht="15.75" outlineLevel="1">
      <c r="A235" s="37" t="s">
        <v>1007</v>
      </c>
      <c r="B235" s="38" t="s">
        <v>139</v>
      </c>
      <c r="C235" s="37">
        <v>5.36</v>
      </c>
      <c r="D235" s="111"/>
    </row>
    <row r="236" spans="1:4" ht="15.75" outlineLevel="1">
      <c r="A236" s="37" t="s">
        <v>1007</v>
      </c>
      <c r="B236" s="38" t="s">
        <v>11</v>
      </c>
      <c r="C236" s="37">
        <v>5.53</v>
      </c>
      <c r="D236" s="111"/>
    </row>
    <row r="237" spans="1:4" ht="15.75" outlineLevel="1">
      <c r="A237" s="37" t="s">
        <v>1007</v>
      </c>
      <c r="B237" s="38" t="s">
        <v>1138</v>
      </c>
      <c r="C237" s="37">
        <v>5.1020000000000003</v>
      </c>
      <c r="D237" s="111"/>
    </row>
    <row r="238" spans="1:4" ht="15.75" outlineLevel="1">
      <c r="A238" s="37" t="s">
        <v>1007</v>
      </c>
      <c r="B238" s="38" t="s">
        <v>17</v>
      </c>
      <c r="C238" s="37">
        <v>5.58</v>
      </c>
      <c r="D238" s="111"/>
    </row>
    <row r="239" spans="1:4" ht="15.75" outlineLevel="1">
      <c r="A239" s="37" t="s">
        <v>1007</v>
      </c>
      <c r="B239" s="38" t="s">
        <v>18</v>
      </c>
      <c r="C239" s="37">
        <v>5.54</v>
      </c>
      <c r="D239" s="111"/>
    </row>
    <row r="240" spans="1:4" ht="15.75" outlineLevel="1">
      <c r="A240" s="37" t="s">
        <v>1007</v>
      </c>
      <c r="B240" s="38" t="s">
        <v>19</v>
      </c>
      <c r="C240" s="37">
        <v>5.55</v>
      </c>
      <c r="D240" s="111"/>
    </row>
    <row r="241" spans="1:4" ht="15.75" outlineLevel="1">
      <c r="A241" s="37" t="s">
        <v>1007</v>
      </c>
      <c r="B241" s="38" t="s">
        <v>20</v>
      </c>
      <c r="C241" s="37">
        <v>5.63</v>
      </c>
      <c r="D241" s="111"/>
    </row>
    <row r="242" spans="1:4" ht="15.75" outlineLevel="1">
      <c r="A242" s="37" t="s">
        <v>1007</v>
      </c>
      <c r="B242" s="38" t="s">
        <v>24</v>
      </c>
      <c r="C242" s="37">
        <v>5.47</v>
      </c>
      <c r="D242" s="111"/>
    </row>
    <row r="243" spans="1:4" ht="15.75" outlineLevel="1">
      <c r="A243" s="37" t="s">
        <v>1007</v>
      </c>
      <c r="B243" s="38" t="s">
        <v>25</v>
      </c>
      <c r="C243" s="37">
        <v>5.48</v>
      </c>
      <c r="D243" s="111"/>
    </row>
    <row r="244" spans="1:4" ht="15.75">
      <c r="A244" s="43" t="s">
        <v>1007</v>
      </c>
      <c r="B244" s="38"/>
      <c r="C244" s="37"/>
      <c r="D244" s="111"/>
    </row>
    <row r="245" spans="1:4" ht="15.75" outlineLevel="1">
      <c r="A245" s="37" t="s">
        <v>1140</v>
      </c>
      <c r="B245" s="38" t="s">
        <v>0</v>
      </c>
      <c r="C245" s="37">
        <v>5.0999999999999996</v>
      </c>
      <c r="D245" s="111"/>
    </row>
    <row r="246" spans="1:4" ht="15.75" outlineLevel="1">
      <c r="A246" s="37" t="s">
        <v>1140</v>
      </c>
      <c r="B246" s="38" t="s">
        <v>1</v>
      </c>
      <c r="C246" s="37">
        <v>5.2</v>
      </c>
      <c r="D246" s="111"/>
    </row>
    <row r="247" spans="1:4" ht="15.75" outlineLevel="1">
      <c r="A247" s="37" t="s">
        <v>1140</v>
      </c>
      <c r="B247" s="38" t="s">
        <v>2</v>
      </c>
      <c r="C247" s="37">
        <v>5.3</v>
      </c>
      <c r="D247" s="111"/>
    </row>
    <row r="248" spans="1:4" ht="15.75" outlineLevel="1">
      <c r="A248" s="37" t="s">
        <v>1140</v>
      </c>
      <c r="B248" s="38" t="s">
        <v>165</v>
      </c>
      <c r="C248" s="37">
        <v>5.6</v>
      </c>
      <c r="D248" s="111"/>
    </row>
    <row r="249" spans="1:4" ht="15.75" outlineLevel="1">
      <c r="A249" s="37" t="s">
        <v>1140</v>
      </c>
      <c r="B249" s="38" t="s">
        <v>1131</v>
      </c>
      <c r="C249" s="39">
        <v>5.0999999999999996</v>
      </c>
      <c r="D249" s="111"/>
    </row>
    <row r="250" spans="1:4" ht="15.75" outlineLevel="1">
      <c r="A250" s="37" t="s">
        <v>1140</v>
      </c>
      <c r="B250" s="38" t="s">
        <v>1130</v>
      </c>
      <c r="C250" s="37">
        <v>5.14</v>
      </c>
      <c r="D250" s="111"/>
    </row>
    <row r="251" spans="1:4" ht="15.75" outlineLevel="1">
      <c r="A251" s="37" t="s">
        <v>1140</v>
      </c>
      <c r="B251" s="38" t="s">
        <v>4</v>
      </c>
      <c r="C251" s="37">
        <v>5.19</v>
      </c>
      <c r="D251" s="111"/>
    </row>
    <row r="252" spans="1:4" ht="15.75" outlineLevel="1">
      <c r="A252" s="37" t="s">
        <v>1140</v>
      </c>
      <c r="B252" s="38" t="s">
        <v>167</v>
      </c>
      <c r="C252" s="37">
        <v>5.24</v>
      </c>
      <c r="D252" s="111"/>
    </row>
    <row r="253" spans="1:4" ht="15.75" outlineLevel="1">
      <c r="A253" s="37" t="s">
        <v>1140</v>
      </c>
      <c r="B253" s="38" t="s">
        <v>6</v>
      </c>
      <c r="C253" s="37">
        <v>5.27</v>
      </c>
      <c r="D253" s="111"/>
    </row>
    <row r="254" spans="1:4" ht="15.75" outlineLevel="1">
      <c r="A254" s="37" t="s">
        <v>1140</v>
      </c>
      <c r="B254" s="38" t="s">
        <v>7</v>
      </c>
      <c r="C254" s="37">
        <v>5.28</v>
      </c>
      <c r="D254" s="111"/>
    </row>
    <row r="255" spans="1:4" ht="15.75" outlineLevel="1">
      <c r="A255" s="37" t="s">
        <v>1140</v>
      </c>
      <c r="B255" s="38" t="s">
        <v>8</v>
      </c>
      <c r="C255" s="39">
        <v>5.3</v>
      </c>
      <c r="D255" s="111"/>
    </row>
    <row r="256" spans="1:4" ht="15.75" outlineLevel="1">
      <c r="A256" s="37" t="s">
        <v>1140</v>
      </c>
      <c r="B256" s="38" t="s">
        <v>191</v>
      </c>
      <c r="C256" s="37">
        <v>5.33</v>
      </c>
      <c r="D256" s="111"/>
    </row>
    <row r="257" spans="1:4" ht="15.75" outlineLevel="1">
      <c r="A257" s="37" t="s">
        <v>1140</v>
      </c>
      <c r="B257" s="38" t="s">
        <v>139</v>
      </c>
      <c r="C257" s="37">
        <v>5.36</v>
      </c>
      <c r="D257" s="111"/>
    </row>
    <row r="258" spans="1:4" ht="15.75" outlineLevel="1">
      <c r="A258" s="37" t="s">
        <v>1140</v>
      </c>
      <c r="B258" s="38" t="s">
        <v>11</v>
      </c>
      <c r="C258" s="37">
        <v>5.53</v>
      </c>
      <c r="D258" s="111"/>
    </row>
    <row r="259" spans="1:4" ht="15.75" outlineLevel="1">
      <c r="A259" s="37" t="s">
        <v>1140</v>
      </c>
      <c r="B259" s="38" t="s">
        <v>17</v>
      </c>
      <c r="C259" s="37">
        <v>5.58</v>
      </c>
      <c r="D259" s="111"/>
    </row>
    <row r="260" spans="1:4" ht="15.75" outlineLevel="1">
      <c r="A260" s="37" t="s">
        <v>1140</v>
      </c>
      <c r="B260" s="38" t="s">
        <v>18</v>
      </c>
      <c r="C260" s="37">
        <v>5.54</v>
      </c>
      <c r="D260" s="111"/>
    </row>
    <row r="261" spans="1:4" ht="15.75" outlineLevel="1">
      <c r="A261" s="37" t="s">
        <v>1140</v>
      </c>
      <c r="B261" s="38" t="s">
        <v>19</v>
      </c>
      <c r="C261" s="37">
        <v>5.55</v>
      </c>
      <c r="D261" s="111"/>
    </row>
    <row r="262" spans="1:4" ht="15.75" outlineLevel="1">
      <c r="A262" s="37" t="s">
        <v>1140</v>
      </c>
      <c r="B262" s="38" t="s">
        <v>20</v>
      </c>
      <c r="C262" s="37">
        <v>5.63</v>
      </c>
      <c r="D262" s="111"/>
    </row>
    <row r="263" spans="1:4" ht="15.75" outlineLevel="1">
      <c r="A263" s="37" t="s">
        <v>1140</v>
      </c>
      <c r="B263" s="38" t="s">
        <v>24</v>
      </c>
      <c r="C263" s="37">
        <v>5.47</v>
      </c>
      <c r="D263" s="111"/>
    </row>
    <row r="264" spans="1:4" ht="15.75" outlineLevel="1">
      <c r="A264" s="37" t="s">
        <v>1140</v>
      </c>
      <c r="B264" s="38" t="s">
        <v>25</v>
      </c>
      <c r="C264" s="37">
        <v>5.48</v>
      </c>
      <c r="D264" s="111"/>
    </row>
    <row r="265" spans="1:4" ht="15.75">
      <c r="A265" s="43" t="s">
        <v>1140</v>
      </c>
      <c r="B265" s="38"/>
      <c r="C265" s="37"/>
      <c r="D265" s="111"/>
    </row>
    <row r="266" spans="1:4" ht="15.75" outlineLevel="1">
      <c r="A266" s="37" t="s">
        <v>1012</v>
      </c>
      <c r="B266" s="38" t="s">
        <v>0</v>
      </c>
      <c r="C266" s="37">
        <v>5.0999999999999996</v>
      </c>
      <c r="D266" s="111"/>
    </row>
    <row r="267" spans="1:4" ht="15.75" outlineLevel="1">
      <c r="A267" s="37" t="s">
        <v>1012</v>
      </c>
      <c r="B267" s="38" t="s">
        <v>1</v>
      </c>
      <c r="C267" s="37">
        <v>5.2</v>
      </c>
      <c r="D267" s="111"/>
    </row>
    <row r="268" spans="1:4" ht="15.75" outlineLevel="1">
      <c r="A268" s="37" t="s">
        <v>1012</v>
      </c>
      <c r="B268" s="38" t="s">
        <v>2</v>
      </c>
      <c r="C268" s="37">
        <v>5.3</v>
      </c>
      <c r="D268" s="111"/>
    </row>
    <row r="269" spans="1:4" ht="15.75" outlineLevel="1">
      <c r="A269" s="37" t="s">
        <v>1012</v>
      </c>
      <c r="B269" s="38" t="s">
        <v>165</v>
      </c>
      <c r="C269" s="37">
        <v>5.6</v>
      </c>
      <c r="D269" s="111"/>
    </row>
    <row r="270" spans="1:4" ht="15.75" outlineLevel="1">
      <c r="A270" s="37" t="s">
        <v>1012</v>
      </c>
      <c r="B270" s="38" t="s">
        <v>1131</v>
      </c>
      <c r="C270" s="39">
        <v>5.0999999999999996</v>
      </c>
      <c r="D270" s="111"/>
    </row>
    <row r="271" spans="1:4" ht="15.75" outlineLevel="1">
      <c r="A271" s="37" t="s">
        <v>1012</v>
      </c>
      <c r="B271" s="38" t="s">
        <v>1130</v>
      </c>
      <c r="C271" s="37">
        <v>5.14</v>
      </c>
      <c r="D271" s="111"/>
    </row>
    <row r="272" spans="1:4" ht="15.75" outlineLevel="1">
      <c r="A272" s="37" t="s">
        <v>1012</v>
      </c>
      <c r="B272" s="38" t="s">
        <v>4</v>
      </c>
      <c r="C272" s="37">
        <v>5.19</v>
      </c>
      <c r="D272" s="111"/>
    </row>
    <row r="273" spans="1:4" ht="15.75" outlineLevel="1">
      <c r="A273" s="37" t="s">
        <v>1012</v>
      </c>
      <c r="B273" s="38" t="s">
        <v>167</v>
      </c>
      <c r="C273" s="37">
        <v>5.24</v>
      </c>
      <c r="D273" s="111"/>
    </row>
    <row r="274" spans="1:4" ht="15.75" outlineLevel="1">
      <c r="A274" s="37" t="s">
        <v>1012</v>
      </c>
      <c r="B274" s="38" t="s">
        <v>5</v>
      </c>
      <c r="C274" s="37">
        <v>5.26</v>
      </c>
      <c r="D274" s="111"/>
    </row>
    <row r="275" spans="1:4" ht="15.75" outlineLevel="1">
      <c r="A275" s="37" t="s">
        <v>1012</v>
      </c>
      <c r="B275" s="38" t="s">
        <v>6</v>
      </c>
      <c r="C275" s="37">
        <v>5.27</v>
      </c>
      <c r="D275" s="111"/>
    </row>
    <row r="276" spans="1:4" ht="15.75" outlineLevel="1">
      <c r="A276" s="37" t="s">
        <v>1012</v>
      </c>
      <c r="B276" s="38" t="s">
        <v>7</v>
      </c>
      <c r="C276" s="37">
        <v>5.28</v>
      </c>
      <c r="D276" s="111"/>
    </row>
    <row r="277" spans="1:4" ht="15.75" outlineLevel="1">
      <c r="A277" s="37" t="s">
        <v>1012</v>
      </c>
      <c r="B277" s="38" t="s">
        <v>343</v>
      </c>
      <c r="C277" s="37">
        <v>5.29</v>
      </c>
      <c r="D277" s="111"/>
    </row>
    <row r="278" spans="1:4" ht="15.75" outlineLevel="1">
      <c r="A278" s="37" t="s">
        <v>1012</v>
      </c>
      <c r="B278" s="38" t="s">
        <v>8</v>
      </c>
      <c r="C278" s="39">
        <v>5.3</v>
      </c>
      <c r="D278" s="111"/>
    </row>
    <row r="279" spans="1:4" ht="15.75" outlineLevel="1">
      <c r="A279" s="37" t="s">
        <v>1012</v>
      </c>
      <c r="B279" s="38" t="s">
        <v>191</v>
      </c>
      <c r="C279" s="37">
        <v>5.33</v>
      </c>
      <c r="D279" s="111"/>
    </row>
    <row r="280" spans="1:4" ht="15.75" outlineLevel="1">
      <c r="A280" s="37" t="s">
        <v>1012</v>
      </c>
      <c r="B280" s="38" t="s">
        <v>139</v>
      </c>
      <c r="C280" s="37">
        <v>5.36</v>
      </c>
      <c r="D280" s="111"/>
    </row>
    <row r="281" spans="1:4" ht="15.75" outlineLevel="1">
      <c r="A281" s="37" t="s">
        <v>1012</v>
      </c>
      <c r="B281" s="38" t="s">
        <v>12</v>
      </c>
      <c r="C281" s="37">
        <v>5.69</v>
      </c>
      <c r="D281" s="111"/>
    </row>
    <row r="282" spans="1:4" ht="15.75" outlineLevel="1">
      <c r="A282" s="37" t="s">
        <v>1012</v>
      </c>
      <c r="B282" s="38" t="s">
        <v>14</v>
      </c>
      <c r="C282" s="39">
        <v>5.7</v>
      </c>
      <c r="D282" s="111"/>
    </row>
    <row r="283" spans="1:4" ht="15.75" outlineLevel="1">
      <c r="A283" s="37" t="s">
        <v>1012</v>
      </c>
      <c r="B283" s="38" t="s">
        <v>15</v>
      </c>
      <c r="C283" s="37">
        <v>5.74</v>
      </c>
      <c r="D283" s="111"/>
    </row>
    <row r="284" spans="1:4" ht="15.75" outlineLevel="1">
      <c r="A284" s="37" t="s">
        <v>1012</v>
      </c>
      <c r="B284" s="38" t="s">
        <v>9</v>
      </c>
      <c r="C284" s="37">
        <v>5.49</v>
      </c>
      <c r="D284" s="111"/>
    </row>
    <row r="285" spans="1:4" ht="15.75" outlineLevel="1">
      <c r="A285" s="37" t="s">
        <v>1012</v>
      </c>
      <c r="B285" s="38" t="s">
        <v>10</v>
      </c>
      <c r="C285" s="37">
        <v>5.51</v>
      </c>
      <c r="D285" s="111"/>
    </row>
    <row r="286" spans="1:4" ht="15.75" outlineLevel="1">
      <c r="A286" s="37" t="s">
        <v>1012</v>
      </c>
      <c r="B286" s="38" t="s">
        <v>1132</v>
      </c>
      <c r="C286" s="37">
        <v>5.52</v>
      </c>
      <c r="D286" s="111"/>
    </row>
    <row r="287" spans="1:4" ht="15.75" outlineLevel="1">
      <c r="A287" s="37" t="s">
        <v>1012</v>
      </c>
      <c r="B287" s="38" t="s">
        <v>11</v>
      </c>
      <c r="C287" s="37">
        <v>5.53</v>
      </c>
      <c r="D287" s="111"/>
    </row>
    <row r="288" spans="1:4" ht="15.75" outlineLevel="1">
      <c r="A288" s="37" t="s">
        <v>1012</v>
      </c>
      <c r="B288" s="38" t="s">
        <v>17</v>
      </c>
      <c r="C288" s="37">
        <v>5.58</v>
      </c>
      <c r="D288" s="111"/>
    </row>
    <row r="289" spans="1:4" ht="15.75" outlineLevel="1">
      <c r="A289" s="37" t="s">
        <v>1012</v>
      </c>
      <c r="B289" s="38" t="s">
        <v>18</v>
      </c>
      <c r="C289" s="37">
        <v>5.54</v>
      </c>
      <c r="D289" s="111"/>
    </row>
    <row r="290" spans="1:4" ht="15.75" outlineLevel="1">
      <c r="A290" s="37" t="s">
        <v>1012</v>
      </c>
      <c r="B290" s="38" t="s">
        <v>19</v>
      </c>
      <c r="C290" s="37">
        <v>5.55</v>
      </c>
      <c r="D290" s="111"/>
    </row>
    <row r="291" spans="1:4" ht="15.75" outlineLevel="1">
      <c r="A291" s="37" t="s">
        <v>1012</v>
      </c>
      <c r="B291" s="38" t="s">
        <v>20</v>
      </c>
      <c r="C291" s="37">
        <v>5.63</v>
      </c>
      <c r="D291" s="111"/>
    </row>
    <row r="292" spans="1:4" ht="15.75" outlineLevel="1">
      <c r="A292" s="37" t="s">
        <v>1012</v>
      </c>
      <c r="B292" s="38" t="s">
        <v>24</v>
      </c>
      <c r="C292" s="37">
        <v>5.47</v>
      </c>
      <c r="D292" s="111"/>
    </row>
    <row r="293" spans="1:4" ht="15.75" outlineLevel="1">
      <c r="A293" s="37" t="s">
        <v>1012</v>
      </c>
      <c r="B293" s="38" t="s">
        <v>25</v>
      </c>
      <c r="C293" s="37">
        <v>5.48</v>
      </c>
      <c r="D293" s="111"/>
    </row>
    <row r="294" spans="1:4" ht="15.75">
      <c r="A294" s="43" t="s">
        <v>1012</v>
      </c>
      <c r="B294" s="38"/>
      <c r="C294" s="37"/>
      <c r="D294" s="111"/>
    </row>
    <row r="295" spans="1:4" ht="31.5" outlineLevel="1">
      <c r="A295" s="37" t="s">
        <v>1019</v>
      </c>
      <c r="B295" s="38" t="s">
        <v>0</v>
      </c>
      <c r="C295" s="37">
        <v>5.0999999999999996</v>
      </c>
      <c r="D295" s="111"/>
    </row>
    <row r="296" spans="1:4" ht="31.5" outlineLevel="1">
      <c r="A296" s="37" t="s">
        <v>1019</v>
      </c>
      <c r="B296" s="38" t="s">
        <v>1</v>
      </c>
      <c r="C296" s="37">
        <v>5.2</v>
      </c>
      <c r="D296" s="111"/>
    </row>
    <row r="297" spans="1:4" ht="31.5" outlineLevel="1">
      <c r="A297" s="37" t="s">
        <v>1019</v>
      </c>
      <c r="B297" s="38" t="s">
        <v>2</v>
      </c>
      <c r="C297" s="37">
        <v>5.3</v>
      </c>
      <c r="D297" s="111"/>
    </row>
    <row r="298" spans="1:4" ht="31.5" outlineLevel="1">
      <c r="A298" s="37" t="s">
        <v>1019</v>
      </c>
      <c r="B298" s="38" t="s">
        <v>1130</v>
      </c>
      <c r="C298" s="37">
        <v>5.14</v>
      </c>
      <c r="D298" s="111"/>
    </row>
    <row r="299" spans="1:4" ht="31.5" outlineLevel="1">
      <c r="A299" s="37" t="s">
        <v>1019</v>
      </c>
      <c r="B299" s="38" t="s">
        <v>4</v>
      </c>
      <c r="C299" s="37">
        <v>5.19</v>
      </c>
      <c r="D299" s="111"/>
    </row>
    <row r="300" spans="1:4" ht="31.5" outlineLevel="1">
      <c r="A300" s="37" t="s">
        <v>1019</v>
      </c>
      <c r="B300" s="38" t="s">
        <v>167</v>
      </c>
      <c r="C300" s="37">
        <v>5.24</v>
      </c>
      <c r="D300" s="111"/>
    </row>
    <row r="301" spans="1:4" ht="31.5" outlineLevel="1">
      <c r="A301" s="37" t="s">
        <v>1019</v>
      </c>
      <c r="B301" s="38" t="s">
        <v>5</v>
      </c>
      <c r="C301" s="37">
        <v>5.26</v>
      </c>
      <c r="D301" s="111"/>
    </row>
    <row r="302" spans="1:4" ht="31.5" outlineLevel="1">
      <c r="A302" s="37" t="s">
        <v>1019</v>
      </c>
      <c r="B302" s="38" t="s">
        <v>6</v>
      </c>
      <c r="C302" s="37">
        <v>5.27</v>
      </c>
      <c r="D302" s="111"/>
    </row>
    <row r="303" spans="1:4" ht="31.5" outlineLevel="1">
      <c r="A303" s="37" t="s">
        <v>1019</v>
      </c>
      <c r="B303" s="38" t="s">
        <v>7</v>
      </c>
      <c r="C303" s="37">
        <v>5.28</v>
      </c>
      <c r="D303" s="111"/>
    </row>
    <row r="304" spans="1:4" ht="31.5" outlineLevel="1">
      <c r="A304" s="37" t="s">
        <v>1019</v>
      </c>
      <c r="B304" s="38" t="s">
        <v>176</v>
      </c>
      <c r="C304" s="37">
        <v>5.37</v>
      </c>
      <c r="D304" s="111"/>
    </row>
    <row r="305" spans="1:4" ht="31.5" outlineLevel="1">
      <c r="A305" s="37" t="s">
        <v>1019</v>
      </c>
      <c r="B305" s="38" t="s">
        <v>9</v>
      </c>
      <c r="C305" s="37">
        <v>5.49</v>
      </c>
      <c r="D305" s="111"/>
    </row>
    <row r="306" spans="1:4" ht="31.5" outlineLevel="1">
      <c r="A306" s="37" t="s">
        <v>1019</v>
      </c>
      <c r="B306" s="38" t="s">
        <v>10</v>
      </c>
      <c r="C306" s="37">
        <v>5.51</v>
      </c>
      <c r="D306" s="111"/>
    </row>
    <row r="307" spans="1:4" ht="31.5" outlineLevel="1">
      <c r="A307" s="37" t="s">
        <v>1019</v>
      </c>
      <c r="B307" s="38" t="s">
        <v>11</v>
      </c>
      <c r="C307" s="37">
        <v>5.53</v>
      </c>
      <c r="D307" s="111"/>
    </row>
    <row r="308" spans="1:4" ht="31.5" outlineLevel="1">
      <c r="A308" s="37" t="s">
        <v>1019</v>
      </c>
      <c r="B308" s="38" t="s">
        <v>12</v>
      </c>
      <c r="C308" s="37">
        <v>5.69</v>
      </c>
      <c r="D308" s="111"/>
    </row>
    <row r="309" spans="1:4" ht="31.5" outlineLevel="1">
      <c r="A309" s="37" t="s">
        <v>1019</v>
      </c>
      <c r="B309" s="38" t="s">
        <v>13</v>
      </c>
      <c r="C309" s="37">
        <v>5.75</v>
      </c>
      <c r="D309" s="111"/>
    </row>
    <row r="310" spans="1:4" ht="31.5" outlineLevel="1">
      <c r="A310" s="37" t="s">
        <v>1019</v>
      </c>
      <c r="B310" s="38" t="s">
        <v>14</v>
      </c>
      <c r="C310" s="39">
        <v>5.7</v>
      </c>
      <c r="D310" s="111"/>
    </row>
    <row r="311" spans="1:4" ht="31.5" outlineLevel="1">
      <c r="A311" s="37" t="s">
        <v>1019</v>
      </c>
      <c r="B311" s="38" t="s">
        <v>15</v>
      </c>
      <c r="C311" s="37">
        <v>5.74</v>
      </c>
      <c r="D311" s="111"/>
    </row>
    <row r="312" spans="1:4" ht="31.5" outlineLevel="1">
      <c r="A312" s="37" t="s">
        <v>1019</v>
      </c>
      <c r="B312" s="38" t="s">
        <v>17</v>
      </c>
      <c r="C312" s="37">
        <v>5.58</v>
      </c>
      <c r="D312" s="111"/>
    </row>
    <row r="313" spans="1:4" ht="31.5" outlineLevel="1">
      <c r="A313" s="37" t="s">
        <v>1019</v>
      </c>
      <c r="B313" s="38" t="s">
        <v>18</v>
      </c>
      <c r="C313" s="37">
        <v>5.54</v>
      </c>
      <c r="D313" s="111"/>
    </row>
    <row r="314" spans="1:4" ht="31.5" outlineLevel="1">
      <c r="A314" s="37" t="s">
        <v>1019</v>
      </c>
      <c r="B314" s="38" t="s">
        <v>19</v>
      </c>
      <c r="C314" s="37">
        <v>5.55</v>
      </c>
      <c r="D314" s="111"/>
    </row>
    <row r="315" spans="1:4" ht="31.5" outlineLevel="1">
      <c r="A315" s="37" t="s">
        <v>1019</v>
      </c>
      <c r="B315" s="38" t="s">
        <v>20</v>
      </c>
      <c r="C315" s="37">
        <v>5.63</v>
      </c>
      <c r="D315" s="111"/>
    </row>
    <row r="316" spans="1:4" ht="31.5" outlineLevel="1">
      <c r="A316" s="37" t="s">
        <v>1019</v>
      </c>
      <c r="B316" s="38" t="s">
        <v>21</v>
      </c>
      <c r="C316" s="37">
        <v>5.65</v>
      </c>
      <c r="D316" s="111"/>
    </row>
    <row r="317" spans="1:4" ht="31.5" outlineLevel="1">
      <c r="A317" s="37" t="s">
        <v>1019</v>
      </c>
      <c r="B317" s="38" t="s">
        <v>22</v>
      </c>
      <c r="C317" s="37">
        <v>5.68</v>
      </c>
      <c r="D317" s="111"/>
    </row>
    <row r="318" spans="1:4" ht="31.5" outlineLevel="1">
      <c r="A318" s="37" t="s">
        <v>1019</v>
      </c>
      <c r="B318" s="38" t="s">
        <v>24</v>
      </c>
      <c r="C318" s="37">
        <v>5.47</v>
      </c>
      <c r="D318" s="111"/>
    </row>
    <row r="319" spans="1:4" ht="31.5" outlineLevel="1">
      <c r="A319" s="37" t="s">
        <v>1019</v>
      </c>
      <c r="B319" s="38" t="s">
        <v>25</v>
      </c>
      <c r="C319" s="37">
        <v>5.48</v>
      </c>
      <c r="D319" s="111"/>
    </row>
    <row r="320" spans="1:4" ht="31.5">
      <c r="A320" s="43" t="s">
        <v>1019</v>
      </c>
      <c r="B320" s="38"/>
      <c r="C320" s="37"/>
      <c r="D320" s="111"/>
    </row>
    <row r="321" spans="1:4" ht="31.5" outlineLevel="1">
      <c r="A321" s="37" t="s">
        <v>1020</v>
      </c>
      <c r="B321" s="38" t="s">
        <v>0</v>
      </c>
      <c r="C321" s="37">
        <v>5.0999999999999996</v>
      </c>
      <c r="D321" s="111"/>
    </row>
    <row r="322" spans="1:4" ht="31.5" outlineLevel="1">
      <c r="A322" s="37" t="s">
        <v>1020</v>
      </c>
      <c r="B322" s="38" t="s">
        <v>1</v>
      </c>
      <c r="C322" s="37">
        <v>5.2</v>
      </c>
      <c r="D322" s="111"/>
    </row>
    <row r="323" spans="1:4" ht="31.5" outlineLevel="1">
      <c r="A323" s="37" t="s">
        <v>1020</v>
      </c>
      <c r="B323" s="38" t="s">
        <v>5</v>
      </c>
      <c r="C323" s="37">
        <v>5.26</v>
      </c>
      <c r="D323" s="111"/>
    </row>
    <row r="324" spans="1:4" ht="31.5" outlineLevel="1">
      <c r="A324" s="37" t="s">
        <v>1020</v>
      </c>
      <c r="B324" s="38" t="s">
        <v>1130</v>
      </c>
      <c r="C324" s="37">
        <v>5.14</v>
      </c>
      <c r="D324" s="111"/>
    </row>
    <row r="325" spans="1:4" ht="31.5" outlineLevel="1">
      <c r="A325" s="37" t="s">
        <v>1020</v>
      </c>
      <c r="B325" s="38" t="s">
        <v>4</v>
      </c>
      <c r="C325" s="37">
        <v>5.19</v>
      </c>
      <c r="D325" s="111"/>
    </row>
    <row r="326" spans="1:4" ht="31.5" outlineLevel="1">
      <c r="A326" s="37" t="s">
        <v>1020</v>
      </c>
      <c r="B326" s="38" t="s">
        <v>176</v>
      </c>
      <c r="C326" s="37">
        <v>5.37</v>
      </c>
      <c r="D326" s="111"/>
    </row>
    <row r="327" spans="1:4" ht="31.5" outlineLevel="1">
      <c r="A327" s="37" t="s">
        <v>1020</v>
      </c>
      <c r="B327" s="38" t="s">
        <v>12</v>
      </c>
      <c r="C327" s="37">
        <v>5.69</v>
      </c>
      <c r="D327" s="111"/>
    </row>
    <row r="328" spans="1:4" ht="31.5" outlineLevel="1">
      <c r="A328" s="37" t="s">
        <v>1020</v>
      </c>
      <c r="B328" s="38" t="s">
        <v>770</v>
      </c>
      <c r="C328" s="39">
        <v>5.8</v>
      </c>
      <c r="D328" s="111"/>
    </row>
    <row r="329" spans="1:4" ht="31.5" outlineLevel="1">
      <c r="A329" s="37" t="s">
        <v>1020</v>
      </c>
      <c r="B329" s="38" t="s">
        <v>13</v>
      </c>
      <c r="C329" s="37">
        <v>5.75</v>
      </c>
      <c r="D329" s="111"/>
    </row>
    <row r="330" spans="1:4" ht="31.5" outlineLevel="1">
      <c r="A330" s="37" t="s">
        <v>1020</v>
      </c>
      <c r="B330" s="38" t="s">
        <v>14</v>
      </c>
      <c r="C330" s="39">
        <v>5.7</v>
      </c>
      <c r="D330" s="111"/>
    </row>
    <row r="331" spans="1:4" ht="31.5" outlineLevel="1">
      <c r="A331" s="37" t="s">
        <v>1020</v>
      </c>
      <c r="B331" s="38" t="s">
        <v>15</v>
      </c>
      <c r="C331" s="37">
        <v>5.74</v>
      </c>
      <c r="D331" s="111"/>
    </row>
    <row r="332" spans="1:4" ht="31.5" outlineLevel="1">
      <c r="A332" s="37" t="s">
        <v>1020</v>
      </c>
      <c r="B332" s="38" t="s">
        <v>17</v>
      </c>
      <c r="C332" s="37">
        <v>5.58</v>
      </c>
      <c r="D332" s="111"/>
    </row>
    <row r="333" spans="1:4" ht="31.5" outlineLevel="1">
      <c r="A333" s="37" t="s">
        <v>1020</v>
      </c>
      <c r="B333" s="38" t="s">
        <v>19</v>
      </c>
      <c r="C333" s="37">
        <v>5.55</v>
      </c>
      <c r="D333" s="111"/>
    </row>
    <row r="334" spans="1:4" ht="31.5" outlineLevel="1">
      <c r="A334" s="37" t="s">
        <v>1020</v>
      </c>
      <c r="B334" s="38" t="s">
        <v>20</v>
      </c>
      <c r="C334" s="37">
        <v>5.63</v>
      </c>
      <c r="D334" s="111"/>
    </row>
    <row r="335" spans="1:4" ht="31.5" outlineLevel="1">
      <c r="A335" s="37" t="s">
        <v>1020</v>
      </c>
      <c r="B335" s="38" t="s">
        <v>21</v>
      </c>
      <c r="C335" s="37">
        <v>5.65</v>
      </c>
      <c r="D335" s="111"/>
    </row>
    <row r="336" spans="1:4" ht="31.5" outlineLevel="1">
      <c r="A336" s="37" t="s">
        <v>1020</v>
      </c>
      <c r="B336" s="38" t="s">
        <v>22</v>
      </c>
      <c r="C336" s="37">
        <v>5.68</v>
      </c>
      <c r="D336" s="111"/>
    </row>
    <row r="337" spans="1:4" ht="31.5" outlineLevel="1">
      <c r="A337" s="37" t="s">
        <v>1020</v>
      </c>
      <c r="B337" s="38" t="s">
        <v>24</v>
      </c>
      <c r="C337" s="37">
        <v>5.47</v>
      </c>
      <c r="D337" s="111"/>
    </row>
    <row r="338" spans="1:4" ht="31.5" outlineLevel="1">
      <c r="A338" s="37" t="s">
        <v>1020</v>
      </c>
      <c r="B338" s="38" t="s">
        <v>25</v>
      </c>
      <c r="C338" s="37">
        <v>5.48</v>
      </c>
      <c r="D338" s="111"/>
    </row>
    <row r="339" spans="1:4" ht="31.5">
      <c r="A339" s="43" t="s">
        <v>1020</v>
      </c>
      <c r="B339" s="38"/>
      <c r="C339" s="37"/>
      <c r="D339" s="111"/>
    </row>
    <row r="340" spans="1:4" ht="31.5" outlineLevel="1">
      <c r="A340" s="37" t="s">
        <v>1026</v>
      </c>
      <c r="B340" s="38" t="s">
        <v>1141</v>
      </c>
      <c r="C340" s="37">
        <v>5.0999999999999996</v>
      </c>
      <c r="D340" s="111"/>
    </row>
    <row r="341" spans="1:4" ht="31.5" outlineLevel="1">
      <c r="A341" s="37" t="s">
        <v>1026</v>
      </c>
      <c r="B341" s="38" t="s">
        <v>1</v>
      </c>
      <c r="C341" s="37">
        <v>5.2</v>
      </c>
      <c r="D341" s="111"/>
    </row>
    <row r="342" spans="1:4" ht="31.5" outlineLevel="1">
      <c r="A342" s="37" t="s">
        <v>1026</v>
      </c>
      <c r="B342" s="38" t="s">
        <v>5</v>
      </c>
      <c r="C342" s="37">
        <v>5.26</v>
      </c>
      <c r="D342" s="111"/>
    </row>
    <row r="343" spans="1:4" ht="31.5" outlineLevel="1">
      <c r="A343" s="37" t="s">
        <v>1026</v>
      </c>
      <c r="B343" s="38" t="s">
        <v>1142</v>
      </c>
      <c r="C343" s="37">
        <v>5.38</v>
      </c>
      <c r="D343" s="111"/>
    </row>
    <row r="344" spans="1:4" ht="31.5" outlineLevel="1">
      <c r="A344" s="37" t="s">
        <v>1026</v>
      </c>
      <c r="B344" s="38" t="s">
        <v>1143</v>
      </c>
      <c r="C344" s="37">
        <v>5.39</v>
      </c>
      <c r="D344" s="111"/>
    </row>
    <row r="345" spans="1:4" ht="31.5" outlineLevel="1">
      <c r="A345" s="37" t="s">
        <v>1026</v>
      </c>
      <c r="B345" s="38" t="s">
        <v>1144</v>
      </c>
      <c r="C345" s="39">
        <v>5.6</v>
      </c>
      <c r="D345" s="111"/>
    </row>
    <row r="346" spans="1:4" ht="31.5" outlineLevel="1">
      <c r="A346" s="37" t="s">
        <v>1026</v>
      </c>
      <c r="B346" s="38" t="s">
        <v>25</v>
      </c>
      <c r="C346" s="37">
        <v>5.48</v>
      </c>
      <c r="D346" s="111"/>
    </row>
    <row r="347" spans="1:4" ht="31.5">
      <c r="A347" s="43" t="s">
        <v>1026</v>
      </c>
      <c r="B347" s="38"/>
      <c r="C347" s="37"/>
      <c r="D347" s="111"/>
    </row>
    <row r="348" spans="1:4" ht="31.5" outlineLevel="1">
      <c r="A348" s="37" t="s">
        <v>1030</v>
      </c>
      <c r="B348" s="38" t="s">
        <v>0</v>
      </c>
      <c r="C348" s="37">
        <v>5.0999999999999996</v>
      </c>
      <c r="D348" s="111"/>
    </row>
    <row r="349" spans="1:4" ht="31.5" outlineLevel="1">
      <c r="A349" s="37" t="s">
        <v>1030</v>
      </c>
      <c r="B349" s="38" t="s">
        <v>1</v>
      </c>
      <c r="C349" s="37">
        <v>5.2</v>
      </c>
      <c r="D349" s="111"/>
    </row>
    <row r="350" spans="1:4" ht="31.5" outlineLevel="1">
      <c r="A350" s="37" t="s">
        <v>1030</v>
      </c>
      <c r="B350" s="38" t="s">
        <v>2</v>
      </c>
      <c r="C350" s="37">
        <v>5.3</v>
      </c>
      <c r="D350" s="111"/>
    </row>
    <row r="351" spans="1:4" ht="31.5" outlineLevel="1">
      <c r="A351" s="37" t="s">
        <v>1030</v>
      </c>
      <c r="B351" s="38" t="s">
        <v>165</v>
      </c>
      <c r="C351" s="37">
        <v>5.6</v>
      </c>
      <c r="D351" s="111"/>
    </row>
    <row r="352" spans="1:4" ht="31.5" outlineLevel="1">
      <c r="A352" s="37" t="s">
        <v>1030</v>
      </c>
      <c r="B352" s="38" t="s">
        <v>1131</v>
      </c>
      <c r="C352" s="39">
        <v>5.0999999999999996</v>
      </c>
      <c r="D352" s="111"/>
    </row>
    <row r="353" spans="1:4" ht="31.5" outlineLevel="1">
      <c r="A353" s="37" t="s">
        <v>1030</v>
      </c>
      <c r="B353" s="38" t="s">
        <v>1130</v>
      </c>
      <c r="C353" s="37">
        <v>5.14</v>
      </c>
      <c r="D353" s="111"/>
    </row>
    <row r="354" spans="1:4" ht="31.5" outlineLevel="1">
      <c r="A354" s="37" t="s">
        <v>1030</v>
      </c>
      <c r="B354" s="38" t="s">
        <v>4</v>
      </c>
      <c r="C354" s="37">
        <v>5.19</v>
      </c>
      <c r="D354" s="111"/>
    </row>
    <row r="355" spans="1:4" ht="31.5" outlineLevel="1">
      <c r="A355" s="37" t="s">
        <v>1030</v>
      </c>
      <c r="B355" s="38" t="s">
        <v>167</v>
      </c>
      <c r="C355" s="37">
        <v>5.24</v>
      </c>
      <c r="D355" s="111"/>
    </row>
    <row r="356" spans="1:4" ht="31.5" outlineLevel="1">
      <c r="A356" s="37" t="s">
        <v>1030</v>
      </c>
      <c r="B356" s="38" t="s">
        <v>5</v>
      </c>
      <c r="C356" s="37">
        <v>5.26</v>
      </c>
      <c r="D356" s="111"/>
    </row>
    <row r="357" spans="1:4" ht="31.5" outlineLevel="1">
      <c r="A357" s="37" t="s">
        <v>1030</v>
      </c>
      <c r="B357" s="38" t="s">
        <v>6</v>
      </c>
      <c r="C357" s="37">
        <v>5.27</v>
      </c>
      <c r="D357" s="111"/>
    </row>
    <row r="358" spans="1:4" ht="31.5" outlineLevel="1">
      <c r="A358" s="37" t="s">
        <v>1030</v>
      </c>
      <c r="B358" s="38" t="s">
        <v>7</v>
      </c>
      <c r="C358" s="37">
        <v>5.28</v>
      </c>
      <c r="D358" s="111"/>
    </row>
    <row r="359" spans="1:4" ht="31.5" outlineLevel="1">
      <c r="A359" s="37" t="s">
        <v>1030</v>
      </c>
      <c r="B359" s="38" t="s">
        <v>168</v>
      </c>
      <c r="C359" s="37">
        <v>5.31</v>
      </c>
      <c r="D359" s="111"/>
    </row>
    <row r="360" spans="1:4" ht="31.5" outlineLevel="1">
      <c r="A360" s="37" t="s">
        <v>1030</v>
      </c>
      <c r="B360" s="38" t="s">
        <v>139</v>
      </c>
      <c r="C360" s="37">
        <v>5.36</v>
      </c>
      <c r="D360" s="111"/>
    </row>
    <row r="361" spans="1:4" ht="31.5" outlineLevel="1">
      <c r="A361" s="37" t="s">
        <v>1030</v>
      </c>
      <c r="B361" s="38" t="s">
        <v>176</v>
      </c>
      <c r="C361" s="37">
        <v>5.37</v>
      </c>
      <c r="D361" s="111"/>
    </row>
    <row r="362" spans="1:4" ht="31.5" outlineLevel="1">
      <c r="A362" s="37" t="s">
        <v>1030</v>
      </c>
      <c r="B362" s="38" t="s">
        <v>9</v>
      </c>
      <c r="C362" s="37">
        <v>5.49</v>
      </c>
      <c r="D362" s="111"/>
    </row>
    <row r="363" spans="1:4" ht="31.5" outlineLevel="1">
      <c r="A363" s="37" t="s">
        <v>1030</v>
      </c>
      <c r="B363" s="38" t="s">
        <v>10</v>
      </c>
      <c r="C363" s="37">
        <v>5.51</v>
      </c>
      <c r="D363" s="111"/>
    </row>
    <row r="364" spans="1:4" ht="31.5" outlineLevel="1">
      <c r="A364" s="37" t="s">
        <v>1030</v>
      </c>
      <c r="B364" s="38" t="s">
        <v>1132</v>
      </c>
      <c r="C364" s="37">
        <v>5.52</v>
      </c>
      <c r="D364" s="111"/>
    </row>
    <row r="365" spans="1:4" ht="31.5" outlineLevel="1">
      <c r="A365" s="37" t="s">
        <v>1030</v>
      </c>
      <c r="B365" s="38" t="s">
        <v>11</v>
      </c>
      <c r="C365" s="37">
        <v>5.53</v>
      </c>
      <c r="D365" s="111"/>
    </row>
    <row r="366" spans="1:4" ht="31.5" outlineLevel="1">
      <c r="A366" s="37" t="s">
        <v>1030</v>
      </c>
      <c r="B366" s="38" t="s">
        <v>12</v>
      </c>
      <c r="C366" s="37">
        <v>5.69</v>
      </c>
      <c r="D366" s="111"/>
    </row>
    <row r="367" spans="1:4" ht="31.5" outlineLevel="1">
      <c r="A367" s="37" t="s">
        <v>1030</v>
      </c>
      <c r="B367" s="38" t="s">
        <v>770</v>
      </c>
      <c r="C367" s="39">
        <v>5.8</v>
      </c>
      <c r="D367" s="111"/>
    </row>
    <row r="368" spans="1:4" ht="31.5" outlineLevel="1">
      <c r="A368" s="37" t="s">
        <v>1030</v>
      </c>
      <c r="B368" s="38" t="s">
        <v>927</v>
      </c>
      <c r="C368" s="39">
        <v>5.72</v>
      </c>
      <c r="D368" s="111"/>
    </row>
    <row r="369" spans="1:4" ht="31.5" outlineLevel="1">
      <c r="A369" s="37" t="s">
        <v>1030</v>
      </c>
      <c r="B369" s="38" t="s">
        <v>13</v>
      </c>
      <c r="C369" s="37">
        <v>5.75</v>
      </c>
      <c r="D369" s="111"/>
    </row>
    <row r="370" spans="1:4" ht="31.5" outlineLevel="1">
      <c r="A370" s="37" t="s">
        <v>1030</v>
      </c>
      <c r="B370" s="38" t="s">
        <v>14</v>
      </c>
      <c r="C370" s="39">
        <v>5.7</v>
      </c>
      <c r="D370" s="111"/>
    </row>
    <row r="371" spans="1:4" ht="31.5" outlineLevel="1">
      <c r="A371" s="37" t="s">
        <v>1030</v>
      </c>
      <c r="B371" s="38" t="s">
        <v>15</v>
      </c>
      <c r="C371" s="37">
        <v>5.74</v>
      </c>
      <c r="D371" s="111"/>
    </row>
    <row r="372" spans="1:4" ht="31.5" outlineLevel="1">
      <c r="A372" s="37" t="s">
        <v>1030</v>
      </c>
      <c r="B372" s="38" t="s">
        <v>427</v>
      </c>
      <c r="C372" s="37">
        <v>5.76</v>
      </c>
      <c r="D372" s="111"/>
    </row>
    <row r="373" spans="1:4" ht="31.5" outlineLevel="1">
      <c r="A373" s="37" t="s">
        <v>1030</v>
      </c>
      <c r="B373" s="38" t="s">
        <v>848</v>
      </c>
      <c r="C373" s="37">
        <v>5.89</v>
      </c>
      <c r="D373" s="110" t="s">
        <v>1129</v>
      </c>
    </row>
    <row r="374" spans="1:4" ht="31.5" outlineLevel="1">
      <c r="A374" s="37" t="s">
        <v>1030</v>
      </c>
      <c r="B374" s="38" t="s">
        <v>169</v>
      </c>
      <c r="C374" s="37">
        <v>5.109</v>
      </c>
      <c r="D374" s="110"/>
    </row>
    <row r="375" spans="1:4" ht="31.5" outlineLevel="1">
      <c r="A375" s="37" t="s">
        <v>1030</v>
      </c>
      <c r="B375" s="38" t="s">
        <v>170</v>
      </c>
      <c r="C375" s="37">
        <v>5.1109999999999998</v>
      </c>
      <c r="D375" s="111"/>
    </row>
    <row r="376" spans="1:4" ht="31.5" outlineLevel="1">
      <c r="A376" s="37" t="s">
        <v>1030</v>
      </c>
      <c r="B376" s="38" t="s">
        <v>148</v>
      </c>
      <c r="C376" s="37">
        <v>5.1120000000000001</v>
      </c>
      <c r="D376" s="111"/>
    </row>
    <row r="377" spans="1:4" ht="31.5" outlineLevel="1">
      <c r="A377" s="37" t="s">
        <v>1030</v>
      </c>
      <c r="B377" s="38" t="s">
        <v>1145</v>
      </c>
      <c r="C377" s="37">
        <v>5.1130000000000004</v>
      </c>
      <c r="D377" s="111"/>
    </row>
    <row r="378" spans="1:4" ht="31.5" outlineLevel="1">
      <c r="A378" s="37" t="s">
        <v>1030</v>
      </c>
      <c r="B378" s="38" t="s">
        <v>17</v>
      </c>
      <c r="C378" s="37">
        <v>5.58</v>
      </c>
      <c r="D378" s="111"/>
    </row>
    <row r="379" spans="1:4" ht="31.5" outlineLevel="1">
      <c r="A379" s="37" t="s">
        <v>1030</v>
      </c>
      <c r="B379" s="38" t="s">
        <v>18</v>
      </c>
      <c r="C379" s="37">
        <v>5.54</v>
      </c>
      <c r="D379" s="111"/>
    </row>
    <row r="380" spans="1:4" ht="31.5" outlineLevel="1">
      <c r="A380" s="37" t="s">
        <v>1030</v>
      </c>
      <c r="B380" s="38" t="s">
        <v>19</v>
      </c>
      <c r="C380" s="37">
        <v>5.55</v>
      </c>
      <c r="D380" s="111"/>
    </row>
    <row r="381" spans="1:4" ht="31.5" outlineLevel="1">
      <c r="A381" s="37" t="s">
        <v>1030</v>
      </c>
      <c r="B381" s="38" t="s">
        <v>20</v>
      </c>
      <c r="C381" s="37">
        <v>5.63</v>
      </c>
      <c r="D381" s="111"/>
    </row>
    <row r="382" spans="1:4" ht="31.5" outlineLevel="1">
      <c r="A382" s="37" t="s">
        <v>1030</v>
      </c>
      <c r="B382" s="38" t="s">
        <v>21</v>
      </c>
      <c r="C382" s="37">
        <v>5.65</v>
      </c>
      <c r="D382" s="111"/>
    </row>
    <row r="383" spans="1:4" ht="31.5" outlineLevel="1">
      <c r="A383" s="37" t="s">
        <v>1030</v>
      </c>
      <c r="B383" s="38" t="s">
        <v>184</v>
      </c>
      <c r="C383" s="37">
        <v>5.66</v>
      </c>
      <c r="D383" s="111"/>
    </row>
    <row r="384" spans="1:4" ht="31.5" outlineLevel="1">
      <c r="A384" s="37" t="s">
        <v>1030</v>
      </c>
      <c r="B384" s="38" t="s">
        <v>22</v>
      </c>
      <c r="C384" s="37">
        <v>5.68</v>
      </c>
      <c r="D384" s="111"/>
    </row>
    <row r="385" spans="1:4" ht="31.5" outlineLevel="1">
      <c r="A385" s="37" t="s">
        <v>1030</v>
      </c>
      <c r="B385" s="38" t="s">
        <v>24</v>
      </c>
      <c r="C385" s="37">
        <v>5.47</v>
      </c>
      <c r="D385" s="111"/>
    </row>
    <row r="386" spans="1:4" ht="31.5" outlineLevel="1">
      <c r="A386" s="37" t="s">
        <v>1030</v>
      </c>
      <c r="B386" s="38" t="s">
        <v>25</v>
      </c>
      <c r="C386" s="37">
        <v>5.48</v>
      </c>
      <c r="D386" s="111"/>
    </row>
    <row r="387" spans="1:4" ht="31.5">
      <c r="A387" s="43" t="s">
        <v>1030</v>
      </c>
      <c r="B387" s="38"/>
      <c r="C387" s="37"/>
      <c r="D387" s="111"/>
    </row>
    <row r="388" spans="1:4" ht="15.75" outlineLevel="1">
      <c r="A388" s="37" t="s">
        <v>1032</v>
      </c>
      <c r="B388" s="38" t="s">
        <v>0</v>
      </c>
      <c r="C388" s="37">
        <v>5.0999999999999996</v>
      </c>
      <c r="D388" s="111"/>
    </row>
    <row r="389" spans="1:4" ht="15.75" outlineLevel="1">
      <c r="A389" s="37" t="s">
        <v>1032</v>
      </c>
      <c r="B389" s="38" t="s">
        <v>1</v>
      </c>
      <c r="C389" s="37">
        <v>5.2</v>
      </c>
      <c r="D389" s="111"/>
    </row>
    <row r="390" spans="1:4" ht="15.75" outlineLevel="1">
      <c r="A390" s="37" t="s">
        <v>1032</v>
      </c>
      <c r="B390" s="38" t="s">
        <v>2</v>
      </c>
      <c r="C390" s="37">
        <v>5.3</v>
      </c>
      <c r="D390" s="111"/>
    </row>
    <row r="391" spans="1:4" ht="15.75" outlineLevel="1">
      <c r="A391" s="37" t="s">
        <v>1032</v>
      </c>
      <c r="B391" s="38" t="s">
        <v>165</v>
      </c>
      <c r="C391" s="37">
        <v>5.6</v>
      </c>
      <c r="D391" s="111"/>
    </row>
    <row r="392" spans="1:4" ht="15.75" outlineLevel="1">
      <c r="A392" s="37" t="s">
        <v>1032</v>
      </c>
      <c r="B392" s="38" t="s">
        <v>1131</v>
      </c>
      <c r="C392" s="39">
        <v>5.0999999999999996</v>
      </c>
      <c r="D392" s="111"/>
    </row>
    <row r="393" spans="1:4" ht="15.75" outlineLevel="1">
      <c r="A393" s="37" t="s">
        <v>1032</v>
      </c>
      <c r="B393" s="38" t="s">
        <v>1130</v>
      </c>
      <c r="C393" s="37">
        <v>5.14</v>
      </c>
      <c r="D393" s="111"/>
    </row>
    <row r="394" spans="1:4" ht="15.75" outlineLevel="1">
      <c r="A394" s="37" t="s">
        <v>1032</v>
      </c>
      <c r="B394" s="38" t="s">
        <v>4</v>
      </c>
      <c r="C394" s="37">
        <v>5.19</v>
      </c>
      <c r="D394" s="111"/>
    </row>
    <row r="395" spans="1:4" ht="15.75" outlineLevel="1">
      <c r="A395" s="37" t="s">
        <v>1032</v>
      </c>
      <c r="B395" s="38" t="s">
        <v>167</v>
      </c>
      <c r="C395" s="37">
        <v>5.24</v>
      </c>
      <c r="D395" s="111"/>
    </row>
    <row r="396" spans="1:4" ht="15.75" outlineLevel="1">
      <c r="A396" s="37" t="s">
        <v>1032</v>
      </c>
      <c r="B396" s="38" t="s">
        <v>5</v>
      </c>
      <c r="C396" s="37">
        <v>5.26</v>
      </c>
      <c r="D396" s="111"/>
    </row>
    <row r="397" spans="1:4" ht="15.75" outlineLevel="1">
      <c r="A397" s="37" t="s">
        <v>1032</v>
      </c>
      <c r="B397" s="38" t="s">
        <v>6</v>
      </c>
      <c r="C397" s="37">
        <v>5.27</v>
      </c>
      <c r="D397" s="111"/>
    </row>
    <row r="398" spans="1:4" ht="15.75" outlineLevel="1">
      <c r="A398" s="37" t="s">
        <v>1032</v>
      </c>
      <c r="B398" s="38" t="s">
        <v>7</v>
      </c>
      <c r="C398" s="37">
        <v>5.28</v>
      </c>
      <c r="D398" s="111"/>
    </row>
    <row r="399" spans="1:4" ht="15.75" outlineLevel="1">
      <c r="A399" s="37" t="s">
        <v>1032</v>
      </c>
      <c r="B399" s="38" t="s">
        <v>343</v>
      </c>
      <c r="C399" s="37">
        <v>5.29</v>
      </c>
      <c r="D399" s="111"/>
    </row>
    <row r="400" spans="1:4" ht="15.75" outlineLevel="1">
      <c r="A400" s="37" t="s">
        <v>1032</v>
      </c>
      <c r="B400" s="38" t="s">
        <v>168</v>
      </c>
      <c r="C400" s="37">
        <v>5.31</v>
      </c>
      <c r="D400" s="111"/>
    </row>
    <row r="401" spans="1:4" ht="15.75" outlineLevel="1">
      <c r="A401" s="37" t="s">
        <v>1032</v>
      </c>
      <c r="B401" s="38" t="s">
        <v>139</v>
      </c>
      <c r="C401" s="37">
        <v>5.36</v>
      </c>
      <c r="D401" s="111"/>
    </row>
    <row r="402" spans="1:4" ht="15.75" outlineLevel="1">
      <c r="A402" s="37" t="s">
        <v>1032</v>
      </c>
      <c r="B402" s="38" t="s">
        <v>176</v>
      </c>
      <c r="C402" s="37">
        <v>5.37</v>
      </c>
      <c r="D402" s="111"/>
    </row>
    <row r="403" spans="1:4" ht="15.75" outlineLevel="1">
      <c r="A403" s="37" t="s">
        <v>1032</v>
      </c>
      <c r="B403" s="38" t="s">
        <v>9</v>
      </c>
      <c r="C403" s="37">
        <v>5.49</v>
      </c>
      <c r="D403" s="111"/>
    </row>
    <row r="404" spans="1:4" ht="15.75" outlineLevel="1">
      <c r="A404" s="37" t="s">
        <v>1032</v>
      </c>
      <c r="B404" s="38" t="s">
        <v>10</v>
      </c>
      <c r="C404" s="37">
        <v>5.51</v>
      </c>
      <c r="D404" s="111"/>
    </row>
    <row r="405" spans="1:4" ht="15.75" outlineLevel="1">
      <c r="A405" s="37" t="s">
        <v>1032</v>
      </c>
      <c r="B405" s="38" t="s">
        <v>1132</v>
      </c>
      <c r="C405" s="37">
        <v>5.52</v>
      </c>
      <c r="D405" s="111"/>
    </row>
    <row r="406" spans="1:4" ht="15.75" outlineLevel="1">
      <c r="A406" s="37" t="s">
        <v>1032</v>
      </c>
      <c r="B406" s="38" t="s">
        <v>11</v>
      </c>
      <c r="C406" s="37">
        <v>5.53</v>
      </c>
      <c r="D406" s="111"/>
    </row>
    <row r="407" spans="1:4" ht="15.75" outlineLevel="1">
      <c r="A407" s="37" t="s">
        <v>1032</v>
      </c>
      <c r="B407" s="38" t="s">
        <v>12</v>
      </c>
      <c r="C407" s="37">
        <v>5.69</v>
      </c>
      <c r="D407" s="111"/>
    </row>
    <row r="408" spans="1:4" ht="15.75" outlineLevel="1">
      <c r="A408" s="37" t="s">
        <v>1032</v>
      </c>
      <c r="B408" s="38" t="s">
        <v>13</v>
      </c>
      <c r="C408" s="37">
        <v>5.75</v>
      </c>
      <c r="D408" s="111"/>
    </row>
    <row r="409" spans="1:4" ht="15.75" outlineLevel="1">
      <c r="A409" s="37" t="s">
        <v>1032</v>
      </c>
      <c r="B409" s="38" t="s">
        <v>15</v>
      </c>
      <c r="C409" s="37">
        <v>5.74</v>
      </c>
      <c r="D409" s="111"/>
    </row>
    <row r="410" spans="1:4" ht="15.75" outlineLevel="1">
      <c r="A410" s="37" t="s">
        <v>1032</v>
      </c>
      <c r="B410" s="38" t="s">
        <v>14</v>
      </c>
      <c r="C410" s="39">
        <v>5.7</v>
      </c>
      <c r="D410" s="111"/>
    </row>
    <row r="411" spans="1:4" ht="15.75" outlineLevel="1">
      <c r="A411" s="37" t="s">
        <v>1032</v>
      </c>
      <c r="B411" s="38" t="s">
        <v>427</v>
      </c>
      <c r="C411" s="37">
        <v>5.76</v>
      </c>
      <c r="D411" s="111"/>
    </row>
    <row r="412" spans="1:4" ht="15.75" outlineLevel="1">
      <c r="A412" s="37" t="s">
        <v>1032</v>
      </c>
      <c r="B412" s="38" t="s">
        <v>848</v>
      </c>
      <c r="C412" s="37">
        <v>5.89</v>
      </c>
      <c r="D412" s="110" t="s">
        <v>1129</v>
      </c>
    </row>
    <row r="413" spans="1:4" ht="15.75" outlineLevel="1">
      <c r="A413" s="37" t="s">
        <v>1032</v>
      </c>
      <c r="B413" s="38" t="s">
        <v>169</v>
      </c>
      <c r="C413" s="37">
        <v>5.109</v>
      </c>
      <c r="D413" s="111"/>
    </row>
    <row r="414" spans="1:4" ht="15.75" outlineLevel="1">
      <c r="A414" s="37" t="s">
        <v>1032</v>
      </c>
      <c r="B414" s="38" t="s">
        <v>170</v>
      </c>
      <c r="C414" s="37">
        <v>5.1109999999999998</v>
      </c>
      <c r="D414" s="111"/>
    </row>
    <row r="415" spans="1:4" ht="15.75" outlineLevel="1">
      <c r="A415" s="37" t="s">
        <v>1032</v>
      </c>
      <c r="B415" s="38" t="s">
        <v>148</v>
      </c>
      <c r="C415" s="37">
        <v>5.1120000000000001</v>
      </c>
      <c r="D415" s="111"/>
    </row>
    <row r="416" spans="1:4" ht="15.75" outlineLevel="1">
      <c r="A416" s="37" t="s">
        <v>1032</v>
      </c>
      <c r="B416" s="38" t="s">
        <v>1145</v>
      </c>
      <c r="C416" s="37">
        <v>5.1130000000000004</v>
      </c>
      <c r="D416" s="111"/>
    </row>
    <row r="417" spans="1:4" ht="15.75" outlineLevel="1">
      <c r="A417" s="37" t="s">
        <v>1032</v>
      </c>
      <c r="B417" s="38" t="s">
        <v>17</v>
      </c>
      <c r="C417" s="37">
        <v>5.58</v>
      </c>
      <c r="D417" s="111"/>
    </row>
    <row r="418" spans="1:4" ht="15.75" outlineLevel="1">
      <c r="A418" s="37" t="s">
        <v>1032</v>
      </c>
      <c r="B418" s="38" t="s">
        <v>18</v>
      </c>
      <c r="C418" s="37">
        <v>5.54</v>
      </c>
      <c r="D418" s="111"/>
    </row>
    <row r="419" spans="1:4" ht="15.75" outlineLevel="1">
      <c r="A419" s="37" t="s">
        <v>1032</v>
      </c>
      <c r="B419" s="38" t="s">
        <v>19</v>
      </c>
      <c r="C419" s="37">
        <v>5.55</v>
      </c>
      <c r="D419" s="111"/>
    </row>
    <row r="420" spans="1:4" ht="15.75" outlineLevel="1">
      <c r="A420" s="37" t="s">
        <v>1032</v>
      </c>
      <c r="B420" s="38" t="s">
        <v>20</v>
      </c>
      <c r="C420" s="37">
        <v>5.63</v>
      </c>
      <c r="D420" s="111"/>
    </row>
    <row r="421" spans="1:4" ht="15.75" outlineLevel="1">
      <c r="A421" s="37" t="s">
        <v>1032</v>
      </c>
      <c r="B421" s="38" t="s">
        <v>21</v>
      </c>
      <c r="C421" s="37">
        <v>5.65</v>
      </c>
      <c r="D421" s="111"/>
    </row>
    <row r="422" spans="1:4" ht="15.75" outlineLevel="1">
      <c r="A422" s="37" t="s">
        <v>1032</v>
      </c>
      <c r="B422" s="38" t="s">
        <v>184</v>
      </c>
      <c r="C422" s="37">
        <v>5.66</v>
      </c>
      <c r="D422" s="111"/>
    </row>
    <row r="423" spans="1:4" ht="15.75" outlineLevel="1">
      <c r="A423" s="37" t="s">
        <v>1032</v>
      </c>
      <c r="B423" s="38" t="s">
        <v>22</v>
      </c>
      <c r="C423" s="37">
        <v>5.68</v>
      </c>
      <c r="D423" s="111"/>
    </row>
    <row r="424" spans="1:4" ht="15.75" outlineLevel="1">
      <c r="A424" s="37" t="s">
        <v>1032</v>
      </c>
      <c r="B424" s="38" t="s">
        <v>24</v>
      </c>
      <c r="C424" s="37">
        <v>5.47</v>
      </c>
      <c r="D424" s="111"/>
    </row>
    <row r="425" spans="1:4" ht="15.75" outlineLevel="1">
      <c r="A425" s="37" t="s">
        <v>1032</v>
      </c>
      <c r="B425" s="38" t="s">
        <v>25</v>
      </c>
      <c r="C425" s="37">
        <v>5.48</v>
      </c>
      <c r="D425" s="111"/>
    </row>
    <row r="426" spans="1:4" ht="15.75">
      <c r="A426" s="43" t="s">
        <v>1032</v>
      </c>
      <c r="B426" s="38"/>
      <c r="C426" s="37"/>
      <c r="D426" s="111"/>
    </row>
    <row r="427" spans="1:4" ht="15.75" outlineLevel="1">
      <c r="A427" s="37" t="s">
        <v>1146</v>
      </c>
      <c r="B427" s="38" t="s">
        <v>0</v>
      </c>
      <c r="C427" s="37">
        <v>5.0999999999999996</v>
      </c>
      <c r="D427" s="111"/>
    </row>
    <row r="428" spans="1:4" ht="15.75" outlineLevel="1">
      <c r="A428" s="37" t="s">
        <v>1146</v>
      </c>
      <c r="B428" s="38" t="s">
        <v>1</v>
      </c>
      <c r="C428" s="37">
        <v>5.2</v>
      </c>
      <c r="D428" s="111"/>
    </row>
    <row r="429" spans="1:4" ht="15.75" outlineLevel="1">
      <c r="A429" s="37" t="s">
        <v>1146</v>
      </c>
      <c r="B429" s="38" t="s">
        <v>2</v>
      </c>
      <c r="C429" s="37">
        <v>5.3</v>
      </c>
      <c r="D429" s="111"/>
    </row>
    <row r="430" spans="1:4" ht="15.75" outlineLevel="1">
      <c r="A430" s="37" t="s">
        <v>1146</v>
      </c>
      <c r="B430" s="38" t="s">
        <v>165</v>
      </c>
      <c r="C430" s="37">
        <v>5.6</v>
      </c>
      <c r="D430" s="111"/>
    </row>
    <row r="431" spans="1:4" ht="15.75" outlineLevel="1">
      <c r="A431" s="37" t="s">
        <v>1146</v>
      </c>
      <c r="B431" s="38" t="s">
        <v>1131</v>
      </c>
      <c r="C431" s="39">
        <v>5.0999999999999996</v>
      </c>
      <c r="D431" s="111"/>
    </row>
    <row r="432" spans="1:4" ht="15.75" outlineLevel="1">
      <c r="A432" s="37" t="s">
        <v>1146</v>
      </c>
      <c r="B432" s="38" t="s">
        <v>1130</v>
      </c>
      <c r="C432" s="37">
        <v>5.14</v>
      </c>
      <c r="D432" s="111"/>
    </row>
    <row r="433" spans="1:4" ht="15.75" outlineLevel="1">
      <c r="A433" s="37" t="s">
        <v>1146</v>
      </c>
      <c r="B433" s="38" t="s">
        <v>4</v>
      </c>
      <c r="C433" s="37">
        <v>5.19</v>
      </c>
      <c r="D433" s="111"/>
    </row>
    <row r="434" spans="1:4" ht="15.75" outlineLevel="1">
      <c r="A434" s="37" t="s">
        <v>1146</v>
      </c>
      <c r="B434" s="38" t="s">
        <v>167</v>
      </c>
      <c r="C434" s="37">
        <v>5.24</v>
      </c>
      <c r="D434" s="111"/>
    </row>
    <row r="435" spans="1:4" ht="15.75" outlineLevel="1">
      <c r="A435" s="37" t="s">
        <v>1146</v>
      </c>
      <c r="B435" s="38" t="s">
        <v>5</v>
      </c>
      <c r="C435" s="37">
        <v>5.26</v>
      </c>
      <c r="D435" s="111"/>
    </row>
    <row r="436" spans="1:4" ht="15.75" outlineLevel="1">
      <c r="A436" s="37" t="s">
        <v>1146</v>
      </c>
      <c r="B436" s="38" t="s">
        <v>6</v>
      </c>
      <c r="C436" s="37">
        <v>5.27</v>
      </c>
      <c r="D436" s="111"/>
    </row>
    <row r="437" spans="1:4" ht="15.75" outlineLevel="1">
      <c r="A437" s="37" t="s">
        <v>1146</v>
      </c>
      <c r="B437" s="38" t="s">
        <v>7</v>
      </c>
      <c r="C437" s="37">
        <v>5.28</v>
      </c>
      <c r="D437" s="111"/>
    </row>
    <row r="438" spans="1:4" ht="15.75" outlineLevel="1">
      <c r="A438" s="37" t="s">
        <v>1146</v>
      </c>
      <c r="B438" s="38" t="s">
        <v>343</v>
      </c>
      <c r="C438" s="37">
        <v>5.29</v>
      </c>
      <c r="D438" s="111"/>
    </row>
    <row r="439" spans="1:4" ht="15.75" outlineLevel="1">
      <c r="A439" s="37" t="s">
        <v>1146</v>
      </c>
      <c r="B439" s="38" t="s">
        <v>168</v>
      </c>
      <c r="C439" s="37">
        <v>5.31</v>
      </c>
      <c r="D439" s="111"/>
    </row>
    <row r="440" spans="1:4" ht="15.75" outlineLevel="1">
      <c r="A440" s="37" t="s">
        <v>1146</v>
      </c>
      <c r="B440" s="38" t="s">
        <v>139</v>
      </c>
      <c r="C440" s="37">
        <v>5.36</v>
      </c>
      <c r="D440" s="111"/>
    </row>
    <row r="441" spans="1:4" ht="15.75" outlineLevel="1">
      <c r="A441" s="37" t="s">
        <v>1146</v>
      </c>
      <c r="B441" s="38" t="s">
        <v>176</v>
      </c>
      <c r="C441" s="37">
        <v>5.37</v>
      </c>
      <c r="D441" s="111"/>
    </row>
    <row r="442" spans="1:4" ht="15.75" outlineLevel="1">
      <c r="A442" s="37" t="s">
        <v>1146</v>
      </c>
      <c r="B442" s="38" t="s">
        <v>11</v>
      </c>
      <c r="C442" s="37">
        <v>5.53</v>
      </c>
      <c r="D442" s="111"/>
    </row>
    <row r="443" spans="1:4" ht="15.75" outlineLevel="1">
      <c r="A443" s="37" t="s">
        <v>1146</v>
      </c>
      <c r="B443" s="38" t="s">
        <v>169</v>
      </c>
      <c r="C443" s="37">
        <v>5.109</v>
      </c>
      <c r="D443" s="111"/>
    </row>
    <row r="444" spans="1:4" ht="15.75" outlineLevel="1">
      <c r="A444" s="37" t="s">
        <v>1146</v>
      </c>
      <c r="B444" s="38" t="s">
        <v>170</v>
      </c>
      <c r="C444" s="37">
        <v>5.1109999999999998</v>
      </c>
      <c r="D444" s="111"/>
    </row>
    <row r="445" spans="1:4" ht="15.75" outlineLevel="1">
      <c r="A445" s="37" t="s">
        <v>1146</v>
      </c>
      <c r="B445" s="38" t="s">
        <v>148</v>
      </c>
      <c r="C445" s="37">
        <v>5.1120000000000001</v>
      </c>
      <c r="D445" s="111"/>
    </row>
    <row r="446" spans="1:4" ht="15.75" outlineLevel="1">
      <c r="A446" s="37" t="s">
        <v>1146</v>
      </c>
      <c r="B446" s="38" t="s">
        <v>1145</v>
      </c>
      <c r="C446" s="37">
        <v>5.1130000000000004</v>
      </c>
      <c r="D446" s="111"/>
    </row>
    <row r="447" spans="1:4" ht="15.75" outlineLevel="1">
      <c r="A447" s="37" t="s">
        <v>1146</v>
      </c>
      <c r="B447" s="38" t="s">
        <v>17</v>
      </c>
      <c r="C447" s="37">
        <v>5.58</v>
      </c>
      <c r="D447" s="111"/>
    </row>
    <row r="448" spans="1:4" ht="15.75" outlineLevel="1">
      <c r="A448" s="37" t="s">
        <v>1146</v>
      </c>
      <c r="B448" s="38" t="s">
        <v>18</v>
      </c>
      <c r="C448" s="37">
        <v>5.54</v>
      </c>
      <c r="D448" s="111"/>
    </row>
    <row r="449" spans="1:4" ht="15.75" outlineLevel="1">
      <c r="A449" s="37" t="s">
        <v>1146</v>
      </c>
      <c r="B449" s="38" t="s">
        <v>19</v>
      </c>
      <c r="C449" s="37">
        <v>5.55</v>
      </c>
      <c r="D449" s="111"/>
    </row>
    <row r="450" spans="1:4" ht="15.75" outlineLevel="1">
      <c r="A450" s="37" t="s">
        <v>1146</v>
      </c>
      <c r="B450" s="38" t="s">
        <v>20</v>
      </c>
      <c r="C450" s="37">
        <v>5.63</v>
      </c>
      <c r="D450" s="111"/>
    </row>
    <row r="451" spans="1:4" ht="15.75" outlineLevel="1">
      <c r="A451" s="37" t="s">
        <v>1146</v>
      </c>
      <c r="B451" s="38" t="s">
        <v>24</v>
      </c>
      <c r="C451" s="37">
        <v>5.47</v>
      </c>
      <c r="D451" s="111"/>
    </row>
    <row r="452" spans="1:4" ht="15.75" outlineLevel="1">
      <c r="A452" s="37" t="s">
        <v>1146</v>
      </c>
      <c r="B452" s="38" t="s">
        <v>25</v>
      </c>
      <c r="C452" s="37">
        <v>5.48</v>
      </c>
      <c r="D452" s="111"/>
    </row>
    <row r="453" spans="1:4" ht="31.5">
      <c r="A453" s="43" t="s">
        <v>1146</v>
      </c>
      <c r="B453" s="38"/>
      <c r="C453" s="37"/>
      <c r="D453" s="111"/>
    </row>
    <row r="454" spans="1:4" ht="15.75" outlineLevel="1">
      <c r="A454" s="37" t="s">
        <v>792</v>
      </c>
      <c r="B454" s="38" t="s">
        <v>0</v>
      </c>
      <c r="C454" s="37">
        <v>5.0999999999999996</v>
      </c>
      <c r="D454" s="111"/>
    </row>
    <row r="455" spans="1:4" ht="15.75" outlineLevel="1">
      <c r="A455" s="37" t="s">
        <v>792</v>
      </c>
      <c r="B455" s="38" t="s">
        <v>1</v>
      </c>
      <c r="C455" s="37">
        <v>5.2</v>
      </c>
      <c r="D455" s="111"/>
    </row>
    <row r="456" spans="1:4" ht="15.75" outlineLevel="1">
      <c r="A456" s="37" t="s">
        <v>792</v>
      </c>
      <c r="B456" s="38" t="s">
        <v>208</v>
      </c>
      <c r="C456" s="37">
        <v>5.5</v>
      </c>
      <c r="D456" s="111"/>
    </row>
    <row r="457" spans="1:4" ht="15.75" outlineLevel="1">
      <c r="A457" s="37" t="s">
        <v>792</v>
      </c>
      <c r="B457" s="38" t="s">
        <v>209</v>
      </c>
      <c r="C457" s="37">
        <v>5.8</v>
      </c>
      <c r="D457" s="110" t="s">
        <v>1129</v>
      </c>
    </row>
    <row r="458" spans="1:4" ht="15.75" outlineLevel="1">
      <c r="A458" s="37" t="s">
        <v>792</v>
      </c>
      <c r="B458" s="38" t="s">
        <v>210</v>
      </c>
      <c r="C458" s="37">
        <v>5.12</v>
      </c>
      <c r="D458" s="110" t="s">
        <v>1129</v>
      </c>
    </row>
    <row r="459" spans="1:4" ht="15.75" outlineLevel="1">
      <c r="A459" s="37" t="s">
        <v>792</v>
      </c>
      <c r="B459" s="38" t="s">
        <v>211</v>
      </c>
      <c r="C459" s="37">
        <v>5.15</v>
      </c>
      <c r="D459" s="111"/>
    </row>
    <row r="460" spans="1:4" ht="15.75" outlineLevel="1">
      <c r="A460" s="37" t="s">
        <v>792</v>
      </c>
      <c r="B460" s="38" t="s">
        <v>212</v>
      </c>
      <c r="C460" s="39">
        <v>5.2</v>
      </c>
      <c r="D460" s="110"/>
    </row>
    <row r="461" spans="1:4" ht="15.75" outlineLevel="1">
      <c r="A461" s="37" t="s">
        <v>792</v>
      </c>
      <c r="B461" s="38" t="s">
        <v>213</v>
      </c>
      <c r="C461" s="37">
        <v>5.25</v>
      </c>
      <c r="D461" s="111"/>
    </row>
    <row r="462" spans="1:4" ht="15.75" outlineLevel="1">
      <c r="A462" s="37" t="s">
        <v>792</v>
      </c>
      <c r="B462" s="38" t="s">
        <v>5</v>
      </c>
      <c r="C462" s="37">
        <v>5.26</v>
      </c>
      <c r="D462" s="111"/>
    </row>
    <row r="463" spans="1:4" ht="15.75" outlineLevel="1">
      <c r="A463" s="37" t="s">
        <v>792</v>
      </c>
      <c r="B463" s="38" t="s">
        <v>849</v>
      </c>
      <c r="C463" s="37">
        <v>5.1139999999999999</v>
      </c>
      <c r="D463" s="110" t="s">
        <v>1129</v>
      </c>
    </row>
    <row r="464" spans="1:4" ht="15.75" outlineLevel="1">
      <c r="A464" s="37" t="s">
        <v>792</v>
      </c>
      <c r="B464" s="38" t="s">
        <v>6</v>
      </c>
      <c r="C464" s="37">
        <v>5.27</v>
      </c>
      <c r="D464" s="111"/>
    </row>
    <row r="465" spans="1:4" ht="15.75" outlineLevel="1">
      <c r="A465" s="37" t="s">
        <v>792</v>
      </c>
      <c r="B465" s="38" t="s">
        <v>1147</v>
      </c>
      <c r="C465" s="37">
        <v>5.1150000000000002</v>
      </c>
      <c r="D465" s="110" t="s">
        <v>1129</v>
      </c>
    </row>
    <row r="466" spans="1:4" ht="15.75" outlineLevel="1">
      <c r="A466" s="37" t="s">
        <v>792</v>
      </c>
      <c r="B466" s="38" t="s">
        <v>1148</v>
      </c>
      <c r="C466" s="37">
        <v>5.1159999999999997</v>
      </c>
      <c r="D466" s="110" t="s">
        <v>1129</v>
      </c>
    </row>
    <row r="467" spans="1:4" ht="15.75" outlineLevel="1">
      <c r="A467" s="37" t="s">
        <v>792</v>
      </c>
      <c r="B467" s="38" t="s">
        <v>7</v>
      </c>
      <c r="C467" s="37">
        <v>5.28</v>
      </c>
      <c r="D467" s="111"/>
    </row>
    <row r="468" spans="1:4" ht="15.75" outlineLevel="1">
      <c r="A468" s="37" t="s">
        <v>792</v>
      </c>
      <c r="B468" s="38" t="s">
        <v>139</v>
      </c>
      <c r="C468" s="37">
        <v>5.36</v>
      </c>
      <c r="D468" s="111"/>
    </row>
    <row r="469" spans="1:4" ht="15.75" outlineLevel="1">
      <c r="A469" s="37" t="s">
        <v>792</v>
      </c>
      <c r="B469" s="38" t="s">
        <v>176</v>
      </c>
      <c r="C469" s="37">
        <v>5.37</v>
      </c>
      <c r="D469" s="111"/>
    </row>
    <row r="470" spans="1:4" ht="15.75" outlineLevel="1">
      <c r="A470" s="37" t="s">
        <v>792</v>
      </c>
      <c r="B470" s="38" t="s">
        <v>11</v>
      </c>
      <c r="C470" s="37">
        <v>5.53</v>
      </c>
      <c r="D470" s="111"/>
    </row>
    <row r="471" spans="1:4" ht="15.75" outlineLevel="1">
      <c r="A471" s="37" t="s">
        <v>792</v>
      </c>
      <c r="B471" s="38" t="s">
        <v>169</v>
      </c>
      <c r="C471" s="37">
        <v>5.109</v>
      </c>
      <c r="D471" s="111"/>
    </row>
    <row r="472" spans="1:4" ht="15.75" outlineLevel="1">
      <c r="A472" s="37" t="s">
        <v>792</v>
      </c>
      <c r="B472" s="38" t="s">
        <v>170</v>
      </c>
      <c r="C472" s="37">
        <v>5.1109999999999998</v>
      </c>
      <c r="D472" s="111"/>
    </row>
    <row r="473" spans="1:4" ht="15.75" outlineLevel="1">
      <c r="A473" s="37" t="s">
        <v>792</v>
      </c>
      <c r="B473" s="38" t="s">
        <v>148</v>
      </c>
      <c r="C473" s="37">
        <v>5.1120000000000001</v>
      </c>
      <c r="D473" s="111"/>
    </row>
    <row r="474" spans="1:4" ht="15.75" outlineLevel="1">
      <c r="A474" s="37" t="s">
        <v>792</v>
      </c>
      <c r="B474" s="38" t="s">
        <v>18</v>
      </c>
      <c r="C474" s="37">
        <v>5.54</v>
      </c>
      <c r="D474" s="111"/>
    </row>
    <row r="475" spans="1:4" ht="15.75" outlineLevel="1">
      <c r="A475" s="37" t="s">
        <v>792</v>
      </c>
      <c r="B475" s="38" t="s">
        <v>1149</v>
      </c>
      <c r="C475" s="37">
        <v>5.61</v>
      </c>
      <c r="D475" s="111"/>
    </row>
    <row r="476" spans="1:4" ht="15.75" outlineLevel="1">
      <c r="A476" s="37" t="s">
        <v>792</v>
      </c>
      <c r="B476" s="38" t="s">
        <v>20</v>
      </c>
      <c r="C476" s="37">
        <v>5.63</v>
      </c>
      <c r="D476" s="111"/>
    </row>
    <row r="477" spans="1:4" ht="15.75" outlineLevel="1">
      <c r="A477" s="37" t="s">
        <v>792</v>
      </c>
      <c r="B477" s="38" t="s">
        <v>1150</v>
      </c>
      <c r="C477" s="37">
        <v>5.46</v>
      </c>
      <c r="D477" s="111"/>
    </row>
    <row r="478" spans="1:4" ht="15.75" outlineLevel="1">
      <c r="A478" s="37" t="s">
        <v>792</v>
      </c>
      <c r="B478" s="38" t="s">
        <v>24</v>
      </c>
      <c r="C478" s="37">
        <v>5.47</v>
      </c>
      <c r="D478" s="111"/>
    </row>
    <row r="479" spans="1:4" ht="15.75" outlineLevel="1">
      <c r="A479" s="37" t="s">
        <v>792</v>
      </c>
      <c r="B479" s="38" t="s">
        <v>25</v>
      </c>
      <c r="C479" s="37">
        <v>5.48</v>
      </c>
      <c r="D479" s="111"/>
    </row>
    <row r="480" spans="1:4" ht="15.75">
      <c r="A480" s="43" t="s">
        <v>792</v>
      </c>
      <c r="B480" s="38"/>
      <c r="C480" s="37"/>
      <c r="D480" s="111"/>
    </row>
    <row r="481" spans="1:4" ht="15.75" outlineLevel="1">
      <c r="A481" s="37" t="s">
        <v>1151</v>
      </c>
      <c r="B481" s="38" t="s">
        <v>0</v>
      </c>
      <c r="C481" s="37">
        <v>5.0999999999999996</v>
      </c>
      <c r="D481" s="111"/>
    </row>
    <row r="482" spans="1:4" ht="15.75" outlineLevel="1">
      <c r="A482" s="37" t="s">
        <v>1151</v>
      </c>
      <c r="B482" s="38" t="s">
        <v>1</v>
      </c>
      <c r="C482" s="37">
        <v>5.2</v>
      </c>
      <c r="D482" s="111"/>
    </row>
    <row r="483" spans="1:4" ht="15.75" outlineLevel="1">
      <c r="A483" s="37" t="s">
        <v>1151</v>
      </c>
      <c r="B483" s="38" t="s">
        <v>2</v>
      </c>
      <c r="C483" s="37">
        <v>5.3</v>
      </c>
      <c r="D483" s="111"/>
    </row>
    <row r="484" spans="1:4" ht="15.75" outlineLevel="1">
      <c r="A484" s="37" t="s">
        <v>1151</v>
      </c>
      <c r="B484" s="38" t="s">
        <v>165</v>
      </c>
      <c r="C484" s="37">
        <v>5.6</v>
      </c>
      <c r="D484" s="111"/>
    </row>
    <row r="485" spans="1:4" ht="15.75" outlineLevel="1">
      <c r="A485" s="37" t="s">
        <v>1151</v>
      </c>
      <c r="B485" s="38" t="s">
        <v>1131</v>
      </c>
      <c r="C485" s="39">
        <v>5.0999999999999996</v>
      </c>
      <c r="D485" s="111"/>
    </row>
    <row r="486" spans="1:4" ht="15.75" outlineLevel="1">
      <c r="A486" s="37" t="s">
        <v>1151</v>
      </c>
      <c r="B486" s="38" t="s">
        <v>1130</v>
      </c>
      <c r="C486" s="37">
        <v>5.14</v>
      </c>
      <c r="D486" s="111"/>
    </row>
    <row r="487" spans="1:4" ht="15.75" outlineLevel="1">
      <c r="A487" s="37" t="s">
        <v>1151</v>
      </c>
      <c r="B487" s="38" t="s">
        <v>4</v>
      </c>
      <c r="C487" s="37">
        <v>5.19</v>
      </c>
      <c r="D487" s="111"/>
    </row>
    <row r="488" spans="1:4" ht="15.75" outlineLevel="1">
      <c r="A488" s="37" t="s">
        <v>1151</v>
      </c>
      <c r="B488" s="38" t="s">
        <v>167</v>
      </c>
      <c r="C488" s="37">
        <v>5.24</v>
      </c>
      <c r="D488" s="111"/>
    </row>
    <row r="489" spans="1:4" ht="15.75" outlineLevel="1">
      <c r="A489" s="37" t="s">
        <v>1151</v>
      </c>
      <c r="B489" s="38" t="s">
        <v>6</v>
      </c>
      <c r="C489" s="37">
        <v>5.27</v>
      </c>
      <c r="D489" s="111"/>
    </row>
    <row r="490" spans="1:4" ht="15.75" outlineLevel="1">
      <c r="A490" s="37" t="s">
        <v>1151</v>
      </c>
      <c r="B490" s="38" t="s">
        <v>7</v>
      </c>
      <c r="C490" s="37">
        <v>5.28</v>
      </c>
      <c r="D490" s="111"/>
    </row>
    <row r="491" spans="1:4" ht="15.75" outlineLevel="1">
      <c r="A491" s="37" t="s">
        <v>1151</v>
      </c>
      <c r="B491" s="38" t="s">
        <v>343</v>
      </c>
      <c r="C491" s="37">
        <v>5.29</v>
      </c>
      <c r="D491" s="111"/>
    </row>
    <row r="492" spans="1:4" ht="15.75" outlineLevel="1">
      <c r="A492" s="37" t="s">
        <v>1151</v>
      </c>
      <c r="B492" s="38" t="s">
        <v>1136</v>
      </c>
      <c r="C492" s="37">
        <v>5.34</v>
      </c>
      <c r="D492" s="111"/>
    </row>
    <row r="493" spans="1:4" ht="15.75" outlineLevel="1">
      <c r="A493" s="37" t="s">
        <v>1151</v>
      </c>
      <c r="B493" s="38" t="s">
        <v>168</v>
      </c>
      <c r="C493" s="37">
        <v>5.31</v>
      </c>
      <c r="D493" s="111"/>
    </row>
    <row r="494" spans="1:4" ht="15.75" outlineLevel="1">
      <c r="A494" s="37" t="s">
        <v>1151</v>
      </c>
      <c r="B494" s="38" t="s">
        <v>1137</v>
      </c>
      <c r="C494" s="37">
        <v>5.101</v>
      </c>
      <c r="D494" s="111"/>
    </row>
    <row r="495" spans="1:4" ht="15.75" outlineLevel="1">
      <c r="A495" s="37" t="s">
        <v>1151</v>
      </c>
      <c r="B495" s="38" t="s">
        <v>139</v>
      </c>
      <c r="C495" s="37">
        <v>5.36</v>
      </c>
      <c r="D495" s="111"/>
    </row>
    <row r="496" spans="1:4" ht="15.75" outlineLevel="1">
      <c r="A496" s="37" t="s">
        <v>1151</v>
      </c>
      <c r="B496" s="38" t="s">
        <v>176</v>
      </c>
      <c r="C496" s="37">
        <v>5.37</v>
      </c>
      <c r="D496" s="111"/>
    </row>
    <row r="497" spans="1:4" ht="15.75" outlineLevel="1">
      <c r="A497" s="37" t="s">
        <v>1151</v>
      </c>
      <c r="B497" s="38" t="s">
        <v>11</v>
      </c>
      <c r="C497" s="37">
        <v>5.53</v>
      </c>
      <c r="D497" s="111"/>
    </row>
    <row r="498" spans="1:4" ht="15.75" outlineLevel="1">
      <c r="A498" s="37" t="s">
        <v>1151</v>
      </c>
      <c r="B498" s="38" t="s">
        <v>169</v>
      </c>
      <c r="C498" s="37">
        <v>5.109</v>
      </c>
      <c r="D498" s="111"/>
    </row>
    <row r="499" spans="1:4" ht="15.75" outlineLevel="1">
      <c r="A499" s="37" t="s">
        <v>1151</v>
      </c>
      <c r="B499" s="38" t="s">
        <v>170</v>
      </c>
      <c r="C499" s="37">
        <v>5.1109999999999998</v>
      </c>
      <c r="D499" s="111"/>
    </row>
    <row r="500" spans="1:4" ht="15.75" outlineLevel="1">
      <c r="A500" s="37" t="s">
        <v>1151</v>
      </c>
      <c r="B500" s="38" t="s">
        <v>148</v>
      </c>
      <c r="C500" s="37">
        <v>5.1120000000000001</v>
      </c>
      <c r="D500" s="111"/>
    </row>
    <row r="501" spans="1:4" ht="15.75" outlineLevel="1">
      <c r="A501" s="37" t="s">
        <v>1151</v>
      </c>
      <c r="B501" s="38" t="s">
        <v>1138</v>
      </c>
      <c r="C501" s="37">
        <v>5.1020000000000003</v>
      </c>
      <c r="D501" s="111"/>
    </row>
    <row r="502" spans="1:4" ht="15.75" outlineLevel="1">
      <c r="A502" s="37" t="s">
        <v>1151</v>
      </c>
      <c r="B502" s="38" t="s">
        <v>1139</v>
      </c>
      <c r="C502" s="40">
        <v>5.0999999999999996</v>
      </c>
      <c r="D502" s="111"/>
    </row>
    <row r="503" spans="1:4" ht="15.75" outlineLevel="1">
      <c r="A503" s="37" t="s">
        <v>1151</v>
      </c>
      <c r="B503" s="38" t="s">
        <v>17</v>
      </c>
      <c r="C503" s="37">
        <v>5.58</v>
      </c>
      <c r="D503" s="111"/>
    </row>
    <row r="504" spans="1:4" ht="15.75" outlineLevel="1">
      <c r="A504" s="37" t="s">
        <v>1151</v>
      </c>
      <c r="B504" s="38" t="s">
        <v>19</v>
      </c>
      <c r="C504" s="37">
        <v>5.55</v>
      </c>
      <c r="D504" s="111"/>
    </row>
    <row r="505" spans="1:4" ht="15.75" outlineLevel="1">
      <c r="A505" s="37" t="s">
        <v>1151</v>
      </c>
      <c r="B505" s="38" t="s">
        <v>18</v>
      </c>
      <c r="C505" s="37">
        <v>5.54</v>
      </c>
      <c r="D505" s="111"/>
    </row>
    <row r="506" spans="1:4" ht="15.75" outlineLevel="1">
      <c r="A506" s="37" t="s">
        <v>1151</v>
      </c>
      <c r="B506" s="38" t="s">
        <v>20</v>
      </c>
      <c r="C506" s="37">
        <v>5.63</v>
      </c>
      <c r="D506" s="111"/>
    </row>
    <row r="507" spans="1:4" ht="15.75" outlineLevel="1">
      <c r="A507" s="37" t="s">
        <v>1151</v>
      </c>
      <c r="B507" s="38" t="s">
        <v>24</v>
      </c>
      <c r="C507" s="37">
        <v>5.47</v>
      </c>
      <c r="D507" s="111"/>
    </row>
    <row r="508" spans="1:4" ht="15.75" outlineLevel="1">
      <c r="A508" s="37" t="s">
        <v>1151</v>
      </c>
      <c r="B508" s="38" t="s">
        <v>25</v>
      </c>
      <c r="C508" s="37">
        <v>5.48</v>
      </c>
      <c r="D508" s="111"/>
    </row>
    <row r="509" spans="1:4" ht="15.75">
      <c r="A509" s="43" t="s">
        <v>1151</v>
      </c>
      <c r="B509" s="38"/>
      <c r="C509" s="37"/>
      <c r="D509" s="111"/>
    </row>
    <row r="510" spans="1:4" ht="15.75" outlineLevel="1">
      <c r="A510" s="37" t="s">
        <v>1050</v>
      </c>
      <c r="B510" s="38" t="s">
        <v>0</v>
      </c>
      <c r="C510" s="37">
        <v>5.0999999999999996</v>
      </c>
      <c r="D510" s="111"/>
    </row>
    <row r="511" spans="1:4" ht="15.75" outlineLevel="1">
      <c r="A511" s="37" t="s">
        <v>1050</v>
      </c>
      <c r="B511" s="38" t="s">
        <v>1</v>
      </c>
      <c r="C511" s="37">
        <v>5.2</v>
      </c>
      <c r="D511" s="111"/>
    </row>
    <row r="512" spans="1:4" ht="15.75" outlineLevel="1">
      <c r="A512" s="37" t="s">
        <v>1050</v>
      </c>
      <c r="B512" s="38" t="s">
        <v>2</v>
      </c>
      <c r="C512" s="37">
        <v>5.3</v>
      </c>
      <c r="D512" s="111"/>
    </row>
    <row r="513" spans="1:4" ht="15.75" outlineLevel="1">
      <c r="A513" s="37" t="s">
        <v>1050</v>
      </c>
      <c r="B513" s="38" t="s">
        <v>165</v>
      </c>
      <c r="C513" s="37">
        <v>5.6</v>
      </c>
      <c r="D513" s="111"/>
    </row>
    <row r="514" spans="1:4" ht="15.75" outlineLevel="1">
      <c r="A514" s="37" t="s">
        <v>1050</v>
      </c>
      <c r="B514" s="38" t="s">
        <v>1131</v>
      </c>
      <c r="C514" s="39">
        <v>5.0999999999999996</v>
      </c>
      <c r="D514" s="111"/>
    </row>
    <row r="515" spans="1:4" ht="15.75" outlineLevel="1">
      <c r="A515" s="37" t="s">
        <v>1050</v>
      </c>
      <c r="B515" s="38" t="s">
        <v>1130</v>
      </c>
      <c r="C515" s="37">
        <v>5.14</v>
      </c>
      <c r="D515" s="111"/>
    </row>
    <row r="516" spans="1:4" ht="15.75" outlineLevel="1">
      <c r="A516" s="37" t="s">
        <v>1050</v>
      </c>
      <c r="B516" s="38" t="s">
        <v>4</v>
      </c>
      <c r="C516" s="37">
        <v>5.19</v>
      </c>
      <c r="D516" s="111"/>
    </row>
    <row r="517" spans="1:4" ht="15.75" outlineLevel="1">
      <c r="A517" s="37" t="s">
        <v>1050</v>
      </c>
      <c r="B517" s="38" t="s">
        <v>167</v>
      </c>
      <c r="C517" s="37">
        <v>5.24</v>
      </c>
      <c r="D517" s="111"/>
    </row>
    <row r="518" spans="1:4" ht="15.75" outlineLevel="1">
      <c r="A518" s="37" t="s">
        <v>1050</v>
      </c>
      <c r="B518" s="38" t="s">
        <v>5</v>
      </c>
      <c r="C518" s="37">
        <v>5.26</v>
      </c>
      <c r="D518" s="111"/>
    </row>
    <row r="519" spans="1:4" ht="15.75" outlineLevel="1">
      <c r="A519" s="37" t="s">
        <v>1050</v>
      </c>
      <c r="B519" s="38" t="s">
        <v>6</v>
      </c>
      <c r="C519" s="37">
        <v>5.27</v>
      </c>
      <c r="D519" s="111"/>
    </row>
    <row r="520" spans="1:4" ht="15.75" outlineLevel="1">
      <c r="A520" s="37" t="s">
        <v>1050</v>
      </c>
      <c r="B520" s="38" t="s">
        <v>7</v>
      </c>
      <c r="C520" s="37">
        <v>5.28</v>
      </c>
      <c r="D520" s="111"/>
    </row>
    <row r="521" spans="1:4" ht="15.75" outlineLevel="1">
      <c r="A521" s="37" t="s">
        <v>1050</v>
      </c>
      <c r="B521" s="38" t="s">
        <v>168</v>
      </c>
      <c r="C521" s="37">
        <v>5.31</v>
      </c>
      <c r="D521" s="111"/>
    </row>
    <row r="522" spans="1:4" ht="15.75" outlineLevel="1">
      <c r="A522" s="37" t="s">
        <v>1050</v>
      </c>
      <c r="B522" s="38" t="s">
        <v>191</v>
      </c>
      <c r="C522" s="37">
        <v>5.33</v>
      </c>
      <c r="D522" s="111"/>
    </row>
    <row r="523" spans="1:4" ht="15.75" outlineLevel="1">
      <c r="A523" s="37" t="s">
        <v>1050</v>
      </c>
      <c r="B523" s="38" t="s">
        <v>1137</v>
      </c>
      <c r="C523" s="37">
        <v>5.101</v>
      </c>
      <c r="D523" s="111"/>
    </row>
    <row r="524" spans="1:4" ht="15.75" outlineLevel="1">
      <c r="A524" s="37" t="s">
        <v>1050</v>
      </c>
      <c r="B524" s="38" t="s">
        <v>139</v>
      </c>
      <c r="C524" s="37">
        <v>5.36</v>
      </c>
      <c r="D524" s="111"/>
    </row>
    <row r="525" spans="1:4" ht="15.75" outlineLevel="1">
      <c r="A525" s="37" t="s">
        <v>1050</v>
      </c>
      <c r="B525" s="38" t="s">
        <v>176</v>
      </c>
      <c r="C525" s="37">
        <v>5.37</v>
      </c>
      <c r="D525" s="111"/>
    </row>
    <row r="526" spans="1:4" ht="15.75" outlineLevel="1">
      <c r="A526" s="37" t="s">
        <v>1050</v>
      </c>
      <c r="B526" s="38" t="s">
        <v>11</v>
      </c>
      <c r="C526" s="37">
        <v>5.53</v>
      </c>
      <c r="D526" s="111"/>
    </row>
    <row r="527" spans="1:4" ht="15.75" outlineLevel="1">
      <c r="A527" s="37" t="s">
        <v>1050</v>
      </c>
      <c r="B527" s="38" t="s">
        <v>169</v>
      </c>
      <c r="C527" s="37">
        <v>5.109</v>
      </c>
      <c r="D527" s="111"/>
    </row>
    <row r="528" spans="1:4" ht="15.75" outlineLevel="1">
      <c r="A528" s="37" t="s">
        <v>1050</v>
      </c>
      <c r="B528" s="38" t="s">
        <v>170</v>
      </c>
      <c r="C528" s="37">
        <v>5.1109999999999998</v>
      </c>
      <c r="D528" s="111"/>
    </row>
    <row r="529" spans="1:4" ht="15.75" outlineLevel="1">
      <c r="A529" s="37" t="s">
        <v>1050</v>
      </c>
      <c r="B529" s="38" t="s">
        <v>148</v>
      </c>
      <c r="C529" s="37">
        <v>5.1120000000000001</v>
      </c>
      <c r="D529" s="111"/>
    </row>
    <row r="530" spans="1:4" ht="15.75" outlineLevel="1">
      <c r="A530" s="37" t="s">
        <v>1050</v>
      </c>
      <c r="B530" s="38" t="s">
        <v>1138</v>
      </c>
      <c r="C530" s="37">
        <v>5.1020000000000003</v>
      </c>
      <c r="D530" s="111"/>
    </row>
    <row r="531" spans="1:4" ht="15.75" outlineLevel="1">
      <c r="A531" s="37" t="s">
        <v>1050</v>
      </c>
      <c r="B531" s="38" t="s">
        <v>1139</v>
      </c>
      <c r="C531" s="40">
        <v>5.0999999999999996</v>
      </c>
      <c r="D531" s="111"/>
    </row>
    <row r="532" spans="1:4" ht="15.75" outlineLevel="1">
      <c r="A532" s="37" t="s">
        <v>1050</v>
      </c>
      <c r="B532" s="38" t="s">
        <v>17</v>
      </c>
      <c r="C532" s="37">
        <v>5.58</v>
      </c>
      <c r="D532" s="111"/>
    </row>
    <row r="533" spans="1:4" ht="15.75" outlineLevel="1">
      <c r="A533" s="37" t="s">
        <v>1050</v>
      </c>
      <c r="B533" s="38" t="s">
        <v>19</v>
      </c>
      <c r="C533" s="37">
        <v>5.55</v>
      </c>
      <c r="D533" s="111"/>
    </row>
    <row r="534" spans="1:4" ht="15.75" outlineLevel="1">
      <c r="A534" s="37" t="s">
        <v>1050</v>
      </c>
      <c r="B534" s="38" t="s">
        <v>18</v>
      </c>
      <c r="C534" s="37">
        <v>5.54</v>
      </c>
      <c r="D534" s="111"/>
    </row>
    <row r="535" spans="1:4" ht="15.75" outlineLevel="1">
      <c r="A535" s="37" t="s">
        <v>1050</v>
      </c>
      <c r="B535" s="38" t="s">
        <v>20</v>
      </c>
      <c r="C535" s="37">
        <v>5.63</v>
      </c>
      <c r="D535" s="111"/>
    </row>
    <row r="536" spans="1:4" ht="15.75" outlineLevel="1">
      <c r="A536" s="37" t="s">
        <v>1050</v>
      </c>
      <c r="B536" s="38" t="s">
        <v>24</v>
      </c>
      <c r="C536" s="37">
        <v>5.47</v>
      </c>
      <c r="D536" s="111"/>
    </row>
    <row r="537" spans="1:4" ht="15.75" outlineLevel="1">
      <c r="A537" s="37" t="s">
        <v>1050</v>
      </c>
      <c r="B537" s="38" t="s">
        <v>25</v>
      </c>
      <c r="C537" s="37">
        <v>5.48</v>
      </c>
      <c r="D537" s="111"/>
    </row>
    <row r="538" spans="1:4" ht="15.75">
      <c r="A538" s="43" t="s">
        <v>1050</v>
      </c>
      <c r="B538" s="38"/>
      <c r="C538" s="37"/>
      <c r="D538" s="111"/>
    </row>
    <row r="539" spans="1:4" ht="15.75" outlineLevel="1">
      <c r="A539" s="37" t="s">
        <v>1059</v>
      </c>
      <c r="B539" s="38" t="s">
        <v>0</v>
      </c>
      <c r="C539" s="37">
        <v>5.0999999999999996</v>
      </c>
      <c r="D539" s="111"/>
    </row>
    <row r="540" spans="1:4" ht="15.75" outlineLevel="1">
      <c r="A540" s="37" t="s">
        <v>1059</v>
      </c>
      <c r="B540" s="38" t="s">
        <v>1</v>
      </c>
      <c r="C540" s="37">
        <v>5.2</v>
      </c>
      <c r="D540" s="111"/>
    </row>
    <row r="541" spans="1:4" ht="15.75" outlineLevel="1">
      <c r="A541" s="37" t="s">
        <v>1059</v>
      </c>
      <c r="B541" s="38" t="s">
        <v>5</v>
      </c>
      <c r="C541" s="37">
        <v>5.26</v>
      </c>
      <c r="D541" s="111"/>
    </row>
    <row r="542" spans="1:4" ht="15.75" outlineLevel="1">
      <c r="A542" s="37" t="s">
        <v>1059</v>
      </c>
      <c r="B542" s="38" t="s">
        <v>1152</v>
      </c>
      <c r="C542" s="37">
        <v>5.21</v>
      </c>
      <c r="D542" s="111"/>
    </row>
    <row r="543" spans="1:4" ht="15.75" outlineLevel="1">
      <c r="A543" s="37" t="s">
        <v>1059</v>
      </c>
      <c r="B543" s="38" t="s">
        <v>1153</v>
      </c>
      <c r="C543" s="37">
        <v>5.53</v>
      </c>
      <c r="D543" s="111"/>
    </row>
    <row r="544" spans="1:4" ht="15.75" outlineLevel="1">
      <c r="A544" s="37" t="s">
        <v>1059</v>
      </c>
      <c r="B544" s="38" t="s">
        <v>18</v>
      </c>
      <c r="C544" s="37">
        <v>5.54</v>
      </c>
      <c r="D544" s="111"/>
    </row>
    <row r="545" spans="1:4" ht="15.75" outlineLevel="1">
      <c r="A545" s="37" t="s">
        <v>1059</v>
      </c>
      <c r="B545" s="38" t="s">
        <v>1154</v>
      </c>
      <c r="C545" s="37">
        <v>5.58</v>
      </c>
      <c r="D545" s="111"/>
    </row>
    <row r="546" spans="1:4" ht="15.75" outlineLevel="1">
      <c r="A546" s="37" t="s">
        <v>1059</v>
      </c>
      <c r="B546" s="38" t="s">
        <v>1155</v>
      </c>
      <c r="C546" s="37">
        <v>5.1180000000000003</v>
      </c>
      <c r="D546" s="111"/>
    </row>
    <row r="547" spans="1:4" ht="15.75" outlineLevel="1">
      <c r="A547" s="37" t="s">
        <v>1059</v>
      </c>
      <c r="B547" s="38" t="s">
        <v>1156</v>
      </c>
      <c r="C547" s="37">
        <v>5.47</v>
      </c>
      <c r="D547" s="111"/>
    </row>
    <row r="548" spans="1:4" ht="15.75" outlineLevel="1">
      <c r="A548" s="37" t="s">
        <v>1059</v>
      </c>
      <c r="B548" s="38" t="s">
        <v>1157</v>
      </c>
      <c r="C548" s="37">
        <v>5.48</v>
      </c>
      <c r="D548" s="111"/>
    </row>
    <row r="549" spans="1:4" ht="15.75" outlineLevel="1">
      <c r="A549" s="37" t="s">
        <v>1059</v>
      </c>
      <c r="B549" s="38" t="s">
        <v>1158</v>
      </c>
      <c r="C549" s="37">
        <v>5.21</v>
      </c>
      <c r="D549" s="111"/>
    </row>
    <row r="550" spans="1:4" ht="15.75" outlineLevel="1">
      <c r="A550" s="37" t="s">
        <v>1059</v>
      </c>
      <c r="B550" s="38" t="s">
        <v>1159</v>
      </c>
      <c r="C550" s="37">
        <v>5.53</v>
      </c>
      <c r="D550" s="111"/>
    </row>
    <row r="551" spans="1:4" ht="15.75" outlineLevel="1">
      <c r="A551" s="37" t="s">
        <v>1059</v>
      </c>
      <c r="B551" s="38" t="s">
        <v>18</v>
      </c>
      <c r="C551" s="37">
        <v>5.54</v>
      </c>
      <c r="D551" s="111"/>
    </row>
    <row r="552" spans="1:4" ht="15.75" outlineLevel="1">
      <c r="A552" s="37" t="s">
        <v>1059</v>
      </c>
      <c r="B552" s="38" t="s">
        <v>1160</v>
      </c>
      <c r="C552" s="37">
        <v>5.58</v>
      </c>
      <c r="D552" s="111"/>
    </row>
    <row r="553" spans="1:4" ht="15.75" outlineLevel="1">
      <c r="A553" s="37" t="s">
        <v>1059</v>
      </c>
      <c r="B553" s="38" t="s">
        <v>1161</v>
      </c>
      <c r="C553" s="37">
        <v>5.1180000000000003</v>
      </c>
      <c r="D553" s="111"/>
    </row>
    <row r="554" spans="1:4" ht="15.75" outlineLevel="1">
      <c r="A554" s="37" t="s">
        <v>1059</v>
      </c>
      <c r="B554" s="38" t="s">
        <v>1162</v>
      </c>
      <c r="C554" s="37">
        <v>5.47</v>
      </c>
      <c r="D554" s="111"/>
    </row>
    <row r="555" spans="1:4" ht="15.75" outlineLevel="1">
      <c r="A555" s="37" t="s">
        <v>1059</v>
      </c>
      <c r="B555" s="38" t="s">
        <v>1163</v>
      </c>
      <c r="C555" s="37">
        <v>5.48</v>
      </c>
      <c r="D555" s="111"/>
    </row>
    <row r="556" spans="1:4" ht="15.75" outlineLevel="1">
      <c r="A556" s="37" t="s">
        <v>1059</v>
      </c>
      <c r="B556" s="38" t="s">
        <v>1164</v>
      </c>
      <c r="C556" s="37">
        <v>5.63</v>
      </c>
      <c r="D556" s="111"/>
    </row>
    <row r="557" spans="1:4" ht="15.75" outlineLevel="1">
      <c r="A557" s="37" t="s">
        <v>1059</v>
      </c>
      <c r="B557" s="38" t="s">
        <v>6</v>
      </c>
      <c r="C557" s="37">
        <v>5.27</v>
      </c>
      <c r="D557" s="111"/>
    </row>
    <row r="558" spans="1:4" ht="15.75" outlineLevel="1">
      <c r="A558" s="37" t="s">
        <v>1059</v>
      </c>
      <c r="B558" s="38" t="s">
        <v>7</v>
      </c>
      <c r="C558" s="37">
        <v>5.28</v>
      </c>
      <c r="D558" s="111"/>
    </row>
    <row r="559" spans="1:4" ht="15.75" outlineLevel="1">
      <c r="A559" s="37" t="s">
        <v>1059</v>
      </c>
      <c r="B559" s="38" t="s">
        <v>1165</v>
      </c>
      <c r="C559" s="37">
        <v>5.35</v>
      </c>
      <c r="D559" s="111"/>
    </row>
    <row r="560" spans="1:4" ht="15.75" outlineLevel="1">
      <c r="A560" s="37" t="s">
        <v>1059</v>
      </c>
      <c r="B560" s="38" t="s">
        <v>945</v>
      </c>
      <c r="C560" s="37">
        <v>5.1189999999999998</v>
      </c>
      <c r="D560" s="111"/>
    </row>
    <row r="561" spans="1:4" ht="15.75" outlineLevel="1">
      <c r="A561" s="37" t="s">
        <v>1059</v>
      </c>
      <c r="B561" s="38" t="s">
        <v>952</v>
      </c>
      <c r="C561" s="40">
        <v>5.12</v>
      </c>
      <c r="D561" s="111"/>
    </row>
    <row r="562" spans="1:4" ht="15.75" outlineLevel="1">
      <c r="A562" s="37" t="s">
        <v>1059</v>
      </c>
      <c r="B562" s="38" t="s">
        <v>341</v>
      </c>
      <c r="C562" s="37">
        <v>5.1210000000000004</v>
      </c>
      <c r="D562" s="111"/>
    </row>
    <row r="563" spans="1:4" ht="15.75" outlineLevel="1">
      <c r="A563" s="37" t="s">
        <v>1059</v>
      </c>
      <c r="B563" s="38" t="s">
        <v>139</v>
      </c>
      <c r="C563" s="37">
        <v>5.36</v>
      </c>
      <c r="D563" s="111"/>
    </row>
    <row r="564" spans="1:4" ht="15.75" outlineLevel="1">
      <c r="A564" s="37" t="s">
        <v>1059</v>
      </c>
      <c r="B564" s="38" t="s">
        <v>1166</v>
      </c>
      <c r="C564" s="37">
        <v>5.1219999999999999</v>
      </c>
      <c r="D564" s="111"/>
    </row>
    <row r="565" spans="1:4" ht="15.75" outlineLevel="1">
      <c r="A565" s="37" t="s">
        <v>1059</v>
      </c>
      <c r="B565" s="38" t="s">
        <v>1167</v>
      </c>
      <c r="C565" s="37">
        <v>5.1230000000000002</v>
      </c>
      <c r="D565" s="111"/>
    </row>
    <row r="566" spans="1:4" ht="15.75" outlineLevel="1">
      <c r="A566" s="37" t="s">
        <v>1059</v>
      </c>
      <c r="B566" s="38" t="s">
        <v>916</v>
      </c>
      <c r="C566" s="37">
        <v>5.1239999999999997</v>
      </c>
      <c r="D566" s="111"/>
    </row>
    <row r="567" spans="1:4" ht="15.75" outlineLevel="1">
      <c r="A567" s="37" t="s">
        <v>1059</v>
      </c>
      <c r="B567" s="38" t="s">
        <v>924</v>
      </c>
      <c r="C567" s="37">
        <v>5.125</v>
      </c>
      <c r="D567" s="111"/>
    </row>
    <row r="568" spans="1:4" ht="15.75" outlineLevel="1">
      <c r="A568" s="37" t="s">
        <v>1059</v>
      </c>
      <c r="B568" s="38" t="s">
        <v>1168</v>
      </c>
      <c r="C568" s="37">
        <v>5.1260000000000003</v>
      </c>
      <c r="D568" s="111"/>
    </row>
    <row r="569" spans="1:4" ht="15.75" outlineLevel="1">
      <c r="A569" s="37" t="s">
        <v>1059</v>
      </c>
      <c r="B569" s="38" t="s">
        <v>942</v>
      </c>
      <c r="C569" s="37">
        <v>5.1269999999999998</v>
      </c>
      <c r="D569" s="111"/>
    </row>
    <row r="570" spans="1:4" ht="15.75" outlineLevel="1">
      <c r="A570" s="37" t="s">
        <v>1059</v>
      </c>
      <c r="B570" s="38" t="s">
        <v>927</v>
      </c>
      <c r="C570" s="39">
        <v>5.72</v>
      </c>
      <c r="D570" s="111"/>
    </row>
    <row r="571" spans="1:4" ht="15.75" outlineLevel="1">
      <c r="A571" s="37" t="s">
        <v>1059</v>
      </c>
      <c r="B571" s="38" t="s">
        <v>938</v>
      </c>
      <c r="C571" s="37">
        <v>5.1280000000000001</v>
      </c>
      <c r="D571" s="111"/>
    </row>
    <row r="572" spans="1:4" ht="15.75" outlineLevel="1">
      <c r="A572" s="37" t="s">
        <v>1059</v>
      </c>
      <c r="B572" s="38" t="s">
        <v>1169</v>
      </c>
      <c r="C572" s="37">
        <v>5.1289999999999996</v>
      </c>
      <c r="D572" s="110" t="s">
        <v>1129</v>
      </c>
    </row>
    <row r="573" spans="1:4" ht="15.75" outlineLevel="1">
      <c r="A573" s="37" t="s">
        <v>1059</v>
      </c>
      <c r="B573" s="38" t="s">
        <v>1170</v>
      </c>
      <c r="C573" s="37">
        <v>5.1310000000000002</v>
      </c>
      <c r="D573" s="111"/>
    </row>
    <row r="574" spans="1:4" ht="15.75" outlineLevel="1">
      <c r="A574" s="37" t="s">
        <v>1059</v>
      </c>
      <c r="B574" s="38" t="s">
        <v>1171</v>
      </c>
      <c r="C574" s="37">
        <v>5.1319999999999997</v>
      </c>
      <c r="D574" s="110" t="s">
        <v>1129</v>
      </c>
    </row>
    <row r="575" spans="1:4" ht="15.75" outlineLevel="1">
      <c r="A575" s="37" t="s">
        <v>1059</v>
      </c>
      <c r="B575" s="38" t="s">
        <v>967</v>
      </c>
      <c r="C575" s="37">
        <v>5.133</v>
      </c>
      <c r="D575" s="110" t="s">
        <v>1129</v>
      </c>
    </row>
    <row r="576" spans="1:4" ht="15.75" outlineLevel="1">
      <c r="A576" s="37" t="s">
        <v>1059</v>
      </c>
      <c r="B576" s="38" t="s">
        <v>1172</v>
      </c>
      <c r="C576" s="37">
        <v>5.1340000000000003</v>
      </c>
      <c r="D576" s="110" t="s">
        <v>1129</v>
      </c>
    </row>
    <row r="577" spans="1:4" ht="15.75" outlineLevel="1">
      <c r="A577" s="37" t="s">
        <v>1059</v>
      </c>
      <c r="B577" s="38" t="s">
        <v>1173</v>
      </c>
      <c r="C577" s="40">
        <v>5.13</v>
      </c>
      <c r="D577" s="111"/>
    </row>
    <row r="578" spans="1:4" ht="15.75" outlineLevel="1">
      <c r="A578" s="37" t="s">
        <v>1059</v>
      </c>
      <c r="B578" s="38" t="s">
        <v>24</v>
      </c>
      <c r="C578" s="37">
        <v>5.47</v>
      </c>
      <c r="D578" s="111"/>
    </row>
    <row r="579" spans="1:4" ht="15.75" outlineLevel="1">
      <c r="A579" s="37" t="s">
        <v>1059</v>
      </c>
      <c r="B579" s="38" t="s">
        <v>25</v>
      </c>
      <c r="C579" s="37">
        <v>5.48</v>
      </c>
      <c r="D579" s="111"/>
    </row>
    <row r="580" spans="1:4" ht="15.75">
      <c r="A580" s="43" t="s">
        <v>1059</v>
      </c>
      <c r="B580" s="38"/>
      <c r="C580" s="37"/>
      <c r="D580" s="111"/>
    </row>
    <row r="581" spans="1:4" ht="15.75" outlineLevel="1">
      <c r="A581" s="37" t="s">
        <v>1052</v>
      </c>
      <c r="B581" s="38" t="s">
        <v>0</v>
      </c>
      <c r="C581" s="37">
        <v>5.0999999999999996</v>
      </c>
      <c r="D581" s="111"/>
    </row>
    <row r="582" spans="1:4" ht="15.75" outlineLevel="1">
      <c r="A582" s="37" t="s">
        <v>1052</v>
      </c>
      <c r="B582" s="38" t="s">
        <v>1</v>
      </c>
      <c r="C582" s="37">
        <v>5.2</v>
      </c>
      <c r="D582" s="111"/>
    </row>
    <row r="583" spans="1:4" ht="15.75" outlineLevel="1">
      <c r="A583" s="37" t="s">
        <v>1052</v>
      </c>
      <c r="B583" s="38" t="s">
        <v>134</v>
      </c>
      <c r="C583" s="37">
        <v>5.9</v>
      </c>
      <c r="D583" s="110" t="s">
        <v>1129</v>
      </c>
    </row>
    <row r="584" spans="1:4" ht="15.75" outlineLevel="1">
      <c r="A584" s="37" t="s">
        <v>1052</v>
      </c>
      <c r="B584" s="38" t="s">
        <v>135</v>
      </c>
      <c r="C584" s="37">
        <v>5.13</v>
      </c>
      <c r="D584" s="110" t="s">
        <v>1129</v>
      </c>
    </row>
    <row r="585" spans="1:4" ht="15.75" outlineLevel="1">
      <c r="A585" s="37" t="s">
        <v>1052</v>
      </c>
      <c r="B585" s="38" t="s">
        <v>136</v>
      </c>
      <c r="C585" s="37">
        <v>5.16</v>
      </c>
      <c r="D585" s="110" t="s">
        <v>1129</v>
      </c>
    </row>
    <row r="586" spans="1:4" ht="15.75" outlineLevel="1">
      <c r="A586" s="37" t="s">
        <v>1052</v>
      </c>
      <c r="B586" s="38" t="s">
        <v>137</v>
      </c>
      <c r="C586" s="37">
        <v>5.22</v>
      </c>
      <c r="D586" s="110"/>
    </row>
    <row r="587" spans="1:4" ht="15.75" outlineLevel="1">
      <c r="A587" s="37" t="s">
        <v>1052</v>
      </c>
      <c r="B587" s="38" t="s">
        <v>5</v>
      </c>
      <c r="C587" s="37">
        <v>5.26</v>
      </c>
      <c r="D587" s="111"/>
    </row>
    <row r="588" spans="1:4" ht="15.75" outlineLevel="1">
      <c r="A588" s="37" t="s">
        <v>1052</v>
      </c>
      <c r="B588" s="38" t="s">
        <v>1174</v>
      </c>
      <c r="C588" s="37">
        <v>5.77</v>
      </c>
      <c r="D588" s="111"/>
    </row>
    <row r="589" spans="1:4" ht="15.75" outlineLevel="1">
      <c r="A589" s="37" t="s">
        <v>1052</v>
      </c>
      <c r="B589" s="38" t="s">
        <v>6</v>
      </c>
      <c r="C589" s="37">
        <v>5.27</v>
      </c>
      <c r="D589" s="111"/>
    </row>
    <row r="590" spans="1:4" ht="15.75" outlineLevel="1">
      <c r="A590" s="37" t="s">
        <v>1052</v>
      </c>
      <c r="B590" s="38" t="s">
        <v>7</v>
      </c>
      <c r="C590" s="37">
        <v>5.28</v>
      </c>
      <c r="D590" s="110" t="s">
        <v>1129</v>
      </c>
    </row>
    <row r="591" spans="1:4" ht="15.75" outlineLevel="1">
      <c r="A591" s="37" t="s">
        <v>1052</v>
      </c>
      <c r="B591" s="38" t="s">
        <v>168</v>
      </c>
      <c r="C591" s="37">
        <v>5.31</v>
      </c>
      <c r="D591" s="111"/>
    </row>
    <row r="592" spans="1:4" ht="15.75" outlineLevel="1">
      <c r="A592" s="37" t="s">
        <v>1052</v>
      </c>
      <c r="B592" s="38" t="s">
        <v>139</v>
      </c>
      <c r="C592" s="37">
        <v>5.36</v>
      </c>
      <c r="D592" s="111"/>
    </row>
    <row r="593" spans="1:4" ht="15.75" outlineLevel="1">
      <c r="A593" s="37" t="s">
        <v>1052</v>
      </c>
      <c r="B593" s="38" t="s">
        <v>1175</v>
      </c>
      <c r="C593" s="37">
        <v>5.78</v>
      </c>
      <c r="D593" s="111"/>
    </row>
    <row r="594" spans="1:4" ht="15.75" outlineLevel="1">
      <c r="A594" s="37" t="s">
        <v>1052</v>
      </c>
      <c r="B594" s="38" t="s">
        <v>1176</v>
      </c>
      <c r="C594" s="37">
        <v>5.79</v>
      </c>
      <c r="D594" s="110" t="s">
        <v>1129</v>
      </c>
    </row>
    <row r="595" spans="1:4" ht="15.75" outlineLevel="1">
      <c r="A595" s="37" t="s">
        <v>1052</v>
      </c>
      <c r="B595" s="38" t="s">
        <v>1177</v>
      </c>
      <c r="C595" s="37">
        <v>5.41</v>
      </c>
      <c r="D595" s="111"/>
    </row>
    <row r="596" spans="1:4" ht="15.75" outlineLevel="1">
      <c r="A596" s="37" t="s">
        <v>1052</v>
      </c>
      <c r="B596" s="38" t="s">
        <v>9</v>
      </c>
      <c r="C596" s="37">
        <v>5.49</v>
      </c>
      <c r="D596" s="111"/>
    </row>
    <row r="597" spans="1:4" ht="15.75" outlineLevel="1">
      <c r="A597" s="37" t="s">
        <v>1052</v>
      </c>
      <c r="B597" s="38" t="s">
        <v>10</v>
      </c>
      <c r="C597" s="37">
        <v>5.51</v>
      </c>
      <c r="D597" s="111"/>
    </row>
    <row r="598" spans="1:4" ht="15.75" outlineLevel="1">
      <c r="A598" s="37" t="s">
        <v>1052</v>
      </c>
      <c r="B598" s="38" t="s">
        <v>1178</v>
      </c>
      <c r="C598" s="37">
        <v>5.52</v>
      </c>
      <c r="D598" s="111"/>
    </row>
    <row r="599" spans="1:4" ht="15.75" outlineLevel="1">
      <c r="A599" s="37" t="s">
        <v>1052</v>
      </c>
      <c r="B599" s="38" t="s">
        <v>11</v>
      </c>
      <c r="C599" s="37">
        <v>5.53</v>
      </c>
      <c r="D599" s="111"/>
    </row>
    <row r="600" spans="1:4" ht="15.75" outlineLevel="1">
      <c r="A600" s="37" t="s">
        <v>1052</v>
      </c>
      <c r="B600" s="38" t="s">
        <v>12</v>
      </c>
      <c r="C600" s="37">
        <v>5.69</v>
      </c>
      <c r="D600" s="111"/>
    </row>
    <row r="601" spans="1:4" ht="15.75" outlineLevel="1">
      <c r="A601" s="37" t="s">
        <v>1052</v>
      </c>
      <c r="B601" s="38" t="s">
        <v>141</v>
      </c>
      <c r="C601" s="37">
        <v>5.71</v>
      </c>
      <c r="D601" s="111"/>
    </row>
    <row r="602" spans="1:4" ht="15.75" outlineLevel="1">
      <c r="A602" s="37" t="s">
        <v>1052</v>
      </c>
      <c r="B602" s="38" t="s">
        <v>14</v>
      </c>
      <c r="C602" s="39">
        <v>5.7</v>
      </c>
      <c r="D602" s="111"/>
    </row>
    <row r="603" spans="1:4" ht="15.75" outlineLevel="1">
      <c r="A603" s="37" t="s">
        <v>1052</v>
      </c>
      <c r="B603" s="38" t="s">
        <v>770</v>
      </c>
      <c r="C603" s="39">
        <v>5.8</v>
      </c>
      <c r="D603" s="110" t="s">
        <v>1129</v>
      </c>
    </row>
    <row r="604" spans="1:4" ht="15.75" outlineLevel="1">
      <c r="A604" s="37" t="s">
        <v>1052</v>
      </c>
      <c r="B604" s="38" t="s">
        <v>927</v>
      </c>
      <c r="C604" s="39">
        <v>5.72</v>
      </c>
      <c r="D604" s="110" t="s">
        <v>1129</v>
      </c>
    </row>
    <row r="605" spans="1:4" ht="15.75" outlineLevel="1">
      <c r="A605" s="37" t="s">
        <v>1052</v>
      </c>
      <c r="B605" s="38" t="s">
        <v>1179</v>
      </c>
      <c r="C605" s="37">
        <v>5.73</v>
      </c>
      <c r="D605" s="110" t="s">
        <v>1129</v>
      </c>
    </row>
    <row r="606" spans="1:4" ht="15.75" outlineLevel="1">
      <c r="A606" s="37" t="s">
        <v>1052</v>
      </c>
      <c r="B606" s="38" t="s">
        <v>15</v>
      </c>
      <c r="C606" s="37">
        <v>5.74</v>
      </c>
      <c r="D606" s="111"/>
    </row>
    <row r="607" spans="1:4" ht="15.75" outlineLevel="1">
      <c r="A607" s="37" t="s">
        <v>1052</v>
      </c>
      <c r="B607" s="38" t="s">
        <v>13</v>
      </c>
      <c r="C607" s="37">
        <v>5.75</v>
      </c>
      <c r="D607" s="111"/>
    </row>
    <row r="608" spans="1:4" ht="15.75" outlineLevel="1">
      <c r="A608" s="37" t="s">
        <v>1052</v>
      </c>
      <c r="B608" s="38" t="s">
        <v>427</v>
      </c>
      <c r="C608" s="37">
        <v>5.76</v>
      </c>
      <c r="D608" s="111"/>
    </row>
    <row r="609" spans="1:4" ht="15.75" outlineLevel="1">
      <c r="A609" s="37" t="s">
        <v>1052</v>
      </c>
      <c r="B609" s="38" t="s">
        <v>775</v>
      </c>
      <c r="C609" s="37">
        <v>5.81</v>
      </c>
      <c r="D609" s="110" t="s">
        <v>1129</v>
      </c>
    </row>
    <row r="610" spans="1:4" ht="15.75" outlineLevel="1">
      <c r="A610" s="37" t="s">
        <v>1052</v>
      </c>
      <c r="B610" s="38" t="s">
        <v>1180</v>
      </c>
      <c r="C610" s="37">
        <v>5.82</v>
      </c>
      <c r="D610" s="110" t="s">
        <v>1129</v>
      </c>
    </row>
    <row r="611" spans="1:4" ht="15.75" outlineLevel="1">
      <c r="A611" s="37" t="s">
        <v>1052</v>
      </c>
      <c r="B611" s="38" t="s">
        <v>1181</v>
      </c>
      <c r="C611" s="37">
        <v>5.83</v>
      </c>
      <c r="D611" s="110" t="s">
        <v>1129</v>
      </c>
    </row>
    <row r="612" spans="1:4" ht="15.75" outlineLevel="1">
      <c r="A612" s="37" t="s">
        <v>1052</v>
      </c>
      <c r="B612" s="38" t="s">
        <v>1182</v>
      </c>
      <c r="C612" s="37">
        <v>5.84</v>
      </c>
      <c r="D612" s="111"/>
    </row>
    <row r="613" spans="1:4" ht="15.75" outlineLevel="1">
      <c r="A613" s="37" t="s">
        <v>1052</v>
      </c>
      <c r="B613" s="38" t="s">
        <v>798</v>
      </c>
      <c r="C613" s="37">
        <v>5.85</v>
      </c>
      <c r="D613" s="110" t="s">
        <v>1129</v>
      </c>
    </row>
    <row r="614" spans="1:4" ht="15.75" outlineLevel="1">
      <c r="A614" s="37" t="s">
        <v>1052</v>
      </c>
      <c r="B614" s="38" t="s">
        <v>799</v>
      </c>
      <c r="C614" s="37">
        <v>5.86</v>
      </c>
      <c r="D614" s="110" t="s">
        <v>1129</v>
      </c>
    </row>
    <row r="615" spans="1:4" ht="15.75" outlineLevel="1">
      <c r="A615" s="37" t="s">
        <v>1052</v>
      </c>
      <c r="B615" s="38" t="s">
        <v>1183</v>
      </c>
      <c r="C615" s="37">
        <v>5.88</v>
      </c>
      <c r="D615" s="110" t="s">
        <v>1129</v>
      </c>
    </row>
    <row r="616" spans="1:4" ht="15.75" outlineLevel="1">
      <c r="A616" s="37" t="s">
        <v>1052</v>
      </c>
      <c r="B616" s="38" t="s">
        <v>805</v>
      </c>
      <c r="C616" s="37">
        <v>5.87</v>
      </c>
      <c r="D616" s="111"/>
    </row>
    <row r="617" spans="1:4" ht="15.75" outlineLevel="1">
      <c r="A617" s="37" t="s">
        <v>1052</v>
      </c>
      <c r="B617" s="38" t="s">
        <v>169</v>
      </c>
      <c r="C617" s="37">
        <v>5.109</v>
      </c>
      <c r="D617" s="111"/>
    </row>
    <row r="618" spans="1:4" ht="15.75" outlineLevel="1">
      <c r="A618" s="37" t="s">
        <v>1052</v>
      </c>
      <c r="B618" s="38" t="s">
        <v>182</v>
      </c>
      <c r="C618" s="40">
        <v>5.1100000000000003</v>
      </c>
      <c r="D618" s="110" t="s">
        <v>1129</v>
      </c>
    </row>
    <row r="619" spans="1:4" ht="15.75" outlineLevel="1">
      <c r="A619" s="37" t="s">
        <v>1052</v>
      </c>
      <c r="B619" s="38" t="s">
        <v>170</v>
      </c>
      <c r="C619" s="37">
        <v>5.1109999999999998</v>
      </c>
      <c r="D619" s="111"/>
    </row>
    <row r="620" spans="1:4" ht="15.75" outlineLevel="1">
      <c r="A620" s="37" t="s">
        <v>1052</v>
      </c>
      <c r="B620" s="38" t="s">
        <v>148</v>
      </c>
      <c r="C620" s="37">
        <v>5.1120000000000001</v>
      </c>
      <c r="D620" s="111"/>
    </row>
    <row r="621" spans="1:4" ht="15.75" outlineLevel="1">
      <c r="A621" s="37" t="s">
        <v>1052</v>
      </c>
      <c r="B621" s="38" t="s">
        <v>1145</v>
      </c>
      <c r="C621" s="37">
        <v>5.1130000000000004</v>
      </c>
      <c r="D621" s="111"/>
    </row>
    <row r="622" spans="1:4" ht="15.75" outlineLevel="1">
      <c r="A622" s="37" t="s">
        <v>1052</v>
      </c>
      <c r="B622" s="38" t="s">
        <v>1184</v>
      </c>
      <c r="C622" s="37">
        <v>5.99</v>
      </c>
      <c r="D622" s="110" t="s">
        <v>1129</v>
      </c>
    </row>
    <row r="623" spans="1:4" ht="15.75" outlineLevel="1">
      <c r="A623" s="37" t="s">
        <v>1052</v>
      </c>
      <c r="B623" s="38" t="s">
        <v>1185</v>
      </c>
      <c r="C623" s="37">
        <v>5.58</v>
      </c>
      <c r="D623" s="110"/>
    </row>
    <row r="624" spans="1:4" ht="15.75" outlineLevel="1">
      <c r="A624" s="37" t="s">
        <v>1052</v>
      </c>
      <c r="B624" s="38" t="s">
        <v>18</v>
      </c>
      <c r="C624" s="37">
        <v>5.54</v>
      </c>
      <c r="D624" s="111"/>
    </row>
    <row r="625" spans="1:4" ht="15.75" outlineLevel="1">
      <c r="A625" s="37" t="s">
        <v>1052</v>
      </c>
      <c r="B625" s="38" t="s">
        <v>1186</v>
      </c>
      <c r="C625" s="37">
        <v>5.56</v>
      </c>
      <c r="D625" s="111"/>
    </row>
    <row r="626" spans="1:4" ht="15.75" outlineLevel="1">
      <c r="A626" s="37" t="s">
        <v>1052</v>
      </c>
      <c r="B626" s="38" t="s">
        <v>20</v>
      </c>
      <c r="C626" s="37">
        <v>5.63</v>
      </c>
      <c r="D626" s="111"/>
    </row>
    <row r="627" spans="1:4" ht="15.75" outlineLevel="1">
      <c r="A627" s="37" t="s">
        <v>1052</v>
      </c>
      <c r="B627" s="38" t="s">
        <v>183</v>
      </c>
      <c r="C627" s="37">
        <v>5.64</v>
      </c>
      <c r="D627" s="111"/>
    </row>
    <row r="628" spans="1:4" ht="15.75" outlineLevel="1">
      <c r="A628" s="37" t="s">
        <v>1052</v>
      </c>
      <c r="B628" s="38" t="s">
        <v>21</v>
      </c>
      <c r="C628" s="37">
        <v>5.65</v>
      </c>
      <c r="D628" s="111"/>
    </row>
    <row r="629" spans="1:4" ht="15.75" outlineLevel="1">
      <c r="A629" s="37" t="s">
        <v>1052</v>
      </c>
      <c r="B629" s="38" t="s">
        <v>184</v>
      </c>
      <c r="C629" s="37">
        <v>5.66</v>
      </c>
      <c r="D629" s="111"/>
    </row>
    <row r="630" spans="1:4" ht="15.75" outlineLevel="1">
      <c r="A630" s="37" t="s">
        <v>1052</v>
      </c>
      <c r="B630" s="38" t="s">
        <v>848</v>
      </c>
      <c r="C630" s="37">
        <v>5.89</v>
      </c>
      <c r="D630" s="110" t="s">
        <v>1129</v>
      </c>
    </row>
    <row r="631" spans="1:4" ht="15.75" outlineLevel="1">
      <c r="A631" s="37" t="s">
        <v>1052</v>
      </c>
      <c r="B631" s="38" t="s">
        <v>22</v>
      </c>
      <c r="C631" s="37">
        <v>5.68</v>
      </c>
      <c r="D631" s="111"/>
    </row>
    <row r="632" spans="1:4" ht="15.75" outlineLevel="1">
      <c r="A632" s="37" t="s">
        <v>1052</v>
      </c>
      <c r="B632" s="38" t="s">
        <v>24</v>
      </c>
      <c r="C632" s="37">
        <v>5.47</v>
      </c>
      <c r="D632" s="111"/>
    </row>
    <row r="633" spans="1:4" ht="15.75" outlineLevel="1">
      <c r="A633" s="37" t="s">
        <v>1052</v>
      </c>
      <c r="B633" s="38" t="s">
        <v>25</v>
      </c>
      <c r="C633" s="37">
        <v>5.48</v>
      </c>
      <c r="D633" s="111"/>
    </row>
    <row r="634" spans="1:4" ht="15.75">
      <c r="A634" s="43" t="s">
        <v>1052</v>
      </c>
      <c r="B634" s="38"/>
      <c r="C634" s="37"/>
      <c r="D634" s="111"/>
    </row>
    <row r="635" spans="1:4" ht="15.75" outlineLevel="1">
      <c r="A635" s="37" t="s">
        <v>1071</v>
      </c>
      <c r="B635" s="38" t="s">
        <v>0</v>
      </c>
      <c r="C635" s="37">
        <v>5.0999999999999996</v>
      </c>
      <c r="D635" s="111"/>
    </row>
    <row r="636" spans="1:4" ht="15.75" outlineLevel="1">
      <c r="A636" s="37" t="s">
        <v>1071</v>
      </c>
      <c r="B636" s="38" t="s">
        <v>1</v>
      </c>
      <c r="C636" s="37">
        <v>5.2</v>
      </c>
      <c r="D636" s="111"/>
    </row>
    <row r="637" spans="1:4" ht="15.75" outlineLevel="1">
      <c r="A637" s="37" t="s">
        <v>1071</v>
      </c>
      <c r="B637" s="38" t="s">
        <v>2</v>
      </c>
      <c r="C637" s="37">
        <v>5.3</v>
      </c>
      <c r="D637" s="111"/>
    </row>
    <row r="638" spans="1:4" ht="15.75" outlineLevel="1">
      <c r="A638" s="37" t="s">
        <v>1071</v>
      </c>
      <c r="B638" s="38" t="s">
        <v>165</v>
      </c>
      <c r="C638" s="37">
        <v>5.6</v>
      </c>
      <c r="D638" s="111"/>
    </row>
    <row r="639" spans="1:4" ht="15.75" outlineLevel="1">
      <c r="A639" s="37" t="s">
        <v>1071</v>
      </c>
      <c r="B639" s="38" t="s">
        <v>1131</v>
      </c>
      <c r="C639" s="39">
        <v>5.0999999999999996</v>
      </c>
      <c r="D639" s="111"/>
    </row>
    <row r="640" spans="1:4" ht="15.75" outlineLevel="1">
      <c r="A640" s="37" t="s">
        <v>1071</v>
      </c>
      <c r="B640" s="38" t="s">
        <v>1130</v>
      </c>
      <c r="C640" s="37">
        <v>5.14</v>
      </c>
      <c r="D640" s="111"/>
    </row>
    <row r="641" spans="1:4" ht="15.75" outlineLevel="1">
      <c r="A641" s="37" t="s">
        <v>1071</v>
      </c>
      <c r="B641" s="38" t="s">
        <v>4</v>
      </c>
      <c r="C641" s="37">
        <v>5.19</v>
      </c>
      <c r="D641" s="111"/>
    </row>
    <row r="642" spans="1:4" ht="15.75" outlineLevel="1">
      <c r="A642" s="37" t="s">
        <v>1071</v>
      </c>
      <c r="B642" s="38" t="s">
        <v>167</v>
      </c>
      <c r="C642" s="37">
        <v>5.24</v>
      </c>
      <c r="D642" s="111"/>
    </row>
    <row r="643" spans="1:4" ht="15.75" outlineLevel="1">
      <c r="A643" s="37" t="s">
        <v>1071</v>
      </c>
      <c r="B643" s="38" t="s">
        <v>5</v>
      </c>
      <c r="C643" s="37">
        <v>5.26</v>
      </c>
      <c r="D643" s="111"/>
    </row>
    <row r="644" spans="1:4" ht="15.75" outlineLevel="1">
      <c r="A644" s="37" t="s">
        <v>1071</v>
      </c>
      <c r="B644" s="38" t="s">
        <v>6</v>
      </c>
      <c r="C644" s="37">
        <v>5.27</v>
      </c>
      <c r="D644" s="111"/>
    </row>
    <row r="645" spans="1:4" ht="15.75" outlineLevel="1">
      <c r="A645" s="37" t="s">
        <v>1071</v>
      </c>
      <c r="B645" s="38" t="s">
        <v>7</v>
      </c>
      <c r="C645" s="37">
        <v>5.28</v>
      </c>
      <c r="D645" s="111"/>
    </row>
    <row r="646" spans="1:4" ht="15.75" outlineLevel="1">
      <c r="A646" s="37" t="s">
        <v>1071</v>
      </c>
      <c r="B646" s="38" t="s">
        <v>139</v>
      </c>
      <c r="C646" s="37">
        <v>5.36</v>
      </c>
      <c r="D646" s="111"/>
    </row>
    <row r="647" spans="1:4" ht="15.75" outlineLevel="1">
      <c r="A647" s="37" t="s">
        <v>1071</v>
      </c>
      <c r="B647" s="38" t="s">
        <v>191</v>
      </c>
      <c r="C647" s="37">
        <v>5.33</v>
      </c>
      <c r="D647" s="111"/>
    </row>
    <row r="648" spans="1:4" ht="15.75" outlineLevel="1">
      <c r="A648" s="37" t="s">
        <v>1071</v>
      </c>
      <c r="B648" s="38" t="s">
        <v>176</v>
      </c>
      <c r="C648" s="37">
        <v>5.37</v>
      </c>
      <c r="D648" s="111"/>
    </row>
    <row r="649" spans="1:4" ht="15.75" outlineLevel="1">
      <c r="A649" s="37" t="s">
        <v>1071</v>
      </c>
      <c r="B649" s="38" t="s">
        <v>9</v>
      </c>
      <c r="C649" s="37">
        <v>5.49</v>
      </c>
      <c r="D649" s="111"/>
    </row>
    <row r="650" spans="1:4" ht="15.75" outlineLevel="1">
      <c r="A650" s="37" t="s">
        <v>1071</v>
      </c>
      <c r="B650" s="38" t="s">
        <v>10</v>
      </c>
      <c r="C650" s="37">
        <v>5.51</v>
      </c>
      <c r="D650" s="111"/>
    </row>
    <row r="651" spans="1:4" ht="15.75" outlineLevel="1">
      <c r="A651" s="37" t="s">
        <v>1071</v>
      </c>
      <c r="B651" s="38" t="s">
        <v>1132</v>
      </c>
      <c r="C651" s="37">
        <v>5.52</v>
      </c>
      <c r="D651" s="111"/>
    </row>
    <row r="652" spans="1:4" ht="15.75" outlineLevel="1">
      <c r="A652" s="37" t="s">
        <v>1071</v>
      </c>
      <c r="B652" s="38" t="s">
        <v>11</v>
      </c>
      <c r="C652" s="37">
        <v>5.53</v>
      </c>
      <c r="D652" s="111"/>
    </row>
    <row r="653" spans="1:4" ht="15.75" outlineLevel="1">
      <c r="A653" s="37" t="s">
        <v>1071</v>
      </c>
      <c r="B653" s="38" t="s">
        <v>12</v>
      </c>
      <c r="C653" s="37">
        <v>5.69</v>
      </c>
      <c r="D653" s="111"/>
    </row>
    <row r="654" spans="1:4" ht="15.75" outlineLevel="1">
      <c r="A654" s="37" t="s">
        <v>1071</v>
      </c>
      <c r="B654" s="38" t="s">
        <v>14</v>
      </c>
      <c r="C654" s="39">
        <v>5.7</v>
      </c>
      <c r="D654" s="111"/>
    </row>
    <row r="655" spans="1:4" ht="15.75" outlineLevel="1">
      <c r="A655" s="37" t="s">
        <v>1071</v>
      </c>
      <c r="B655" s="38" t="s">
        <v>15</v>
      </c>
      <c r="C655" s="37">
        <v>5.74</v>
      </c>
      <c r="D655" s="111"/>
    </row>
    <row r="656" spans="1:4" ht="15.75" outlineLevel="1">
      <c r="A656" s="37" t="s">
        <v>1071</v>
      </c>
      <c r="B656" s="38" t="s">
        <v>169</v>
      </c>
      <c r="C656" s="37">
        <v>5.109</v>
      </c>
      <c r="D656" s="111"/>
    </row>
    <row r="657" spans="1:4" ht="15.75" outlineLevel="1">
      <c r="A657" s="37" t="s">
        <v>1071</v>
      </c>
      <c r="B657" s="38" t="s">
        <v>170</v>
      </c>
      <c r="C657" s="37">
        <v>5.1109999999999998</v>
      </c>
      <c r="D657" s="111"/>
    </row>
    <row r="658" spans="1:4" ht="15.75" outlineLevel="1">
      <c r="A658" s="37" t="s">
        <v>1071</v>
      </c>
      <c r="B658" s="38" t="s">
        <v>148</v>
      </c>
      <c r="C658" s="37">
        <v>5.1120000000000001</v>
      </c>
      <c r="D658" s="111"/>
    </row>
    <row r="659" spans="1:4" ht="15.75" outlineLevel="1">
      <c r="A659" s="37" t="s">
        <v>1071</v>
      </c>
      <c r="B659" s="38" t="s">
        <v>17</v>
      </c>
      <c r="C659" s="37">
        <v>5.58</v>
      </c>
      <c r="D659" s="111"/>
    </row>
    <row r="660" spans="1:4" ht="15.75" outlineLevel="1">
      <c r="A660" s="37" t="s">
        <v>1071</v>
      </c>
      <c r="B660" s="38" t="s">
        <v>18</v>
      </c>
      <c r="C660" s="37">
        <v>5.54</v>
      </c>
      <c r="D660" s="111"/>
    </row>
    <row r="661" spans="1:4" ht="15.75" outlineLevel="1">
      <c r="A661" s="37" t="s">
        <v>1071</v>
      </c>
      <c r="B661" s="38" t="s">
        <v>19</v>
      </c>
      <c r="C661" s="37">
        <v>5.55</v>
      </c>
      <c r="D661" s="111"/>
    </row>
    <row r="662" spans="1:4" ht="15.75" outlineLevel="1">
      <c r="A662" s="37" t="s">
        <v>1071</v>
      </c>
      <c r="B662" s="38" t="s">
        <v>20</v>
      </c>
      <c r="C662" s="37">
        <v>5.63</v>
      </c>
      <c r="D662" s="111"/>
    </row>
    <row r="663" spans="1:4" ht="15.75" outlineLevel="1">
      <c r="A663" s="37" t="s">
        <v>1071</v>
      </c>
      <c r="B663" s="38" t="s">
        <v>24</v>
      </c>
      <c r="C663" s="37">
        <v>5.47</v>
      </c>
      <c r="D663" s="111"/>
    </row>
    <row r="664" spans="1:4" ht="15.75" outlineLevel="1">
      <c r="A664" s="37" t="s">
        <v>1071</v>
      </c>
      <c r="B664" s="38" t="s">
        <v>25</v>
      </c>
      <c r="C664" s="37">
        <v>5.48</v>
      </c>
      <c r="D664" s="111"/>
    </row>
    <row r="665" spans="1:4" ht="15.75">
      <c r="A665" s="43" t="s">
        <v>1071</v>
      </c>
      <c r="B665" s="38"/>
      <c r="C665" s="37"/>
      <c r="D665" s="111"/>
    </row>
    <row r="666" spans="1:4" ht="15.75" outlineLevel="1">
      <c r="A666" s="37" t="s">
        <v>1076</v>
      </c>
      <c r="B666" s="38" t="s">
        <v>0</v>
      </c>
      <c r="C666" s="37">
        <v>5.0999999999999996</v>
      </c>
      <c r="D666" s="111"/>
    </row>
    <row r="667" spans="1:4" ht="15.75" outlineLevel="1">
      <c r="A667" s="37" t="s">
        <v>1076</v>
      </c>
      <c r="B667" s="38" t="s">
        <v>1</v>
      </c>
      <c r="C667" s="37">
        <v>5.2</v>
      </c>
      <c r="D667" s="111"/>
    </row>
    <row r="668" spans="1:4" ht="15.75" outlineLevel="1">
      <c r="A668" s="37" t="s">
        <v>1076</v>
      </c>
      <c r="B668" s="38" t="s">
        <v>185</v>
      </c>
      <c r="C668" s="37">
        <v>5.4</v>
      </c>
      <c r="D668" s="111"/>
    </row>
    <row r="669" spans="1:4" ht="15.75" outlineLevel="1">
      <c r="A669" s="37" t="s">
        <v>1076</v>
      </c>
      <c r="B669" s="38" t="s">
        <v>186</v>
      </c>
      <c r="C669" s="37">
        <v>5.7</v>
      </c>
      <c r="D669" s="111"/>
    </row>
    <row r="670" spans="1:4" ht="15.75" outlineLevel="1">
      <c r="A670" s="37" t="s">
        <v>1076</v>
      </c>
      <c r="B670" s="38" t="s">
        <v>187</v>
      </c>
      <c r="C670" s="37">
        <v>5.1100000000000003</v>
      </c>
      <c r="D670" s="111"/>
    </row>
    <row r="671" spans="1:4" ht="15.75" outlineLevel="1">
      <c r="A671" s="37" t="s">
        <v>1076</v>
      </c>
      <c r="B671" s="38" t="s">
        <v>5</v>
      </c>
      <c r="C671" s="37">
        <v>5.26</v>
      </c>
      <c r="D671" s="111"/>
    </row>
    <row r="672" spans="1:4" ht="15.75" outlineLevel="1">
      <c r="A672" s="37" t="s">
        <v>1076</v>
      </c>
      <c r="B672" s="38" t="s">
        <v>188</v>
      </c>
      <c r="C672" s="37">
        <v>5.43</v>
      </c>
      <c r="D672" s="111"/>
    </row>
    <row r="673" spans="1:4" ht="15.75" outlineLevel="1">
      <c r="A673" s="37" t="s">
        <v>1076</v>
      </c>
      <c r="B673" s="38" t="s">
        <v>6</v>
      </c>
      <c r="C673" s="37">
        <v>5.27</v>
      </c>
      <c r="D673" s="111"/>
    </row>
    <row r="674" spans="1:4" ht="15.75" outlineLevel="1">
      <c r="A674" s="37" t="s">
        <v>1076</v>
      </c>
      <c r="B674" s="38" t="s">
        <v>7</v>
      </c>
      <c r="C674" s="37">
        <v>5.28</v>
      </c>
      <c r="D674" s="111"/>
    </row>
    <row r="675" spans="1:4" ht="15.75" outlineLevel="1">
      <c r="A675" s="37" t="s">
        <v>1076</v>
      </c>
      <c r="B675" s="38" t="s">
        <v>139</v>
      </c>
      <c r="C675" s="37">
        <v>5.36</v>
      </c>
      <c r="D675" s="111"/>
    </row>
    <row r="676" spans="1:4" ht="15.75" outlineLevel="1">
      <c r="A676" s="37" t="s">
        <v>1076</v>
      </c>
      <c r="B676" s="38" t="s">
        <v>189</v>
      </c>
      <c r="C676" s="39">
        <v>5.5</v>
      </c>
      <c r="D676" s="111"/>
    </row>
    <row r="677" spans="1:4" ht="15.75" outlineLevel="1">
      <c r="A677" s="37" t="s">
        <v>1076</v>
      </c>
      <c r="B677" s="38" t="s">
        <v>10</v>
      </c>
      <c r="C677" s="37">
        <v>5.51</v>
      </c>
      <c r="D677" s="111"/>
    </row>
    <row r="678" spans="1:4" ht="15.75" outlineLevel="1">
      <c r="A678" s="37" t="s">
        <v>1076</v>
      </c>
      <c r="B678" s="38" t="s">
        <v>11</v>
      </c>
      <c r="C678" s="37">
        <v>5.53</v>
      </c>
      <c r="D678" s="111"/>
    </row>
    <row r="679" spans="1:4" ht="15.75" outlineLevel="1">
      <c r="A679" s="37" t="s">
        <v>1076</v>
      </c>
      <c r="B679" s="38" t="s">
        <v>12</v>
      </c>
      <c r="C679" s="37">
        <v>5.69</v>
      </c>
      <c r="D679" s="111"/>
    </row>
    <row r="680" spans="1:4" ht="15.75" outlineLevel="1">
      <c r="A680" s="37" t="s">
        <v>1076</v>
      </c>
      <c r="B680" s="38" t="s">
        <v>14</v>
      </c>
      <c r="C680" s="39">
        <v>5.7</v>
      </c>
      <c r="D680" s="110" t="s">
        <v>1129</v>
      </c>
    </row>
    <row r="681" spans="1:4" ht="15.75" outlineLevel="1">
      <c r="A681" s="37" t="s">
        <v>1076</v>
      </c>
      <c r="B681" s="38" t="s">
        <v>15</v>
      </c>
      <c r="C681" s="37">
        <v>5.74</v>
      </c>
      <c r="D681" s="111"/>
    </row>
    <row r="682" spans="1:4" ht="15.75" outlineLevel="1">
      <c r="A682" s="37" t="s">
        <v>1076</v>
      </c>
      <c r="B682" s="38" t="s">
        <v>149</v>
      </c>
      <c r="C682" s="37">
        <v>5.59</v>
      </c>
      <c r="D682" s="111"/>
    </row>
    <row r="683" spans="1:4" ht="15.75" outlineLevel="1">
      <c r="A683" s="37" t="s">
        <v>1076</v>
      </c>
      <c r="B683" s="38" t="s">
        <v>18</v>
      </c>
      <c r="C683" s="37">
        <v>5.54</v>
      </c>
      <c r="D683" s="111"/>
    </row>
    <row r="684" spans="1:4" ht="15.75" outlineLevel="1">
      <c r="A684" s="37" t="s">
        <v>1076</v>
      </c>
      <c r="B684" s="38" t="s">
        <v>190</v>
      </c>
      <c r="C684" s="37">
        <v>5.57</v>
      </c>
      <c r="D684" s="111"/>
    </row>
    <row r="685" spans="1:4" ht="15.75" outlineLevel="1">
      <c r="A685" s="37" t="s">
        <v>1076</v>
      </c>
      <c r="B685" s="38" t="s">
        <v>20</v>
      </c>
      <c r="C685" s="37">
        <v>5.63</v>
      </c>
      <c r="D685" s="111"/>
    </row>
    <row r="686" spans="1:4" ht="15.75" outlineLevel="1">
      <c r="A686" s="37" t="s">
        <v>1076</v>
      </c>
      <c r="B686" s="38" t="s">
        <v>24</v>
      </c>
      <c r="C686" s="37">
        <v>5.47</v>
      </c>
      <c r="D686" s="111"/>
    </row>
    <row r="687" spans="1:4" ht="15.75" outlineLevel="1">
      <c r="A687" s="37" t="s">
        <v>1076</v>
      </c>
      <c r="B687" s="38" t="s">
        <v>25</v>
      </c>
      <c r="C687" s="37">
        <v>5.48</v>
      </c>
      <c r="D687" s="111"/>
    </row>
    <row r="688" spans="1:4" ht="15.75">
      <c r="A688" s="43" t="s">
        <v>1076</v>
      </c>
      <c r="B688" s="38"/>
      <c r="C688" s="37"/>
      <c r="D688" s="111"/>
    </row>
    <row r="689" spans="1:4" ht="15.75" outlineLevel="1">
      <c r="A689" s="37" t="s">
        <v>1079</v>
      </c>
      <c r="B689" s="38" t="s">
        <v>0</v>
      </c>
      <c r="C689" s="37">
        <v>5.0999999999999996</v>
      </c>
      <c r="D689" s="111"/>
    </row>
    <row r="690" spans="1:4" ht="15.75" outlineLevel="1">
      <c r="A690" s="37" t="s">
        <v>1079</v>
      </c>
      <c r="B690" s="38" t="s">
        <v>1</v>
      </c>
      <c r="C690" s="37">
        <v>5.2</v>
      </c>
      <c r="D690" s="111"/>
    </row>
    <row r="691" spans="1:4" ht="15.75" outlineLevel="1">
      <c r="A691" s="37" t="s">
        <v>1079</v>
      </c>
      <c r="B691" s="38" t="s">
        <v>174</v>
      </c>
      <c r="C691" s="37">
        <v>5.17</v>
      </c>
      <c r="D691" s="111"/>
    </row>
    <row r="692" spans="1:4" ht="15.75" outlineLevel="1">
      <c r="A692" s="37" t="s">
        <v>1079</v>
      </c>
      <c r="B692" s="38" t="s">
        <v>5</v>
      </c>
      <c r="C692" s="37">
        <v>5.26</v>
      </c>
      <c r="D692" s="111"/>
    </row>
    <row r="693" spans="1:4" ht="15.75" outlineLevel="1">
      <c r="A693" s="37" t="s">
        <v>1079</v>
      </c>
      <c r="B693" s="38" t="s">
        <v>175</v>
      </c>
      <c r="C693" s="37">
        <v>5.1029999999999998</v>
      </c>
      <c r="D693" s="111"/>
    </row>
    <row r="694" spans="1:4" ht="15.75" outlineLevel="1">
      <c r="A694" s="37" t="s">
        <v>1079</v>
      </c>
      <c r="B694" s="38" t="s">
        <v>139</v>
      </c>
      <c r="C694" s="37">
        <v>5.36</v>
      </c>
      <c r="D694" s="111"/>
    </row>
    <row r="695" spans="1:4" ht="15.75" outlineLevel="1">
      <c r="A695" s="37" t="s">
        <v>1079</v>
      </c>
      <c r="B695" s="38" t="s">
        <v>176</v>
      </c>
      <c r="C695" s="37">
        <v>5.37</v>
      </c>
      <c r="D695" s="111"/>
    </row>
    <row r="696" spans="1:4" ht="15.75" outlineLevel="1">
      <c r="A696" s="37" t="s">
        <v>1079</v>
      </c>
      <c r="B696" s="38" t="s">
        <v>177</v>
      </c>
      <c r="C696" s="37">
        <v>5.1040000000000001</v>
      </c>
      <c r="D696" s="111"/>
    </row>
    <row r="697" spans="1:4" ht="15.75" outlineLevel="1">
      <c r="A697" s="37" t="s">
        <v>1079</v>
      </c>
      <c r="B697" s="38" t="s">
        <v>178</v>
      </c>
      <c r="C697" s="37">
        <v>5.1050000000000004</v>
      </c>
      <c r="D697" s="111"/>
    </row>
    <row r="698" spans="1:4" ht="15.75" outlineLevel="1">
      <c r="A698" s="37" t="s">
        <v>1079</v>
      </c>
      <c r="B698" s="38" t="s">
        <v>179</v>
      </c>
      <c r="C698" s="37">
        <v>5.1059999999999999</v>
      </c>
      <c r="D698" s="111"/>
    </row>
    <row r="699" spans="1:4" ht="15.75" outlineLevel="1">
      <c r="A699" s="37" t="s">
        <v>1079</v>
      </c>
      <c r="B699" s="38" t="s">
        <v>180</v>
      </c>
      <c r="C699" s="37">
        <v>5.1070000000000002</v>
      </c>
      <c r="D699" s="111"/>
    </row>
    <row r="700" spans="1:4" ht="15.75" outlineLevel="1">
      <c r="A700" s="37" t="s">
        <v>1079</v>
      </c>
      <c r="B700" s="38" t="s">
        <v>899</v>
      </c>
      <c r="C700" s="37">
        <v>5.1079999999999997</v>
      </c>
      <c r="D700" s="110" t="s">
        <v>1129</v>
      </c>
    </row>
    <row r="701" spans="1:4" ht="15.75" outlineLevel="1">
      <c r="A701" s="37" t="s">
        <v>1079</v>
      </c>
      <c r="B701" s="38" t="s">
        <v>169</v>
      </c>
      <c r="C701" s="37">
        <v>5.109</v>
      </c>
      <c r="D701" s="111"/>
    </row>
    <row r="702" spans="1:4" ht="15.75" outlineLevel="1">
      <c r="A702" s="37" t="s">
        <v>1079</v>
      </c>
      <c r="B702" s="38" t="s">
        <v>182</v>
      </c>
      <c r="C702" s="40">
        <v>5.1100000000000003</v>
      </c>
      <c r="D702" s="110" t="s">
        <v>1129</v>
      </c>
    </row>
    <row r="703" spans="1:4" ht="15.75" outlineLevel="1">
      <c r="A703" s="37" t="s">
        <v>1079</v>
      </c>
      <c r="B703" s="38" t="s">
        <v>170</v>
      </c>
      <c r="C703" s="37">
        <v>5.1109999999999998</v>
      </c>
      <c r="D703" s="111"/>
    </row>
    <row r="704" spans="1:4" ht="15.75" outlineLevel="1">
      <c r="A704" s="37" t="s">
        <v>1079</v>
      </c>
      <c r="B704" s="38" t="s">
        <v>148</v>
      </c>
      <c r="C704" s="37">
        <v>5.1120000000000001</v>
      </c>
      <c r="D704" s="111"/>
    </row>
    <row r="705" spans="1:4" ht="15.75" outlineLevel="1">
      <c r="A705" s="37" t="s">
        <v>1079</v>
      </c>
      <c r="B705" s="38" t="s">
        <v>11</v>
      </c>
      <c r="C705" s="37">
        <v>5.53</v>
      </c>
      <c r="D705" s="111"/>
    </row>
    <row r="706" spans="1:4" ht="15.75" outlineLevel="1">
      <c r="A706" s="37" t="s">
        <v>1079</v>
      </c>
      <c r="B706" s="38" t="s">
        <v>183</v>
      </c>
      <c r="C706" s="37">
        <v>5.64</v>
      </c>
      <c r="D706" s="111"/>
    </row>
    <row r="707" spans="1:4" ht="15.75" outlineLevel="1">
      <c r="A707" s="37" t="s">
        <v>1079</v>
      </c>
      <c r="B707" s="38" t="s">
        <v>20</v>
      </c>
      <c r="C707" s="37">
        <v>5.63</v>
      </c>
      <c r="D707" s="111"/>
    </row>
    <row r="708" spans="1:4" ht="15.75" outlineLevel="1">
      <c r="A708" s="37" t="s">
        <v>1079</v>
      </c>
      <c r="B708" s="38" t="s">
        <v>21</v>
      </c>
      <c r="C708" s="37">
        <v>5.65</v>
      </c>
      <c r="D708" s="111"/>
    </row>
    <row r="709" spans="1:4" ht="15.75" outlineLevel="1">
      <c r="A709" s="37" t="s">
        <v>1079</v>
      </c>
      <c r="B709" s="38" t="s">
        <v>184</v>
      </c>
      <c r="C709" s="37">
        <v>5.66</v>
      </c>
      <c r="D709" s="111"/>
    </row>
    <row r="710" spans="1:4" ht="15.75" outlineLevel="1">
      <c r="A710" s="37" t="s">
        <v>1079</v>
      </c>
      <c r="B710" s="38" t="s">
        <v>22</v>
      </c>
      <c r="C710" s="37">
        <v>5.68</v>
      </c>
      <c r="D710" s="111"/>
    </row>
    <row r="711" spans="1:4" ht="15.75" outlineLevel="1">
      <c r="A711" s="37" t="s">
        <v>1079</v>
      </c>
      <c r="B711" s="38" t="s">
        <v>24</v>
      </c>
      <c r="C711" s="37">
        <v>5.47</v>
      </c>
      <c r="D711" s="111"/>
    </row>
    <row r="712" spans="1:4" ht="15.75" outlineLevel="1">
      <c r="A712" s="37" t="s">
        <v>1079</v>
      </c>
      <c r="B712" s="38" t="s">
        <v>25</v>
      </c>
      <c r="C712" s="37">
        <v>5.48</v>
      </c>
      <c r="D712" s="111"/>
    </row>
    <row r="713" spans="1:4" ht="15.75">
      <c r="A713" s="43" t="s">
        <v>1079</v>
      </c>
      <c r="B713" s="38"/>
      <c r="C713" s="37"/>
      <c r="D713" s="111"/>
    </row>
    <row r="714" spans="1:4" ht="15.75" outlineLevel="1">
      <c r="A714" s="37" t="s">
        <v>1187</v>
      </c>
      <c r="B714" s="38" t="s">
        <v>0</v>
      </c>
      <c r="C714" s="37">
        <v>5.0999999999999996</v>
      </c>
      <c r="D714" s="111"/>
    </row>
    <row r="715" spans="1:4" ht="15.75" outlineLevel="1">
      <c r="A715" s="37" t="s">
        <v>1187</v>
      </c>
      <c r="B715" s="38" t="s">
        <v>1</v>
      </c>
      <c r="C715" s="37">
        <v>5.2</v>
      </c>
      <c r="D715" s="111"/>
    </row>
    <row r="716" spans="1:4" ht="15.75" outlineLevel="1">
      <c r="A716" s="37" t="s">
        <v>1187</v>
      </c>
      <c r="B716" s="38" t="s">
        <v>2</v>
      </c>
      <c r="C716" s="37">
        <v>5.3</v>
      </c>
      <c r="D716" s="111"/>
    </row>
    <row r="717" spans="1:4" ht="15.75" outlineLevel="1">
      <c r="A717" s="37" t="s">
        <v>1187</v>
      </c>
      <c r="B717" s="38" t="s">
        <v>165</v>
      </c>
      <c r="C717" s="37">
        <v>5.6</v>
      </c>
      <c r="D717" s="111"/>
    </row>
    <row r="718" spans="1:4" ht="15.75" outlineLevel="1">
      <c r="A718" s="37" t="s">
        <v>1187</v>
      </c>
      <c r="B718" s="38" t="s">
        <v>1131</v>
      </c>
      <c r="C718" s="39">
        <v>5.0999999999999996</v>
      </c>
      <c r="D718" s="111"/>
    </row>
    <row r="719" spans="1:4" ht="15.75" outlineLevel="1">
      <c r="A719" s="37" t="s">
        <v>1187</v>
      </c>
      <c r="B719" s="38" t="s">
        <v>1130</v>
      </c>
      <c r="C719" s="37">
        <v>5.14</v>
      </c>
      <c r="D719" s="111"/>
    </row>
    <row r="720" spans="1:4" ht="15.75" outlineLevel="1">
      <c r="A720" s="37" t="s">
        <v>1187</v>
      </c>
      <c r="B720" s="38" t="s">
        <v>4</v>
      </c>
      <c r="C720" s="37">
        <v>5.19</v>
      </c>
      <c r="D720" s="111"/>
    </row>
    <row r="721" spans="1:4" ht="15.75" outlineLevel="1">
      <c r="A721" s="37" t="s">
        <v>1187</v>
      </c>
      <c r="B721" s="38" t="s">
        <v>167</v>
      </c>
      <c r="C721" s="37">
        <v>5.24</v>
      </c>
      <c r="D721" s="111"/>
    </row>
    <row r="722" spans="1:4" ht="15.75" outlineLevel="1">
      <c r="A722" s="37" t="s">
        <v>1187</v>
      </c>
      <c r="B722" s="38" t="s">
        <v>5</v>
      </c>
      <c r="C722" s="37">
        <v>5.26</v>
      </c>
      <c r="D722" s="111"/>
    </row>
    <row r="723" spans="1:4" ht="15.75" outlineLevel="1">
      <c r="A723" s="37" t="s">
        <v>1187</v>
      </c>
      <c r="B723" s="38" t="s">
        <v>6</v>
      </c>
      <c r="C723" s="37">
        <v>5.27</v>
      </c>
      <c r="D723" s="111"/>
    </row>
    <row r="724" spans="1:4" ht="15.75" outlineLevel="1">
      <c r="A724" s="37" t="s">
        <v>1187</v>
      </c>
      <c r="B724" s="38" t="s">
        <v>7</v>
      </c>
      <c r="C724" s="37">
        <v>5.28</v>
      </c>
      <c r="D724" s="111"/>
    </row>
    <row r="725" spans="1:4" ht="15.75" outlineLevel="1">
      <c r="A725" s="37" t="s">
        <v>1187</v>
      </c>
      <c r="B725" s="38" t="s">
        <v>168</v>
      </c>
      <c r="C725" s="37">
        <v>5.31</v>
      </c>
      <c r="D725" s="111"/>
    </row>
    <row r="726" spans="1:4" ht="15.75" outlineLevel="1">
      <c r="A726" s="37" t="s">
        <v>1187</v>
      </c>
      <c r="B726" s="38" t="s">
        <v>139</v>
      </c>
      <c r="C726" s="37">
        <v>5.36</v>
      </c>
      <c r="D726" s="111"/>
    </row>
    <row r="727" spans="1:4" ht="15.75" outlineLevel="1">
      <c r="A727" s="37" t="s">
        <v>1187</v>
      </c>
      <c r="B727" s="38" t="s">
        <v>11</v>
      </c>
      <c r="C727" s="37">
        <v>5.53</v>
      </c>
      <c r="D727" s="111"/>
    </row>
    <row r="728" spans="1:4" ht="15.75" outlineLevel="1">
      <c r="A728" s="37" t="s">
        <v>1187</v>
      </c>
      <c r="B728" s="38" t="s">
        <v>169</v>
      </c>
      <c r="C728" s="37">
        <v>5.109</v>
      </c>
      <c r="D728" s="111"/>
    </row>
    <row r="729" spans="1:4" ht="15.75" outlineLevel="1">
      <c r="A729" s="37" t="s">
        <v>1187</v>
      </c>
      <c r="B729" s="38" t="s">
        <v>170</v>
      </c>
      <c r="C729" s="37">
        <v>5.1109999999999998</v>
      </c>
      <c r="D729" s="111"/>
    </row>
    <row r="730" spans="1:4" ht="15.75" outlineLevel="1">
      <c r="A730" s="37" t="s">
        <v>1187</v>
      </c>
      <c r="B730" s="38" t="s">
        <v>148</v>
      </c>
      <c r="C730" s="37">
        <v>5.1120000000000001</v>
      </c>
      <c r="D730" s="111"/>
    </row>
    <row r="731" spans="1:4" ht="15.75" outlineLevel="1">
      <c r="A731" s="37" t="s">
        <v>1187</v>
      </c>
      <c r="B731" s="38" t="s">
        <v>1145</v>
      </c>
      <c r="C731" s="37">
        <v>5.1130000000000004</v>
      </c>
      <c r="D731" s="111"/>
    </row>
    <row r="732" spans="1:4" ht="15.75" outlineLevel="1">
      <c r="A732" s="37" t="s">
        <v>1187</v>
      </c>
      <c r="B732" s="38" t="s">
        <v>172</v>
      </c>
      <c r="C732" s="37">
        <v>5.117</v>
      </c>
      <c r="D732" s="111"/>
    </row>
    <row r="733" spans="1:4" ht="15.75" outlineLevel="1">
      <c r="A733" s="37" t="s">
        <v>1187</v>
      </c>
      <c r="B733" s="38" t="s">
        <v>173</v>
      </c>
      <c r="C733" s="37">
        <v>5.67</v>
      </c>
      <c r="D733" s="111"/>
    </row>
    <row r="734" spans="1:4" ht="15.75" outlineLevel="1">
      <c r="A734" s="37" t="s">
        <v>1187</v>
      </c>
      <c r="B734" s="38" t="s">
        <v>20</v>
      </c>
      <c r="C734" s="37">
        <v>5.63</v>
      </c>
      <c r="D734" s="111"/>
    </row>
    <row r="735" spans="1:4" ht="15.75" outlineLevel="1">
      <c r="A735" s="37" t="s">
        <v>1187</v>
      </c>
      <c r="B735" s="38" t="s">
        <v>24</v>
      </c>
      <c r="C735" s="37">
        <v>5.47</v>
      </c>
      <c r="D735" s="111"/>
    </row>
    <row r="736" spans="1:4" ht="15.75" outlineLevel="1">
      <c r="A736" s="37" t="s">
        <v>1187</v>
      </c>
      <c r="B736" s="38" t="s">
        <v>25</v>
      </c>
      <c r="C736" s="37">
        <v>5.48</v>
      </c>
      <c r="D736" s="111"/>
    </row>
    <row r="737" spans="1:4" ht="15.75">
      <c r="A737" s="43" t="s">
        <v>1188</v>
      </c>
      <c r="B737" s="38"/>
      <c r="C737" s="37"/>
      <c r="D737" s="111"/>
    </row>
    <row r="738" spans="1:4" ht="15.75" outlineLevel="1">
      <c r="A738" s="37" t="s">
        <v>1082</v>
      </c>
      <c r="B738" s="38" t="s">
        <v>0</v>
      </c>
      <c r="C738" s="37">
        <v>5.0999999999999996</v>
      </c>
      <c r="D738" s="111"/>
    </row>
    <row r="739" spans="1:4" ht="15.75" outlineLevel="1">
      <c r="A739" s="37" t="s">
        <v>1082</v>
      </c>
      <c r="B739" s="38" t="s">
        <v>1</v>
      </c>
      <c r="C739" s="37">
        <v>5.2</v>
      </c>
      <c r="D739" s="111"/>
    </row>
    <row r="740" spans="1:4" ht="15.75" outlineLevel="1">
      <c r="A740" s="37" t="s">
        <v>1082</v>
      </c>
      <c r="B740" s="38" t="s">
        <v>145</v>
      </c>
      <c r="C740" s="37">
        <v>5.18</v>
      </c>
      <c r="D740" s="111"/>
    </row>
    <row r="741" spans="1:4" ht="15.75" outlineLevel="1">
      <c r="A741" s="37" t="s">
        <v>1082</v>
      </c>
      <c r="B741" s="38" t="s">
        <v>146</v>
      </c>
      <c r="C741" s="37">
        <v>5.23</v>
      </c>
      <c r="D741" s="111"/>
    </row>
    <row r="742" spans="1:4" ht="15.75" outlineLevel="1">
      <c r="A742" s="37" t="s">
        <v>1082</v>
      </c>
      <c r="B742" s="38" t="s">
        <v>5</v>
      </c>
      <c r="C742" s="37">
        <v>5.26</v>
      </c>
      <c r="D742" s="111"/>
    </row>
    <row r="743" spans="1:4" ht="15.75" outlineLevel="1">
      <c r="A743" s="37" t="s">
        <v>1082</v>
      </c>
      <c r="B743" s="38" t="s">
        <v>6</v>
      </c>
      <c r="C743" s="37">
        <v>5.27</v>
      </c>
      <c r="D743" s="111"/>
    </row>
    <row r="744" spans="1:4" ht="15.75" outlineLevel="1">
      <c r="A744" s="37" t="s">
        <v>1082</v>
      </c>
      <c r="B744" s="38" t="s">
        <v>7</v>
      </c>
      <c r="C744" s="37">
        <v>5.28</v>
      </c>
      <c r="D744" s="111"/>
    </row>
    <row r="745" spans="1:4" ht="15.75" outlineLevel="1">
      <c r="A745" s="37" t="s">
        <v>1082</v>
      </c>
      <c r="B745" s="38" t="s">
        <v>139</v>
      </c>
      <c r="C745" s="37">
        <v>5.36</v>
      </c>
      <c r="D745" s="111"/>
    </row>
    <row r="746" spans="1:4" ht="15.75" outlineLevel="1">
      <c r="A746" s="37" t="s">
        <v>1082</v>
      </c>
      <c r="B746" s="38" t="s">
        <v>147</v>
      </c>
      <c r="C746" s="37">
        <v>5.44</v>
      </c>
      <c r="D746" s="111"/>
    </row>
    <row r="747" spans="1:4" ht="15.75" outlineLevel="1">
      <c r="A747" s="37" t="s">
        <v>1082</v>
      </c>
      <c r="B747" s="38" t="s">
        <v>11</v>
      </c>
      <c r="C747" s="37">
        <v>5.53</v>
      </c>
      <c r="D747" s="111"/>
    </row>
    <row r="748" spans="1:4" ht="15.75" outlineLevel="1">
      <c r="A748" s="37" t="s">
        <v>1082</v>
      </c>
      <c r="B748" s="38" t="s">
        <v>148</v>
      </c>
      <c r="C748" s="37">
        <v>5.1120000000000001</v>
      </c>
      <c r="D748" s="111"/>
    </row>
    <row r="749" spans="1:4" ht="15.75" outlineLevel="1">
      <c r="A749" s="37" t="s">
        <v>1082</v>
      </c>
      <c r="B749" s="38" t="s">
        <v>149</v>
      </c>
      <c r="C749" s="37">
        <v>5.59</v>
      </c>
      <c r="D749" s="111"/>
    </row>
    <row r="750" spans="1:4" ht="15.75" outlineLevel="1">
      <c r="A750" s="37" t="s">
        <v>1082</v>
      </c>
      <c r="B750" s="38" t="s">
        <v>18</v>
      </c>
      <c r="C750" s="37">
        <v>5.54</v>
      </c>
      <c r="D750" s="111"/>
    </row>
    <row r="751" spans="1:4" ht="15.75" outlineLevel="1">
      <c r="A751" s="37" t="s">
        <v>1082</v>
      </c>
      <c r="B751" s="38" t="s">
        <v>20</v>
      </c>
      <c r="C751" s="37">
        <v>5.63</v>
      </c>
      <c r="D751" s="111"/>
    </row>
    <row r="752" spans="1:4" ht="15.75" outlineLevel="1">
      <c r="A752" s="37" t="s">
        <v>1082</v>
      </c>
      <c r="B752" s="38" t="s">
        <v>21</v>
      </c>
      <c r="C752" s="37">
        <v>5.65</v>
      </c>
      <c r="D752" s="111"/>
    </row>
    <row r="753" spans="1:4" ht="15.75" outlineLevel="1">
      <c r="A753" s="37" t="s">
        <v>1082</v>
      </c>
      <c r="B753" s="38" t="s">
        <v>22</v>
      </c>
      <c r="C753" s="37">
        <v>5.68</v>
      </c>
      <c r="D753" s="111"/>
    </row>
    <row r="754" spans="1:4" ht="15.75" outlineLevel="1">
      <c r="A754" s="37" t="s">
        <v>1082</v>
      </c>
      <c r="B754" s="38" t="s">
        <v>24</v>
      </c>
      <c r="C754" s="37">
        <v>5.47</v>
      </c>
      <c r="D754" s="111"/>
    </row>
    <row r="755" spans="1:4" ht="15.75" outlineLevel="1">
      <c r="A755" s="37" t="s">
        <v>1082</v>
      </c>
      <c r="B755" s="38" t="s">
        <v>25</v>
      </c>
      <c r="C755" s="37">
        <v>5.48</v>
      </c>
      <c r="D755" s="111"/>
    </row>
    <row r="756" spans="1:4" ht="15.75">
      <c r="A756" s="43" t="s">
        <v>1082</v>
      </c>
      <c r="B756" s="38"/>
      <c r="C756" s="37"/>
      <c r="D756" s="111"/>
    </row>
    <row r="757" spans="1:4" ht="15.75" outlineLevel="1">
      <c r="A757" s="37" t="s">
        <v>1189</v>
      </c>
      <c r="B757" s="38" t="s">
        <v>0</v>
      </c>
      <c r="C757" s="37">
        <v>5.0999999999999996</v>
      </c>
      <c r="D757" s="111"/>
    </row>
    <row r="758" spans="1:4" ht="15.75" outlineLevel="1">
      <c r="A758" s="37" t="s">
        <v>1189</v>
      </c>
      <c r="B758" s="38" t="s">
        <v>1</v>
      </c>
      <c r="C758" s="37">
        <v>5.2</v>
      </c>
      <c r="D758" s="111"/>
    </row>
    <row r="759" spans="1:4" ht="15.75" outlineLevel="1">
      <c r="A759" s="37" t="s">
        <v>1189</v>
      </c>
      <c r="B759" s="38" t="s">
        <v>134</v>
      </c>
      <c r="C759" s="37">
        <v>5.9</v>
      </c>
      <c r="D759" s="110" t="s">
        <v>1129</v>
      </c>
    </row>
    <row r="760" spans="1:4" ht="15.75" outlineLevel="1">
      <c r="A760" s="37" t="s">
        <v>1189</v>
      </c>
      <c r="B760" s="38" t="s">
        <v>135</v>
      </c>
      <c r="C760" s="37">
        <v>5.13</v>
      </c>
      <c r="D760" s="111"/>
    </row>
    <row r="761" spans="1:4" ht="15.75" outlineLevel="1">
      <c r="A761" s="37" t="s">
        <v>1189</v>
      </c>
      <c r="B761" s="38" t="s">
        <v>136</v>
      </c>
      <c r="C761" s="37">
        <v>5.16</v>
      </c>
      <c r="D761" s="110" t="s">
        <v>1129</v>
      </c>
    </row>
    <row r="762" spans="1:4" ht="15.75" outlineLevel="1">
      <c r="A762" s="37" t="s">
        <v>1189</v>
      </c>
      <c r="B762" s="38" t="s">
        <v>137</v>
      </c>
      <c r="C762" s="37">
        <v>5.22</v>
      </c>
      <c r="D762" s="110"/>
    </row>
    <row r="763" spans="1:4" ht="15.75" outlineLevel="1">
      <c r="A763" s="37" t="s">
        <v>1189</v>
      </c>
      <c r="B763" s="38" t="s">
        <v>138</v>
      </c>
      <c r="C763" s="37">
        <v>5.42</v>
      </c>
      <c r="D763" s="111"/>
    </row>
    <row r="764" spans="1:4" ht="15.75" outlineLevel="1">
      <c r="A764" s="37" t="s">
        <v>1189</v>
      </c>
      <c r="B764" s="38" t="s">
        <v>6</v>
      </c>
      <c r="C764" s="37">
        <v>5.27</v>
      </c>
      <c r="D764" s="111"/>
    </row>
    <row r="765" spans="1:4" ht="15.75" outlineLevel="1">
      <c r="A765" s="37" t="s">
        <v>1189</v>
      </c>
      <c r="B765" s="38" t="s">
        <v>7</v>
      </c>
      <c r="C765" s="37">
        <v>5.28</v>
      </c>
      <c r="D765" s="110" t="s">
        <v>1129</v>
      </c>
    </row>
    <row r="766" spans="1:4" ht="15.75" outlineLevel="1">
      <c r="A766" s="37" t="s">
        <v>1189</v>
      </c>
      <c r="B766" s="38" t="s">
        <v>139</v>
      </c>
      <c r="C766" s="37">
        <v>5.36</v>
      </c>
      <c r="D766" s="111"/>
    </row>
    <row r="767" spans="1:4" ht="15.75" outlineLevel="1">
      <c r="A767" s="37" t="s">
        <v>1189</v>
      </c>
      <c r="B767" s="38" t="s">
        <v>9</v>
      </c>
      <c r="C767" s="37">
        <v>5.49</v>
      </c>
      <c r="D767" s="111"/>
    </row>
    <row r="768" spans="1:4" ht="15.75" outlineLevel="1">
      <c r="A768" s="37" t="s">
        <v>1189</v>
      </c>
      <c r="B768" s="38" t="s">
        <v>10</v>
      </c>
      <c r="C768" s="37">
        <v>5.51</v>
      </c>
      <c r="D768" s="111"/>
    </row>
    <row r="769" spans="1:4" ht="15.75" outlineLevel="1">
      <c r="A769" s="37" t="s">
        <v>1189</v>
      </c>
      <c r="B769" s="38" t="s">
        <v>1178</v>
      </c>
      <c r="C769" s="37">
        <v>5.52</v>
      </c>
      <c r="D769" s="111"/>
    </row>
    <row r="770" spans="1:4" ht="15.75" outlineLevel="1">
      <c r="A770" s="37" t="s">
        <v>1189</v>
      </c>
      <c r="B770" s="38" t="s">
        <v>11</v>
      </c>
      <c r="C770" s="37">
        <v>5.53</v>
      </c>
      <c r="D770" s="111"/>
    </row>
    <row r="771" spans="1:4" ht="15.75" outlineLevel="1">
      <c r="A771" s="37" t="s">
        <v>1189</v>
      </c>
      <c r="B771" s="38" t="s">
        <v>18</v>
      </c>
      <c r="C771" s="37">
        <v>5.54</v>
      </c>
      <c r="D771" s="111"/>
    </row>
    <row r="772" spans="1:4" ht="15.75" outlineLevel="1">
      <c r="A772" s="37" t="s">
        <v>1189</v>
      </c>
      <c r="B772" s="38" t="s">
        <v>14</v>
      </c>
      <c r="C772" s="39">
        <v>5.7</v>
      </c>
      <c r="D772" s="111"/>
    </row>
    <row r="773" spans="1:4" ht="15.75" outlineLevel="1">
      <c r="A773" s="37" t="s">
        <v>1189</v>
      </c>
      <c r="B773" s="38" t="s">
        <v>141</v>
      </c>
      <c r="C773" s="37">
        <v>5.71</v>
      </c>
      <c r="D773" s="111"/>
    </row>
    <row r="774" spans="1:4" ht="15.75" outlineLevel="1">
      <c r="A774" s="37" t="s">
        <v>1189</v>
      </c>
      <c r="B774" s="38" t="s">
        <v>142</v>
      </c>
      <c r="C774" s="39">
        <v>5.9</v>
      </c>
      <c r="D774" s="111"/>
    </row>
    <row r="775" spans="1:4" ht="15.75" outlineLevel="1">
      <c r="A775" s="37" t="s">
        <v>1189</v>
      </c>
      <c r="B775" s="38" t="s">
        <v>143</v>
      </c>
      <c r="C775" s="37">
        <v>5.91</v>
      </c>
      <c r="D775" s="111"/>
    </row>
    <row r="776" spans="1:4" ht="15.75" outlineLevel="1">
      <c r="A776" s="37" t="s">
        <v>1189</v>
      </c>
      <c r="B776" s="38" t="s">
        <v>144</v>
      </c>
      <c r="C776" s="37">
        <v>5.97</v>
      </c>
      <c r="D776" s="111"/>
    </row>
    <row r="777" spans="1:4" ht="15.75">
      <c r="A777" s="43" t="s">
        <v>1189</v>
      </c>
      <c r="B777" s="38"/>
      <c r="C777" s="37"/>
      <c r="D777" s="111"/>
    </row>
    <row r="778" spans="1:4" ht="15.75" outlineLevel="1">
      <c r="A778" s="37" t="s">
        <v>1116</v>
      </c>
      <c r="B778" s="38" t="s">
        <v>0</v>
      </c>
      <c r="C778" s="37">
        <v>5.0999999999999996</v>
      </c>
      <c r="D778" s="111"/>
    </row>
    <row r="779" spans="1:4" ht="15.75" outlineLevel="1">
      <c r="A779" s="37" t="s">
        <v>1116</v>
      </c>
      <c r="B779" s="38" t="s">
        <v>1</v>
      </c>
      <c r="C779" s="37">
        <v>5.2</v>
      </c>
      <c r="D779" s="111"/>
    </row>
    <row r="780" spans="1:4" ht="15.75" outlineLevel="1">
      <c r="A780" s="37" t="s">
        <v>1116</v>
      </c>
      <c r="B780" s="38" t="s">
        <v>5</v>
      </c>
      <c r="C780" s="37">
        <v>5.26</v>
      </c>
      <c r="D780" s="111"/>
    </row>
    <row r="781" spans="1:4" ht="15.75" outlineLevel="1">
      <c r="A781" s="37" t="s">
        <v>1116</v>
      </c>
      <c r="B781" s="38" t="s">
        <v>208</v>
      </c>
      <c r="C781" s="37">
        <v>5.5</v>
      </c>
      <c r="D781" s="111"/>
    </row>
    <row r="782" spans="1:4" ht="15.75" outlineLevel="1">
      <c r="A782" s="37" t="s">
        <v>1116</v>
      </c>
      <c r="B782" s="38" t="s">
        <v>209</v>
      </c>
      <c r="C782" s="37">
        <v>5.8</v>
      </c>
      <c r="D782" s="110" t="s">
        <v>1129</v>
      </c>
    </row>
    <row r="783" spans="1:4" ht="15.75" outlineLevel="1">
      <c r="A783" s="37" t="s">
        <v>1116</v>
      </c>
      <c r="B783" s="38" t="s">
        <v>210</v>
      </c>
      <c r="C783" s="37">
        <v>5.12</v>
      </c>
      <c r="D783" s="37"/>
    </row>
    <row r="784" spans="1:4" ht="15.75" outlineLevel="1">
      <c r="A784" s="37" t="s">
        <v>1116</v>
      </c>
      <c r="B784" s="38" t="s">
        <v>211</v>
      </c>
      <c r="C784" s="37">
        <v>5.15</v>
      </c>
      <c r="D784" s="37"/>
    </row>
    <row r="785" spans="1:4" ht="15.75" outlineLevel="1">
      <c r="A785" s="37" t="s">
        <v>1116</v>
      </c>
      <c r="B785" s="38" t="s">
        <v>212</v>
      </c>
      <c r="C785" s="39">
        <v>5.2</v>
      </c>
      <c r="D785" s="110"/>
    </row>
    <row r="786" spans="1:4" ht="15.75" outlineLevel="1">
      <c r="A786" s="37" t="s">
        <v>1116</v>
      </c>
      <c r="B786" s="38" t="s">
        <v>213</v>
      </c>
      <c r="C786" s="37">
        <v>5.25</v>
      </c>
      <c r="D786" s="37"/>
    </row>
    <row r="787" spans="1:4" ht="15.75" outlineLevel="1">
      <c r="A787" s="37" t="s">
        <v>1116</v>
      </c>
      <c r="B787" s="38" t="s">
        <v>11</v>
      </c>
      <c r="C787" s="37">
        <v>5.53</v>
      </c>
      <c r="D787" s="37"/>
    </row>
    <row r="788" spans="1:4" ht="15.75" outlineLevel="1">
      <c r="A788" s="37" t="s">
        <v>1116</v>
      </c>
      <c r="B788" s="38" t="s">
        <v>214</v>
      </c>
      <c r="C788" s="39">
        <v>5.4</v>
      </c>
      <c r="D788" s="37"/>
    </row>
    <row r="789" spans="1:4" ht="31.5" outlineLevel="1">
      <c r="A789" s="37" t="s">
        <v>1116</v>
      </c>
      <c r="B789" s="38" t="s">
        <v>215</v>
      </c>
      <c r="C789" s="37">
        <v>5.92</v>
      </c>
      <c r="D789" s="37"/>
    </row>
    <row r="790" spans="1:4" ht="15.75" outlineLevel="1">
      <c r="A790" s="37" t="s">
        <v>1116</v>
      </c>
      <c r="B790" s="38" t="s">
        <v>216</v>
      </c>
      <c r="C790" s="37">
        <v>5.93</v>
      </c>
      <c r="D790" s="37"/>
    </row>
    <row r="791" spans="1:4" ht="31.5" outlineLevel="1">
      <c r="A791" s="37" t="s">
        <v>1116</v>
      </c>
      <c r="B791" s="38" t="s">
        <v>217</v>
      </c>
      <c r="C791" s="37">
        <v>5.94</v>
      </c>
      <c r="D791" s="37"/>
    </row>
    <row r="792" spans="1:4" ht="15.75" outlineLevel="1">
      <c r="A792" s="37" t="s">
        <v>1116</v>
      </c>
      <c r="B792" s="38" t="s">
        <v>218</v>
      </c>
      <c r="C792" s="37">
        <v>5.95</v>
      </c>
      <c r="D792" s="37"/>
    </row>
    <row r="793" spans="1:4" ht="15.75" outlineLevel="1">
      <c r="A793" s="37" t="s">
        <v>1116</v>
      </c>
      <c r="B793" s="38" t="s">
        <v>219</v>
      </c>
      <c r="C793" s="37">
        <v>5.98</v>
      </c>
      <c r="D793" s="37"/>
    </row>
    <row r="794" spans="1:4" ht="15.75" outlineLevel="1">
      <c r="A794" s="37" t="s">
        <v>1116</v>
      </c>
      <c r="B794" s="38" t="s">
        <v>220</v>
      </c>
      <c r="C794" s="37">
        <v>5.96</v>
      </c>
      <c r="D794" s="37"/>
    </row>
    <row r="795" spans="1:4" ht="31.5">
      <c r="A795" s="43" t="s">
        <v>1116</v>
      </c>
      <c r="B795" s="38"/>
      <c r="C795" s="37"/>
      <c r="D795" s="3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1204</v>
      </c>
    </row>
    <row r="3" spans="1:2">
      <c r="A3" t="s">
        <v>1205</v>
      </c>
      <c r="B3" t="s">
        <v>1206</v>
      </c>
    </row>
    <row r="4" spans="1:2">
      <c r="A4" t="s">
        <v>195</v>
      </c>
      <c r="B4" t="s">
        <v>1207</v>
      </c>
    </row>
    <row r="5" spans="1:2">
      <c r="A5" t="s">
        <v>1208</v>
      </c>
      <c r="B5" t="s">
        <v>1209</v>
      </c>
    </row>
    <row r="6" spans="1:2">
      <c r="A6" t="s">
        <v>1210</v>
      </c>
      <c r="B6" t="s">
        <v>1211</v>
      </c>
    </row>
    <row r="7" spans="1:2">
      <c r="A7" t="s">
        <v>1212</v>
      </c>
      <c r="B7" t="s">
        <v>1213</v>
      </c>
    </row>
    <row r="8" spans="1:2">
      <c r="A8" t="s">
        <v>1214</v>
      </c>
      <c r="B8" t="s">
        <v>1215</v>
      </c>
    </row>
    <row r="10" spans="1:2" ht="15">
      <c r="A10" s="23" t="s">
        <v>1216</v>
      </c>
    </row>
    <row r="11" spans="1:2">
      <c r="A11" t="s">
        <v>1217</v>
      </c>
    </row>
    <row r="12" spans="1:2">
      <c r="A12" t="s">
        <v>1218</v>
      </c>
      <c r="B12" t="s">
        <v>1219</v>
      </c>
    </row>
    <row r="14" spans="1:2">
      <c r="A14" s="36"/>
    </row>
    <row r="15" spans="1:2" ht="15">
      <c r="A15" s="23" t="s">
        <v>1220</v>
      </c>
    </row>
    <row r="16" spans="1:2">
      <c r="A16" s="34" t="s">
        <v>1221</v>
      </c>
    </row>
    <row r="17" spans="1:2">
      <c r="A17" s="34" t="s">
        <v>1222</v>
      </c>
    </row>
    <row r="18" spans="1:2">
      <c r="A18" s="34" t="s">
        <v>1223</v>
      </c>
    </row>
    <row r="19" spans="1:2">
      <c r="A19" s="34" t="s">
        <v>1224</v>
      </c>
    </row>
    <row r="21" spans="1:2" ht="15">
      <c r="A21" s="35" t="s">
        <v>1225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1226</v>
      </c>
      <c r="B34" s="23" t="s">
        <v>328</v>
      </c>
    </row>
    <row r="35" spans="1:2">
      <c r="A35" s="15" t="s">
        <v>1227</v>
      </c>
      <c r="B35" s="42">
        <v>512310509</v>
      </c>
    </row>
    <row r="36" spans="1:2">
      <c r="A36" t="s">
        <v>1228</v>
      </c>
      <c r="B36" s="42">
        <v>513910703</v>
      </c>
    </row>
    <row r="37" spans="1:2">
      <c r="A37" t="s">
        <v>1229</v>
      </c>
      <c r="B37" s="42">
        <v>512304882</v>
      </c>
    </row>
    <row r="38" spans="1:2">
      <c r="A38" t="s">
        <v>1230</v>
      </c>
      <c r="B38" s="42">
        <v>520030677</v>
      </c>
    </row>
    <row r="39" spans="1:2">
      <c r="A39" t="s">
        <v>1231</v>
      </c>
      <c r="B39" s="42">
        <v>513621110</v>
      </c>
    </row>
    <row r="40" spans="1:2">
      <c r="A40" t="s">
        <v>1232</v>
      </c>
      <c r="B40" s="15">
        <v>513173393</v>
      </c>
    </row>
    <row r="41" spans="1:2">
      <c r="A41" t="s">
        <v>1233</v>
      </c>
      <c r="B41" s="15">
        <v>511880460</v>
      </c>
    </row>
    <row r="42" spans="1:2">
      <c r="A42" t="s">
        <v>1234</v>
      </c>
      <c r="B42" s="15">
        <v>510773922</v>
      </c>
    </row>
    <row r="43" spans="1:2">
      <c r="A43" t="s">
        <v>1235</v>
      </c>
      <c r="B43">
        <v>520021916</v>
      </c>
    </row>
    <row r="44" spans="1:2">
      <c r="A44" t="s">
        <v>1236</v>
      </c>
      <c r="B44">
        <v>520044025</v>
      </c>
    </row>
    <row r="45" spans="1:2">
      <c r="A45" t="s">
        <v>1237</v>
      </c>
      <c r="B45">
        <v>570003152</v>
      </c>
    </row>
    <row r="46" spans="1:2">
      <c r="A46" t="s">
        <v>1238</v>
      </c>
      <c r="B46" s="15">
        <v>520023094</v>
      </c>
    </row>
    <row r="47" spans="1:2">
      <c r="A47" t="s">
        <v>1239</v>
      </c>
      <c r="B47" s="15">
        <v>512711409</v>
      </c>
    </row>
    <row r="48" spans="1:2">
      <c r="A48" t="s">
        <v>1240</v>
      </c>
      <c r="B48">
        <v>515859379</v>
      </c>
    </row>
    <row r="49" spans="1:2">
      <c r="A49" t="s">
        <v>1241</v>
      </c>
      <c r="B49" s="15">
        <v>520030990</v>
      </c>
    </row>
    <row r="50" spans="1:2">
      <c r="A50" t="s">
        <v>1242</v>
      </c>
      <c r="B50" s="15">
        <v>520028812</v>
      </c>
    </row>
    <row r="51" spans="1:2">
      <c r="A51" t="s">
        <v>1243</v>
      </c>
      <c r="B51" s="15">
        <v>520034968</v>
      </c>
    </row>
    <row r="52" spans="1:2">
      <c r="A52" t="s">
        <v>1244</v>
      </c>
      <c r="B52" s="15">
        <v>520031824</v>
      </c>
    </row>
    <row r="53" spans="1:2">
      <c r="A53" t="s">
        <v>1245</v>
      </c>
      <c r="B53" s="15">
        <v>520005497</v>
      </c>
    </row>
    <row r="54" spans="1:2">
      <c r="A54" t="s">
        <v>1246</v>
      </c>
      <c r="B54" s="15">
        <v>520022518</v>
      </c>
    </row>
    <row r="55" spans="1:2">
      <c r="A55" t="s">
        <v>1247</v>
      </c>
      <c r="B55" s="15">
        <v>520028556</v>
      </c>
    </row>
    <row r="56" spans="1:2">
      <c r="A56" t="s">
        <v>1248</v>
      </c>
      <c r="B56" s="15">
        <v>520032269</v>
      </c>
    </row>
    <row r="57" spans="1:2">
      <c r="A57" t="s">
        <v>1249</v>
      </c>
      <c r="B57" s="15">
        <v>520027954</v>
      </c>
    </row>
    <row r="58" spans="1:2">
      <c r="A58" t="s">
        <v>1250</v>
      </c>
      <c r="B58">
        <v>520029620</v>
      </c>
    </row>
    <row r="59" spans="1:2">
      <c r="A59" t="s">
        <v>1251</v>
      </c>
      <c r="B59" s="15">
        <v>520028861</v>
      </c>
    </row>
    <row r="60" spans="1:2">
      <c r="A60" t="s">
        <v>1252</v>
      </c>
      <c r="B60" s="15">
        <v>520030743</v>
      </c>
    </row>
    <row r="61" spans="1:2">
      <c r="A61" t="s">
        <v>1253</v>
      </c>
      <c r="B61">
        <v>520042177</v>
      </c>
    </row>
    <row r="62" spans="1:2">
      <c r="A62" t="s">
        <v>1254</v>
      </c>
      <c r="B62" s="15">
        <v>515447035</v>
      </c>
    </row>
    <row r="63" spans="1:2">
      <c r="A63" t="s">
        <v>1255</v>
      </c>
      <c r="B63" s="15">
        <v>520042607</v>
      </c>
    </row>
    <row r="64" spans="1:2">
      <c r="A64" t="s">
        <v>1256</v>
      </c>
      <c r="B64" s="15">
        <v>513026484</v>
      </c>
    </row>
    <row r="65" spans="1:2">
      <c r="A65" t="s">
        <v>1257</v>
      </c>
      <c r="B65">
        <v>520023185</v>
      </c>
    </row>
    <row r="66" spans="1:2">
      <c r="A66" t="s">
        <v>1258</v>
      </c>
      <c r="B66">
        <v>520004078</v>
      </c>
    </row>
    <row r="67" spans="1:2">
      <c r="A67" t="s">
        <v>1259</v>
      </c>
      <c r="B67" s="15">
        <v>512267592</v>
      </c>
    </row>
    <row r="68" spans="1:2">
      <c r="A68" t="s">
        <v>1260</v>
      </c>
      <c r="B68">
        <v>515764868</v>
      </c>
    </row>
    <row r="69" spans="1:2">
      <c r="A69" t="s">
        <v>1261</v>
      </c>
      <c r="B69" s="15">
        <v>513452003</v>
      </c>
    </row>
    <row r="70" spans="1:2">
      <c r="A70" t="s">
        <v>1262</v>
      </c>
      <c r="B70" s="15">
        <v>510142789</v>
      </c>
    </row>
    <row r="71" spans="1:2">
      <c r="A71" t="s">
        <v>1263</v>
      </c>
      <c r="B71" s="15">
        <v>510960586</v>
      </c>
    </row>
    <row r="72" spans="1:2">
      <c r="A72" t="s">
        <v>1264</v>
      </c>
      <c r="B72" s="15">
        <v>510930670</v>
      </c>
    </row>
    <row r="73" spans="1:2">
      <c r="A73" t="s">
        <v>1265</v>
      </c>
      <c r="B73" s="15">
        <v>510927536</v>
      </c>
    </row>
    <row r="74" spans="1:2">
      <c r="A74" t="s">
        <v>1266</v>
      </c>
      <c r="B74" s="15">
        <v>510930654</v>
      </c>
    </row>
    <row r="75" spans="1:2">
      <c r="A75" t="s">
        <v>1267</v>
      </c>
      <c r="B75" s="15">
        <v>520032566</v>
      </c>
    </row>
    <row r="76" spans="1:2">
      <c r="A76" t="s">
        <v>1268</v>
      </c>
      <c r="B76" s="15">
        <v>513611509</v>
      </c>
    </row>
    <row r="77" spans="1:2">
      <c r="A77" t="s">
        <v>1269</v>
      </c>
      <c r="B77">
        <v>510888985</v>
      </c>
    </row>
    <row r="78" spans="1:2">
      <c r="A78" t="s">
        <v>1270</v>
      </c>
      <c r="B78">
        <v>520024647</v>
      </c>
    </row>
    <row r="79" spans="1:2">
      <c r="A79" t="s">
        <v>1271</v>
      </c>
      <c r="B79" s="15">
        <v>512244146</v>
      </c>
    </row>
    <row r="80" spans="1:2">
      <c r="A80" t="s">
        <v>1272</v>
      </c>
      <c r="B80" s="15">
        <v>510694821</v>
      </c>
    </row>
    <row r="81" spans="1:2">
      <c r="A81" t="s">
        <v>1273</v>
      </c>
      <c r="B81">
        <v>515761625</v>
      </c>
    </row>
    <row r="82" spans="1:2">
      <c r="A82" t="s">
        <v>1274</v>
      </c>
      <c r="B82" s="15">
        <v>511423048</v>
      </c>
    </row>
    <row r="83" spans="1:2">
      <c r="A83" t="s">
        <v>1275</v>
      </c>
      <c r="B83" s="15">
        <v>520019688</v>
      </c>
    </row>
    <row r="84" spans="1:2">
      <c r="A84" t="s">
        <v>1276</v>
      </c>
      <c r="B84">
        <v>520004896</v>
      </c>
    </row>
    <row r="85" spans="1:2">
      <c r="A85" t="s">
        <v>1277</v>
      </c>
      <c r="B85" s="15">
        <v>512237744</v>
      </c>
    </row>
    <row r="86" spans="1:2">
      <c r="A86" t="s">
        <v>1278</v>
      </c>
      <c r="B86" s="15">
        <v>514956465</v>
      </c>
    </row>
    <row r="87" spans="1:2">
      <c r="A87" t="s">
        <v>1279</v>
      </c>
      <c r="B87" s="15">
        <v>512362914</v>
      </c>
    </row>
    <row r="88" spans="1:2">
      <c r="A88" t="s">
        <v>1280</v>
      </c>
      <c r="B88" s="15">
        <v>520042615</v>
      </c>
    </row>
    <row r="89" spans="1:2">
      <c r="A89" t="s">
        <v>1281</v>
      </c>
      <c r="B89" s="15">
        <v>512065202</v>
      </c>
    </row>
    <row r="90" spans="1:2">
      <c r="A90" t="s">
        <v>1282</v>
      </c>
      <c r="B90">
        <v>520042540</v>
      </c>
    </row>
    <row r="91" spans="1:2">
      <c r="A91" t="s">
        <v>1283</v>
      </c>
      <c r="B91" s="15">
        <v>520027715</v>
      </c>
    </row>
    <row r="92" spans="1:2">
      <c r="A92" t="s">
        <v>1284</v>
      </c>
      <c r="B92" s="15">
        <v>512245812</v>
      </c>
    </row>
    <row r="93" spans="1:2">
      <c r="A93" t="s">
        <v>1285</v>
      </c>
      <c r="B93" s="15">
        <v>520022351</v>
      </c>
    </row>
    <row r="94" spans="1:2">
      <c r="A94" t="s">
        <v>1286</v>
      </c>
      <c r="B94" s="15">
        <v>514767490</v>
      </c>
    </row>
    <row r="95" spans="1:2">
      <c r="A95" t="s">
        <v>1287</v>
      </c>
      <c r="B95" s="15">
        <v>520024985</v>
      </c>
    </row>
    <row r="96" spans="1:2">
      <c r="A96" t="s">
        <v>1288</v>
      </c>
      <c r="B96" s="15">
        <v>520042573</v>
      </c>
    </row>
    <row r="97" spans="1:2">
      <c r="A97" t="s">
        <v>1289</v>
      </c>
      <c r="B97" s="15">
        <v>570009449</v>
      </c>
    </row>
    <row r="98" spans="1:2">
      <c r="A98" t="s">
        <v>1290</v>
      </c>
      <c r="B98" s="15">
        <v>520031659</v>
      </c>
    </row>
    <row r="99" spans="1:2">
      <c r="A99" t="s">
        <v>1291</v>
      </c>
      <c r="B99" s="15">
        <v>520042581</v>
      </c>
    </row>
    <row r="100" spans="1:2">
      <c r="A100" t="s">
        <v>1292</v>
      </c>
      <c r="B100">
        <v>520031030</v>
      </c>
    </row>
    <row r="101" spans="1:2">
      <c r="A101" t="s">
        <v>1293</v>
      </c>
      <c r="B101" s="15">
        <v>520030941</v>
      </c>
    </row>
    <row r="102" spans="1:2">
      <c r="A102" t="s">
        <v>1294</v>
      </c>
      <c r="B102" s="15">
        <v>512008335</v>
      </c>
    </row>
    <row r="103" spans="1:2">
      <c r="A103" t="s">
        <v>1295</v>
      </c>
      <c r="B103" s="15">
        <v>520022963</v>
      </c>
    </row>
    <row r="104" spans="1:2">
      <c r="A104" t="s">
        <v>1296</v>
      </c>
      <c r="B104" s="15">
        <v>570011767</v>
      </c>
    </row>
    <row r="105" spans="1:2">
      <c r="A105" t="s">
        <v>1297</v>
      </c>
      <c r="B105" s="15">
        <v>570014928</v>
      </c>
    </row>
    <row r="106" spans="1:2">
      <c r="A106" t="s">
        <v>1298</v>
      </c>
      <c r="B106" s="15">
        <v>570005959</v>
      </c>
    </row>
    <row r="107" spans="1:2">
      <c r="A107" t="s">
        <v>1299</v>
      </c>
      <c r="B107" s="15">
        <v>510800402</v>
      </c>
    </row>
    <row r="108" spans="1:2">
      <c r="A108" t="s">
        <v>1300</v>
      </c>
      <c r="B108" s="15">
        <v>570007476</v>
      </c>
    </row>
    <row r="109" spans="1:2">
      <c r="A109" t="s">
        <v>1301</v>
      </c>
      <c r="B109" s="15">
        <v>570005850</v>
      </c>
    </row>
    <row r="110" spans="1:2">
      <c r="A110" t="s">
        <v>1302</v>
      </c>
      <c r="B110" s="15">
        <v>520020504</v>
      </c>
    </row>
    <row r="111" spans="1:2">
      <c r="A111" t="s">
        <v>1303</v>
      </c>
      <c r="B111" s="15">
        <v>520020447</v>
      </c>
    </row>
    <row r="112" spans="1:2">
      <c r="A112" t="s">
        <v>1304</v>
      </c>
      <c r="B112" s="15">
        <v>511033060</v>
      </c>
    </row>
    <row r="113" spans="1:2">
      <c r="A113" t="s">
        <v>1305</v>
      </c>
      <c r="B113">
        <v>520027848</v>
      </c>
    </row>
    <row r="114" spans="1:2">
      <c r="A114" t="s">
        <v>1306</v>
      </c>
      <c r="B114" s="15">
        <v>570009852</v>
      </c>
    </row>
    <row r="115" spans="1:2">
      <c r="A115" t="s">
        <v>1307</v>
      </c>
      <c r="B115" s="15">
        <v>520027251</v>
      </c>
    </row>
    <row r="116" spans="1:2">
      <c r="A116" t="s">
        <v>1308</v>
      </c>
      <c r="B116" s="15">
        <v>520028390</v>
      </c>
    </row>
    <row r="117" spans="1:2">
      <c r="A117" t="s">
        <v>1309</v>
      </c>
      <c r="B117" s="15">
        <v>510806870</v>
      </c>
    </row>
    <row r="118" spans="1:2">
      <c r="A118" t="s">
        <v>1310</v>
      </c>
      <c r="B118">
        <v>513879189</v>
      </c>
    </row>
    <row r="119" spans="1:2">
      <c r="A119" t="s">
        <v>1311</v>
      </c>
      <c r="B119">
        <v>510015951</v>
      </c>
    </row>
    <row r="120" spans="1:2">
      <c r="A120" t="s">
        <v>1312</v>
      </c>
      <c r="B120" s="15">
        <v>520030693</v>
      </c>
    </row>
    <row r="121" spans="1:2">
      <c r="A121" t="s">
        <v>1313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Olga Kimchi</cp:lastModifiedBy>
  <cp:lastPrinted>2022-08-08T09:16:18Z</cp:lastPrinted>
  <dcterms:created xsi:type="dcterms:W3CDTF">2021-05-03T04:41:48Z</dcterms:created>
  <dcterms:modified xsi:type="dcterms:W3CDTF">2024-11-03T08:45:42Z</dcterms:modified>
</cp:coreProperties>
</file>